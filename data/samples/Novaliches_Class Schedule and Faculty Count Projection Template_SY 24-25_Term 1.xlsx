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7.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drawings/drawing8.xml" ContentType="application/vnd.openxmlformats-officedocument.drawing+xml"/>
  <Override PartName="/xl/ctrlProps/ctrlProp7.xml" ContentType="application/vnd.ms-excel.controlproperties+xml"/>
  <Override PartName="/xl/ctrlProps/ctrlProp8.xml" ContentType="application/vnd.ms-excel.controlproperties+xml"/>
  <Override PartName="/xl/comments3.xml" ContentType="application/vnd.openxmlformats-officedocument.spreadsheetml.comments+xml"/>
  <Override PartName="/xl/drawings/drawing9.xml" ContentType="application/vnd.openxmlformats-officedocument.drawing+xml"/>
  <Override PartName="/xl/ctrlProps/ctrlProp9.xml" ContentType="application/vnd.ms-excel.controlproperties+xml"/>
  <Override PartName="/xl/ctrlProps/ctrlProp10.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trlProps/ctrlProp11.xml" ContentType="application/vnd.ms-excel.controlproperties+xml"/>
  <Override PartName="/xl/ctrlProps/ctrlProp12.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trlProps/ctrlProp13.xml" ContentType="application/vnd.ms-excel.controlproperties+xml"/>
  <Override PartName="/xl/ctrlProps/ctrlProp14.xml" ContentType="application/vnd.ms-excel.controlproperties+xml"/>
  <Override PartName="/xl/comments6.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Giyu\Desktop\Practice\"/>
    </mc:Choice>
  </mc:AlternateContent>
  <xr:revisionPtr revIDLastSave="0" documentId="13_ncr:1_{3EF78413-06E0-4783-8CFC-495DCC5BA748}" xr6:coauthVersionLast="47" xr6:coauthVersionMax="47" xr10:uidLastSave="{00000000-0000-0000-0000-000000000000}"/>
  <bookViews>
    <workbookView xWindow="-108" yWindow="-108" windowWidth="23256" windowHeight="12456" tabRatio="1000" firstSheet="7" activeTab="8" xr2:uid="{00000000-000D-0000-FFFF-FFFF00000000}"/>
  </bookViews>
  <sheets>
    <sheet name="1 - Top Sheet" sheetId="33" r:id="rId1"/>
    <sheet name="2 - Section Count Projection" sheetId="3" r:id="rId2"/>
    <sheet name="3.1 - Tertiary - Term 1" sheetId="23" r:id="rId3"/>
    <sheet name="3.2 - Tertiary - Term 2" sheetId="8" r:id="rId4"/>
    <sheet name="3.3 - SHS Term 1 " sheetId="29" r:id="rId5"/>
    <sheet name="3.4 - SHS Term 2" sheetId="10" r:id="rId6"/>
    <sheet name="Faculty Count Projection" sheetId="6" r:id="rId7"/>
    <sheet name="4.2 - SHS Schedule" sheetId="13" r:id="rId8"/>
    <sheet name="4.1 - TER Schedule" sheetId="15" r:id="rId9"/>
    <sheet name="MONDAY" sheetId="14" r:id="rId10"/>
    <sheet name="TUESDAY" sheetId="24" r:id="rId11"/>
    <sheet name="WEDNESDAY" sheetId="25" r:id="rId12"/>
    <sheet name="THURSDAY" sheetId="26" r:id="rId13"/>
    <sheet name="FRIDAY" sheetId="27" r:id="rId14"/>
    <sheet name="SATURDAY" sheetId="28" r:id="rId15"/>
    <sheet name="Room Utilization Efficiency" sheetId="2" r:id="rId16"/>
    <sheet name="Room Schedule" sheetId="32" r:id="rId17"/>
    <sheet name="5 - Computer Lab" sheetId="30" r:id="rId18"/>
    <sheet name="6 - Culinary Lab " sheetId="31" r:id="rId19"/>
    <sheet name="Field Source" sheetId="9" state="hidden" r:id="rId20"/>
  </sheets>
  <externalReferences>
    <externalReference r:id="rId21"/>
    <externalReference r:id="rId22"/>
    <externalReference r:id="rId23"/>
  </externalReferences>
  <definedNames>
    <definedName name="_xlnm._FilterDatabase" localSheetId="2" hidden="1">'3.1 - Tertiary - Term 1'!$C$1:$J$11</definedName>
    <definedName name="_xlnm._FilterDatabase" localSheetId="3" hidden="1">'3.2 - Tertiary - Term 2'!$C$1:$J$11</definedName>
    <definedName name="_xlnm._FilterDatabase" localSheetId="4" hidden="1">'3.3 - SHS Term 1 '!$C$2:$I$10</definedName>
    <definedName name="_xlnm._FilterDatabase" localSheetId="5" hidden="1">'3.4 - SHS Term 2'!$C$2:$I$10</definedName>
    <definedName name="_xlnm._FilterDatabase" localSheetId="6" hidden="1">'Faculty Count Projection'!$B$7:$F$8</definedName>
    <definedName name="Departments">"GE,IT,ENG,BM,HRM,THM,AS"</definedName>
    <definedName name="SHS1FIELD" localSheetId="18">'[1]3.3 - SHS Term 1 '!$E$4:$E$255</definedName>
    <definedName name="SHS1FIELD" localSheetId="16">'[2]3.3 - SHS Term 1 '!$E$4:$E$255</definedName>
    <definedName name="SHS1FIELD">'3.3 - SHS Term 1 '!$E$3:$E$254</definedName>
    <definedName name="SHS1LOAD" localSheetId="18">'[1]3.3 - SHS Term 1 '!$I$4:$I$255</definedName>
    <definedName name="SHS1LOAD" localSheetId="16">'[2]3.3 - SHS Term 1 '!$I$4:$I$255</definedName>
    <definedName name="SHS1LOAD">'3.3 - SHS Term 1 '!$I$3:$I$254</definedName>
    <definedName name="SHS2FIELD" localSheetId="18">'[1]3.4 - SHS Term 2'!$E$4:$E$255</definedName>
    <definedName name="SHS2FIELD" localSheetId="16">'[2]3.4 - SHS Term 2'!$E$4:$E$255</definedName>
    <definedName name="SHS2FIELD">'3.4 - SHS Term 2'!$E$3:$E$254</definedName>
    <definedName name="SHS2LOAD" localSheetId="0">'[3]3.4 - SHS Term 2'!$I$4:$I$255</definedName>
    <definedName name="SHS2LOAD" localSheetId="17">'[1]3.4 - SHS Term 2'!$I$4:$I$255</definedName>
    <definedName name="SHS2LOAD" localSheetId="18">'[1]3.4 - SHS Term 2'!$I$4:$I$255</definedName>
    <definedName name="SHS2LOAD" localSheetId="16">'[2]3.4 - SHS Term 2'!$I$4:$I$255</definedName>
    <definedName name="SHS2LOAD">'3.4 - SHS Term 2'!$I$3:$I$254</definedName>
    <definedName name="TER1FIELD" localSheetId="18">'[1]3.1 - Tertiary - Term 1'!$E$4:$E$653</definedName>
    <definedName name="TER1FIELD" localSheetId="16">'[2]3.1 - Tertiary - Term 1'!$E$4:$E$653</definedName>
    <definedName name="TER1FIELD">'3.1 - Tertiary - Term 1'!$E$3:$E$659</definedName>
    <definedName name="TER1LOAD" localSheetId="18">'[1]3.1 - Tertiary - Term 1'!$J$4:$J$653</definedName>
    <definedName name="TER1LOAD" localSheetId="16">'[2]3.1 - Tertiary - Term 1'!$J$4:$J$653</definedName>
    <definedName name="TER1LOAD">'3.1 - Tertiary - Term 1'!$J$3:$J$659</definedName>
    <definedName name="TER2FIELD" localSheetId="17">'[1]3.2 - Tertiary - Term 2'!$E$4:$E$571</definedName>
    <definedName name="TER2FIELD" localSheetId="18">'[1]3.2 - Tertiary - Term 2'!$E$4:$E$571</definedName>
    <definedName name="TER2FIELD" localSheetId="16">'[2]3.2 - Tertiary - Term 2'!$E$4:$E$571</definedName>
    <definedName name="TER2FIELD">'3.2 - Tertiary - Term 2'!$E$3:$E$588</definedName>
    <definedName name="TER2LOAD" localSheetId="0">'[3]3.2 - Tertiary - Term 2'!$J$4:$J$571</definedName>
    <definedName name="TER2LOAD" localSheetId="17">'[1]3.2 - Tertiary - Term 2'!$J$4:$J$571</definedName>
    <definedName name="TER2LOAD" localSheetId="18">'[1]3.2 - Tertiary - Term 2'!$J$4:$J$571</definedName>
    <definedName name="TER2LOAD" localSheetId="16">'[2]3.2 - Tertiary - Term 2'!$J$4:$J$571</definedName>
    <definedName name="TER2LOAD">'3.2 - Tertiary - Term 2'!$J$3:$J$588</definedName>
    <definedName name="ThuRooms">[1]THURSDAY!$C$4:$BK$31</definedName>
    <definedName name="Thursday">[1]THURSDAY!$C$3:$BK$3</definedName>
    <definedName name="TIME" localSheetId="0">'[3]&lt;Day 1&gt;'!$A$4:$A$31</definedName>
    <definedName name="TIME" localSheetId="17">[1]MONDAY!$A$4:$A$31</definedName>
    <definedName name="TIME" localSheetId="18">[1]MONDAY!$A$4:$A$31</definedName>
    <definedName name="TIME" localSheetId="13">FRIDAY!$A$4:$A$31</definedName>
    <definedName name="TIME" localSheetId="16">[2]MONDAY!$A$4:$A$31</definedName>
    <definedName name="TIME" localSheetId="14">SATURDAY!$A$4:$A$31</definedName>
    <definedName name="TIME" localSheetId="12">THURSDAY!$A$4:$A$31</definedName>
    <definedName name="TIME" localSheetId="10">TUESDAY!$A$4:$A$31</definedName>
    <definedName name="TIME" localSheetId="11">WEDNESDAY!$A$4:$A$31</definedName>
    <definedName name="TIME">MONDAY!$A$4:$A$31</definedName>
    <definedName name="TueRooms">[1]TUESDAY!$C$4:$BK$31</definedName>
    <definedName name="Tuesday">[1]TUESDAY!$C$3:$BK$3</definedName>
    <definedName name="Wednesday">[1]WEDNESDAY!$C$3:$BK$3</definedName>
    <definedName name="WedRooms">[1]WEDNESDAY!$C$4:$BK$31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3" i="33" l="1"/>
  <c r="D14" i="33"/>
  <c r="D15" i="33"/>
  <c r="H573" i="8"/>
  <c r="H572" i="8"/>
  <c r="H571" i="8"/>
  <c r="H570" i="8"/>
  <c r="H569" i="8"/>
  <c r="H568" i="8"/>
  <c r="H567" i="8"/>
  <c r="H566" i="8"/>
  <c r="H565" i="8"/>
  <c r="H551" i="8"/>
  <c r="H550" i="8"/>
  <c r="H549" i="8"/>
  <c r="H548" i="8"/>
  <c r="H547" i="8"/>
  <c r="H649" i="23"/>
  <c r="H648" i="23"/>
  <c r="H647" i="23"/>
  <c r="H646" i="23"/>
  <c r="H645" i="23"/>
  <c r="H669" i="23"/>
  <c r="H668" i="23"/>
  <c r="H667" i="23"/>
  <c r="H666" i="23"/>
  <c r="H665" i="23"/>
  <c r="H664" i="23"/>
  <c r="H663" i="23"/>
  <c r="H662" i="23"/>
  <c r="D3" i="24"/>
  <c r="G102" i="3"/>
  <c r="G97" i="3"/>
  <c r="G92" i="3"/>
  <c r="C143" i="30" s="1"/>
  <c r="G87" i="3"/>
  <c r="C139" i="30" s="1"/>
  <c r="G82" i="3"/>
  <c r="C135" i="30" s="1"/>
  <c r="O155" i="3"/>
  <c r="C129" i="30" s="1"/>
  <c r="O146" i="3"/>
  <c r="I668" i="23" s="1"/>
  <c r="O137" i="3"/>
  <c r="C113" i="30" s="1"/>
  <c r="O128" i="3"/>
  <c r="O119" i="3"/>
  <c r="C105" i="30" s="1"/>
  <c r="O110" i="3"/>
  <c r="O101" i="3"/>
  <c r="C81" i="30" s="1"/>
  <c r="O92" i="3"/>
  <c r="O83" i="3"/>
  <c r="C73" i="30" s="1"/>
  <c r="E73" i="30" s="1"/>
  <c r="O74" i="3"/>
  <c r="O65" i="3"/>
  <c r="O56" i="3"/>
  <c r="C57" i="30" s="1"/>
  <c r="O47" i="3"/>
  <c r="O38" i="3"/>
  <c r="O29" i="3"/>
  <c r="O20" i="3"/>
  <c r="O11" i="3"/>
  <c r="G66" i="3"/>
  <c r="I57" i="30" s="1"/>
  <c r="G61" i="3"/>
  <c r="I53" i="30" s="1"/>
  <c r="G56" i="3"/>
  <c r="I49" i="30" s="1"/>
  <c r="G51" i="3"/>
  <c r="I45" i="30" s="1"/>
  <c r="G46" i="3"/>
  <c r="I41" i="30" s="1"/>
  <c r="G41" i="3"/>
  <c r="I37" i="30" s="1"/>
  <c r="G36" i="3"/>
  <c r="I33" i="30" s="1"/>
  <c r="G31" i="3"/>
  <c r="I29" i="30" s="1"/>
  <c r="G26" i="3"/>
  <c r="I25" i="30" s="1"/>
  <c r="G21" i="3"/>
  <c r="I21" i="30" s="1"/>
  <c r="G16" i="3"/>
  <c r="I17" i="30" s="1"/>
  <c r="G11" i="3"/>
  <c r="N31" i="3"/>
  <c r="O31" i="3" s="1"/>
  <c r="N30" i="3"/>
  <c r="O30" i="3" s="1"/>
  <c r="K14" i="10"/>
  <c r="K25" i="10"/>
  <c r="K37" i="10"/>
  <c r="K48" i="10"/>
  <c r="K60" i="10"/>
  <c r="K71" i="10"/>
  <c r="K83" i="10"/>
  <c r="K94" i="10"/>
  <c r="K106" i="10"/>
  <c r="K117" i="10"/>
  <c r="K129" i="10"/>
  <c r="K140" i="10"/>
  <c r="K152" i="10"/>
  <c r="K163" i="10"/>
  <c r="K175" i="10"/>
  <c r="K186" i="10"/>
  <c r="K198" i="10"/>
  <c r="K209" i="10"/>
  <c r="K221" i="10"/>
  <c r="K232" i="10"/>
  <c r="K244" i="10"/>
  <c r="K36" i="29"/>
  <c r="K48" i="29"/>
  <c r="K59" i="29"/>
  <c r="K71" i="29"/>
  <c r="K82" i="29"/>
  <c r="K94" i="29"/>
  <c r="K105" i="29"/>
  <c r="K117" i="29"/>
  <c r="K128" i="29"/>
  <c r="K140" i="29"/>
  <c r="K151" i="29"/>
  <c r="K163" i="29"/>
  <c r="K174" i="29"/>
  <c r="K186" i="29"/>
  <c r="K197" i="29"/>
  <c r="K209" i="29"/>
  <c r="K220" i="29"/>
  <c r="K232" i="29"/>
  <c r="K243" i="29"/>
  <c r="K13" i="29"/>
  <c r="K25" i="29"/>
  <c r="K587" i="8"/>
  <c r="K586" i="8"/>
  <c r="K581" i="8"/>
  <c r="K580" i="8"/>
  <c r="K575" i="8"/>
  <c r="K563" i="8"/>
  <c r="K553" i="8"/>
  <c r="K545" i="8"/>
  <c r="K538" i="8"/>
  <c r="K537" i="8"/>
  <c r="K530" i="8"/>
  <c r="K529" i="8"/>
  <c r="K522" i="8"/>
  <c r="K521" i="8"/>
  <c r="K513" i="8"/>
  <c r="K512" i="8"/>
  <c r="K507" i="8"/>
  <c r="K506" i="8"/>
  <c r="K496" i="8"/>
  <c r="K495" i="8"/>
  <c r="K490" i="8"/>
  <c r="K489" i="8"/>
  <c r="K483" i="8"/>
  <c r="K482" i="8"/>
  <c r="K476" i="8"/>
  <c r="K475" i="8"/>
  <c r="K469" i="8"/>
  <c r="K468" i="8"/>
  <c r="K463" i="8"/>
  <c r="K462" i="8"/>
  <c r="K457" i="8"/>
  <c r="K456" i="8"/>
  <c r="K453" i="8"/>
  <c r="K452" i="8"/>
  <c r="K445" i="8"/>
  <c r="K444" i="8"/>
  <c r="K435" i="8"/>
  <c r="K434" i="8"/>
  <c r="K426" i="8"/>
  <c r="K425" i="8"/>
  <c r="K421" i="8"/>
  <c r="K420" i="8"/>
  <c r="K412" i="8"/>
  <c r="K411" i="8"/>
  <c r="K404" i="8"/>
  <c r="K403" i="8"/>
  <c r="K393" i="8"/>
  <c r="K392" i="8"/>
  <c r="K388" i="8"/>
  <c r="K387" i="8"/>
  <c r="K379" i="8"/>
  <c r="K378" i="8"/>
  <c r="K371" i="8"/>
  <c r="K370" i="8"/>
  <c r="K362" i="8"/>
  <c r="K361" i="8"/>
  <c r="K358" i="8"/>
  <c r="K357" i="8"/>
  <c r="K349" i="8"/>
  <c r="K348" i="8"/>
  <c r="K338" i="8"/>
  <c r="K337" i="8"/>
  <c r="K326" i="8"/>
  <c r="K325" i="8"/>
  <c r="K322" i="8"/>
  <c r="K321" i="8"/>
  <c r="K313" i="8"/>
  <c r="K312" i="8"/>
  <c r="K302" i="8"/>
  <c r="K301" i="8"/>
  <c r="K290" i="8"/>
  <c r="K289" i="8"/>
  <c r="K286" i="8"/>
  <c r="K285" i="8"/>
  <c r="K277" i="8"/>
  <c r="K276" i="8"/>
  <c r="K266" i="8"/>
  <c r="K265" i="8"/>
  <c r="K254" i="8"/>
  <c r="K253" i="8"/>
  <c r="K251" i="8"/>
  <c r="K250" i="8"/>
  <c r="K243" i="8"/>
  <c r="K242" i="8"/>
  <c r="K235" i="8"/>
  <c r="K234" i="8"/>
  <c r="K226" i="8"/>
  <c r="K225" i="8"/>
  <c r="K223" i="8"/>
  <c r="K222" i="8"/>
  <c r="K214" i="8"/>
  <c r="K213" i="8"/>
  <c r="K204" i="8"/>
  <c r="K203" i="8"/>
  <c r="K195" i="8"/>
  <c r="K194" i="8"/>
  <c r="K192" i="8"/>
  <c r="K191" i="8"/>
  <c r="K183" i="8"/>
  <c r="K182" i="8"/>
  <c r="K174" i="8"/>
  <c r="K173" i="8"/>
  <c r="K165" i="8"/>
  <c r="K164" i="8"/>
  <c r="K162" i="8"/>
  <c r="K161" i="8"/>
  <c r="K153" i="8"/>
  <c r="K152" i="8"/>
  <c r="K143" i="8"/>
  <c r="K142" i="8"/>
  <c r="K134" i="8"/>
  <c r="K133" i="8"/>
  <c r="K131" i="8"/>
  <c r="K130" i="8"/>
  <c r="K121" i="8"/>
  <c r="K120" i="8"/>
  <c r="K111" i="8"/>
  <c r="K110" i="8"/>
  <c r="K101" i="8"/>
  <c r="K100" i="8"/>
  <c r="K98" i="8"/>
  <c r="K97" i="8"/>
  <c r="K90" i="8"/>
  <c r="K89" i="8"/>
  <c r="K79" i="8"/>
  <c r="K78" i="8"/>
  <c r="K68" i="8"/>
  <c r="K67" i="8"/>
  <c r="K65" i="8"/>
  <c r="K64" i="8"/>
  <c r="K56" i="8"/>
  <c r="K55" i="8"/>
  <c r="K45" i="8"/>
  <c r="K44" i="8"/>
  <c r="K35" i="8"/>
  <c r="K34" i="8"/>
  <c r="K32" i="8"/>
  <c r="K31" i="8"/>
  <c r="K23" i="8"/>
  <c r="K22" i="8"/>
  <c r="K13" i="8"/>
  <c r="K12" i="8"/>
  <c r="K12" i="23"/>
  <c r="K13" i="23"/>
  <c r="K22" i="23"/>
  <c r="K23" i="23"/>
  <c r="K31" i="23"/>
  <c r="K32" i="23"/>
  <c r="K40" i="23"/>
  <c r="K41" i="23"/>
  <c r="K50" i="23"/>
  <c r="K51" i="23"/>
  <c r="K60" i="23"/>
  <c r="K61" i="23"/>
  <c r="K70" i="23"/>
  <c r="K71" i="23"/>
  <c r="K80" i="23"/>
  <c r="K81" i="23"/>
  <c r="K92" i="23"/>
  <c r="K93" i="23"/>
  <c r="K103" i="23"/>
  <c r="K104" i="23"/>
  <c r="K114" i="23"/>
  <c r="K115" i="23"/>
  <c r="K124" i="23"/>
  <c r="K125" i="23"/>
  <c r="K134" i="23"/>
  <c r="K135" i="23"/>
  <c r="K144" i="23"/>
  <c r="K145" i="23"/>
  <c r="K154" i="23"/>
  <c r="K155" i="23"/>
  <c r="K163" i="23"/>
  <c r="K164" i="23"/>
  <c r="K173" i="23"/>
  <c r="K174" i="23"/>
  <c r="K182" i="23"/>
  <c r="K183" i="23"/>
  <c r="K192" i="23"/>
  <c r="K193" i="23"/>
  <c r="K199" i="23"/>
  <c r="K200" i="23"/>
  <c r="K209" i="23"/>
  <c r="K210" i="23"/>
  <c r="K218" i="23"/>
  <c r="K219" i="23"/>
  <c r="K227" i="23"/>
  <c r="K228" i="23"/>
  <c r="K234" i="23"/>
  <c r="K235" i="23"/>
  <c r="K244" i="23"/>
  <c r="K245" i="23"/>
  <c r="K253" i="23"/>
  <c r="K254" i="23"/>
  <c r="K263" i="23"/>
  <c r="K264" i="23"/>
  <c r="K270" i="23"/>
  <c r="K271" i="23"/>
  <c r="K279" i="23"/>
  <c r="K280" i="23"/>
  <c r="K287" i="23"/>
  <c r="K288" i="23"/>
  <c r="K295" i="23"/>
  <c r="K296" i="23"/>
  <c r="K303" i="23"/>
  <c r="K304" i="23"/>
  <c r="K314" i="23"/>
  <c r="K315" i="23"/>
  <c r="K325" i="23"/>
  <c r="K326" i="23"/>
  <c r="K335" i="23"/>
  <c r="K336" i="23"/>
  <c r="K345" i="23"/>
  <c r="K346" i="23"/>
  <c r="K356" i="23"/>
  <c r="K357" i="23"/>
  <c r="K367" i="23"/>
  <c r="K368" i="23"/>
  <c r="K377" i="23"/>
  <c r="K378" i="23"/>
  <c r="K387" i="23"/>
  <c r="K388" i="23"/>
  <c r="K398" i="23"/>
  <c r="K399" i="23"/>
  <c r="K409" i="23"/>
  <c r="K410" i="23"/>
  <c r="K419" i="23"/>
  <c r="K420" i="23"/>
  <c r="K429" i="23"/>
  <c r="K430" i="23"/>
  <c r="K438" i="23"/>
  <c r="K439" i="23"/>
  <c r="K446" i="23"/>
  <c r="K447" i="23"/>
  <c r="K454" i="23"/>
  <c r="K455" i="23"/>
  <c r="K461" i="23"/>
  <c r="K462" i="23"/>
  <c r="K472" i="23"/>
  <c r="K473" i="23"/>
  <c r="K480" i="23"/>
  <c r="K481" i="23"/>
  <c r="K488" i="23"/>
  <c r="K489" i="23"/>
  <c r="K495" i="23"/>
  <c r="K496" i="23"/>
  <c r="K505" i="23"/>
  <c r="K506" i="23"/>
  <c r="K514" i="23"/>
  <c r="K515" i="23"/>
  <c r="K522" i="23"/>
  <c r="K523" i="23"/>
  <c r="K529" i="23"/>
  <c r="K530" i="23"/>
  <c r="K536" i="23"/>
  <c r="K537" i="23"/>
  <c r="K541" i="23"/>
  <c r="K542" i="23"/>
  <c r="K548" i="23"/>
  <c r="K549" i="23"/>
  <c r="K553" i="23"/>
  <c r="K554" i="23"/>
  <c r="K559" i="23"/>
  <c r="K560" i="23"/>
  <c r="K566" i="23"/>
  <c r="K567" i="23"/>
  <c r="K572" i="23"/>
  <c r="K573" i="23"/>
  <c r="K579" i="23"/>
  <c r="K580" i="23"/>
  <c r="K586" i="23"/>
  <c r="K587" i="23"/>
  <c r="K597" i="23"/>
  <c r="K598" i="23"/>
  <c r="K608" i="23"/>
  <c r="K609" i="23"/>
  <c r="K618" i="23"/>
  <c r="K619" i="23"/>
  <c r="K626" i="23"/>
  <c r="K627" i="23"/>
  <c r="K635" i="23"/>
  <c r="K636" i="23"/>
  <c r="K643" i="23"/>
  <c r="K651" i="23"/>
  <c r="D23" i="6"/>
  <c r="A1" i="15"/>
  <c r="B3" i="3"/>
  <c r="A1" i="13"/>
  <c r="B1" i="3"/>
  <c r="A3" i="15"/>
  <c r="A3" i="13"/>
  <c r="B3" i="6"/>
  <c r="B1" i="6"/>
  <c r="M8" i="3" l="1"/>
  <c r="I17" i="31"/>
  <c r="C39" i="31"/>
  <c r="I21" i="31"/>
  <c r="C25" i="31"/>
  <c r="C33" i="31"/>
  <c r="C121" i="30"/>
  <c r="I669" i="23"/>
  <c r="J669" i="23" s="1"/>
  <c r="I667" i="23"/>
  <c r="J667" i="23" s="1"/>
  <c r="I665" i="23"/>
  <c r="J665" i="23" s="1"/>
  <c r="I663" i="23"/>
  <c r="J663" i="23" s="1"/>
  <c r="I662" i="23"/>
  <c r="J662" i="23" s="1"/>
  <c r="I664" i="23"/>
  <c r="J664" i="23" s="1"/>
  <c r="I666" i="23"/>
  <c r="J666" i="23" s="1"/>
  <c r="J668" i="23"/>
  <c r="E8" i="3"/>
  <c r="D3" i="28"/>
  <c r="E3" i="28"/>
  <c r="F3" i="28"/>
  <c r="G3" i="28"/>
  <c r="H3" i="28"/>
  <c r="I3" i="28"/>
  <c r="J3" i="28"/>
  <c r="K3" i="28"/>
  <c r="L3" i="28"/>
  <c r="M3" i="28"/>
  <c r="N3" i="28"/>
  <c r="O3" i="28"/>
  <c r="P3" i="28"/>
  <c r="Q3" i="28"/>
  <c r="R3" i="28"/>
  <c r="S3" i="28"/>
  <c r="T3" i="28"/>
  <c r="U3" i="28"/>
  <c r="V3" i="28"/>
  <c r="W3" i="28"/>
  <c r="X3" i="28"/>
  <c r="Y3" i="28"/>
  <c r="Z3" i="28"/>
  <c r="AA3" i="28"/>
  <c r="AB3" i="28"/>
  <c r="AC3" i="28"/>
  <c r="AD3" i="28"/>
  <c r="AE3" i="28"/>
  <c r="AF3" i="28"/>
  <c r="AG3" i="28"/>
  <c r="AH3" i="28"/>
  <c r="AI3" i="28"/>
  <c r="AJ3" i="28"/>
  <c r="AK3" i="28"/>
  <c r="AL3" i="28"/>
  <c r="AM3" i="28"/>
  <c r="AN3" i="28"/>
  <c r="AO3" i="28"/>
  <c r="AP3" i="28"/>
  <c r="AQ3" i="28"/>
  <c r="AR3" i="28"/>
  <c r="AS3" i="28"/>
  <c r="AT3" i="28"/>
  <c r="AU3" i="28"/>
  <c r="AV3" i="28"/>
  <c r="AW3" i="28"/>
  <c r="AX3" i="28"/>
  <c r="AY3" i="28"/>
  <c r="AZ3" i="28"/>
  <c r="BA3" i="28"/>
  <c r="BB3" i="28"/>
  <c r="BC3" i="28"/>
  <c r="BD3" i="28"/>
  <c r="BE3" i="28"/>
  <c r="BF3" i="28"/>
  <c r="BG3" i="28"/>
  <c r="BH3" i="28"/>
  <c r="BI3" i="28"/>
  <c r="BJ3" i="28"/>
  <c r="BK3" i="28"/>
  <c r="C3" i="28"/>
  <c r="D3" i="27"/>
  <c r="E3" i="27"/>
  <c r="F3" i="27"/>
  <c r="G3" i="27"/>
  <c r="H3" i="27"/>
  <c r="I3" i="27"/>
  <c r="J3" i="27"/>
  <c r="K3" i="27"/>
  <c r="L3" i="27"/>
  <c r="M3" i="27"/>
  <c r="N3" i="27"/>
  <c r="O3" i="27"/>
  <c r="P3" i="27"/>
  <c r="Q3" i="27"/>
  <c r="R3" i="27"/>
  <c r="S3" i="27"/>
  <c r="T3" i="27"/>
  <c r="U3" i="27"/>
  <c r="V3" i="27"/>
  <c r="W3" i="27"/>
  <c r="X3" i="27"/>
  <c r="Y3" i="27"/>
  <c r="Z3" i="27"/>
  <c r="AA3" i="27"/>
  <c r="AB3" i="27"/>
  <c r="AC3" i="27"/>
  <c r="AD3" i="27"/>
  <c r="AE3" i="27"/>
  <c r="AF3" i="27"/>
  <c r="AG3" i="27"/>
  <c r="AH3" i="27"/>
  <c r="AI3" i="27"/>
  <c r="AJ3" i="27"/>
  <c r="AK3" i="27"/>
  <c r="AL3" i="27"/>
  <c r="AM3" i="27"/>
  <c r="AN3" i="27"/>
  <c r="AO3" i="27"/>
  <c r="AP3" i="27"/>
  <c r="AQ3" i="27"/>
  <c r="AR3" i="27"/>
  <c r="AS3" i="27"/>
  <c r="AT3" i="27"/>
  <c r="AU3" i="27"/>
  <c r="AV3" i="27"/>
  <c r="AW3" i="27"/>
  <c r="AX3" i="27"/>
  <c r="AY3" i="27"/>
  <c r="AZ3" i="27"/>
  <c r="BA3" i="27"/>
  <c r="BB3" i="27"/>
  <c r="BC3" i="27"/>
  <c r="BD3" i="27"/>
  <c r="BE3" i="27"/>
  <c r="BF3" i="27"/>
  <c r="BG3" i="27"/>
  <c r="BH3" i="27"/>
  <c r="BI3" i="27"/>
  <c r="BJ3" i="27"/>
  <c r="BK3" i="27"/>
  <c r="C3" i="27"/>
  <c r="D3" i="26"/>
  <c r="E3" i="26"/>
  <c r="F3" i="26"/>
  <c r="G3" i="26"/>
  <c r="H3" i="26"/>
  <c r="I3" i="26"/>
  <c r="J3" i="26"/>
  <c r="K3" i="26"/>
  <c r="L3" i="26"/>
  <c r="M3" i="26"/>
  <c r="N3" i="26"/>
  <c r="O3" i="26"/>
  <c r="P3" i="26"/>
  <c r="Q3" i="26"/>
  <c r="R3" i="26"/>
  <c r="S3" i="26"/>
  <c r="T3" i="26"/>
  <c r="U3" i="26"/>
  <c r="V3" i="26"/>
  <c r="W3" i="26"/>
  <c r="X3" i="26"/>
  <c r="Y3" i="26"/>
  <c r="Z3" i="26"/>
  <c r="AA3" i="26"/>
  <c r="AB3" i="26"/>
  <c r="AC3" i="26"/>
  <c r="AD3" i="26"/>
  <c r="AE3" i="26"/>
  <c r="AF3" i="26"/>
  <c r="AG3" i="26"/>
  <c r="AH3" i="26"/>
  <c r="AI3" i="26"/>
  <c r="AJ3" i="26"/>
  <c r="AK3" i="26"/>
  <c r="AL3" i="26"/>
  <c r="AM3" i="26"/>
  <c r="AN3" i="26"/>
  <c r="AO3" i="26"/>
  <c r="AP3" i="26"/>
  <c r="AQ3" i="26"/>
  <c r="AR3" i="26"/>
  <c r="AS3" i="26"/>
  <c r="AT3" i="26"/>
  <c r="AU3" i="26"/>
  <c r="AV3" i="26"/>
  <c r="AW3" i="26"/>
  <c r="AX3" i="26"/>
  <c r="AY3" i="26"/>
  <c r="AZ3" i="26"/>
  <c r="BA3" i="26"/>
  <c r="BB3" i="26"/>
  <c r="BC3" i="26"/>
  <c r="BD3" i="26"/>
  <c r="BE3" i="26"/>
  <c r="BF3" i="26"/>
  <c r="BG3" i="26"/>
  <c r="BH3" i="26"/>
  <c r="BI3" i="26"/>
  <c r="BJ3" i="26"/>
  <c r="BK3" i="26"/>
  <c r="C3" i="26"/>
  <c r="C3" i="25"/>
  <c r="D3" i="25"/>
  <c r="E3" i="25"/>
  <c r="F3" i="25"/>
  <c r="G3" i="25"/>
  <c r="H3" i="25"/>
  <c r="I3" i="25"/>
  <c r="J3" i="25"/>
  <c r="K3" i="25"/>
  <c r="L3" i="25"/>
  <c r="M3" i="25"/>
  <c r="N3" i="25"/>
  <c r="O3" i="25"/>
  <c r="P3" i="25"/>
  <c r="Q3" i="25"/>
  <c r="R3" i="25"/>
  <c r="S3" i="25"/>
  <c r="T3" i="25"/>
  <c r="U3" i="25"/>
  <c r="V3" i="25"/>
  <c r="W3" i="25"/>
  <c r="X3" i="25"/>
  <c r="Y3" i="25"/>
  <c r="Z3" i="25"/>
  <c r="AA3" i="25"/>
  <c r="AB3" i="25"/>
  <c r="AC3" i="25"/>
  <c r="AD3" i="25"/>
  <c r="AE3" i="25"/>
  <c r="AF3" i="25"/>
  <c r="AG3" i="25"/>
  <c r="AH3" i="25"/>
  <c r="AI3" i="25"/>
  <c r="AJ3" i="25"/>
  <c r="AK3" i="25"/>
  <c r="AL3" i="25"/>
  <c r="AM3" i="25"/>
  <c r="AN3" i="25"/>
  <c r="AO3" i="25"/>
  <c r="AP3" i="25"/>
  <c r="AQ3" i="25"/>
  <c r="AR3" i="25"/>
  <c r="AS3" i="25"/>
  <c r="AT3" i="25"/>
  <c r="AU3" i="25"/>
  <c r="AV3" i="25"/>
  <c r="AW3" i="25"/>
  <c r="AX3" i="25"/>
  <c r="AY3" i="25"/>
  <c r="AZ3" i="25"/>
  <c r="BA3" i="25"/>
  <c r="BB3" i="25"/>
  <c r="BC3" i="25"/>
  <c r="BD3" i="25"/>
  <c r="BE3" i="25"/>
  <c r="BF3" i="25"/>
  <c r="BG3" i="25"/>
  <c r="BH3" i="25"/>
  <c r="BI3" i="25"/>
  <c r="BJ3" i="25"/>
  <c r="BK3" i="25"/>
  <c r="E3" i="24"/>
  <c r="F3" i="24"/>
  <c r="G3" i="24"/>
  <c r="H3" i="24"/>
  <c r="I3" i="24"/>
  <c r="J3" i="24"/>
  <c r="K3" i="24"/>
  <c r="L3" i="24"/>
  <c r="M3" i="24"/>
  <c r="N3" i="24"/>
  <c r="O3" i="24"/>
  <c r="P3" i="24"/>
  <c r="Q3" i="24"/>
  <c r="R3" i="24"/>
  <c r="S3" i="24"/>
  <c r="T3" i="24"/>
  <c r="U3" i="24"/>
  <c r="V3" i="24"/>
  <c r="W3" i="24"/>
  <c r="X3" i="24"/>
  <c r="Y3" i="24"/>
  <c r="Z3" i="24"/>
  <c r="AA3" i="24"/>
  <c r="AB3" i="24"/>
  <c r="AC3" i="24"/>
  <c r="AD3" i="24"/>
  <c r="AE3" i="24"/>
  <c r="AF3" i="24"/>
  <c r="AG3" i="24"/>
  <c r="AH3" i="24"/>
  <c r="AI3" i="24"/>
  <c r="AJ3" i="24"/>
  <c r="AK3" i="24"/>
  <c r="AL3" i="24"/>
  <c r="AM3" i="24"/>
  <c r="AN3" i="24"/>
  <c r="AO3" i="24"/>
  <c r="AP3" i="24"/>
  <c r="AQ3" i="24"/>
  <c r="AR3" i="24"/>
  <c r="AS3" i="24"/>
  <c r="AT3" i="24"/>
  <c r="AU3" i="24"/>
  <c r="AV3" i="24"/>
  <c r="AW3" i="24"/>
  <c r="AX3" i="24"/>
  <c r="AY3" i="24"/>
  <c r="AZ3" i="24"/>
  <c r="BA3" i="24"/>
  <c r="BB3" i="24"/>
  <c r="BC3" i="24"/>
  <c r="BD3" i="24"/>
  <c r="BE3" i="24"/>
  <c r="BF3" i="24"/>
  <c r="BG3" i="24"/>
  <c r="BH3" i="24"/>
  <c r="BI3" i="24"/>
  <c r="BJ3" i="24"/>
  <c r="BK3" i="24"/>
  <c r="C3" i="24"/>
  <c r="K21" i="30"/>
  <c r="K25" i="30"/>
  <c r="K29" i="30"/>
  <c r="K33" i="30"/>
  <c r="K37" i="30"/>
  <c r="K41" i="30"/>
  <c r="K45" i="30"/>
  <c r="K49" i="30"/>
  <c r="K53" i="30"/>
  <c r="K57" i="30"/>
  <c r="C4" i="32" a="1"/>
  <c r="C4" i="32" l="1"/>
  <c r="E143" i="30"/>
  <c r="E43" i="31"/>
  <c r="E135" i="30"/>
  <c r="E139" i="30"/>
  <c r="E129" i="30"/>
  <c r="E33" i="31"/>
  <c r="E39" i="31"/>
  <c r="H492" i="23"/>
  <c r="H491" i="23"/>
  <c r="D8" i="31"/>
  <c r="L4" i="31" s="1"/>
  <c r="V24" i="33" s="1"/>
  <c r="E17" i="31"/>
  <c r="K17" i="31"/>
  <c r="K21" i="31"/>
  <c r="E25" i="31"/>
  <c r="E121" i="30"/>
  <c r="E113" i="30"/>
  <c r="E105" i="30"/>
  <c r="E97" i="30"/>
  <c r="E89" i="30"/>
  <c r="E81" i="30"/>
  <c r="E65" i="30"/>
  <c r="E57" i="30"/>
  <c r="E41" i="30"/>
  <c r="E33" i="30"/>
  <c r="E25" i="30"/>
  <c r="K17" i="30"/>
  <c r="E17" i="30"/>
  <c r="D8" i="30"/>
  <c r="L4" i="30" s="1"/>
  <c r="E4" i="32" a="1"/>
  <c r="G4" i="32" a="1"/>
  <c r="D4" i="32" a="1"/>
  <c r="F4" i="32" a="1"/>
  <c r="H4" i="32" a="1"/>
  <c r="F4" i="32" l="1"/>
  <c r="H4" i="32"/>
  <c r="G4" i="32"/>
  <c r="D4" i="32"/>
  <c r="E4" i="32"/>
  <c r="V19" i="33"/>
  <c r="C64" i="32"/>
  <c r="F64" i="32" l="1"/>
  <c r="H64" i="32"/>
  <c r="E64" i="32"/>
  <c r="D64" i="32"/>
  <c r="G64" i="32"/>
  <c r="H102" i="3" l="1"/>
  <c r="H97" i="3"/>
  <c r="H92" i="3"/>
  <c r="H87" i="3"/>
  <c r="H82" i="3"/>
  <c r="H3" i="23"/>
  <c r="D26" i="6"/>
  <c r="D24" i="6"/>
  <c r="D14" i="6"/>
  <c r="G254" i="10"/>
  <c r="G253" i="10"/>
  <c r="G243" i="10"/>
  <c r="G242" i="10"/>
  <c r="G231" i="10"/>
  <c r="G230" i="10"/>
  <c r="G220" i="10"/>
  <c r="G219" i="10"/>
  <c r="G208" i="10"/>
  <c r="G207" i="10"/>
  <c r="G197" i="10"/>
  <c r="G196" i="10"/>
  <c r="G185" i="10"/>
  <c r="G184" i="10"/>
  <c r="G174" i="10"/>
  <c r="G173" i="10"/>
  <c r="G162" i="10"/>
  <c r="G161" i="10"/>
  <c r="G151" i="10"/>
  <c r="G150" i="10"/>
  <c r="G139" i="10"/>
  <c r="G138" i="10"/>
  <c r="G128" i="10"/>
  <c r="G127" i="10"/>
  <c r="G116" i="10"/>
  <c r="G115" i="10"/>
  <c r="G105" i="10"/>
  <c r="G104" i="10"/>
  <c r="G93" i="10"/>
  <c r="G92" i="10"/>
  <c r="G82" i="10"/>
  <c r="G81" i="10"/>
  <c r="G70" i="10"/>
  <c r="G69" i="10"/>
  <c r="G59" i="10"/>
  <c r="G58" i="10"/>
  <c r="G47" i="10"/>
  <c r="G46" i="10"/>
  <c r="G36" i="10"/>
  <c r="G35" i="10"/>
  <c r="G24" i="10"/>
  <c r="G23" i="10"/>
  <c r="G13" i="10"/>
  <c r="G12" i="10"/>
  <c r="G254" i="29"/>
  <c r="G253" i="29"/>
  <c r="G242" i="29"/>
  <c r="G241" i="29"/>
  <c r="G231" i="29"/>
  <c r="G230" i="29"/>
  <c r="G219" i="29"/>
  <c r="G218" i="29"/>
  <c r="G208" i="29"/>
  <c r="G207" i="29"/>
  <c r="G196" i="29"/>
  <c r="G195" i="29"/>
  <c r="G185" i="29"/>
  <c r="G184" i="29"/>
  <c r="G173" i="29"/>
  <c r="G172" i="29"/>
  <c r="G162" i="29"/>
  <c r="G161" i="29"/>
  <c r="G150" i="29"/>
  <c r="G149" i="29"/>
  <c r="G139" i="29"/>
  <c r="G138" i="29"/>
  <c r="G127" i="29"/>
  <c r="G126" i="29"/>
  <c r="G116" i="29"/>
  <c r="G115" i="29"/>
  <c r="G104" i="29"/>
  <c r="G103" i="29"/>
  <c r="G93" i="29"/>
  <c r="G92" i="29"/>
  <c r="G81" i="29"/>
  <c r="G80" i="29"/>
  <c r="G70" i="29"/>
  <c r="G69" i="29"/>
  <c r="G58" i="29"/>
  <c r="G57" i="29"/>
  <c r="G47" i="29"/>
  <c r="G46" i="29"/>
  <c r="G35" i="29"/>
  <c r="G34" i="29"/>
  <c r="G24" i="29"/>
  <c r="G23" i="29"/>
  <c r="G12" i="29"/>
  <c r="G11" i="29"/>
  <c r="H544" i="8"/>
  <c r="H543" i="8"/>
  <c r="H542" i="8"/>
  <c r="H541" i="8"/>
  <c r="H540" i="8"/>
  <c r="H539" i="8"/>
  <c r="H607" i="23"/>
  <c r="H606" i="23"/>
  <c r="H605" i="23"/>
  <c r="H604" i="23"/>
  <c r="H603" i="23"/>
  <c r="H602" i="23"/>
  <c r="H601" i="23"/>
  <c r="H600" i="23"/>
  <c r="H599" i="23"/>
  <c r="H527" i="23"/>
  <c r="H526" i="23"/>
  <c r="H525" i="23"/>
  <c r="H524" i="23"/>
  <c r="H483" i="23"/>
  <c r="H484" i="23"/>
  <c r="H485" i="23"/>
  <c r="H486" i="23"/>
  <c r="H487" i="23"/>
  <c r="H482" i="23"/>
  <c r="H418" i="8"/>
  <c r="H415" i="8"/>
  <c r="H416" i="8"/>
  <c r="H417" i="8"/>
  <c r="H123" i="23"/>
  <c r="H79" i="23"/>
  <c r="H78" i="23"/>
  <c r="H77" i="23"/>
  <c r="H39" i="23"/>
  <c r="H38" i="23"/>
  <c r="H47" i="8"/>
  <c r="N12" i="3"/>
  <c r="H9" i="8"/>
  <c r="N21" i="3"/>
  <c r="O21" i="3" s="1"/>
  <c r="E26" i="30" s="1"/>
  <c r="H42" i="8"/>
  <c r="N39" i="3"/>
  <c r="O39" i="3" s="1"/>
  <c r="E34" i="30" s="1"/>
  <c r="H75" i="8"/>
  <c r="N50" i="3"/>
  <c r="O50" i="3" s="1"/>
  <c r="H146" i="8"/>
  <c r="H3" i="8"/>
  <c r="H4" i="8"/>
  <c r="H5" i="8"/>
  <c r="H6" i="8"/>
  <c r="H7" i="8"/>
  <c r="H8" i="8"/>
  <c r="H10" i="8"/>
  <c r="H11" i="8"/>
  <c r="N14" i="3"/>
  <c r="O14" i="3" s="1"/>
  <c r="H14" i="8"/>
  <c r="H15" i="8"/>
  <c r="H16" i="8"/>
  <c r="H17" i="8"/>
  <c r="H18" i="8"/>
  <c r="H19" i="8"/>
  <c r="H20" i="8"/>
  <c r="H21" i="8"/>
  <c r="N16" i="3"/>
  <c r="O16" i="3" s="1"/>
  <c r="H24" i="8"/>
  <c r="H25" i="8"/>
  <c r="H27" i="8"/>
  <c r="H28" i="8"/>
  <c r="H29" i="8"/>
  <c r="H30" i="8"/>
  <c r="N18" i="3"/>
  <c r="H36" i="8"/>
  <c r="H37" i="8"/>
  <c r="H38" i="8"/>
  <c r="H39" i="8"/>
  <c r="H40" i="8"/>
  <c r="H41" i="8"/>
  <c r="H43" i="8"/>
  <c r="N23" i="3"/>
  <c r="H46" i="8"/>
  <c r="H48" i="8"/>
  <c r="H49" i="8"/>
  <c r="H50" i="8"/>
  <c r="H51" i="8"/>
  <c r="H52" i="8"/>
  <c r="H53" i="8"/>
  <c r="H54" i="8"/>
  <c r="N25" i="3"/>
  <c r="O25" i="3" s="1"/>
  <c r="E30" i="30" s="1"/>
  <c r="H57" i="8"/>
  <c r="H58" i="8"/>
  <c r="H59" i="8"/>
  <c r="H60" i="8"/>
  <c r="H61" i="8"/>
  <c r="H62" i="8"/>
  <c r="N27" i="3"/>
  <c r="G69" i="8"/>
  <c r="H69" i="8" s="1"/>
  <c r="H70" i="8"/>
  <c r="H71" i="8"/>
  <c r="H72" i="8"/>
  <c r="H73" i="8"/>
  <c r="H74" i="8"/>
  <c r="H76" i="8"/>
  <c r="H77" i="8"/>
  <c r="N41" i="3"/>
  <c r="H80" i="8"/>
  <c r="H81" i="8"/>
  <c r="H82" i="8"/>
  <c r="H83" i="8"/>
  <c r="H84" i="8"/>
  <c r="H85" i="8"/>
  <c r="H86" i="8"/>
  <c r="H87" i="8"/>
  <c r="H88" i="8"/>
  <c r="N43" i="3"/>
  <c r="O43" i="3" s="1"/>
  <c r="E38" i="30" s="1"/>
  <c r="H91" i="8"/>
  <c r="H92" i="8"/>
  <c r="H93" i="8"/>
  <c r="H94" i="8"/>
  <c r="H95" i="8"/>
  <c r="H96" i="8"/>
  <c r="N45" i="3"/>
  <c r="H102" i="8"/>
  <c r="H103" i="8"/>
  <c r="H104" i="8"/>
  <c r="H105" i="8"/>
  <c r="H106" i="8"/>
  <c r="H107" i="8"/>
  <c r="H108" i="8"/>
  <c r="H109" i="8"/>
  <c r="N32" i="3"/>
  <c r="H112" i="8"/>
  <c r="H113" i="8"/>
  <c r="H114" i="8"/>
  <c r="H115" i="8"/>
  <c r="H116" i="8"/>
  <c r="H117" i="8"/>
  <c r="H118" i="8"/>
  <c r="H119" i="8"/>
  <c r="N34" i="3"/>
  <c r="O34" i="3" s="1"/>
  <c r="H122" i="8"/>
  <c r="N33" i="3"/>
  <c r="O33" i="3" s="1"/>
  <c r="H123" i="8"/>
  <c r="H125" i="8"/>
  <c r="H126" i="8"/>
  <c r="H127" i="8"/>
  <c r="H128" i="8"/>
  <c r="H129" i="8"/>
  <c r="N36" i="3"/>
  <c r="O36" i="3" s="1"/>
  <c r="N48" i="3"/>
  <c r="O48" i="3" s="1"/>
  <c r="H135" i="8"/>
  <c r="H136" i="8"/>
  <c r="H137" i="8"/>
  <c r="H138" i="8"/>
  <c r="H139" i="8"/>
  <c r="H140" i="8"/>
  <c r="H141" i="8"/>
  <c r="H144" i="8"/>
  <c r="H145" i="8"/>
  <c r="H147" i="8"/>
  <c r="H148" i="8"/>
  <c r="H149" i="8"/>
  <c r="H150" i="8"/>
  <c r="H151" i="8"/>
  <c r="N52" i="3"/>
  <c r="H154" i="8"/>
  <c r="H155" i="8"/>
  <c r="H156" i="8"/>
  <c r="H157" i="8"/>
  <c r="H158" i="8"/>
  <c r="H159" i="8"/>
  <c r="H160" i="8"/>
  <c r="N54" i="3"/>
  <c r="N66" i="3"/>
  <c r="H166" i="8"/>
  <c r="H167" i="8"/>
  <c r="H168" i="8"/>
  <c r="H169" i="8"/>
  <c r="H170" i="8"/>
  <c r="H171" i="8"/>
  <c r="H172" i="8"/>
  <c r="N68" i="3"/>
  <c r="O68" i="3" s="1"/>
  <c r="H175" i="8"/>
  <c r="H176" i="8"/>
  <c r="H177" i="8"/>
  <c r="H178" i="8"/>
  <c r="H179" i="8"/>
  <c r="H180" i="8"/>
  <c r="H181" i="8"/>
  <c r="N70" i="3"/>
  <c r="O70" i="3" s="1"/>
  <c r="H184" i="8"/>
  <c r="H185" i="8"/>
  <c r="H186" i="8"/>
  <c r="H187" i="8"/>
  <c r="H188" i="8"/>
  <c r="H189" i="8"/>
  <c r="H190" i="8"/>
  <c r="N72" i="3"/>
  <c r="O72" i="3" s="1"/>
  <c r="N57" i="3"/>
  <c r="H196" i="8"/>
  <c r="H197" i="8"/>
  <c r="H198" i="8"/>
  <c r="H199" i="8"/>
  <c r="H200" i="8"/>
  <c r="H201" i="8"/>
  <c r="H202" i="8"/>
  <c r="N59" i="3"/>
  <c r="H205" i="8"/>
  <c r="H206" i="8"/>
  <c r="H207" i="8"/>
  <c r="H208" i="8"/>
  <c r="H209" i="8"/>
  <c r="H210" i="8"/>
  <c r="H211" i="8"/>
  <c r="H212" i="8"/>
  <c r="N61" i="3"/>
  <c r="H215" i="8"/>
  <c r="H216" i="8"/>
  <c r="H217" i="8"/>
  <c r="H218" i="8"/>
  <c r="H219" i="8"/>
  <c r="H220" i="8"/>
  <c r="H221" i="8"/>
  <c r="N63" i="3"/>
  <c r="N75" i="3"/>
  <c r="O75" i="3" s="1"/>
  <c r="E90" i="30" s="1"/>
  <c r="H227" i="8"/>
  <c r="H228" i="8"/>
  <c r="H229" i="8"/>
  <c r="H230" i="8"/>
  <c r="H231" i="8"/>
  <c r="H232" i="8"/>
  <c r="H233" i="8"/>
  <c r="N77" i="3"/>
  <c r="H236" i="8"/>
  <c r="H237" i="8"/>
  <c r="H238" i="8"/>
  <c r="H239" i="8"/>
  <c r="H240" i="8"/>
  <c r="H241" i="8"/>
  <c r="N79" i="3"/>
  <c r="H244" i="8"/>
  <c r="H245" i="8"/>
  <c r="H246" i="8"/>
  <c r="H247" i="8"/>
  <c r="H248" i="8"/>
  <c r="H249" i="8"/>
  <c r="N81" i="3"/>
  <c r="N84" i="3"/>
  <c r="O84" i="3" s="1"/>
  <c r="C74" i="30" s="1"/>
  <c r="E74" i="30" s="1"/>
  <c r="H255" i="8"/>
  <c r="H256" i="8"/>
  <c r="H257" i="8"/>
  <c r="H258" i="8"/>
  <c r="H259" i="8"/>
  <c r="H260" i="8"/>
  <c r="H261" i="8"/>
  <c r="H262" i="8"/>
  <c r="H263" i="8"/>
  <c r="H264" i="8"/>
  <c r="N86" i="3"/>
  <c r="H267" i="8"/>
  <c r="H268" i="8"/>
  <c r="H269" i="8"/>
  <c r="H270" i="8"/>
  <c r="H271" i="8"/>
  <c r="H272" i="8"/>
  <c r="H273" i="8"/>
  <c r="H274" i="8"/>
  <c r="H275" i="8"/>
  <c r="N88" i="3"/>
  <c r="O88" i="3" s="1"/>
  <c r="C78" i="30" s="1"/>
  <c r="E78" i="30" s="1"/>
  <c r="H278" i="8"/>
  <c r="H279" i="8"/>
  <c r="H280" i="8"/>
  <c r="H281" i="8"/>
  <c r="H282" i="8"/>
  <c r="H283" i="8"/>
  <c r="H284" i="8"/>
  <c r="N90" i="3"/>
  <c r="O90" i="3" s="1"/>
  <c r="C80" i="30" s="1"/>
  <c r="E80" i="30" s="1"/>
  <c r="H287" i="8"/>
  <c r="N93" i="3"/>
  <c r="H291" i="8"/>
  <c r="H292" i="8"/>
  <c r="H293" i="8"/>
  <c r="H294" i="8"/>
  <c r="H295" i="8"/>
  <c r="H296" i="8"/>
  <c r="H297" i="8"/>
  <c r="H298" i="8"/>
  <c r="H299" i="8"/>
  <c r="H300" i="8"/>
  <c r="N95" i="3"/>
  <c r="H303" i="8"/>
  <c r="H304" i="8"/>
  <c r="H305" i="8"/>
  <c r="H306" i="8"/>
  <c r="H307" i="8"/>
  <c r="H308" i="8"/>
  <c r="H309" i="8"/>
  <c r="H310" i="8"/>
  <c r="H311" i="8"/>
  <c r="N97" i="3"/>
  <c r="H314" i="8"/>
  <c r="H315" i="8"/>
  <c r="H316" i="8"/>
  <c r="H317" i="8"/>
  <c r="H318" i="8"/>
  <c r="H319" i="8"/>
  <c r="H320" i="8"/>
  <c r="N99" i="3"/>
  <c r="O99" i="3" s="1"/>
  <c r="E72" i="30" s="1"/>
  <c r="H323" i="8"/>
  <c r="N102" i="3"/>
  <c r="H327" i="8"/>
  <c r="H328" i="8"/>
  <c r="H329" i="8"/>
  <c r="H330" i="8"/>
  <c r="H331" i="8"/>
  <c r="H332" i="8"/>
  <c r="H333" i="8"/>
  <c r="H334" i="8"/>
  <c r="H335" i="8"/>
  <c r="H336" i="8"/>
  <c r="N104" i="3"/>
  <c r="O104" i="3" s="1"/>
  <c r="C84" i="30" s="1"/>
  <c r="E84" i="30" s="1"/>
  <c r="H339" i="8"/>
  <c r="H340" i="8"/>
  <c r="H341" i="8"/>
  <c r="H342" i="8"/>
  <c r="H343" i="8"/>
  <c r="H344" i="8"/>
  <c r="H345" i="8"/>
  <c r="H346" i="8"/>
  <c r="H347" i="8"/>
  <c r="N106" i="3"/>
  <c r="O106" i="3" s="1"/>
  <c r="C86" i="30" s="1"/>
  <c r="E86" i="30" s="1"/>
  <c r="H350" i="8"/>
  <c r="H351" i="8"/>
  <c r="H352" i="8"/>
  <c r="H353" i="8"/>
  <c r="H354" i="8"/>
  <c r="H355" i="8"/>
  <c r="H356" i="8"/>
  <c r="N108" i="3"/>
  <c r="O108" i="3" s="1"/>
  <c r="C88" i="30" s="1"/>
  <c r="E88" i="30" s="1"/>
  <c r="H359" i="8"/>
  <c r="N120" i="3"/>
  <c r="H363" i="8"/>
  <c r="H364" i="8"/>
  <c r="H365" i="8"/>
  <c r="H366" i="8"/>
  <c r="H367" i="8"/>
  <c r="H368" i="8"/>
  <c r="H369" i="8"/>
  <c r="N122" i="3"/>
  <c r="H372" i="8"/>
  <c r="H373" i="8"/>
  <c r="H374" i="8"/>
  <c r="H375" i="8"/>
  <c r="H376" i="8"/>
  <c r="H377" i="8"/>
  <c r="N124" i="3"/>
  <c r="O124" i="3" s="1"/>
  <c r="C110" i="30" s="1"/>
  <c r="E110" i="30" s="1"/>
  <c r="H380" i="8"/>
  <c r="H381" i="8"/>
  <c r="H382" i="8"/>
  <c r="H383" i="8"/>
  <c r="H384" i="8"/>
  <c r="H385" i="8"/>
  <c r="H386" i="8"/>
  <c r="N126" i="3"/>
  <c r="H389" i="8"/>
  <c r="H390" i="8"/>
  <c r="N111" i="3"/>
  <c r="H394" i="8"/>
  <c r="H395" i="8"/>
  <c r="H396" i="8"/>
  <c r="H397" i="8"/>
  <c r="H398" i="8"/>
  <c r="H399" i="8"/>
  <c r="H400" i="8"/>
  <c r="H401" i="8"/>
  <c r="H402" i="8"/>
  <c r="N113" i="3"/>
  <c r="H405" i="8"/>
  <c r="H406" i="8"/>
  <c r="H407" i="8"/>
  <c r="H408" i="8"/>
  <c r="H409" i="8"/>
  <c r="H410" i="8"/>
  <c r="N115" i="3"/>
  <c r="O115" i="3" s="1"/>
  <c r="E102" i="30" s="1"/>
  <c r="N117" i="3"/>
  <c r="O117" i="3" s="1"/>
  <c r="E104" i="30" s="1"/>
  <c r="H423" i="8"/>
  <c r="H424" i="8"/>
  <c r="N129" i="3"/>
  <c r="H427" i="8"/>
  <c r="H428" i="8"/>
  <c r="H429" i="8"/>
  <c r="H430" i="8"/>
  <c r="H431" i="8"/>
  <c r="H432" i="8"/>
  <c r="H433" i="8"/>
  <c r="N131" i="3"/>
  <c r="O131" i="3" s="1"/>
  <c r="H436" i="8"/>
  <c r="H437" i="8"/>
  <c r="H438" i="8"/>
  <c r="H439" i="8"/>
  <c r="H440" i="8"/>
  <c r="H441" i="8"/>
  <c r="H442" i="8"/>
  <c r="H443" i="8"/>
  <c r="N133" i="3"/>
  <c r="O133" i="3" s="1"/>
  <c r="H446" i="8"/>
  <c r="H447" i="8"/>
  <c r="H448" i="8"/>
  <c r="H449" i="8"/>
  <c r="H450" i="8"/>
  <c r="H451" i="8"/>
  <c r="N138" i="3"/>
  <c r="O138" i="3" s="1"/>
  <c r="C114" i="30" s="1"/>
  <c r="E114" i="30" s="1"/>
  <c r="H531" i="8"/>
  <c r="H532" i="8"/>
  <c r="H533" i="8"/>
  <c r="H534" i="8"/>
  <c r="H535" i="8"/>
  <c r="H536" i="8"/>
  <c r="N147" i="3"/>
  <c r="H554" i="8"/>
  <c r="H555" i="8"/>
  <c r="H556" i="8"/>
  <c r="H557" i="8"/>
  <c r="H558" i="8"/>
  <c r="H559" i="8"/>
  <c r="H560" i="8"/>
  <c r="H561" i="8"/>
  <c r="H562" i="8"/>
  <c r="N156" i="3"/>
  <c r="O156" i="3" s="1"/>
  <c r="H576" i="8"/>
  <c r="H577" i="8"/>
  <c r="H578" i="8"/>
  <c r="H579" i="8"/>
  <c r="N158" i="3"/>
  <c r="H582" i="8"/>
  <c r="H583" i="8"/>
  <c r="H584" i="8"/>
  <c r="H585" i="8"/>
  <c r="N160" i="3"/>
  <c r="K11" i="23"/>
  <c r="H8" i="23"/>
  <c r="H47" i="23"/>
  <c r="K203" i="23"/>
  <c r="H203" i="23"/>
  <c r="H642" i="23"/>
  <c r="H641" i="23"/>
  <c r="H640" i="23"/>
  <c r="H639" i="23"/>
  <c r="H638" i="23"/>
  <c r="H637" i="23"/>
  <c r="H428" i="23"/>
  <c r="H427" i="23"/>
  <c r="H426" i="23"/>
  <c r="H425" i="23"/>
  <c r="H424" i="23"/>
  <c r="H423" i="23"/>
  <c r="H422" i="23"/>
  <c r="H421" i="23"/>
  <c r="H386" i="23"/>
  <c r="H385" i="23"/>
  <c r="H384" i="23"/>
  <c r="H383" i="23"/>
  <c r="H382" i="23"/>
  <c r="H381" i="23"/>
  <c r="H380" i="23"/>
  <c r="H379" i="23"/>
  <c r="H344" i="23"/>
  <c r="H343" i="23"/>
  <c r="H342" i="23"/>
  <c r="H341" i="23"/>
  <c r="H340" i="23"/>
  <c r="H339" i="23"/>
  <c r="H338" i="23"/>
  <c r="H337" i="23"/>
  <c r="H302" i="23"/>
  <c r="H301" i="23"/>
  <c r="H300" i="23"/>
  <c r="H299" i="23"/>
  <c r="H298" i="23"/>
  <c r="H297" i="23"/>
  <c r="G251" i="29"/>
  <c r="G228" i="29"/>
  <c r="G204" i="29"/>
  <c r="G181" i="29"/>
  <c r="G159" i="29"/>
  <c r="G90" i="29"/>
  <c r="G114" i="29"/>
  <c r="G113" i="29"/>
  <c r="G136" i="29"/>
  <c r="G67" i="29"/>
  <c r="G3" i="29"/>
  <c r="G45" i="29"/>
  <c r="G22" i="29"/>
  <c r="G252" i="29"/>
  <c r="G250" i="29"/>
  <c r="G249" i="29"/>
  <c r="G248" i="29"/>
  <c r="G247" i="29"/>
  <c r="G245" i="29"/>
  <c r="G244" i="29"/>
  <c r="G240" i="29"/>
  <c r="G239" i="29"/>
  <c r="G238" i="29"/>
  <c r="G237" i="29"/>
  <c r="G236" i="29"/>
  <c r="G235" i="29"/>
  <c r="G234" i="29"/>
  <c r="G233" i="29"/>
  <c r="G229" i="29"/>
  <c r="G227" i="29"/>
  <c r="G226" i="29"/>
  <c r="G225" i="29"/>
  <c r="G224" i="29"/>
  <c r="G222" i="29"/>
  <c r="G221" i="29"/>
  <c r="G217" i="29"/>
  <c r="G216" i="29"/>
  <c r="G215" i="29"/>
  <c r="G214" i="29"/>
  <c r="G213" i="29"/>
  <c r="G212" i="29"/>
  <c r="G211" i="29"/>
  <c r="G210" i="29"/>
  <c r="G206" i="29"/>
  <c r="G205" i="29"/>
  <c r="G203" i="29"/>
  <c r="G202" i="29"/>
  <c r="G201" i="29"/>
  <c r="G199" i="29"/>
  <c r="G198" i="29"/>
  <c r="G194" i="29"/>
  <c r="G193" i="29"/>
  <c r="G192" i="29"/>
  <c r="G191" i="29"/>
  <c r="G190" i="29"/>
  <c r="G189" i="29"/>
  <c r="G188" i="29"/>
  <c r="G187" i="29"/>
  <c r="G183" i="29"/>
  <c r="G182" i="29"/>
  <c r="G180" i="29"/>
  <c r="G179" i="29"/>
  <c r="G178" i="29"/>
  <c r="G176" i="29"/>
  <c r="G175" i="29"/>
  <c r="G171" i="29"/>
  <c r="G170" i="29"/>
  <c r="G169" i="29"/>
  <c r="G168" i="29"/>
  <c r="G167" i="29"/>
  <c r="G166" i="29"/>
  <c r="G165" i="29"/>
  <c r="G164" i="29"/>
  <c r="G160" i="29"/>
  <c r="G158" i="29"/>
  <c r="G157" i="29"/>
  <c r="G156" i="29"/>
  <c r="G155" i="29"/>
  <c r="G153" i="29"/>
  <c r="G152" i="29"/>
  <c r="G148" i="29"/>
  <c r="G147" i="29"/>
  <c r="G146" i="29"/>
  <c r="G145" i="29"/>
  <c r="G144" i="29"/>
  <c r="G143" i="29"/>
  <c r="G142" i="29"/>
  <c r="G141" i="29"/>
  <c r="G137" i="29"/>
  <c r="G135" i="29"/>
  <c r="G134" i="29"/>
  <c r="G133" i="29"/>
  <c r="G132" i="29"/>
  <c r="G130" i="29"/>
  <c r="G129" i="29"/>
  <c r="G125" i="29"/>
  <c r="G124" i="29"/>
  <c r="G123" i="29"/>
  <c r="G122" i="29"/>
  <c r="G121" i="29"/>
  <c r="G120" i="29"/>
  <c r="G119" i="29"/>
  <c r="G118" i="29"/>
  <c r="G112" i="29"/>
  <c r="G111" i="29"/>
  <c r="G110" i="29"/>
  <c r="G109" i="29"/>
  <c r="G107" i="29"/>
  <c r="G106" i="29"/>
  <c r="G102" i="29"/>
  <c r="G101" i="29"/>
  <c r="G100" i="29"/>
  <c r="G99" i="29"/>
  <c r="G98" i="29"/>
  <c r="G97" i="29"/>
  <c r="G96" i="29"/>
  <c r="G95" i="29"/>
  <c r="G91" i="29"/>
  <c r="G89" i="29"/>
  <c r="G88" i="29"/>
  <c r="G87" i="29"/>
  <c r="G86" i="29"/>
  <c r="G84" i="29"/>
  <c r="G83" i="29"/>
  <c r="G79" i="29"/>
  <c r="G78" i="29"/>
  <c r="G77" i="29"/>
  <c r="G76" i="29"/>
  <c r="G75" i="29"/>
  <c r="G74" i="29"/>
  <c r="G73" i="29"/>
  <c r="G72" i="29"/>
  <c r="G68" i="29"/>
  <c r="G66" i="29"/>
  <c r="G65" i="29"/>
  <c r="G64" i="29"/>
  <c r="G63" i="29"/>
  <c r="G61" i="29"/>
  <c r="G60" i="29"/>
  <c r="G56" i="29"/>
  <c r="G55" i="29"/>
  <c r="G54" i="29"/>
  <c r="G53" i="29"/>
  <c r="G52" i="29"/>
  <c r="G51" i="29"/>
  <c r="G50" i="29"/>
  <c r="G49" i="29"/>
  <c r="G44" i="29"/>
  <c r="G43" i="29"/>
  <c r="G42" i="29"/>
  <c r="G41" i="29"/>
  <c r="G40" i="29"/>
  <c r="G39" i="29"/>
  <c r="G38" i="29"/>
  <c r="G37" i="29"/>
  <c r="G33" i="29"/>
  <c r="G32" i="29"/>
  <c r="G31" i="29"/>
  <c r="G30" i="29"/>
  <c r="G29" i="29"/>
  <c r="G28" i="29"/>
  <c r="G27" i="29"/>
  <c r="G26" i="29"/>
  <c r="G21" i="29"/>
  <c r="G20" i="29"/>
  <c r="G19" i="29"/>
  <c r="G18" i="29"/>
  <c r="G17" i="29"/>
  <c r="G16" i="29"/>
  <c r="G15" i="29"/>
  <c r="G14" i="29"/>
  <c r="G10" i="29"/>
  <c r="G9" i="29"/>
  <c r="G8" i="29"/>
  <c r="G7" i="29"/>
  <c r="G6" i="29"/>
  <c r="G5" i="29"/>
  <c r="G4" i="29"/>
  <c r="F18" i="3"/>
  <c r="H457" i="23"/>
  <c r="H458" i="23"/>
  <c r="H460" i="23"/>
  <c r="H617" i="23"/>
  <c r="N159" i="3"/>
  <c r="O159" i="3" s="1"/>
  <c r="N157" i="3"/>
  <c r="O157" i="3" s="1"/>
  <c r="P155" i="3"/>
  <c r="H634" i="23"/>
  <c r="H558" i="23"/>
  <c r="H555" i="23"/>
  <c r="H556" i="23"/>
  <c r="H557" i="23"/>
  <c r="H550" i="23"/>
  <c r="H551" i="23"/>
  <c r="H552" i="23"/>
  <c r="H543" i="23"/>
  <c r="H544" i="23"/>
  <c r="H545" i="23"/>
  <c r="H546" i="23"/>
  <c r="H547" i="23"/>
  <c r="H535" i="23"/>
  <c r="H504" i="23"/>
  <c r="H418" i="23"/>
  <c r="H376" i="23"/>
  <c r="H334" i="23"/>
  <c r="H266" i="23"/>
  <c r="H267" i="23"/>
  <c r="H268" i="23"/>
  <c r="H269" i="23"/>
  <c r="H261" i="23"/>
  <c r="H255" i="23"/>
  <c r="H256" i="23"/>
  <c r="H257" i="23"/>
  <c r="H258" i="23"/>
  <c r="H259" i="23"/>
  <c r="H260" i="23"/>
  <c r="H262" i="23"/>
  <c r="K18" i="2"/>
  <c r="K16" i="2"/>
  <c r="K17" i="2"/>
  <c r="K15" i="2"/>
  <c r="K14" i="2"/>
  <c r="K13" i="2"/>
  <c r="K12" i="2"/>
  <c r="K11" i="2"/>
  <c r="K10" i="2"/>
  <c r="K9" i="2"/>
  <c r="K8" i="2"/>
  <c r="K7" i="2"/>
  <c r="K6" i="2"/>
  <c r="B47" i="2"/>
  <c r="H208" i="23"/>
  <c r="H195" i="23"/>
  <c r="H196" i="23"/>
  <c r="H197" i="23"/>
  <c r="H198" i="23"/>
  <c r="H191" i="23"/>
  <c r="H172" i="23"/>
  <c r="H162" i="23"/>
  <c r="H157" i="23"/>
  <c r="H158" i="23"/>
  <c r="H159" i="23"/>
  <c r="H160" i="23"/>
  <c r="H122" i="23"/>
  <c r="H118" i="23"/>
  <c r="H119" i="23"/>
  <c r="H120" i="23"/>
  <c r="H121" i="23"/>
  <c r="H112" i="23"/>
  <c r="H113" i="23"/>
  <c r="H91" i="23"/>
  <c r="H76" i="23"/>
  <c r="H53" i="23"/>
  <c r="H69" i="23"/>
  <c r="B49" i="2"/>
  <c r="B48"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N13" i="3"/>
  <c r="N15" i="3"/>
  <c r="N17" i="3"/>
  <c r="F12" i="3"/>
  <c r="G12" i="3" s="1"/>
  <c r="F14" i="3"/>
  <c r="G14" i="3" s="1"/>
  <c r="F13" i="3"/>
  <c r="G13" i="3" s="1"/>
  <c r="F69" i="3"/>
  <c r="F68" i="3"/>
  <c r="G68" i="3" s="1"/>
  <c r="I59" i="30" s="1"/>
  <c r="K59" i="30" s="1"/>
  <c r="F67" i="3"/>
  <c r="G67" i="3" s="1"/>
  <c r="I58" i="30" s="1"/>
  <c r="K58" i="30" s="1"/>
  <c r="F64" i="3"/>
  <c r="G64" i="3" s="1"/>
  <c r="I56" i="30" s="1"/>
  <c r="K56" i="30" s="1"/>
  <c r="F63" i="3"/>
  <c r="F62" i="3"/>
  <c r="G62" i="3" s="1"/>
  <c r="I54" i="30" s="1"/>
  <c r="K54" i="30" s="1"/>
  <c r="F59" i="3"/>
  <c r="F58" i="3"/>
  <c r="G58" i="3" s="1"/>
  <c r="F57" i="3"/>
  <c r="G57" i="3" s="1"/>
  <c r="F54" i="3"/>
  <c r="G54" i="3" s="1"/>
  <c r="F53" i="3"/>
  <c r="G53" i="3" s="1"/>
  <c r="F52" i="3"/>
  <c r="G52" i="3" s="1"/>
  <c r="F49" i="3"/>
  <c r="F48" i="3"/>
  <c r="G48" i="3" s="1"/>
  <c r="I43" i="30" s="1"/>
  <c r="K43" i="30" s="1"/>
  <c r="F47" i="3"/>
  <c r="G47" i="3" s="1"/>
  <c r="I42" i="30" s="1"/>
  <c r="K42" i="30" s="1"/>
  <c r="F44" i="3"/>
  <c r="G44" i="3" s="1"/>
  <c r="I40" i="30" s="1"/>
  <c r="K40" i="30" s="1"/>
  <c r="F43" i="3"/>
  <c r="F42" i="3"/>
  <c r="G42" i="3" s="1"/>
  <c r="I38" i="30" s="1"/>
  <c r="K38" i="30" s="1"/>
  <c r="H21" i="3"/>
  <c r="H26" i="3"/>
  <c r="H31" i="3"/>
  <c r="H36" i="3"/>
  <c r="H41" i="3"/>
  <c r="H46" i="3"/>
  <c r="H51" i="3"/>
  <c r="H56" i="3"/>
  <c r="H61" i="3"/>
  <c r="H66" i="3"/>
  <c r="H16" i="3"/>
  <c r="H11" i="3"/>
  <c r="F39" i="3"/>
  <c r="F38" i="3"/>
  <c r="F37" i="3"/>
  <c r="G37" i="3" s="1"/>
  <c r="I34" i="30" s="1"/>
  <c r="K34" i="30" s="1"/>
  <c r="F34" i="3"/>
  <c r="F33" i="3"/>
  <c r="F32" i="3"/>
  <c r="G32" i="3" s="1"/>
  <c r="I30" i="30" s="1"/>
  <c r="K30" i="30" s="1"/>
  <c r="F29" i="3"/>
  <c r="F28" i="3"/>
  <c r="F27" i="3"/>
  <c r="G27" i="3" s="1"/>
  <c r="I26" i="30" s="1"/>
  <c r="K26" i="30" s="1"/>
  <c r="F24" i="3"/>
  <c r="F23" i="3"/>
  <c r="F22" i="3"/>
  <c r="G22" i="3" s="1"/>
  <c r="I22" i="30" s="1"/>
  <c r="K22" i="30" s="1"/>
  <c r="F19" i="3"/>
  <c r="F17" i="3"/>
  <c r="G17" i="3" s="1"/>
  <c r="I18" i="30" s="1"/>
  <c r="P146" i="3"/>
  <c r="P137" i="3"/>
  <c r="P128" i="3"/>
  <c r="P119" i="3"/>
  <c r="P110" i="3"/>
  <c r="P101" i="3"/>
  <c r="P92" i="3"/>
  <c r="P83" i="3"/>
  <c r="P74" i="3"/>
  <c r="P65" i="3"/>
  <c r="P56" i="3"/>
  <c r="P47" i="3"/>
  <c r="P38" i="3"/>
  <c r="P29" i="3"/>
  <c r="P20" i="3"/>
  <c r="P11" i="3"/>
  <c r="N153" i="3"/>
  <c r="N152" i="3"/>
  <c r="N151" i="3"/>
  <c r="N150" i="3"/>
  <c r="N149" i="3"/>
  <c r="N148" i="3"/>
  <c r="N144" i="3"/>
  <c r="N143" i="3"/>
  <c r="N142" i="3"/>
  <c r="N141" i="3"/>
  <c r="N140" i="3"/>
  <c r="O140" i="3" s="1"/>
  <c r="C116" i="30" s="1"/>
  <c r="E116" i="30" s="1"/>
  <c r="N139" i="3"/>
  <c r="N135" i="3"/>
  <c r="N134" i="3"/>
  <c r="N132" i="3"/>
  <c r="N130" i="3"/>
  <c r="N125" i="3"/>
  <c r="O125" i="3" s="1"/>
  <c r="C111" i="30" s="1"/>
  <c r="E111" i="30" s="1"/>
  <c r="N123" i="3"/>
  <c r="N121" i="3"/>
  <c r="N116" i="3"/>
  <c r="N114" i="3"/>
  <c r="N112" i="3"/>
  <c r="N107" i="3"/>
  <c r="N105" i="3"/>
  <c r="N103" i="3"/>
  <c r="N98" i="3"/>
  <c r="N96" i="3"/>
  <c r="N94" i="3"/>
  <c r="N89" i="3"/>
  <c r="N87" i="3"/>
  <c r="N85" i="3"/>
  <c r="N80" i="3"/>
  <c r="N78" i="3"/>
  <c r="N76" i="3"/>
  <c r="O76" i="3" s="1"/>
  <c r="E91" i="30" s="1"/>
  <c r="N71" i="3"/>
  <c r="N69" i="3"/>
  <c r="N67" i="3"/>
  <c r="N62" i="3"/>
  <c r="N60" i="3"/>
  <c r="N58" i="3"/>
  <c r="N53" i="3"/>
  <c r="N51" i="3"/>
  <c r="N49" i="3"/>
  <c r="N44" i="3"/>
  <c r="N42" i="3"/>
  <c r="O42" i="3" s="1"/>
  <c r="E37" i="30" s="1"/>
  <c r="N40" i="3"/>
  <c r="N35" i="3"/>
  <c r="P31" i="3"/>
  <c r="N26" i="3"/>
  <c r="O26" i="3" s="1"/>
  <c r="E31" i="30" s="1"/>
  <c r="N24" i="3"/>
  <c r="O24" i="3" s="1"/>
  <c r="E29" i="30" s="1"/>
  <c r="N22" i="3"/>
  <c r="F105" i="3"/>
  <c r="F104" i="3"/>
  <c r="F103" i="3"/>
  <c r="G103" i="3" s="1"/>
  <c r="F100" i="3"/>
  <c r="F99" i="3"/>
  <c r="F98" i="3"/>
  <c r="G98" i="3" s="1"/>
  <c r="F95" i="3"/>
  <c r="F94" i="3"/>
  <c r="F93" i="3"/>
  <c r="G93" i="3" s="1"/>
  <c r="C144" i="30" s="1"/>
  <c r="E144" i="30" s="1"/>
  <c r="F90" i="3"/>
  <c r="F89" i="3"/>
  <c r="F88" i="3"/>
  <c r="G88" i="3" s="1"/>
  <c r="C140" i="30" s="1"/>
  <c r="E140" i="30" s="1"/>
  <c r="F85" i="3"/>
  <c r="F84" i="3"/>
  <c r="F83" i="3"/>
  <c r="H34" i="23"/>
  <c r="H35" i="23"/>
  <c r="H36" i="23"/>
  <c r="H37" i="23"/>
  <c r="H659" i="23"/>
  <c r="H658" i="23"/>
  <c r="H657" i="23"/>
  <c r="H656" i="23"/>
  <c r="H655" i="23"/>
  <c r="H654" i="23"/>
  <c r="H653" i="23"/>
  <c r="H652" i="23"/>
  <c r="H633" i="23"/>
  <c r="H632" i="23"/>
  <c r="H631" i="23"/>
  <c r="H630" i="23"/>
  <c r="H629" i="23"/>
  <c r="H628" i="23"/>
  <c r="H625" i="23"/>
  <c r="H624" i="23"/>
  <c r="H623" i="23"/>
  <c r="H622" i="23"/>
  <c r="H621" i="23"/>
  <c r="H620" i="23"/>
  <c r="H616" i="23"/>
  <c r="H615" i="23"/>
  <c r="H614" i="23"/>
  <c r="H613" i="23"/>
  <c r="H612" i="23"/>
  <c r="H611" i="23"/>
  <c r="H610" i="23"/>
  <c r="H596" i="23"/>
  <c r="H595" i="23"/>
  <c r="H594" i="23"/>
  <c r="H593" i="23"/>
  <c r="H592" i="23"/>
  <c r="H591" i="23"/>
  <c r="H590" i="23"/>
  <c r="H589" i="23"/>
  <c r="H588" i="23"/>
  <c r="H585" i="23"/>
  <c r="H584" i="23"/>
  <c r="H583" i="23"/>
  <c r="H582" i="23"/>
  <c r="H581" i="23"/>
  <c r="H578" i="23"/>
  <c r="H577" i="23"/>
  <c r="H576" i="23"/>
  <c r="H575" i="23"/>
  <c r="H574" i="23"/>
  <c r="H571" i="23"/>
  <c r="H570" i="23"/>
  <c r="H569" i="23"/>
  <c r="H568" i="23"/>
  <c r="H565" i="23"/>
  <c r="H564" i="23"/>
  <c r="H563" i="23"/>
  <c r="H562" i="23"/>
  <c r="H561" i="23"/>
  <c r="H540" i="23"/>
  <c r="H539" i="23"/>
  <c r="H538" i="23"/>
  <c r="H534" i="23"/>
  <c r="H533" i="23"/>
  <c r="H532" i="23"/>
  <c r="H531" i="23"/>
  <c r="H521" i="23"/>
  <c r="H520" i="23"/>
  <c r="H519" i="23"/>
  <c r="H518" i="23"/>
  <c r="H517" i="23"/>
  <c r="H516" i="23"/>
  <c r="H513" i="23"/>
  <c r="H512" i="23"/>
  <c r="H511" i="23"/>
  <c r="H510" i="23"/>
  <c r="H509" i="23"/>
  <c r="H508" i="23"/>
  <c r="H507" i="23"/>
  <c r="H503" i="23"/>
  <c r="H502" i="23"/>
  <c r="H501" i="23"/>
  <c r="H500" i="23"/>
  <c r="H499" i="23"/>
  <c r="H498" i="23"/>
  <c r="H497" i="23"/>
  <c r="H494" i="23"/>
  <c r="H493" i="23"/>
  <c r="H479" i="23"/>
  <c r="H478" i="23"/>
  <c r="H477" i="23"/>
  <c r="H476" i="23"/>
  <c r="H475" i="23"/>
  <c r="H474" i="23"/>
  <c r="H471" i="23"/>
  <c r="H470" i="23"/>
  <c r="H469" i="23"/>
  <c r="H468" i="23"/>
  <c r="H467" i="23"/>
  <c r="H466" i="23"/>
  <c r="H465" i="23"/>
  <c r="H464" i="23"/>
  <c r="H463" i="23"/>
  <c r="H456" i="23"/>
  <c r="H453" i="23"/>
  <c r="H452" i="23"/>
  <c r="H451" i="23"/>
  <c r="H450" i="23"/>
  <c r="H449" i="23"/>
  <c r="H448" i="23"/>
  <c r="H445" i="23"/>
  <c r="H444" i="23"/>
  <c r="H443" i="23"/>
  <c r="H442" i="23"/>
  <c r="H441" i="23"/>
  <c r="H440" i="23"/>
  <c r="H437" i="23"/>
  <c r="H436" i="23"/>
  <c r="H435" i="23"/>
  <c r="H434" i="23"/>
  <c r="H433" i="23"/>
  <c r="H432" i="23"/>
  <c r="H431" i="23"/>
  <c r="H417" i="23"/>
  <c r="H416" i="23"/>
  <c r="H415" i="23"/>
  <c r="H414" i="23"/>
  <c r="H413" i="23"/>
  <c r="H412" i="23"/>
  <c r="H411" i="23"/>
  <c r="H408" i="23"/>
  <c r="H407" i="23"/>
  <c r="H406" i="23"/>
  <c r="H405" i="23"/>
  <c r="H404" i="23"/>
  <c r="H403" i="23"/>
  <c r="H402" i="23"/>
  <c r="H401" i="23"/>
  <c r="H400" i="23"/>
  <c r="H397" i="23"/>
  <c r="H396" i="23"/>
  <c r="H395" i="23"/>
  <c r="H394" i="23"/>
  <c r="H393" i="23"/>
  <c r="H392" i="23"/>
  <c r="H391" i="23"/>
  <c r="H390" i="23"/>
  <c r="H389" i="23"/>
  <c r="H375" i="23"/>
  <c r="H374" i="23"/>
  <c r="H373" i="23"/>
  <c r="H372" i="23"/>
  <c r="H371" i="23"/>
  <c r="H370" i="23"/>
  <c r="H369" i="23"/>
  <c r="H366" i="23"/>
  <c r="H365" i="23"/>
  <c r="H364" i="23"/>
  <c r="H363" i="23"/>
  <c r="H362" i="23"/>
  <c r="H361" i="23"/>
  <c r="H360" i="23"/>
  <c r="H359" i="23"/>
  <c r="H358" i="23"/>
  <c r="H355" i="23"/>
  <c r="H354" i="23"/>
  <c r="H353" i="23"/>
  <c r="H352" i="23"/>
  <c r="H351" i="23"/>
  <c r="H350" i="23"/>
  <c r="H349" i="23"/>
  <c r="H348" i="23"/>
  <c r="H347" i="23"/>
  <c r="H333" i="23"/>
  <c r="H332" i="23"/>
  <c r="H331" i="23"/>
  <c r="H330" i="23"/>
  <c r="H329" i="23"/>
  <c r="H328" i="23"/>
  <c r="H327" i="23"/>
  <c r="H324" i="23"/>
  <c r="H323" i="23"/>
  <c r="H322" i="23"/>
  <c r="H321" i="23"/>
  <c r="H320" i="23"/>
  <c r="H319" i="23"/>
  <c r="H318" i="23"/>
  <c r="H317" i="23"/>
  <c r="H316" i="23"/>
  <c r="H313" i="23"/>
  <c r="H312" i="23"/>
  <c r="H311" i="23"/>
  <c r="H310" i="23"/>
  <c r="H309" i="23"/>
  <c r="H308" i="23"/>
  <c r="H307" i="23"/>
  <c r="H306" i="23"/>
  <c r="H305" i="23"/>
  <c r="H294" i="23"/>
  <c r="H293" i="23"/>
  <c r="H292" i="23"/>
  <c r="H291" i="23"/>
  <c r="H290" i="23"/>
  <c r="H289" i="23"/>
  <c r="H286" i="23"/>
  <c r="H285" i="23"/>
  <c r="H284" i="23"/>
  <c r="H283" i="23"/>
  <c r="H282" i="23"/>
  <c r="H281" i="23"/>
  <c r="H278" i="23"/>
  <c r="H277" i="23"/>
  <c r="H276" i="23"/>
  <c r="H275" i="23"/>
  <c r="H274" i="23"/>
  <c r="H273" i="23"/>
  <c r="H272" i="23"/>
  <c r="H265" i="23"/>
  <c r="H252" i="23"/>
  <c r="H251" i="23"/>
  <c r="H250" i="23"/>
  <c r="H249" i="23"/>
  <c r="H248" i="23"/>
  <c r="H247" i="23"/>
  <c r="H246" i="23"/>
  <c r="H243" i="23"/>
  <c r="H242" i="23"/>
  <c r="H241" i="23"/>
  <c r="H240" i="23"/>
  <c r="H239" i="23"/>
  <c r="H238" i="23"/>
  <c r="H237" i="23"/>
  <c r="H236" i="23"/>
  <c r="H233" i="23"/>
  <c r="H232" i="23"/>
  <c r="H231" i="23"/>
  <c r="H230" i="23"/>
  <c r="H229" i="23"/>
  <c r="H226" i="23"/>
  <c r="H225" i="23"/>
  <c r="H224" i="23"/>
  <c r="H223" i="23"/>
  <c r="H222" i="23"/>
  <c r="H221" i="23"/>
  <c r="H220" i="23"/>
  <c r="H217" i="23"/>
  <c r="H216" i="23"/>
  <c r="H215" i="23"/>
  <c r="H214" i="23"/>
  <c r="H213" i="23"/>
  <c r="H212" i="23"/>
  <c r="H211" i="23"/>
  <c r="H207" i="23"/>
  <c r="H206" i="23"/>
  <c r="H205" i="23"/>
  <c r="H204" i="23"/>
  <c r="H202" i="23"/>
  <c r="H201" i="23"/>
  <c r="H194" i="23"/>
  <c r="H190" i="23"/>
  <c r="H189" i="23"/>
  <c r="H188" i="23"/>
  <c r="H187" i="23"/>
  <c r="H186" i="23"/>
  <c r="H185" i="23"/>
  <c r="H184" i="23"/>
  <c r="H181" i="23"/>
  <c r="H180" i="23"/>
  <c r="H179" i="23"/>
  <c r="H178" i="23"/>
  <c r="H177" i="23"/>
  <c r="H176" i="23"/>
  <c r="H175" i="23"/>
  <c r="H171" i="23"/>
  <c r="H170" i="23"/>
  <c r="H169" i="23"/>
  <c r="H168" i="23"/>
  <c r="H167" i="23"/>
  <c r="H166" i="23"/>
  <c r="H165" i="23"/>
  <c r="H156" i="23"/>
  <c r="H153" i="23"/>
  <c r="H152" i="23"/>
  <c r="H151" i="23"/>
  <c r="H150" i="23"/>
  <c r="H149" i="23"/>
  <c r="H148" i="23"/>
  <c r="H147" i="23"/>
  <c r="H146" i="23"/>
  <c r="H143" i="23"/>
  <c r="H142" i="23"/>
  <c r="H141" i="23"/>
  <c r="H140" i="23"/>
  <c r="H139" i="23"/>
  <c r="H138" i="23"/>
  <c r="H137" i="23"/>
  <c r="H136" i="23"/>
  <c r="H133" i="23"/>
  <c r="H132" i="23"/>
  <c r="H131" i="23"/>
  <c r="H130" i="23"/>
  <c r="H129" i="23"/>
  <c r="H128" i="23"/>
  <c r="H127" i="23"/>
  <c r="H126" i="23"/>
  <c r="H117" i="23"/>
  <c r="H116" i="23"/>
  <c r="H111" i="23"/>
  <c r="H110" i="23"/>
  <c r="H109" i="23"/>
  <c r="H108" i="23"/>
  <c r="H107" i="23"/>
  <c r="H106" i="23"/>
  <c r="H105" i="23"/>
  <c r="H102" i="23"/>
  <c r="H101" i="23"/>
  <c r="H100" i="23"/>
  <c r="H99" i="23"/>
  <c r="H98" i="23"/>
  <c r="H97" i="23"/>
  <c r="H96" i="23"/>
  <c r="H95" i="23"/>
  <c r="H94" i="23"/>
  <c r="H90" i="23"/>
  <c r="H89" i="23"/>
  <c r="H88" i="23"/>
  <c r="H87" i="23"/>
  <c r="H86" i="23"/>
  <c r="H85" i="23"/>
  <c r="H84" i="23"/>
  <c r="H83" i="23"/>
  <c r="H82" i="23"/>
  <c r="H75" i="23"/>
  <c r="H72" i="23"/>
  <c r="H68" i="23"/>
  <c r="H67" i="23"/>
  <c r="H66" i="23"/>
  <c r="H65" i="23"/>
  <c r="H64" i="23"/>
  <c r="H63" i="23"/>
  <c r="H62" i="23"/>
  <c r="H59" i="23"/>
  <c r="H58" i="23"/>
  <c r="H57" i="23"/>
  <c r="H56" i="23"/>
  <c r="H55" i="23"/>
  <c r="H54" i="23"/>
  <c r="H52" i="23"/>
  <c r="H49" i="23"/>
  <c r="H48" i="23"/>
  <c r="H46" i="23"/>
  <c r="H45" i="23"/>
  <c r="H44" i="23"/>
  <c r="H43" i="23"/>
  <c r="H42" i="23"/>
  <c r="H33" i="23"/>
  <c r="H30" i="23"/>
  <c r="H29" i="23"/>
  <c r="H28" i="23"/>
  <c r="H27" i="23"/>
  <c r="H26" i="23"/>
  <c r="H25" i="23"/>
  <c r="H24" i="23"/>
  <c r="H21" i="23"/>
  <c r="H20" i="23"/>
  <c r="H19" i="23"/>
  <c r="H18" i="23"/>
  <c r="H17" i="23"/>
  <c r="H16" i="23"/>
  <c r="H15" i="23"/>
  <c r="H14" i="23"/>
  <c r="H11" i="23"/>
  <c r="H10" i="23"/>
  <c r="H9" i="23"/>
  <c r="H7" i="23"/>
  <c r="H6" i="23"/>
  <c r="H5" i="23"/>
  <c r="H4" i="23"/>
  <c r="G236" i="10"/>
  <c r="G239" i="10"/>
  <c r="G213" i="10"/>
  <c r="G190" i="10"/>
  <c r="G171" i="10"/>
  <c r="G149" i="10"/>
  <c r="G126" i="10"/>
  <c r="G101" i="10"/>
  <c r="G78" i="10"/>
  <c r="G56" i="10"/>
  <c r="G33" i="10"/>
  <c r="G11" i="10"/>
  <c r="H479" i="8"/>
  <c r="H478" i="8"/>
  <c r="H466" i="8"/>
  <c r="H488" i="8"/>
  <c r="H487" i="8"/>
  <c r="H486" i="8"/>
  <c r="AS32" i="28"/>
  <c r="H46" i="2" s="1"/>
  <c r="AQ32" i="28"/>
  <c r="H44" i="2" s="1"/>
  <c r="AP32" i="28"/>
  <c r="H43" i="2" s="1"/>
  <c r="BJ32" i="28"/>
  <c r="Q17" i="2" s="1"/>
  <c r="BI32" i="28"/>
  <c r="Q16" i="2" s="1"/>
  <c r="AT32" i="28"/>
  <c r="H47" i="2" s="1"/>
  <c r="AR32" i="28"/>
  <c r="H45" i="2" s="1"/>
  <c r="AT32" i="27"/>
  <c r="G47" i="2" s="1"/>
  <c r="BI32" i="27"/>
  <c r="P16" i="2" s="1"/>
  <c r="AR32" i="27"/>
  <c r="G45" i="2" s="1"/>
  <c r="AQ32" i="27"/>
  <c r="G44" i="2" s="1"/>
  <c r="BK32" i="27"/>
  <c r="P18" i="2" s="1"/>
  <c r="BJ32" i="27"/>
  <c r="P17" i="2" s="1"/>
  <c r="AS32" i="27"/>
  <c r="G46" i="2" s="1"/>
  <c r="AP32" i="27"/>
  <c r="G43" i="2" s="1"/>
  <c r="AT32" i="26"/>
  <c r="F47" i="2" s="1"/>
  <c r="BI32" i="26"/>
  <c r="O16" i="2" s="1"/>
  <c r="AQ32" i="26"/>
  <c r="F44" i="2" s="1"/>
  <c r="AP32" i="26"/>
  <c r="F43" i="2" s="1"/>
  <c r="AR32" i="26"/>
  <c r="F45" i="2" s="1"/>
  <c r="BK32" i="26"/>
  <c r="O18" i="2" s="1"/>
  <c r="BJ32" i="26"/>
  <c r="O17" i="2" s="1"/>
  <c r="AS32" i="26"/>
  <c r="F46" i="2" s="1"/>
  <c r="BI32" i="24"/>
  <c r="M16" i="2" s="1"/>
  <c r="AQ32" i="24"/>
  <c r="D44" i="2" s="1"/>
  <c r="AT32" i="24"/>
  <c r="D47" i="2" s="1"/>
  <c r="BK32" i="24"/>
  <c r="M18" i="2" s="1"/>
  <c r="AR32" i="24"/>
  <c r="D45" i="2" s="1"/>
  <c r="AP32" i="24"/>
  <c r="D43" i="2" s="1"/>
  <c r="BJ32" i="24"/>
  <c r="M17" i="2" s="1"/>
  <c r="AS32" i="24"/>
  <c r="D46" i="2" s="1"/>
  <c r="E79" i="3"/>
  <c r="I612" i="23"/>
  <c r="K612" i="23" s="1"/>
  <c r="I593" i="23"/>
  <c r="K593" i="23" s="1"/>
  <c r="I578" i="23"/>
  <c r="K578" i="23" s="1"/>
  <c r="I547" i="23"/>
  <c r="K547" i="23" s="1"/>
  <c r="H237" i="29"/>
  <c r="H141" i="29"/>
  <c r="H125" i="29"/>
  <c r="I652" i="23"/>
  <c r="K652" i="23" s="1"/>
  <c r="I629" i="23"/>
  <c r="K629" i="23" s="1"/>
  <c r="I499" i="23"/>
  <c r="K499" i="23" s="1"/>
  <c r="I433" i="23"/>
  <c r="K433" i="23" s="1"/>
  <c r="K469" i="23"/>
  <c r="I396" i="23"/>
  <c r="K396" i="23" s="1"/>
  <c r="K349" i="23"/>
  <c r="I307" i="23"/>
  <c r="K307" i="23" s="1"/>
  <c r="K278" i="23"/>
  <c r="I237" i="23"/>
  <c r="K237" i="23" s="1"/>
  <c r="K172" i="23"/>
  <c r="K91" i="23"/>
  <c r="I129" i="23"/>
  <c r="K129" i="23" s="1"/>
  <c r="G241" i="10"/>
  <c r="G240" i="10"/>
  <c r="G238" i="10"/>
  <c r="G237" i="10"/>
  <c r="G235" i="10"/>
  <c r="G234" i="10"/>
  <c r="G229" i="10"/>
  <c r="G228" i="10"/>
  <c r="G227" i="10"/>
  <c r="G226" i="10"/>
  <c r="G225" i="10"/>
  <c r="G224" i="10"/>
  <c r="G223" i="10"/>
  <c r="G218" i="10"/>
  <c r="G217" i="10"/>
  <c r="G216" i="10"/>
  <c r="G215" i="10"/>
  <c r="G214" i="10"/>
  <c r="G212" i="10"/>
  <c r="G211" i="10"/>
  <c r="G206" i="10"/>
  <c r="G205" i="10"/>
  <c r="G204" i="10"/>
  <c r="G203" i="10"/>
  <c r="G202" i="10"/>
  <c r="G201" i="10"/>
  <c r="G200" i="10"/>
  <c r="G199" i="10"/>
  <c r="G192" i="10"/>
  <c r="G191" i="10"/>
  <c r="G189" i="10"/>
  <c r="G188" i="10"/>
  <c r="G187" i="10"/>
  <c r="G183" i="10"/>
  <c r="G182" i="10"/>
  <c r="G181" i="10"/>
  <c r="G180" i="10"/>
  <c r="G179" i="10"/>
  <c r="G178" i="10"/>
  <c r="G177" i="10"/>
  <c r="G176" i="10"/>
  <c r="G172" i="10"/>
  <c r="G170" i="10"/>
  <c r="G169" i="10"/>
  <c r="G168" i="10"/>
  <c r="G167" i="10"/>
  <c r="G166" i="10"/>
  <c r="G165" i="10"/>
  <c r="G164" i="10"/>
  <c r="G160" i="10"/>
  <c r="G159" i="10"/>
  <c r="G158" i="10"/>
  <c r="G157" i="10"/>
  <c r="G156" i="10"/>
  <c r="G155" i="10"/>
  <c r="G154" i="10"/>
  <c r="G145" i="10"/>
  <c r="G137" i="10"/>
  <c r="G136" i="10"/>
  <c r="G135" i="10"/>
  <c r="G134" i="10"/>
  <c r="G133" i="10"/>
  <c r="G132" i="10"/>
  <c r="G131" i="10"/>
  <c r="G130" i="10"/>
  <c r="G125" i="10"/>
  <c r="G107" i="10"/>
  <c r="G103" i="10"/>
  <c r="G102" i="10"/>
  <c r="G100" i="10"/>
  <c r="G99" i="10"/>
  <c r="G98" i="10"/>
  <c r="G97" i="10"/>
  <c r="G96" i="10"/>
  <c r="G91" i="10"/>
  <c r="G90" i="10"/>
  <c r="G89" i="10"/>
  <c r="G88" i="10"/>
  <c r="G87" i="10"/>
  <c r="G86" i="10"/>
  <c r="G85" i="10"/>
  <c r="G84" i="10"/>
  <c r="G80" i="10"/>
  <c r="G79" i="10"/>
  <c r="G77" i="10"/>
  <c r="G76" i="10"/>
  <c r="G75" i="10"/>
  <c r="G73" i="10"/>
  <c r="G72" i="10"/>
  <c r="G68" i="10"/>
  <c r="G67" i="10"/>
  <c r="G66" i="10"/>
  <c r="G65" i="10"/>
  <c r="G64" i="10"/>
  <c r="G63" i="10"/>
  <c r="G62" i="10"/>
  <c r="G57" i="10"/>
  <c r="G55" i="10"/>
  <c r="G54" i="10"/>
  <c r="G53" i="10"/>
  <c r="G52" i="10"/>
  <c r="G51" i="10"/>
  <c r="G50" i="10"/>
  <c r="G39" i="10"/>
  <c r="G43" i="10"/>
  <c r="G44" i="10"/>
  <c r="G45" i="10"/>
  <c r="G34" i="10"/>
  <c r="G252" i="10"/>
  <c r="G251" i="10"/>
  <c r="G250" i="10"/>
  <c r="G249" i="10"/>
  <c r="G248" i="10"/>
  <c r="G247" i="10"/>
  <c r="G246" i="10"/>
  <c r="G245" i="10"/>
  <c r="G233" i="10"/>
  <c r="G222" i="10"/>
  <c r="G210" i="10"/>
  <c r="G195" i="10"/>
  <c r="G194" i="10"/>
  <c r="G193" i="10"/>
  <c r="G153" i="10"/>
  <c r="G148" i="10"/>
  <c r="G147" i="10"/>
  <c r="G146" i="10"/>
  <c r="G144" i="10"/>
  <c r="G143" i="10"/>
  <c r="G142" i="10"/>
  <c r="G141" i="10"/>
  <c r="G124" i="10"/>
  <c r="G123" i="10"/>
  <c r="G122" i="10"/>
  <c r="G121" i="10"/>
  <c r="G120" i="10"/>
  <c r="G119" i="10"/>
  <c r="G118" i="10"/>
  <c r="G114" i="10"/>
  <c r="G113" i="10"/>
  <c r="G112" i="10"/>
  <c r="G111" i="10"/>
  <c r="G110" i="10"/>
  <c r="G109" i="10"/>
  <c r="G108" i="10"/>
  <c r="G95" i="10"/>
  <c r="G74" i="10"/>
  <c r="G61" i="10"/>
  <c r="G49" i="10"/>
  <c r="G42" i="10"/>
  <c r="G41" i="10"/>
  <c r="G40" i="10"/>
  <c r="G38" i="10"/>
  <c r="G32" i="10"/>
  <c r="G31" i="10"/>
  <c r="G30" i="10"/>
  <c r="G29" i="10"/>
  <c r="G28" i="10"/>
  <c r="G27" i="10"/>
  <c r="G26" i="10"/>
  <c r="G22" i="10"/>
  <c r="G21" i="10"/>
  <c r="G20" i="10"/>
  <c r="G19" i="10"/>
  <c r="G18" i="10"/>
  <c r="G17" i="10"/>
  <c r="G16" i="10"/>
  <c r="G15" i="10"/>
  <c r="G10" i="10"/>
  <c r="G9" i="10"/>
  <c r="G8" i="10"/>
  <c r="G7" i="10"/>
  <c r="G6" i="10"/>
  <c r="G5" i="10"/>
  <c r="G4" i="10"/>
  <c r="G3" i="10"/>
  <c r="H528" i="8"/>
  <c r="H527" i="8"/>
  <c r="H526" i="8"/>
  <c r="H525" i="8"/>
  <c r="H524" i="8"/>
  <c r="H523" i="8"/>
  <c r="H520" i="8"/>
  <c r="H519" i="8"/>
  <c r="H518" i="8"/>
  <c r="H517" i="8"/>
  <c r="H516" i="8"/>
  <c r="H515" i="8"/>
  <c r="H514" i="8"/>
  <c r="H511" i="8"/>
  <c r="H510" i="8"/>
  <c r="H509" i="8"/>
  <c r="H505" i="8"/>
  <c r="H504" i="8"/>
  <c r="H503" i="8"/>
  <c r="H502" i="8"/>
  <c r="H501" i="8"/>
  <c r="H500" i="8"/>
  <c r="H499" i="8"/>
  <c r="H498" i="8"/>
  <c r="H497" i="8"/>
  <c r="H494" i="8"/>
  <c r="H493" i="8"/>
  <c r="H492" i="8"/>
  <c r="H491" i="8"/>
  <c r="H485" i="8"/>
  <c r="H484" i="8"/>
  <c r="H481" i="8"/>
  <c r="H480" i="8"/>
  <c r="H477" i="8"/>
  <c r="H474" i="8"/>
  <c r="H473" i="8"/>
  <c r="H472" i="8"/>
  <c r="H471" i="8"/>
  <c r="H470" i="8"/>
  <c r="H467" i="8"/>
  <c r="H465" i="8"/>
  <c r="H464" i="8"/>
  <c r="H461" i="8"/>
  <c r="H460" i="8"/>
  <c r="H459" i="8"/>
  <c r="H458" i="8"/>
  <c r="BK32" i="28"/>
  <c r="Q18" i="2" s="1"/>
  <c r="AP32" i="14"/>
  <c r="C43" i="2" s="1"/>
  <c r="BI32" i="14"/>
  <c r="L16" i="2" s="1"/>
  <c r="BJ32" i="14"/>
  <c r="L17" i="2" s="1"/>
  <c r="BK32" i="14"/>
  <c r="L18" i="2" s="1"/>
  <c r="AR32" i="14"/>
  <c r="C45" i="2" s="1"/>
  <c r="AQ32" i="14"/>
  <c r="C44" i="2" s="1"/>
  <c r="AS32" i="14"/>
  <c r="C46" i="2" s="1"/>
  <c r="AT32" i="14"/>
  <c r="C47" i="2" s="1"/>
  <c r="AT32" i="25"/>
  <c r="E47" i="2" s="1"/>
  <c r="AP32" i="25"/>
  <c r="E43" i="2" s="1"/>
  <c r="BJ32" i="25"/>
  <c r="N17" i="2" s="1"/>
  <c r="BI32" i="25"/>
  <c r="N16" i="2" s="1"/>
  <c r="BK32" i="25"/>
  <c r="N18" i="2" s="1"/>
  <c r="AQ32" i="25"/>
  <c r="E44" i="2" s="1"/>
  <c r="AR32" i="25"/>
  <c r="E45" i="2" s="1"/>
  <c r="AS32" i="25"/>
  <c r="E46" i="2" s="1"/>
  <c r="I51" i="30" l="1"/>
  <c r="K51" i="30" s="1"/>
  <c r="I23" i="31"/>
  <c r="K23" i="31" s="1"/>
  <c r="I47" i="30"/>
  <c r="K47" i="30" s="1"/>
  <c r="I19" i="31"/>
  <c r="K19" i="31" s="1"/>
  <c r="I46" i="30"/>
  <c r="K46" i="30" s="1"/>
  <c r="I18" i="31"/>
  <c r="K18" i="31" s="1"/>
  <c r="I48" i="30"/>
  <c r="K48" i="30" s="1"/>
  <c r="I20" i="31"/>
  <c r="K20" i="31" s="1"/>
  <c r="I50" i="30"/>
  <c r="K50" i="30" s="1"/>
  <c r="I22" i="31"/>
  <c r="K22" i="31" s="1"/>
  <c r="E42" i="30"/>
  <c r="E18" i="31"/>
  <c r="E44" i="30"/>
  <c r="E20" i="31"/>
  <c r="C131" i="30"/>
  <c r="E131" i="30" s="1"/>
  <c r="C35" i="31"/>
  <c r="E35" i="31" s="1"/>
  <c r="C130" i="30"/>
  <c r="E130" i="30" s="1"/>
  <c r="C34" i="31"/>
  <c r="E34" i="31" s="1"/>
  <c r="C133" i="30"/>
  <c r="E133" i="30" s="1"/>
  <c r="C37" i="31"/>
  <c r="E37" i="31" s="1"/>
  <c r="K18" i="30"/>
  <c r="I25" i="8"/>
  <c r="I24" i="8"/>
  <c r="I17" i="8"/>
  <c r="I21" i="8"/>
  <c r="I15" i="8"/>
  <c r="I19" i="8"/>
  <c r="I16" i="8"/>
  <c r="I20" i="8"/>
  <c r="I14" i="8"/>
  <c r="I18" i="8"/>
  <c r="H95" i="3"/>
  <c r="G95" i="3"/>
  <c r="H84" i="3"/>
  <c r="G84" i="3"/>
  <c r="C41" i="31" s="1"/>
  <c r="E41" i="31" s="1"/>
  <c r="H90" i="3"/>
  <c r="G90" i="3"/>
  <c r="H104" i="3"/>
  <c r="G104" i="3"/>
  <c r="I621" i="23" s="1"/>
  <c r="H89" i="3"/>
  <c r="G89" i="3"/>
  <c r="C141" i="30" s="1"/>
  <c r="E141" i="30" s="1"/>
  <c r="H85" i="3"/>
  <c r="G85" i="3"/>
  <c r="H99" i="3"/>
  <c r="G99" i="3"/>
  <c r="H105" i="3"/>
  <c r="G105" i="3"/>
  <c r="I523" i="8" s="1"/>
  <c r="H83" i="3"/>
  <c r="G83" i="3"/>
  <c r="H94" i="3"/>
  <c r="G94" i="3"/>
  <c r="H100" i="3"/>
  <c r="G100" i="3"/>
  <c r="I549" i="8"/>
  <c r="J549" i="8" s="1"/>
  <c r="I550" i="8"/>
  <c r="J550" i="8" s="1"/>
  <c r="I548" i="8"/>
  <c r="J548" i="8" s="1"/>
  <c r="I551" i="8"/>
  <c r="J551" i="8" s="1"/>
  <c r="I547" i="8"/>
  <c r="J547" i="8" s="1"/>
  <c r="P67" i="3"/>
  <c r="O67" i="3"/>
  <c r="P89" i="3"/>
  <c r="O89" i="3"/>
  <c r="P114" i="3"/>
  <c r="O114" i="3"/>
  <c r="P135" i="3"/>
  <c r="O135" i="3"/>
  <c r="P149" i="3"/>
  <c r="O149" i="3"/>
  <c r="C124" i="30" s="1"/>
  <c r="E124" i="30" s="1"/>
  <c r="O160" i="3"/>
  <c r="C38" i="31" s="1"/>
  <c r="E38" i="31" s="1"/>
  <c r="O111" i="3"/>
  <c r="O93" i="3"/>
  <c r="O81" i="3"/>
  <c r="O59" i="3"/>
  <c r="C28" i="31" s="1"/>
  <c r="E28" i="31" s="1"/>
  <c r="O57" i="3"/>
  <c r="C26" i="31" s="1"/>
  <c r="E26" i="31" s="1"/>
  <c r="P44" i="3"/>
  <c r="O44" i="3"/>
  <c r="P69" i="3"/>
  <c r="O69" i="3"/>
  <c r="P94" i="3"/>
  <c r="O94" i="3"/>
  <c r="O116" i="3"/>
  <c r="P139" i="3"/>
  <c r="O139" i="3"/>
  <c r="C115" i="30" s="1"/>
  <c r="E115" i="30" s="1"/>
  <c r="P150" i="3"/>
  <c r="O150" i="3"/>
  <c r="C125" i="30" s="1"/>
  <c r="E125" i="30" s="1"/>
  <c r="O102" i="3"/>
  <c r="O66" i="3"/>
  <c r="P22" i="3"/>
  <c r="O22" i="3"/>
  <c r="E27" i="30" s="1"/>
  <c r="P49" i="3"/>
  <c r="O49" i="3"/>
  <c r="E19" i="31" s="1"/>
  <c r="P71" i="3"/>
  <c r="O71" i="3"/>
  <c r="P96" i="3"/>
  <c r="O96" i="3"/>
  <c r="P121" i="3"/>
  <c r="O121" i="3"/>
  <c r="P151" i="3"/>
  <c r="O151" i="3"/>
  <c r="C126" i="30" s="1"/>
  <c r="E126" i="30" s="1"/>
  <c r="O122" i="3"/>
  <c r="O120" i="3"/>
  <c r="O54" i="3"/>
  <c r="C24" i="31" s="1"/>
  <c r="E24" i="31" s="1"/>
  <c r="O52" i="3"/>
  <c r="C22" i="31" s="1"/>
  <c r="E22" i="31" s="1"/>
  <c r="P51" i="3"/>
  <c r="O51" i="3"/>
  <c r="C21" i="31" s="1"/>
  <c r="E21" i="31" s="1"/>
  <c r="P98" i="3"/>
  <c r="O98" i="3"/>
  <c r="P123" i="3"/>
  <c r="O123" i="3"/>
  <c r="C109" i="30" s="1"/>
  <c r="E109" i="30" s="1"/>
  <c r="P141" i="3"/>
  <c r="O141" i="3"/>
  <c r="C117" i="30" s="1"/>
  <c r="E117" i="30" s="1"/>
  <c r="P152" i="3"/>
  <c r="O152" i="3"/>
  <c r="C127" i="30" s="1"/>
  <c r="E127" i="30" s="1"/>
  <c r="O129" i="3"/>
  <c r="I432" i="8" s="1"/>
  <c r="O126" i="3"/>
  <c r="O97" i="3"/>
  <c r="P53" i="3"/>
  <c r="O53" i="3"/>
  <c r="C23" i="31" s="1"/>
  <c r="E23" i="31" s="1"/>
  <c r="P78" i="3"/>
  <c r="O78" i="3"/>
  <c r="P103" i="3"/>
  <c r="O103" i="3"/>
  <c r="C83" i="30" s="1"/>
  <c r="E83" i="30" s="1"/>
  <c r="P142" i="3"/>
  <c r="O142" i="3"/>
  <c r="C118" i="30" s="1"/>
  <c r="E118" i="30" s="1"/>
  <c r="P153" i="3"/>
  <c r="O153" i="3"/>
  <c r="C128" i="30" s="1"/>
  <c r="E128" i="30" s="1"/>
  <c r="P17" i="3"/>
  <c r="O17" i="3"/>
  <c r="P147" i="3"/>
  <c r="O147" i="3"/>
  <c r="C122" i="30" s="1"/>
  <c r="E122" i="30" s="1"/>
  <c r="O86" i="3"/>
  <c r="O32" i="3"/>
  <c r="I114" i="8" s="1"/>
  <c r="P58" i="3"/>
  <c r="O58" i="3"/>
  <c r="C27" i="31" s="1"/>
  <c r="E27" i="31" s="1"/>
  <c r="P80" i="3"/>
  <c r="O80" i="3"/>
  <c r="P105" i="3"/>
  <c r="O105" i="3"/>
  <c r="C85" i="30" s="1"/>
  <c r="E85" i="30" s="1"/>
  <c r="P130" i="3"/>
  <c r="O130" i="3"/>
  <c r="I510" i="23" s="1"/>
  <c r="P143" i="3"/>
  <c r="O143" i="3"/>
  <c r="C119" i="30" s="1"/>
  <c r="E119" i="30" s="1"/>
  <c r="P15" i="3"/>
  <c r="O15" i="3"/>
  <c r="O158" i="3"/>
  <c r="C36" i="31" s="1"/>
  <c r="E36" i="31" s="1"/>
  <c r="O95" i="3"/>
  <c r="O45" i="3"/>
  <c r="P35" i="3"/>
  <c r="O35" i="3"/>
  <c r="I161" i="23" s="1"/>
  <c r="P60" i="3"/>
  <c r="O60" i="3"/>
  <c r="C29" i="31" s="1"/>
  <c r="E29" i="31" s="1"/>
  <c r="P85" i="3"/>
  <c r="O85" i="3"/>
  <c r="C75" i="30" s="1"/>
  <c r="E75" i="30" s="1"/>
  <c r="P107" i="3"/>
  <c r="O107" i="3"/>
  <c r="P132" i="3"/>
  <c r="O132" i="3"/>
  <c r="P144" i="3"/>
  <c r="O144" i="3"/>
  <c r="C120" i="30" s="1"/>
  <c r="E120" i="30" s="1"/>
  <c r="P13" i="3"/>
  <c r="O13" i="3"/>
  <c r="E19" i="30" s="1"/>
  <c r="O113" i="3"/>
  <c r="O77" i="3"/>
  <c r="O41" i="3"/>
  <c r="P40" i="3"/>
  <c r="O40" i="3"/>
  <c r="P62" i="3"/>
  <c r="O62" i="3"/>
  <c r="C31" i="31" s="1"/>
  <c r="E31" i="31" s="1"/>
  <c r="P87" i="3"/>
  <c r="O87" i="3"/>
  <c r="P112" i="3"/>
  <c r="O112" i="3"/>
  <c r="E99" i="30" s="1"/>
  <c r="P134" i="3"/>
  <c r="O134" i="3"/>
  <c r="P148" i="3"/>
  <c r="O148" i="3"/>
  <c r="C123" i="30" s="1"/>
  <c r="E123" i="30" s="1"/>
  <c r="O79" i="3"/>
  <c r="O63" i="3"/>
  <c r="C32" i="31" s="1"/>
  <c r="E32" i="31" s="1"/>
  <c r="O61" i="3"/>
  <c r="C30" i="31" s="1"/>
  <c r="E30" i="31" s="1"/>
  <c r="O27" i="3"/>
  <c r="O23" i="3"/>
  <c r="P18" i="3"/>
  <c r="O18" i="3"/>
  <c r="O12" i="3"/>
  <c r="E18" i="30" s="1"/>
  <c r="G23" i="3"/>
  <c r="H43" i="3"/>
  <c r="G43" i="3"/>
  <c r="G69" i="3"/>
  <c r="H24" i="3"/>
  <c r="G24" i="3"/>
  <c r="H38" i="3"/>
  <c r="G38" i="3"/>
  <c r="H39" i="3"/>
  <c r="G39" i="3"/>
  <c r="H59" i="3"/>
  <c r="G59" i="3"/>
  <c r="I24" i="31" s="1"/>
  <c r="K24" i="31" s="1"/>
  <c r="H28" i="3"/>
  <c r="G28" i="3"/>
  <c r="H29" i="3"/>
  <c r="G29" i="3"/>
  <c r="H49" i="3"/>
  <c r="G49" i="3"/>
  <c r="G63" i="3"/>
  <c r="H18" i="3"/>
  <c r="G18" i="3"/>
  <c r="H19" i="3"/>
  <c r="G19" i="3"/>
  <c r="H33" i="3"/>
  <c r="G33" i="3"/>
  <c r="H34" i="3"/>
  <c r="G34" i="3"/>
  <c r="I51" i="2"/>
  <c r="V14" i="33" s="1"/>
  <c r="I122" i="8"/>
  <c r="K122" i="8" s="1"/>
  <c r="I129" i="8"/>
  <c r="I128" i="8"/>
  <c r="I127" i="8"/>
  <c r="I126" i="8"/>
  <c r="I125" i="8"/>
  <c r="I124" i="8"/>
  <c r="I123" i="8"/>
  <c r="K46" i="23"/>
  <c r="I37" i="8"/>
  <c r="K37" i="8" s="1"/>
  <c r="N28" i="3"/>
  <c r="I473" i="8"/>
  <c r="F91" i="3"/>
  <c r="I517" i="8"/>
  <c r="F106" i="3"/>
  <c r="I498" i="8"/>
  <c r="F101" i="3"/>
  <c r="I487" i="8"/>
  <c r="K487" i="8" s="1"/>
  <c r="F96" i="3"/>
  <c r="P124" i="3"/>
  <c r="H88" i="3"/>
  <c r="H93" i="3"/>
  <c r="H98" i="3"/>
  <c r="H103" i="3"/>
  <c r="P86" i="3"/>
  <c r="P108" i="3"/>
  <c r="P34" i="3"/>
  <c r="P99" i="3"/>
  <c r="G15" i="3"/>
  <c r="P129" i="3"/>
  <c r="P32" i="3"/>
  <c r="P106" i="3"/>
  <c r="P113" i="3"/>
  <c r="P131" i="3"/>
  <c r="P138" i="3"/>
  <c r="P126" i="3"/>
  <c r="I104" i="10"/>
  <c r="K104" i="10" s="1"/>
  <c r="J652" i="23"/>
  <c r="P102" i="3"/>
  <c r="P39" i="3"/>
  <c r="H13" i="3"/>
  <c r="H44" i="3"/>
  <c r="J547" i="23"/>
  <c r="P54" i="3"/>
  <c r="P50" i="3"/>
  <c r="P120" i="3"/>
  <c r="P52" i="3"/>
  <c r="P122" i="3"/>
  <c r="P156" i="3"/>
  <c r="F25" i="3"/>
  <c r="I173" i="29"/>
  <c r="K173" i="29" s="1"/>
  <c r="I173" i="10"/>
  <c r="K173" i="10" s="1"/>
  <c r="I596" i="23"/>
  <c r="K596" i="23" s="1"/>
  <c r="I595" i="23"/>
  <c r="I594" i="23"/>
  <c r="I591" i="23"/>
  <c r="I589" i="23"/>
  <c r="I23" i="10"/>
  <c r="K23" i="10" s="1"/>
  <c r="H253" i="10"/>
  <c r="I253" i="10" s="1"/>
  <c r="K253" i="10" s="1"/>
  <c r="I133" i="23"/>
  <c r="I47" i="10"/>
  <c r="K47" i="10" s="1"/>
  <c r="H53" i="3"/>
  <c r="I217" i="29"/>
  <c r="K217" i="29" s="1"/>
  <c r="I126" i="23"/>
  <c r="I220" i="10"/>
  <c r="K220" i="10" s="1"/>
  <c r="I11" i="29"/>
  <c r="K11" i="29" s="1"/>
  <c r="H243" i="10"/>
  <c r="I243" i="10" s="1"/>
  <c r="K243" i="10" s="1"/>
  <c r="I103" i="29"/>
  <c r="K103" i="29" s="1"/>
  <c r="H253" i="29"/>
  <c r="I253" i="29" s="1"/>
  <c r="K253" i="29" s="1"/>
  <c r="H150" i="10"/>
  <c r="I150" i="10" s="1"/>
  <c r="K150" i="10" s="1"/>
  <c r="I210" i="29"/>
  <c r="K210" i="29" s="1"/>
  <c r="I47" i="29"/>
  <c r="K47" i="29" s="1"/>
  <c r="H150" i="29"/>
  <c r="I150" i="29" s="1"/>
  <c r="K150" i="29" s="1"/>
  <c r="H254" i="29"/>
  <c r="I254" i="29" s="1"/>
  <c r="K254" i="29" s="1"/>
  <c r="I389" i="23"/>
  <c r="I393" i="23"/>
  <c r="J349" i="23"/>
  <c r="I631" i="23"/>
  <c r="H122" i="29"/>
  <c r="I122" i="29" s="1"/>
  <c r="K122" i="29" s="1"/>
  <c r="H120" i="29"/>
  <c r="I120" i="29" s="1"/>
  <c r="K120" i="29" s="1"/>
  <c r="H119" i="29"/>
  <c r="I119" i="29" s="1"/>
  <c r="K119" i="29" s="1"/>
  <c r="H48" i="3"/>
  <c r="P77" i="3"/>
  <c r="J237" i="23"/>
  <c r="P79" i="3"/>
  <c r="I533" i="23"/>
  <c r="I534" i="23"/>
  <c r="I532" i="23"/>
  <c r="I535" i="23"/>
  <c r="I437" i="23"/>
  <c r="I544" i="23"/>
  <c r="I79" i="29"/>
  <c r="K79" i="29" s="1"/>
  <c r="I546" i="23"/>
  <c r="I78" i="29"/>
  <c r="K78" i="29" s="1"/>
  <c r="I545" i="23"/>
  <c r="I75" i="29"/>
  <c r="K75" i="29" s="1"/>
  <c r="I29" i="29"/>
  <c r="K29" i="29" s="1"/>
  <c r="I73" i="29"/>
  <c r="K73" i="29" s="1"/>
  <c r="I76" i="29"/>
  <c r="K76" i="29" s="1"/>
  <c r="J469" i="23"/>
  <c r="H123" i="29"/>
  <c r="I123" i="29" s="1"/>
  <c r="K123" i="29" s="1"/>
  <c r="J129" i="23"/>
  <c r="H118" i="29"/>
  <c r="I118" i="29" s="1"/>
  <c r="K118" i="29" s="1"/>
  <c r="J578" i="23"/>
  <c r="H47" i="3"/>
  <c r="P30" i="3"/>
  <c r="P43" i="3"/>
  <c r="H121" i="29"/>
  <c r="I121" i="29" s="1"/>
  <c r="K121" i="29" s="1"/>
  <c r="J172" i="23"/>
  <c r="H124" i="29"/>
  <c r="I124" i="29" s="1"/>
  <c r="K124" i="29" s="1"/>
  <c r="I628" i="23"/>
  <c r="H196" i="29"/>
  <c r="I196" i="29" s="1"/>
  <c r="K196" i="29" s="1"/>
  <c r="I390" i="23"/>
  <c r="I127" i="23"/>
  <c r="I9" i="29"/>
  <c r="K9" i="29" s="1"/>
  <c r="I13" i="10"/>
  <c r="K13" i="10" s="1"/>
  <c r="I92" i="29"/>
  <c r="K92" i="29" s="1"/>
  <c r="I92" i="10"/>
  <c r="K92" i="10" s="1"/>
  <c r="I93" i="29"/>
  <c r="K93" i="29" s="1"/>
  <c r="I116" i="10"/>
  <c r="K116" i="10" s="1"/>
  <c r="H149" i="29"/>
  <c r="I149" i="29" s="1"/>
  <c r="K149" i="29" s="1"/>
  <c r="H242" i="10"/>
  <c r="I242" i="10" s="1"/>
  <c r="K242" i="10" s="1"/>
  <c r="H63" i="3"/>
  <c r="J433" i="23"/>
  <c r="H22" i="3"/>
  <c r="P21" i="3"/>
  <c r="I394" i="23"/>
  <c r="I131" i="23"/>
  <c r="I214" i="29"/>
  <c r="K214" i="29" s="1"/>
  <c r="I5" i="29"/>
  <c r="K5" i="29" s="1"/>
  <c r="I125" i="29"/>
  <c r="K125" i="29" s="1"/>
  <c r="H59" i="10"/>
  <c r="I59" i="10" s="1"/>
  <c r="K59" i="10" s="1"/>
  <c r="I115" i="29"/>
  <c r="K115" i="29" s="1"/>
  <c r="I115" i="10"/>
  <c r="K115" i="10" s="1"/>
  <c r="H139" i="29"/>
  <c r="I139" i="29" s="1"/>
  <c r="K139" i="29" s="1"/>
  <c r="I139" i="10"/>
  <c r="K139" i="10" s="1"/>
  <c r="I218" i="29"/>
  <c r="K218" i="29" s="1"/>
  <c r="I100" i="29"/>
  <c r="K100" i="29" s="1"/>
  <c r="P95" i="3"/>
  <c r="I213" i="29"/>
  <c r="K213" i="29" s="1"/>
  <c r="I130" i="23"/>
  <c r="I46" i="29"/>
  <c r="K46" i="29" s="1"/>
  <c r="I70" i="29"/>
  <c r="K70" i="29" s="1"/>
  <c r="I93" i="10"/>
  <c r="K93" i="10" s="1"/>
  <c r="H196" i="10"/>
  <c r="I196" i="10" s="1"/>
  <c r="K196" i="10" s="1"/>
  <c r="I391" i="23"/>
  <c r="I128" i="23"/>
  <c r="J593" i="23"/>
  <c r="I212" i="29"/>
  <c r="K212" i="29" s="1"/>
  <c r="I10" i="29"/>
  <c r="K10" i="29" s="1"/>
  <c r="I12" i="29"/>
  <c r="K12" i="29" s="1"/>
  <c r="I82" i="10"/>
  <c r="K82" i="10" s="1"/>
  <c r="H138" i="29"/>
  <c r="I138" i="29" s="1"/>
  <c r="K138" i="29" s="1"/>
  <c r="I138" i="10"/>
  <c r="K138" i="10" s="1"/>
  <c r="I185" i="29"/>
  <c r="K185" i="29" s="1"/>
  <c r="I185" i="10"/>
  <c r="K185" i="10" s="1"/>
  <c r="I12" i="10"/>
  <c r="K12" i="10" s="1"/>
  <c r="J629" i="23"/>
  <c r="I397" i="23"/>
  <c r="I8" i="29"/>
  <c r="K8" i="29" s="1"/>
  <c r="I46" i="10"/>
  <c r="K46" i="10" s="1"/>
  <c r="H126" i="29"/>
  <c r="I126" i="29" s="1"/>
  <c r="K126" i="29" s="1"/>
  <c r="I237" i="29"/>
  <c r="K237" i="29" s="1"/>
  <c r="I392" i="23"/>
  <c r="I395" i="23"/>
  <c r="I132" i="23"/>
  <c r="I215" i="29"/>
  <c r="K215" i="29" s="1"/>
  <c r="I3" i="29"/>
  <c r="K3" i="29" s="1"/>
  <c r="I35" i="29"/>
  <c r="K35" i="29" s="1"/>
  <c r="I174" i="10"/>
  <c r="K174" i="10" s="1"/>
  <c r="I184" i="29"/>
  <c r="K184" i="29" s="1"/>
  <c r="H161" i="10"/>
  <c r="I161" i="10" s="1"/>
  <c r="K161" i="10" s="1"/>
  <c r="H208" i="29"/>
  <c r="I208" i="29" s="1"/>
  <c r="K208" i="29" s="1"/>
  <c r="I231" i="10"/>
  <c r="K231" i="10" s="1"/>
  <c r="I35" i="10"/>
  <c r="K35" i="10" s="1"/>
  <c r="J278" i="23"/>
  <c r="I141" i="29"/>
  <c r="K141" i="29" s="1"/>
  <c r="H62" i="3"/>
  <c r="H12" i="3"/>
  <c r="I141" i="23"/>
  <c r="I216" i="29"/>
  <c r="K216" i="29" s="1"/>
  <c r="I32" i="29"/>
  <c r="K32" i="29" s="1"/>
  <c r="I58" i="29"/>
  <c r="K58" i="29" s="1"/>
  <c r="H197" i="10"/>
  <c r="I197" i="10" s="1"/>
  <c r="K197" i="10" s="1"/>
  <c r="I230" i="29"/>
  <c r="K230" i="29" s="1"/>
  <c r="I184" i="10"/>
  <c r="K184" i="10" s="1"/>
  <c r="I231" i="29"/>
  <c r="K231" i="29" s="1"/>
  <c r="H254" i="10"/>
  <c r="I254" i="10" s="1"/>
  <c r="K254" i="10" s="1"/>
  <c r="I127" i="10"/>
  <c r="K127" i="10" s="1"/>
  <c r="P158" i="3"/>
  <c r="J91" i="23"/>
  <c r="H52" i="3"/>
  <c r="H57" i="3"/>
  <c r="P61" i="3"/>
  <c r="P25" i="3"/>
  <c r="P63" i="3"/>
  <c r="F65" i="3"/>
  <c r="H64" i="3"/>
  <c r="J612" i="23"/>
  <c r="P41" i="3"/>
  <c r="F55" i="3"/>
  <c r="H32" i="3"/>
  <c r="F20" i="3"/>
  <c r="J396" i="23"/>
  <c r="I306" i="23"/>
  <c r="I576" i="23"/>
  <c r="H188" i="29"/>
  <c r="I188" i="29" s="1"/>
  <c r="K188" i="29" s="1"/>
  <c r="I97" i="29"/>
  <c r="K97" i="29" s="1"/>
  <c r="N100" i="3"/>
  <c r="I531" i="23"/>
  <c r="I543" i="23"/>
  <c r="I74" i="29"/>
  <c r="K74" i="29" s="1"/>
  <c r="H37" i="3"/>
  <c r="P133" i="3"/>
  <c r="I575" i="23"/>
  <c r="F60" i="3"/>
  <c r="H190" i="29"/>
  <c r="I190" i="29" s="1"/>
  <c r="K190" i="29" s="1"/>
  <c r="H23" i="3"/>
  <c r="I577" i="23"/>
  <c r="I77" i="29"/>
  <c r="K77" i="29" s="1"/>
  <c r="I574" i="23"/>
  <c r="I47" i="2" a="1"/>
  <c r="I47" i="2" s="1"/>
  <c r="F40" i="3"/>
  <c r="H42" i="3"/>
  <c r="H17" i="3"/>
  <c r="I633" i="23"/>
  <c r="I630" i="23"/>
  <c r="I634" i="23"/>
  <c r="I497" i="23"/>
  <c r="I241" i="23"/>
  <c r="I501" i="23"/>
  <c r="I632" i="23"/>
  <c r="I613" i="23"/>
  <c r="J307" i="23"/>
  <c r="H54" i="3"/>
  <c r="I657" i="23"/>
  <c r="J499" i="23"/>
  <c r="J203" i="23"/>
  <c r="H68" i="3"/>
  <c r="P75" i="3"/>
  <c r="F45" i="3"/>
  <c r="J11" i="23"/>
  <c r="H194" i="10"/>
  <c r="I194" i="10" s="1"/>
  <c r="K194" i="10" s="1"/>
  <c r="H190" i="10"/>
  <c r="I190" i="10" s="1"/>
  <c r="K190" i="10" s="1"/>
  <c r="H193" i="10"/>
  <c r="I193" i="10" s="1"/>
  <c r="K193" i="10" s="1"/>
  <c r="H192" i="10"/>
  <c r="I192" i="10" s="1"/>
  <c r="K192" i="10" s="1"/>
  <c r="H188" i="10"/>
  <c r="I188" i="10" s="1"/>
  <c r="K188" i="10" s="1"/>
  <c r="H189" i="10"/>
  <c r="I189" i="10" s="1"/>
  <c r="K189" i="10" s="1"/>
  <c r="H191" i="10"/>
  <c r="I191" i="10" s="1"/>
  <c r="K191" i="10" s="1"/>
  <c r="H195" i="10"/>
  <c r="I195" i="10" s="1"/>
  <c r="K195" i="10" s="1"/>
  <c r="H187" i="10"/>
  <c r="I187" i="10" s="1"/>
  <c r="K187" i="10" s="1"/>
  <c r="F50" i="3"/>
  <c r="I656" i="23"/>
  <c r="P48" i="3"/>
  <c r="P90" i="3"/>
  <c r="N161" i="3"/>
  <c r="F15" i="3"/>
  <c r="I616" i="23"/>
  <c r="I653" i="23"/>
  <c r="N55" i="3"/>
  <c r="P24" i="3"/>
  <c r="P68" i="3"/>
  <c r="I614" i="23"/>
  <c r="I564" i="23"/>
  <c r="I654" i="23"/>
  <c r="P70" i="3"/>
  <c r="I611" i="23"/>
  <c r="I658" i="23"/>
  <c r="H14" i="3"/>
  <c r="P115" i="3"/>
  <c r="I615" i="23"/>
  <c r="I655" i="23"/>
  <c r="I72" i="29"/>
  <c r="K72" i="29" s="1"/>
  <c r="I659" i="23"/>
  <c r="P97" i="3"/>
  <c r="P160" i="3"/>
  <c r="H148" i="29"/>
  <c r="I148" i="29" s="1"/>
  <c r="K148" i="29" s="1"/>
  <c r="P66" i="3"/>
  <c r="I187" i="8"/>
  <c r="I189" i="8"/>
  <c r="I146" i="8"/>
  <c r="I147" i="8"/>
  <c r="I151" i="8"/>
  <c r="I148" i="8"/>
  <c r="I144" i="8"/>
  <c r="I149" i="8"/>
  <c r="I145" i="8"/>
  <c r="I150" i="8"/>
  <c r="I94" i="8"/>
  <c r="I95" i="8"/>
  <c r="I96" i="8"/>
  <c r="I91" i="8"/>
  <c r="N19" i="3"/>
  <c r="P157" i="3"/>
  <c r="R18" i="2" a="1"/>
  <c r="R18" i="2" s="1"/>
  <c r="F35" i="3"/>
  <c r="P45" i="3"/>
  <c r="P57" i="3"/>
  <c r="P16" i="3"/>
  <c r="I166" i="29"/>
  <c r="K166" i="29" s="1"/>
  <c r="N136" i="3"/>
  <c r="P27" i="3"/>
  <c r="I45" i="2" a="1"/>
  <c r="I45" i="2" s="1"/>
  <c r="F70" i="3"/>
  <c r="H69" i="3"/>
  <c r="I49" i="29"/>
  <c r="K49" i="29" s="1"/>
  <c r="I313" i="23"/>
  <c r="I312" i="23"/>
  <c r="I193" i="8"/>
  <c r="P72" i="3"/>
  <c r="I26" i="8"/>
  <c r="I562" i="23"/>
  <c r="I310" i="23"/>
  <c r="I28" i="29"/>
  <c r="K28" i="29" s="1"/>
  <c r="I31" i="29"/>
  <c r="K31" i="29" s="1"/>
  <c r="I27" i="29"/>
  <c r="K27" i="29" s="1"/>
  <c r="H187" i="29"/>
  <c r="I187" i="29" s="1"/>
  <c r="K187" i="29" s="1"/>
  <c r="H191" i="29"/>
  <c r="I191" i="29" s="1"/>
  <c r="K191" i="29" s="1"/>
  <c r="H192" i="29"/>
  <c r="I192" i="29" s="1"/>
  <c r="K192" i="29" s="1"/>
  <c r="P125" i="3"/>
  <c r="N127" i="3"/>
  <c r="I101" i="10"/>
  <c r="K101" i="10" s="1"/>
  <c r="I102" i="10"/>
  <c r="K102" i="10" s="1"/>
  <c r="I100" i="10"/>
  <c r="K100" i="10" s="1"/>
  <c r="I98" i="10"/>
  <c r="K98" i="10" s="1"/>
  <c r="I96" i="10"/>
  <c r="K96" i="10" s="1"/>
  <c r="I422" i="8"/>
  <c r="P117" i="3"/>
  <c r="R16" i="2" a="1"/>
  <c r="R16" i="2" s="1"/>
  <c r="I311" i="23"/>
  <c r="P26" i="3"/>
  <c r="P76" i="3"/>
  <c r="P116" i="3"/>
  <c r="N118" i="3"/>
  <c r="I354" i="8"/>
  <c r="I351" i="8"/>
  <c r="I355" i="8"/>
  <c r="I350" i="8"/>
  <c r="I260" i="8"/>
  <c r="P84" i="3"/>
  <c r="N91" i="3"/>
  <c r="I137" i="8"/>
  <c r="I141" i="8"/>
  <c r="P33" i="3"/>
  <c r="I46" i="2" a="1"/>
  <c r="I46" i="2" s="1"/>
  <c r="I44" i="2" a="1"/>
  <c r="I44" i="2" s="1"/>
  <c r="I561" i="23"/>
  <c r="I132" i="8"/>
  <c r="P36" i="3"/>
  <c r="I308" i="23"/>
  <c r="I504" i="23"/>
  <c r="I500" i="23"/>
  <c r="I503" i="23"/>
  <c r="I502" i="23"/>
  <c r="I498" i="23"/>
  <c r="I99" i="29"/>
  <c r="K99" i="29" s="1"/>
  <c r="I96" i="29"/>
  <c r="K96" i="29" s="1"/>
  <c r="I98" i="29"/>
  <c r="K98" i="29" s="1"/>
  <c r="P140" i="3"/>
  <c r="N145" i="3"/>
  <c r="H144" i="10"/>
  <c r="I144" i="10" s="1"/>
  <c r="K144" i="10" s="1"/>
  <c r="H145" i="10"/>
  <c r="I145" i="10" s="1"/>
  <c r="K145" i="10" s="1"/>
  <c r="H148" i="10"/>
  <c r="I148" i="10" s="1"/>
  <c r="K148" i="10" s="1"/>
  <c r="H147" i="10"/>
  <c r="I147" i="10" s="1"/>
  <c r="K147" i="10" s="1"/>
  <c r="H67" i="3"/>
  <c r="I347" i="8"/>
  <c r="P104" i="3"/>
  <c r="I140" i="8"/>
  <c r="I305" i="23"/>
  <c r="I605" i="23"/>
  <c r="I592" i="23"/>
  <c r="I590" i="23"/>
  <c r="I588" i="23"/>
  <c r="P42" i="3"/>
  <c r="H202" i="29"/>
  <c r="I202" i="29" s="1"/>
  <c r="K202" i="29" s="1"/>
  <c r="H58" i="3"/>
  <c r="I437" i="8"/>
  <c r="I441" i="8"/>
  <c r="I436" i="8"/>
  <c r="I442" i="8"/>
  <c r="I284" i="8"/>
  <c r="P88" i="3"/>
  <c r="I486" i="8"/>
  <c r="H27" i="3"/>
  <c r="I178" i="29"/>
  <c r="K178" i="29" s="1"/>
  <c r="I175" i="29"/>
  <c r="K175" i="29" s="1"/>
  <c r="I416" i="8"/>
  <c r="I418" i="8"/>
  <c r="F86" i="3"/>
  <c r="I309" i="23"/>
  <c r="I563" i="23"/>
  <c r="I565" i="23"/>
  <c r="I617" i="23"/>
  <c r="I610" i="23"/>
  <c r="N154" i="3"/>
  <c r="I105" i="8"/>
  <c r="I107" i="8"/>
  <c r="I74" i="8"/>
  <c r="I69" i="8"/>
  <c r="N64" i="3"/>
  <c r="I292" i="8"/>
  <c r="I53" i="29"/>
  <c r="K53" i="29" s="1"/>
  <c r="N46" i="3"/>
  <c r="N37" i="3"/>
  <c r="P159" i="3"/>
  <c r="I60" i="8"/>
  <c r="I62" i="8"/>
  <c r="H143" i="29"/>
  <c r="I143" i="29" s="1"/>
  <c r="K143" i="29" s="1"/>
  <c r="I97" i="10"/>
  <c r="K97" i="10" s="1"/>
  <c r="I180" i="29"/>
  <c r="K180" i="29" s="1"/>
  <c r="G55" i="3"/>
  <c r="H193" i="29"/>
  <c r="I193" i="29" s="1"/>
  <c r="K193" i="29" s="1"/>
  <c r="H189" i="29"/>
  <c r="I189" i="29" s="1"/>
  <c r="K189" i="29" s="1"/>
  <c r="I33" i="29"/>
  <c r="K33" i="29" s="1"/>
  <c r="H142" i="29"/>
  <c r="I142" i="29" s="1"/>
  <c r="K142" i="29" s="1"/>
  <c r="I102" i="29"/>
  <c r="K102" i="29" s="1"/>
  <c r="I99" i="10"/>
  <c r="K99" i="10" s="1"/>
  <c r="I177" i="29"/>
  <c r="K177" i="29" s="1"/>
  <c r="H147" i="29"/>
  <c r="I147" i="29" s="1"/>
  <c r="K147" i="29" s="1"/>
  <c r="I211" i="29"/>
  <c r="K211" i="29" s="1"/>
  <c r="I4" i="29"/>
  <c r="K4" i="29" s="1"/>
  <c r="H194" i="29"/>
  <c r="I194" i="29" s="1"/>
  <c r="K194" i="29" s="1"/>
  <c r="I26" i="29"/>
  <c r="K26" i="29" s="1"/>
  <c r="H145" i="29"/>
  <c r="I145" i="29" s="1"/>
  <c r="K145" i="29" s="1"/>
  <c r="I95" i="29"/>
  <c r="K95" i="29" s="1"/>
  <c r="I81" i="29"/>
  <c r="K81" i="29" s="1"/>
  <c r="I219" i="29"/>
  <c r="K219" i="29" s="1"/>
  <c r="I105" i="10"/>
  <c r="K105" i="10" s="1"/>
  <c r="I23" i="29"/>
  <c r="K23" i="29" s="1"/>
  <c r="H161" i="29"/>
  <c r="I161" i="29" s="1"/>
  <c r="K161" i="29" s="1"/>
  <c r="H207" i="10"/>
  <c r="I207" i="10" s="1"/>
  <c r="K207" i="10" s="1"/>
  <c r="I116" i="29"/>
  <c r="K116" i="29" s="1"/>
  <c r="I34" i="29"/>
  <c r="K34" i="29" s="1"/>
  <c r="I172" i="29"/>
  <c r="K172" i="29" s="1"/>
  <c r="H58" i="10"/>
  <c r="I58" i="10" s="1"/>
  <c r="K58" i="10" s="1"/>
  <c r="I219" i="10"/>
  <c r="K219" i="10" s="1"/>
  <c r="I95" i="10"/>
  <c r="K95" i="10" s="1"/>
  <c r="I141" i="10"/>
  <c r="K141" i="10" s="1"/>
  <c r="H144" i="29"/>
  <c r="I144" i="29" s="1"/>
  <c r="K144" i="29" s="1"/>
  <c r="I6" i="29"/>
  <c r="K6" i="29" s="1"/>
  <c r="I30" i="29"/>
  <c r="K30" i="29" s="1"/>
  <c r="I104" i="29"/>
  <c r="K104" i="29" s="1"/>
  <c r="H242" i="29"/>
  <c r="I242" i="29" s="1"/>
  <c r="K242" i="29" s="1"/>
  <c r="I128" i="10"/>
  <c r="K128" i="10" s="1"/>
  <c r="I69" i="10"/>
  <c r="K69" i="10" s="1"/>
  <c r="I230" i="10"/>
  <c r="K230" i="10" s="1"/>
  <c r="I24" i="10"/>
  <c r="K24" i="10" s="1"/>
  <c r="H162" i="10"/>
  <c r="I162" i="10" s="1"/>
  <c r="K162" i="10" s="1"/>
  <c r="I57" i="29"/>
  <c r="K57" i="29" s="1"/>
  <c r="H195" i="29"/>
  <c r="I195" i="29" s="1"/>
  <c r="K195" i="29" s="1"/>
  <c r="I81" i="10"/>
  <c r="K81" i="10" s="1"/>
  <c r="I103" i="10"/>
  <c r="K103" i="10" s="1"/>
  <c r="H149" i="10"/>
  <c r="I149" i="10" s="1"/>
  <c r="K149" i="10" s="1"/>
  <c r="H146" i="29"/>
  <c r="I146" i="29" s="1"/>
  <c r="K146" i="29" s="1"/>
  <c r="I7" i="29"/>
  <c r="K7" i="29" s="1"/>
  <c r="I101" i="29"/>
  <c r="K101" i="29" s="1"/>
  <c r="H127" i="29"/>
  <c r="I127" i="29" s="1"/>
  <c r="K127" i="29" s="1"/>
  <c r="I36" i="10"/>
  <c r="K36" i="10" s="1"/>
  <c r="H151" i="10"/>
  <c r="I151" i="10" s="1"/>
  <c r="K151" i="10" s="1"/>
  <c r="I69" i="29"/>
  <c r="K69" i="29" s="1"/>
  <c r="H207" i="29"/>
  <c r="I207" i="29" s="1"/>
  <c r="K207" i="29" s="1"/>
  <c r="I24" i="29"/>
  <c r="K24" i="29" s="1"/>
  <c r="H162" i="29"/>
  <c r="I162" i="29" s="1"/>
  <c r="K162" i="29" s="1"/>
  <c r="I70" i="10"/>
  <c r="K70" i="10" s="1"/>
  <c r="H208" i="10"/>
  <c r="I208" i="10" s="1"/>
  <c r="K208" i="10" s="1"/>
  <c r="I80" i="29"/>
  <c r="K80" i="29" s="1"/>
  <c r="H241" i="29"/>
  <c r="I241" i="29" s="1"/>
  <c r="K241" i="29" s="1"/>
  <c r="I63" i="8"/>
  <c r="I434" i="23"/>
  <c r="I240" i="23"/>
  <c r="I106" i="8"/>
  <c r="I57" i="8"/>
  <c r="I243" i="23"/>
  <c r="I431" i="23"/>
  <c r="I239" i="23"/>
  <c r="I109" i="8"/>
  <c r="I28" i="8"/>
  <c r="I432" i="23"/>
  <c r="I435" i="23"/>
  <c r="I242" i="23"/>
  <c r="I440" i="8"/>
  <c r="I415" i="8"/>
  <c r="I190" i="8"/>
  <c r="I184" i="8"/>
  <c r="I61" i="8"/>
  <c r="I436" i="23"/>
  <c r="I238" i="23"/>
  <c r="I108" i="8"/>
  <c r="I27" i="8"/>
  <c r="I236" i="23"/>
  <c r="I439" i="8"/>
  <c r="I102" i="8"/>
  <c r="H240" i="29"/>
  <c r="I240" i="29" s="1"/>
  <c r="K240" i="29" s="1"/>
  <c r="H238" i="29"/>
  <c r="I238" i="29" s="1"/>
  <c r="K238" i="29" s="1"/>
  <c r="I54" i="29"/>
  <c r="K54" i="29" s="1"/>
  <c r="H234" i="29"/>
  <c r="I234" i="29" s="1"/>
  <c r="K234" i="29" s="1"/>
  <c r="H239" i="29"/>
  <c r="I239" i="29" s="1"/>
  <c r="K239" i="29" s="1"/>
  <c r="H146" i="10"/>
  <c r="I146" i="10" s="1"/>
  <c r="K146" i="10" s="1"/>
  <c r="I182" i="29"/>
  <c r="K182" i="29" s="1"/>
  <c r="I179" i="29"/>
  <c r="K179" i="29" s="1"/>
  <c r="I51" i="29"/>
  <c r="K51" i="29" s="1"/>
  <c r="I52" i="29"/>
  <c r="K52" i="29" s="1"/>
  <c r="H142" i="10"/>
  <c r="I142" i="10" s="1"/>
  <c r="K142" i="10" s="1"/>
  <c r="I183" i="29"/>
  <c r="K183" i="29" s="1"/>
  <c r="H235" i="29"/>
  <c r="I235" i="29" s="1"/>
  <c r="K235" i="29" s="1"/>
  <c r="I56" i="29"/>
  <c r="K56" i="29" s="1"/>
  <c r="I55" i="29"/>
  <c r="K55" i="29" s="1"/>
  <c r="H143" i="10"/>
  <c r="I143" i="10" s="1"/>
  <c r="K143" i="10" s="1"/>
  <c r="I181" i="29"/>
  <c r="K181" i="29" s="1"/>
  <c r="H236" i="29"/>
  <c r="I236" i="29" s="1"/>
  <c r="K236" i="29" s="1"/>
  <c r="I176" i="29"/>
  <c r="K176" i="29" s="1"/>
  <c r="H233" i="29"/>
  <c r="I233" i="29" s="1"/>
  <c r="K233" i="29" s="1"/>
  <c r="I50" i="29"/>
  <c r="K50" i="29" s="1"/>
  <c r="R17" i="2" a="1"/>
  <c r="R17" i="2" s="1"/>
  <c r="I43" i="2" a="1"/>
  <c r="I43" i="2" s="1"/>
  <c r="I222" i="10"/>
  <c r="K222" i="10" s="1"/>
  <c r="I229" i="10"/>
  <c r="K229" i="10" s="1"/>
  <c r="I228" i="10"/>
  <c r="K228" i="10" s="1"/>
  <c r="I223" i="10"/>
  <c r="K223" i="10" s="1"/>
  <c r="I227" i="10"/>
  <c r="K227" i="10" s="1"/>
  <c r="I226" i="10"/>
  <c r="K226" i="10" s="1"/>
  <c r="I225" i="10"/>
  <c r="K225" i="10" s="1"/>
  <c r="I224" i="10"/>
  <c r="K224" i="10" s="1"/>
  <c r="I171" i="29"/>
  <c r="K171" i="29" s="1"/>
  <c r="I169" i="29"/>
  <c r="K169" i="29" s="1"/>
  <c r="I600" i="23"/>
  <c r="I602" i="23"/>
  <c r="I26" i="10"/>
  <c r="K26" i="10" s="1"/>
  <c r="I31" i="10"/>
  <c r="K31" i="10" s="1"/>
  <c r="I29" i="10"/>
  <c r="K29" i="10" s="1"/>
  <c r="I33" i="10"/>
  <c r="K33" i="10" s="1"/>
  <c r="I32" i="10"/>
  <c r="K32" i="10" s="1"/>
  <c r="I28" i="10"/>
  <c r="K28" i="10" s="1"/>
  <c r="I30" i="10"/>
  <c r="K30" i="10" s="1"/>
  <c r="I27" i="10"/>
  <c r="K27" i="10" s="1"/>
  <c r="I34" i="10"/>
  <c r="K34" i="10" s="1"/>
  <c r="H157" i="29"/>
  <c r="I157" i="29" s="1"/>
  <c r="K157" i="29" s="1"/>
  <c r="H155" i="29"/>
  <c r="I155" i="29" s="1"/>
  <c r="K155" i="29" s="1"/>
  <c r="H153" i="29"/>
  <c r="I153" i="29" s="1"/>
  <c r="K153" i="29" s="1"/>
  <c r="H156" i="29"/>
  <c r="I156" i="29" s="1"/>
  <c r="K156" i="29" s="1"/>
  <c r="H159" i="29"/>
  <c r="I159" i="29" s="1"/>
  <c r="K159" i="29" s="1"/>
  <c r="H160" i="29"/>
  <c r="I160" i="29" s="1"/>
  <c r="K160" i="29" s="1"/>
  <c r="H158" i="29"/>
  <c r="I158" i="29" s="1"/>
  <c r="K158" i="29" s="1"/>
  <c r="H152" i="29"/>
  <c r="I152" i="29" s="1"/>
  <c r="K152" i="29" s="1"/>
  <c r="H154" i="29"/>
  <c r="I154" i="29" s="1"/>
  <c r="K154" i="29" s="1"/>
  <c r="I164" i="29"/>
  <c r="K164" i="29" s="1"/>
  <c r="I167" i="29"/>
  <c r="K167" i="29" s="1"/>
  <c r="I599" i="23"/>
  <c r="I604" i="23"/>
  <c r="I606" i="23"/>
  <c r="I119" i="10"/>
  <c r="K119" i="10" s="1"/>
  <c r="I118" i="10"/>
  <c r="K118" i="10" s="1"/>
  <c r="I123" i="10"/>
  <c r="K123" i="10" s="1"/>
  <c r="I125" i="10"/>
  <c r="K125" i="10" s="1"/>
  <c r="I122" i="10"/>
  <c r="K122" i="10" s="1"/>
  <c r="I121" i="10"/>
  <c r="K121" i="10" s="1"/>
  <c r="I126" i="10"/>
  <c r="K126" i="10" s="1"/>
  <c r="I124" i="10"/>
  <c r="K124" i="10" s="1"/>
  <c r="I120" i="10"/>
  <c r="K120" i="10" s="1"/>
  <c r="H248" i="29"/>
  <c r="I248" i="29" s="1"/>
  <c r="K248" i="29" s="1"/>
  <c r="H246" i="29"/>
  <c r="I246" i="29" s="1"/>
  <c r="K246" i="29" s="1"/>
  <c r="H251" i="29"/>
  <c r="I251" i="29" s="1"/>
  <c r="K251" i="29" s="1"/>
  <c r="H244" i="29"/>
  <c r="I244" i="29" s="1"/>
  <c r="K244" i="29" s="1"/>
  <c r="H250" i="29"/>
  <c r="I250" i="29" s="1"/>
  <c r="K250" i="29" s="1"/>
  <c r="H252" i="29"/>
  <c r="I252" i="29" s="1"/>
  <c r="K252" i="29" s="1"/>
  <c r="H249" i="29"/>
  <c r="I249" i="29" s="1"/>
  <c r="K249" i="29" s="1"/>
  <c r="H247" i="29"/>
  <c r="I247" i="29" s="1"/>
  <c r="K247" i="29" s="1"/>
  <c r="H245" i="29"/>
  <c r="I245" i="29" s="1"/>
  <c r="K245" i="29" s="1"/>
  <c r="I166" i="10"/>
  <c r="K166" i="10" s="1"/>
  <c r="I165" i="10"/>
  <c r="K165" i="10" s="1"/>
  <c r="I172" i="10"/>
  <c r="K172" i="10" s="1"/>
  <c r="I164" i="10"/>
  <c r="K164" i="10" s="1"/>
  <c r="I168" i="10"/>
  <c r="K168" i="10" s="1"/>
  <c r="I171" i="10"/>
  <c r="K171" i="10" s="1"/>
  <c r="I170" i="10"/>
  <c r="K170" i="10" s="1"/>
  <c r="I167" i="10"/>
  <c r="K167" i="10" s="1"/>
  <c r="I169" i="10"/>
  <c r="K169" i="10" s="1"/>
  <c r="I165" i="29"/>
  <c r="K165" i="29" s="1"/>
  <c r="I168" i="29"/>
  <c r="K168" i="29" s="1"/>
  <c r="I603" i="23"/>
  <c r="I601" i="23"/>
  <c r="I10" i="10"/>
  <c r="K10" i="10" s="1"/>
  <c r="I6" i="10"/>
  <c r="K6" i="10" s="1"/>
  <c r="I8" i="10"/>
  <c r="K8" i="10" s="1"/>
  <c r="I5" i="10"/>
  <c r="K5" i="10" s="1"/>
  <c r="I4" i="10"/>
  <c r="K4" i="10" s="1"/>
  <c r="I9" i="10"/>
  <c r="K9" i="10" s="1"/>
  <c r="I7" i="10"/>
  <c r="K7" i="10" s="1"/>
  <c r="I11" i="10"/>
  <c r="K11" i="10" s="1"/>
  <c r="I3" i="10"/>
  <c r="K3" i="10" s="1"/>
  <c r="I216" i="10"/>
  <c r="K216" i="10" s="1"/>
  <c r="I212" i="10"/>
  <c r="K212" i="10" s="1"/>
  <c r="I215" i="10"/>
  <c r="K215" i="10" s="1"/>
  <c r="I214" i="10"/>
  <c r="K214" i="10" s="1"/>
  <c r="I211" i="10"/>
  <c r="K211" i="10" s="1"/>
  <c r="I213" i="10"/>
  <c r="K213" i="10" s="1"/>
  <c r="I218" i="10"/>
  <c r="K218" i="10" s="1"/>
  <c r="I210" i="10"/>
  <c r="K210" i="10" s="1"/>
  <c r="I217" i="10"/>
  <c r="K217" i="10" s="1"/>
  <c r="I577" i="8"/>
  <c r="I578" i="8"/>
  <c r="I576" i="8"/>
  <c r="I579" i="8"/>
  <c r="I451" i="8"/>
  <c r="I446" i="8"/>
  <c r="I449" i="8"/>
  <c r="I454" i="8"/>
  <c r="I447" i="8"/>
  <c r="I450" i="8"/>
  <c r="I455" i="8"/>
  <c r="I448" i="8"/>
  <c r="I79" i="10"/>
  <c r="K79" i="10" s="1"/>
  <c r="I78" i="10"/>
  <c r="K78" i="10" s="1"/>
  <c r="I73" i="10"/>
  <c r="K73" i="10" s="1"/>
  <c r="I77" i="10"/>
  <c r="K77" i="10" s="1"/>
  <c r="I76" i="10"/>
  <c r="K76" i="10" s="1"/>
  <c r="I75" i="10"/>
  <c r="K75" i="10" s="1"/>
  <c r="I80" i="10"/>
  <c r="K80" i="10" s="1"/>
  <c r="I74" i="10"/>
  <c r="K74" i="10" s="1"/>
  <c r="I72" i="10"/>
  <c r="K72" i="10" s="1"/>
  <c r="I131" i="10"/>
  <c r="K131" i="10" s="1"/>
  <c r="I137" i="10"/>
  <c r="K137" i="10" s="1"/>
  <c r="I135" i="10"/>
  <c r="K135" i="10" s="1"/>
  <c r="I130" i="10"/>
  <c r="K130" i="10" s="1"/>
  <c r="I136" i="10"/>
  <c r="K136" i="10" s="1"/>
  <c r="I134" i="10"/>
  <c r="K134" i="10" s="1"/>
  <c r="I133" i="10"/>
  <c r="K133" i="10" s="1"/>
  <c r="I132" i="10"/>
  <c r="K132" i="10" s="1"/>
  <c r="I536" i="8"/>
  <c r="I531" i="8"/>
  <c r="I542" i="8"/>
  <c r="I534" i="8"/>
  <c r="I539" i="8"/>
  <c r="I543" i="8"/>
  <c r="I532" i="8"/>
  <c r="I535" i="8"/>
  <c r="I540" i="8"/>
  <c r="I544" i="8"/>
  <c r="I533" i="8"/>
  <c r="I541" i="8"/>
  <c r="I170" i="29"/>
  <c r="K170" i="29" s="1"/>
  <c r="I607" i="23"/>
  <c r="I182" i="10"/>
  <c r="K182" i="10" s="1"/>
  <c r="I181" i="10"/>
  <c r="K181" i="10" s="1"/>
  <c r="I180" i="10"/>
  <c r="K180" i="10" s="1"/>
  <c r="I178" i="10"/>
  <c r="K178" i="10" s="1"/>
  <c r="I177" i="10"/>
  <c r="K177" i="10" s="1"/>
  <c r="I176" i="10"/>
  <c r="K176" i="10" s="1"/>
  <c r="I179" i="10"/>
  <c r="K179" i="10" s="1"/>
  <c r="I183" i="10"/>
  <c r="K183" i="10" s="1"/>
  <c r="N82" i="3"/>
  <c r="N109" i="3"/>
  <c r="I381" i="8"/>
  <c r="I380" i="8"/>
  <c r="I383" i="8"/>
  <c r="I323" i="8"/>
  <c r="I324" i="8"/>
  <c r="I233" i="8"/>
  <c r="I228" i="8"/>
  <c r="I231" i="8"/>
  <c r="I229" i="8"/>
  <c r="I232" i="8"/>
  <c r="I227" i="8"/>
  <c r="I384" i="8"/>
  <c r="I43" i="8"/>
  <c r="I438" i="8"/>
  <c r="I419" i="8"/>
  <c r="I414" i="8"/>
  <c r="I443" i="8"/>
  <c r="I413" i="8"/>
  <c r="I175" i="8"/>
  <c r="I178" i="8"/>
  <c r="I181" i="8"/>
  <c r="I176" i="8"/>
  <c r="I179" i="8"/>
  <c r="I177" i="8"/>
  <c r="N73" i="3"/>
  <c r="I386" i="8"/>
  <c r="I382" i="8"/>
  <c r="I230" i="8"/>
  <c r="I417" i="8"/>
  <c r="I180" i="8"/>
  <c r="I385" i="8"/>
  <c r="I288" i="8"/>
  <c r="I287" i="8"/>
  <c r="I75" i="8"/>
  <c r="I72" i="8"/>
  <c r="I76" i="8"/>
  <c r="I70" i="8"/>
  <c r="I73" i="8"/>
  <c r="I77" i="8"/>
  <c r="I71" i="8"/>
  <c r="I359" i="8"/>
  <c r="I360" i="8"/>
  <c r="I356" i="8"/>
  <c r="I139" i="8"/>
  <c r="I353" i="8"/>
  <c r="I186" i="8"/>
  <c r="I136" i="8"/>
  <c r="I104" i="8"/>
  <c r="I93" i="8"/>
  <c r="I59" i="8"/>
  <c r="I30" i="8"/>
  <c r="I188" i="8"/>
  <c r="I138" i="8"/>
  <c r="I352" i="8"/>
  <c r="I185" i="8"/>
  <c r="I135" i="8"/>
  <c r="I103" i="8"/>
  <c r="I92" i="8"/>
  <c r="I58" i="8"/>
  <c r="I29" i="8"/>
  <c r="C138" i="30" l="1"/>
  <c r="E138" i="30" s="1"/>
  <c r="C42" i="31"/>
  <c r="E42" i="31" s="1"/>
  <c r="K25" i="31"/>
  <c r="L6" i="31" s="1"/>
  <c r="V25" i="33" s="1"/>
  <c r="C136" i="30"/>
  <c r="E136" i="30" s="1"/>
  <c r="C40" i="31"/>
  <c r="E40" i="31" s="1"/>
  <c r="H248" i="10"/>
  <c r="I248" i="10" s="1"/>
  <c r="K248" i="10" s="1"/>
  <c r="I60" i="30"/>
  <c r="K60" i="30" s="1"/>
  <c r="I84" i="10"/>
  <c r="K84" i="10" s="1"/>
  <c r="I32" i="30"/>
  <c r="K32" i="30" s="1"/>
  <c r="I43" i="10"/>
  <c r="K43" i="10" s="1"/>
  <c r="I20" i="30"/>
  <c r="K20" i="30" s="1"/>
  <c r="I225" i="29"/>
  <c r="K225" i="29" s="1"/>
  <c r="I55" i="30"/>
  <c r="K55" i="30" s="1"/>
  <c r="H131" i="29"/>
  <c r="I131" i="29" s="1"/>
  <c r="K131" i="29" s="1"/>
  <c r="I39" i="30"/>
  <c r="K39" i="30" s="1"/>
  <c r="H155" i="10"/>
  <c r="I155" i="10" s="1"/>
  <c r="K155" i="10" s="1"/>
  <c r="I44" i="30"/>
  <c r="K44" i="30" s="1"/>
  <c r="I68" i="29"/>
  <c r="K68" i="29" s="1"/>
  <c r="I27" i="30"/>
  <c r="K27" i="30" s="1"/>
  <c r="I107" i="10"/>
  <c r="K107" i="10" s="1"/>
  <c r="I36" i="30"/>
  <c r="K36" i="30" s="1"/>
  <c r="I20" i="10"/>
  <c r="K20" i="10" s="1"/>
  <c r="I24" i="30"/>
  <c r="K24" i="30" s="1"/>
  <c r="I86" i="29"/>
  <c r="K86" i="29" s="1"/>
  <c r="I31" i="30"/>
  <c r="K31" i="30" s="1"/>
  <c r="I40" i="29"/>
  <c r="K40" i="29" s="1"/>
  <c r="I19" i="30"/>
  <c r="I21" i="29"/>
  <c r="K21" i="29" s="1"/>
  <c r="I23" i="30"/>
  <c r="K23" i="30" s="1"/>
  <c r="I61" i="10"/>
  <c r="K61" i="10" s="1"/>
  <c r="I28" i="30"/>
  <c r="K28" i="30" s="1"/>
  <c r="H202" i="10"/>
  <c r="I202" i="10" s="1"/>
  <c r="K202" i="10" s="1"/>
  <c r="I52" i="30"/>
  <c r="K52" i="30" s="1"/>
  <c r="I107" i="29"/>
  <c r="K107" i="29" s="1"/>
  <c r="I35" i="30"/>
  <c r="K35" i="30" s="1"/>
  <c r="I365" i="8"/>
  <c r="K365" i="8" s="1"/>
  <c r="C106" i="30"/>
  <c r="E106" i="30" s="1"/>
  <c r="I445" i="23"/>
  <c r="K445" i="23" s="1"/>
  <c r="C107" i="30"/>
  <c r="E107" i="30" s="1"/>
  <c r="J491" i="23"/>
  <c r="E103" i="30"/>
  <c r="I207" i="8"/>
  <c r="J207" i="8" s="1"/>
  <c r="C60" i="30"/>
  <c r="E60" i="30" s="1"/>
  <c r="I66" i="8"/>
  <c r="J66" i="8" s="1"/>
  <c r="E32" i="30"/>
  <c r="I266" i="23"/>
  <c r="K266" i="23" s="1"/>
  <c r="C63" i="30"/>
  <c r="E63" i="30" s="1"/>
  <c r="I82" i="8"/>
  <c r="K82" i="8" s="1"/>
  <c r="E36" i="30"/>
  <c r="J297" i="23"/>
  <c r="E95" i="30"/>
  <c r="J293" i="23"/>
  <c r="E93" i="30"/>
  <c r="I316" i="8"/>
  <c r="K316" i="8" s="1"/>
  <c r="E70" i="30"/>
  <c r="I372" i="8"/>
  <c r="K372" i="8" s="1"/>
  <c r="C108" i="30"/>
  <c r="E108" i="30" s="1"/>
  <c r="K365" i="23"/>
  <c r="E67" i="30"/>
  <c r="J116" i="23"/>
  <c r="E39" i="30"/>
  <c r="I252" i="8"/>
  <c r="J252" i="8" s="1"/>
  <c r="E96" i="30"/>
  <c r="J487" i="23"/>
  <c r="E101" i="30"/>
  <c r="I246" i="8"/>
  <c r="K246" i="8" s="1"/>
  <c r="E94" i="30"/>
  <c r="I492" i="8"/>
  <c r="J492" i="8" s="1"/>
  <c r="C146" i="30"/>
  <c r="E146" i="30" s="1"/>
  <c r="I220" i="8"/>
  <c r="K220" i="8" s="1"/>
  <c r="C62" i="30"/>
  <c r="E62" i="30" s="1"/>
  <c r="I237" i="8"/>
  <c r="K237" i="8" s="1"/>
  <c r="E92" i="30"/>
  <c r="I428" i="23"/>
  <c r="K428" i="23" s="1"/>
  <c r="C87" i="30"/>
  <c r="E87" i="30" s="1"/>
  <c r="I260" i="23"/>
  <c r="J260" i="23" s="1"/>
  <c r="C61" i="30"/>
  <c r="E61" i="30" s="1"/>
  <c r="I99" i="8"/>
  <c r="J99" i="8" s="1"/>
  <c r="E40" i="30"/>
  <c r="I268" i="8"/>
  <c r="J268" i="8" s="1"/>
  <c r="C76" i="30"/>
  <c r="E76" i="30" s="1"/>
  <c r="I391" i="8"/>
  <c r="K391" i="8" s="1"/>
  <c r="C112" i="30"/>
  <c r="E112" i="30" s="1"/>
  <c r="J386" i="23"/>
  <c r="E71" i="30"/>
  <c r="I157" i="8"/>
  <c r="K157" i="8" s="1"/>
  <c r="E46" i="30"/>
  <c r="J373" i="23"/>
  <c r="E69" i="30"/>
  <c r="K181" i="23"/>
  <c r="E43" i="30"/>
  <c r="I168" i="8"/>
  <c r="K168" i="8" s="1"/>
  <c r="I295" i="8"/>
  <c r="K295" i="8" s="1"/>
  <c r="E66" i="30"/>
  <c r="I584" i="23"/>
  <c r="J584" i="23" s="1"/>
  <c r="C145" i="30"/>
  <c r="E145" i="30" s="1"/>
  <c r="I557" i="23"/>
  <c r="J557" i="23" s="1"/>
  <c r="C137" i="30"/>
  <c r="E137" i="30" s="1"/>
  <c r="I53" i="8"/>
  <c r="J53" i="8" s="1"/>
  <c r="E28" i="30"/>
  <c r="I584" i="8"/>
  <c r="K584" i="8" s="1"/>
  <c r="C132" i="30"/>
  <c r="E132" i="30" s="1"/>
  <c r="J187" i="23"/>
  <c r="E45" i="30"/>
  <c r="I588" i="8"/>
  <c r="J588" i="8" s="1"/>
  <c r="C134" i="30"/>
  <c r="E134" i="30" s="1"/>
  <c r="I479" i="8"/>
  <c r="J479" i="8" s="1"/>
  <c r="C142" i="30"/>
  <c r="E142" i="30" s="1"/>
  <c r="I224" i="8"/>
  <c r="J224" i="8" s="1"/>
  <c r="C64" i="30"/>
  <c r="E64" i="30" s="1"/>
  <c r="I331" i="23"/>
  <c r="J331" i="23" s="1"/>
  <c r="C77" i="30"/>
  <c r="E77" i="30" s="1"/>
  <c r="K99" i="23"/>
  <c r="E35" i="30"/>
  <c r="I405" i="8"/>
  <c r="K405" i="8" s="1"/>
  <c r="E100" i="30"/>
  <c r="I307" i="8"/>
  <c r="K307" i="8" s="1"/>
  <c r="E68" i="30"/>
  <c r="I250" i="23"/>
  <c r="J250" i="23" s="1"/>
  <c r="C59" i="30"/>
  <c r="E59" i="30" s="1"/>
  <c r="K194" i="23"/>
  <c r="E47" i="30"/>
  <c r="I163" i="8"/>
  <c r="J163" i="8" s="1"/>
  <c r="E48" i="30"/>
  <c r="I330" i="8"/>
  <c r="J330" i="8" s="1"/>
  <c r="C82" i="30"/>
  <c r="E82" i="30" s="1"/>
  <c r="I201" i="8"/>
  <c r="K201" i="8" s="1"/>
  <c r="C58" i="30"/>
  <c r="E58" i="30" s="1"/>
  <c r="I395" i="8"/>
  <c r="J395" i="8" s="1"/>
  <c r="E98" i="30"/>
  <c r="I342" i="23"/>
  <c r="J342" i="23" s="1"/>
  <c r="C79" i="30"/>
  <c r="E79" i="30" s="1"/>
  <c r="J36" i="23"/>
  <c r="E23" i="30"/>
  <c r="I33" i="8"/>
  <c r="K33" i="8" s="1"/>
  <c r="E24" i="30"/>
  <c r="E22" i="30"/>
  <c r="E21" i="30"/>
  <c r="I112" i="8"/>
  <c r="K112" i="8" s="1"/>
  <c r="J20" i="23"/>
  <c r="I115" i="8"/>
  <c r="J115" i="8" s="1"/>
  <c r="I119" i="8"/>
  <c r="K119" i="8" s="1"/>
  <c r="I376" i="8"/>
  <c r="J376" i="8" s="1"/>
  <c r="I317" i="8"/>
  <c r="K317" i="8" s="1"/>
  <c r="I116" i="8"/>
  <c r="J116" i="8" s="1"/>
  <c r="I314" i="8"/>
  <c r="K314" i="8" s="1"/>
  <c r="I373" i="8"/>
  <c r="J373" i="8" s="1"/>
  <c r="I3" i="8"/>
  <c r="J3" i="8" s="1"/>
  <c r="I7" i="8"/>
  <c r="K7" i="8" s="1"/>
  <c r="I11" i="8"/>
  <c r="J11" i="8" s="1"/>
  <c r="I5" i="8"/>
  <c r="K5" i="8" s="1"/>
  <c r="I9" i="8"/>
  <c r="J9" i="8" s="1"/>
  <c r="D11" i="6" s="1"/>
  <c r="I6" i="8"/>
  <c r="J6" i="8" s="1"/>
  <c r="I4" i="8"/>
  <c r="J4" i="8" s="1"/>
  <c r="I8" i="8"/>
  <c r="K8" i="8" s="1"/>
  <c r="I10" i="8"/>
  <c r="J10" i="8" s="1"/>
  <c r="I166" i="8"/>
  <c r="J166" i="8" s="1"/>
  <c r="I390" i="8"/>
  <c r="J390" i="8" s="1"/>
  <c r="I171" i="8"/>
  <c r="K171" i="8" s="1"/>
  <c r="I155" i="8"/>
  <c r="J155" i="8" s="1"/>
  <c r="I158" i="8"/>
  <c r="K158" i="8" s="1"/>
  <c r="I293" i="8"/>
  <c r="K293" i="8" s="1"/>
  <c r="I270" i="8"/>
  <c r="K270" i="8" s="1"/>
  <c r="I299" i="8"/>
  <c r="J299" i="8" s="1"/>
  <c r="I269" i="8"/>
  <c r="J269" i="8" s="1"/>
  <c r="I217" i="8"/>
  <c r="K217" i="8" s="1"/>
  <c r="I156" i="8"/>
  <c r="K156" i="8" s="1"/>
  <c r="I315" i="8"/>
  <c r="J315" i="8" s="1"/>
  <c r="I639" i="23"/>
  <c r="J639" i="23" s="1"/>
  <c r="I648" i="23"/>
  <c r="J648" i="23" s="1"/>
  <c r="I649" i="23"/>
  <c r="J649" i="23" s="1"/>
  <c r="I647" i="23"/>
  <c r="J647" i="23" s="1"/>
  <c r="I645" i="23"/>
  <c r="J645" i="23" s="1"/>
  <c r="I646" i="23"/>
  <c r="J646" i="23" s="1"/>
  <c r="I50" i="8"/>
  <c r="J50" i="8" s="1"/>
  <c r="I555" i="8"/>
  <c r="K555" i="8" s="1"/>
  <c r="I573" i="8"/>
  <c r="J573" i="8" s="1"/>
  <c r="I571" i="8"/>
  <c r="J571" i="8" s="1"/>
  <c r="I569" i="8"/>
  <c r="J569" i="8" s="1"/>
  <c r="I566" i="8"/>
  <c r="J566" i="8" s="1"/>
  <c r="I567" i="8"/>
  <c r="J567" i="8" s="1"/>
  <c r="I565" i="8"/>
  <c r="J565" i="8" s="1"/>
  <c r="I568" i="8"/>
  <c r="J568" i="8" s="1"/>
  <c r="I572" i="8"/>
  <c r="J572" i="8" s="1"/>
  <c r="I570" i="8"/>
  <c r="J570" i="8" s="1"/>
  <c r="D12" i="6" s="1"/>
  <c r="I389" i="8"/>
  <c r="J389" i="8" s="1"/>
  <c r="I160" i="8"/>
  <c r="J160" i="8" s="1"/>
  <c r="I240" i="8"/>
  <c r="K240" i="8" s="1"/>
  <c r="I274" i="8"/>
  <c r="J274" i="8" s="1"/>
  <c r="I275" i="8"/>
  <c r="J275" i="8" s="1"/>
  <c r="I271" i="8"/>
  <c r="J271" i="8" s="1"/>
  <c r="I267" i="8"/>
  <c r="J267" i="8" s="1"/>
  <c r="I273" i="8"/>
  <c r="J273" i="8" s="1"/>
  <c r="I272" i="8"/>
  <c r="K272" i="8" s="1"/>
  <c r="I238" i="8"/>
  <c r="J238" i="8" s="1"/>
  <c r="I236" i="8"/>
  <c r="K236" i="8" s="1"/>
  <c r="I239" i="8"/>
  <c r="J239" i="8" s="1"/>
  <c r="I216" i="8"/>
  <c r="J216" i="8" s="1"/>
  <c r="I221" i="8"/>
  <c r="K221" i="8" s="1"/>
  <c r="I229" i="29"/>
  <c r="K229" i="29" s="1"/>
  <c r="I222" i="29"/>
  <c r="K222" i="29" s="1"/>
  <c r="I328" i="8"/>
  <c r="K328" i="8" s="1"/>
  <c r="I400" i="8"/>
  <c r="J400" i="8" s="1"/>
  <c r="I336" i="8"/>
  <c r="K336" i="8" s="1"/>
  <c r="I333" i="8"/>
  <c r="J333" i="8" s="1"/>
  <c r="I331" i="8"/>
  <c r="J331" i="8" s="1"/>
  <c r="I327" i="8"/>
  <c r="J327" i="8" s="1"/>
  <c r="I396" i="8"/>
  <c r="J396" i="8" s="1"/>
  <c r="I335" i="8"/>
  <c r="J335" i="8" s="1"/>
  <c r="I397" i="8"/>
  <c r="J397" i="8" s="1"/>
  <c r="I394" i="8"/>
  <c r="K394" i="8" s="1"/>
  <c r="I46" i="8"/>
  <c r="J46" i="8" s="1"/>
  <c r="I329" i="8"/>
  <c r="J329" i="8" s="1"/>
  <c r="I398" i="8"/>
  <c r="J398" i="8" s="1"/>
  <c r="I334" i="8"/>
  <c r="J334" i="8" s="1"/>
  <c r="I402" i="8"/>
  <c r="J402" i="8" s="1"/>
  <c r="I54" i="8"/>
  <c r="J54" i="8" s="1"/>
  <c r="I367" i="8"/>
  <c r="J367" i="8" s="1"/>
  <c r="I113" i="8"/>
  <c r="J113" i="8" s="1"/>
  <c r="I319" i="8"/>
  <c r="J319" i="8" s="1"/>
  <c r="I52" i="8"/>
  <c r="J52" i="8" s="1"/>
  <c r="I368" i="8"/>
  <c r="K368" i="8" s="1"/>
  <c r="I377" i="8"/>
  <c r="J377" i="8" s="1"/>
  <c r="I118" i="8"/>
  <c r="J118" i="8" s="1"/>
  <c r="I320" i="8"/>
  <c r="J320" i="8" s="1"/>
  <c r="I374" i="8"/>
  <c r="K374" i="8" s="1"/>
  <c r="I49" i="8"/>
  <c r="J49" i="8" s="1"/>
  <c r="I48" i="8"/>
  <c r="J48" i="8" s="1"/>
  <c r="G65" i="3"/>
  <c r="I221" i="29"/>
  <c r="K221" i="29" s="1"/>
  <c r="I300" i="8"/>
  <c r="K300" i="8" s="1"/>
  <c r="I363" i="8"/>
  <c r="J363" i="8" s="1"/>
  <c r="I364" i="8"/>
  <c r="J364" i="8" s="1"/>
  <c r="I47" i="8"/>
  <c r="K47" i="8" s="1"/>
  <c r="I369" i="8"/>
  <c r="J369" i="8" s="1"/>
  <c r="I366" i="8"/>
  <c r="J366" i="8" s="1"/>
  <c r="I375" i="8"/>
  <c r="J375" i="8" s="1"/>
  <c r="I117" i="8"/>
  <c r="J117" i="8" s="1"/>
  <c r="I318" i="8"/>
  <c r="J318" i="8" s="1"/>
  <c r="I51" i="8"/>
  <c r="J51" i="8" s="1"/>
  <c r="I87" i="8"/>
  <c r="K87" i="8" s="1"/>
  <c r="I223" i="29"/>
  <c r="K223" i="29" s="1"/>
  <c r="I241" i="8"/>
  <c r="K241" i="8" s="1"/>
  <c r="I227" i="29"/>
  <c r="K227" i="29" s="1"/>
  <c r="I228" i="29"/>
  <c r="K228" i="29" s="1"/>
  <c r="I224" i="29"/>
  <c r="K224" i="29" s="1"/>
  <c r="I226" i="29"/>
  <c r="K226" i="29" s="1"/>
  <c r="H251" i="10"/>
  <c r="I251" i="10" s="1"/>
  <c r="K251" i="10" s="1"/>
  <c r="I583" i="8"/>
  <c r="J583" i="8" s="1"/>
  <c r="I585" i="8"/>
  <c r="J585" i="8" s="1"/>
  <c r="I248" i="8"/>
  <c r="J248" i="8" s="1"/>
  <c r="I297" i="8"/>
  <c r="K297" i="8" s="1"/>
  <c r="I294" i="8"/>
  <c r="J294" i="8" s="1"/>
  <c r="I167" i="8"/>
  <c r="J167" i="8" s="1"/>
  <c r="I247" i="8"/>
  <c r="J247" i="8" s="1"/>
  <c r="I582" i="8"/>
  <c r="J582" i="8" s="1"/>
  <c r="I401" i="8"/>
  <c r="J401" i="8" s="1"/>
  <c r="I399" i="8"/>
  <c r="J399" i="8" s="1"/>
  <c r="I197" i="8"/>
  <c r="K197" i="8" s="1"/>
  <c r="I428" i="8"/>
  <c r="J428" i="8" s="1"/>
  <c r="I170" i="8"/>
  <c r="J170" i="8" s="1"/>
  <c r="I298" i="8"/>
  <c r="K298" i="8" s="1"/>
  <c r="I172" i="8"/>
  <c r="J172" i="8" s="1"/>
  <c r="I430" i="8"/>
  <c r="K430" i="8" s="1"/>
  <c r="I244" i="8"/>
  <c r="J244" i="8" s="1"/>
  <c r="I154" i="8"/>
  <c r="J154" i="8" s="1"/>
  <c r="O161" i="3"/>
  <c r="I245" i="8"/>
  <c r="J245" i="8" s="1"/>
  <c r="I291" i="8"/>
  <c r="K291" i="8" s="1"/>
  <c r="I212" i="8"/>
  <c r="J212" i="8" s="1"/>
  <c r="I169" i="8"/>
  <c r="K169" i="8" s="1"/>
  <c r="I249" i="8"/>
  <c r="K249" i="8" s="1"/>
  <c r="I159" i="8"/>
  <c r="J159" i="8" s="1"/>
  <c r="I17" i="29"/>
  <c r="K17" i="29" s="1"/>
  <c r="I296" i="8"/>
  <c r="J296" i="8" s="1"/>
  <c r="I332" i="8"/>
  <c r="J332" i="8" s="1"/>
  <c r="I83" i="8"/>
  <c r="J83" i="8" s="1"/>
  <c r="I81" i="8"/>
  <c r="J81" i="8" s="1"/>
  <c r="H252" i="10"/>
  <c r="I252" i="10" s="1"/>
  <c r="K252" i="10" s="1"/>
  <c r="H245" i="10"/>
  <c r="I245" i="10" s="1"/>
  <c r="K245" i="10" s="1"/>
  <c r="H246" i="10"/>
  <c r="I246" i="10" s="1"/>
  <c r="K246" i="10" s="1"/>
  <c r="H247" i="10"/>
  <c r="I247" i="10" s="1"/>
  <c r="K247" i="10" s="1"/>
  <c r="H250" i="10"/>
  <c r="I250" i="10" s="1"/>
  <c r="K250" i="10" s="1"/>
  <c r="H249" i="10"/>
  <c r="I249" i="10" s="1"/>
  <c r="K249" i="10" s="1"/>
  <c r="G70" i="3"/>
  <c r="I80" i="8"/>
  <c r="J80" i="8" s="1"/>
  <c r="I84" i="8"/>
  <c r="J84" i="8" s="1"/>
  <c r="I86" i="8"/>
  <c r="J86" i="8" s="1"/>
  <c r="I88" i="8"/>
  <c r="K88" i="8" s="1"/>
  <c r="I85" i="8"/>
  <c r="K85" i="8" s="1"/>
  <c r="I408" i="8"/>
  <c r="J408" i="8" s="1"/>
  <c r="I308" i="8"/>
  <c r="J308" i="8" s="1"/>
  <c r="I306" i="8"/>
  <c r="J306" i="8" s="1"/>
  <c r="I196" i="8"/>
  <c r="J196" i="8" s="1"/>
  <c r="I199" i="8"/>
  <c r="J199" i="8" s="1"/>
  <c r="I309" i="8"/>
  <c r="J309" i="8" s="1"/>
  <c r="I406" i="8"/>
  <c r="K406" i="8" s="1"/>
  <c r="I431" i="8"/>
  <c r="J431" i="8" s="1"/>
  <c r="I202" i="8"/>
  <c r="J202" i="8" s="1"/>
  <c r="I433" i="8"/>
  <c r="J433" i="8" s="1"/>
  <c r="I200" i="8"/>
  <c r="J200" i="8" s="1"/>
  <c r="I410" i="8"/>
  <c r="J410" i="8" s="1"/>
  <c r="I198" i="8"/>
  <c r="J198" i="8" s="1"/>
  <c r="I305" i="8"/>
  <c r="K305" i="8" s="1"/>
  <c r="I427" i="8"/>
  <c r="J427" i="8" s="1"/>
  <c r="I409" i="8"/>
  <c r="J409" i="8" s="1"/>
  <c r="I407" i="8"/>
  <c r="J407" i="8" s="1"/>
  <c r="I311" i="8"/>
  <c r="J311" i="8" s="1"/>
  <c r="I429" i="8"/>
  <c r="K429" i="8" s="1"/>
  <c r="I303" i="8"/>
  <c r="J303" i="8" s="1"/>
  <c r="I304" i="8"/>
  <c r="K304" i="8" s="1"/>
  <c r="I310" i="8"/>
  <c r="J310" i="8" s="1"/>
  <c r="J246" i="8"/>
  <c r="I209" i="8"/>
  <c r="J209" i="8" s="1"/>
  <c r="I211" i="8"/>
  <c r="J211" i="8" s="1"/>
  <c r="I205" i="8"/>
  <c r="K205" i="8" s="1"/>
  <c r="I210" i="8"/>
  <c r="J210" i="8" s="1"/>
  <c r="I16" i="29"/>
  <c r="K16" i="29" s="1"/>
  <c r="I219" i="8"/>
  <c r="I22" i="29"/>
  <c r="K22" i="29" s="1"/>
  <c r="J492" i="23"/>
  <c r="I206" i="8"/>
  <c r="J206" i="8" s="1"/>
  <c r="I218" i="8"/>
  <c r="J218" i="8" s="1"/>
  <c r="I15" i="29"/>
  <c r="K15" i="29" s="1"/>
  <c r="J493" i="23"/>
  <c r="K490" i="23"/>
  <c r="I14" i="29"/>
  <c r="K14" i="29" s="1"/>
  <c r="I19" i="29"/>
  <c r="K19" i="29" s="1"/>
  <c r="J494" i="23"/>
  <c r="I215" i="8"/>
  <c r="J215" i="8" s="1"/>
  <c r="I208" i="8"/>
  <c r="J208" i="8" s="1"/>
  <c r="I20" i="29"/>
  <c r="K20" i="29" s="1"/>
  <c r="I18" i="29"/>
  <c r="K18" i="29" s="1"/>
  <c r="K114" i="8"/>
  <c r="J114" i="8"/>
  <c r="K432" i="8"/>
  <c r="J432" i="8"/>
  <c r="J122" i="8"/>
  <c r="J37" i="8"/>
  <c r="I515" i="8"/>
  <c r="J515" i="8" s="1"/>
  <c r="I514" i="8"/>
  <c r="J514" i="8" s="1"/>
  <c r="I484" i="8"/>
  <c r="J484" i="8" s="1"/>
  <c r="J487" i="8"/>
  <c r="I38" i="8"/>
  <c r="J38" i="8" s="1"/>
  <c r="I518" i="8"/>
  <c r="K518" i="8" s="1"/>
  <c r="I516" i="8"/>
  <c r="K516" i="8" s="1"/>
  <c r="I39" i="8"/>
  <c r="J39" i="8" s="1"/>
  <c r="I41" i="8"/>
  <c r="J41" i="8" s="1"/>
  <c r="I42" i="8"/>
  <c r="K42" i="8" s="1"/>
  <c r="I520" i="8"/>
  <c r="J520" i="8" s="1"/>
  <c r="J15" i="8"/>
  <c r="K15" i="8"/>
  <c r="J70" i="8"/>
  <c r="K70" i="8"/>
  <c r="J382" i="8"/>
  <c r="K382" i="8"/>
  <c r="J179" i="8"/>
  <c r="K179" i="8"/>
  <c r="J438" i="8"/>
  <c r="K438" i="8"/>
  <c r="J323" i="8"/>
  <c r="K323" i="8"/>
  <c r="J449" i="8"/>
  <c r="K449" i="8"/>
  <c r="J108" i="8"/>
  <c r="K108" i="8"/>
  <c r="J19" i="8"/>
  <c r="K19" i="8"/>
  <c r="J63" i="8"/>
  <c r="K63" i="8"/>
  <c r="J436" i="8"/>
  <c r="K436" i="8"/>
  <c r="J422" i="8"/>
  <c r="K422" i="8"/>
  <c r="J17" i="8"/>
  <c r="K17" i="8"/>
  <c r="J287" i="8"/>
  <c r="K287" i="8"/>
  <c r="J176" i="8"/>
  <c r="K176" i="8"/>
  <c r="J446" i="8"/>
  <c r="K446" i="8"/>
  <c r="J190" i="8"/>
  <c r="K190" i="8"/>
  <c r="J28" i="8"/>
  <c r="K28" i="8"/>
  <c r="J24" i="8"/>
  <c r="K24" i="8"/>
  <c r="J62" i="8"/>
  <c r="K62" i="8"/>
  <c r="J107" i="8"/>
  <c r="K107" i="8"/>
  <c r="J486" i="8"/>
  <c r="K486" i="8"/>
  <c r="J441" i="8"/>
  <c r="K441" i="8"/>
  <c r="J140" i="8"/>
  <c r="K140" i="8"/>
  <c r="J129" i="8"/>
  <c r="K129" i="8"/>
  <c r="J351" i="8"/>
  <c r="K351" i="8"/>
  <c r="J20" i="8"/>
  <c r="K20" i="8"/>
  <c r="J25" i="8"/>
  <c r="K25" i="8"/>
  <c r="J96" i="8"/>
  <c r="K96" i="8"/>
  <c r="J145" i="8"/>
  <c r="K145" i="8"/>
  <c r="J151" i="8"/>
  <c r="K151" i="8"/>
  <c r="J187" i="8"/>
  <c r="K187" i="8"/>
  <c r="J517" i="8"/>
  <c r="K517" i="8"/>
  <c r="J135" i="8"/>
  <c r="K135" i="8"/>
  <c r="J93" i="8"/>
  <c r="K93" i="8"/>
  <c r="J359" i="8"/>
  <c r="K359" i="8"/>
  <c r="J175" i="8"/>
  <c r="K175" i="8"/>
  <c r="J231" i="8"/>
  <c r="K231" i="8"/>
  <c r="J544" i="8"/>
  <c r="K544" i="8"/>
  <c r="J543" i="8"/>
  <c r="K543" i="8"/>
  <c r="J531" i="8"/>
  <c r="K531" i="8"/>
  <c r="J439" i="8"/>
  <c r="K439" i="8"/>
  <c r="J184" i="8"/>
  <c r="K184" i="8"/>
  <c r="J74" i="8"/>
  <c r="K74" i="8"/>
  <c r="J193" i="8"/>
  <c r="K193" i="8"/>
  <c r="J91" i="8"/>
  <c r="K91" i="8"/>
  <c r="J148" i="8"/>
  <c r="K148" i="8"/>
  <c r="J14" i="8"/>
  <c r="K14" i="8"/>
  <c r="J30" i="8"/>
  <c r="K30" i="8"/>
  <c r="J139" i="8"/>
  <c r="K139" i="8"/>
  <c r="J71" i="8"/>
  <c r="K71" i="8"/>
  <c r="J386" i="8"/>
  <c r="K386" i="8"/>
  <c r="J29" i="8"/>
  <c r="K29" i="8"/>
  <c r="J92" i="8"/>
  <c r="K92" i="8"/>
  <c r="J59" i="8"/>
  <c r="K59" i="8"/>
  <c r="J136" i="8"/>
  <c r="K136" i="8"/>
  <c r="J356" i="8"/>
  <c r="K356" i="8"/>
  <c r="J77" i="8"/>
  <c r="K77" i="8"/>
  <c r="J72" i="8"/>
  <c r="K72" i="8"/>
  <c r="J288" i="8"/>
  <c r="K288" i="8"/>
  <c r="J230" i="8"/>
  <c r="K230" i="8"/>
  <c r="J181" i="8"/>
  <c r="K181" i="8"/>
  <c r="J419" i="8"/>
  <c r="K419" i="8"/>
  <c r="J43" i="8"/>
  <c r="K43" i="8"/>
  <c r="J232" i="8"/>
  <c r="K232" i="8"/>
  <c r="J233" i="8"/>
  <c r="K233" i="8"/>
  <c r="J380" i="8"/>
  <c r="K380" i="8"/>
  <c r="J541" i="8"/>
  <c r="K541" i="8"/>
  <c r="J535" i="8"/>
  <c r="K535" i="8"/>
  <c r="J534" i="8"/>
  <c r="K534" i="8"/>
  <c r="J447" i="8"/>
  <c r="K447" i="8"/>
  <c r="J451" i="8"/>
  <c r="K451" i="8"/>
  <c r="J578" i="8"/>
  <c r="K578" i="8"/>
  <c r="J21" i="8"/>
  <c r="K21" i="8"/>
  <c r="J57" i="8"/>
  <c r="K57" i="8"/>
  <c r="J60" i="8"/>
  <c r="K60" i="8"/>
  <c r="J105" i="8"/>
  <c r="K105" i="8"/>
  <c r="J418" i="8"/>
  <c r="K418" i="8"/>
  <c r="J284" i="8"/>
  <c r="K284" i="8"/>
  <c r="J437" i="8"/>
  <c r="K437" i="8"/>
  <c r="J132" i="8"/>
  <c r="K132" i="8"/>
  <c r="J141" i="8"/>
  <c r="K141" i="8"/>
  <c r="J260" i="8"/>
  <c r="K260" i="8"/>
  <c r="J354" i="8"/>
  <c r="K354" i="8"/>
  <c r="J16" i="8"/>
  <c r="K16" i="8"/>
  <c r="J26" i="8"/>
  <c r="K26" i="8"/>
  <c r="J95" i="8"/>
  <c r="K95" i="8"/>
  <c r="J149" i="8"/>
  <c r="K149" i="8"/>
  <c r="J147" i="8"/>
  <c r="K147" i="8"/>
  <c r="J523" i="8"/>
  <c r="K523" i="8"/>
  <c r="J188" i="8"/>
  <c r="K188" i="8"/>
  <c r="J455" i="8"/>
  <c r="K455" i="8"/>
  <c r="J576" i="8"/>
  <c r="K576" i="8"/>
  <c r="J440" i="8"/>
  <c r="K440" i="8"/>
  <c r="J355" i="8"/>
  <c r="K355" i="8"/>
  <c r="J150" i="8"/>
  <c r="K150" i="8"/>
  <c r="J189" i="8"/>
  <c r="K189" i="8"/>
  <c r="J185" i="8"/>
  <c r="K185" i="8"/>
  <c r="J104" i="8"/>
  <c r="K104" i="8"/>
  <c r="J353" i="8"/>
  <c r="K353" i="8"/>
  <c r="J76" i="8"/>
  <c r="K76" i="8"/>
  <c r="J180" i="8"/>
  <c r="K180" i="8"/>
  <c r="J417" i="8"/>
  <c r="K417" i="8"/>
  <c r="J413" i="8"/>
  <c r="K413" i="8"/>
  <c r="J414" i="8"/>
  <c r="K414" i="8"/>
  <c r="J227" i="8"/>
  <c r="K227" i="8"/>
  <c r="J228" i="8"/>
  <c r="K228" i="8"/>
  <c r="J383" i="8"/>
  <c r="K383" i="8"/>
  <c r="J540" i="8"/>
  <c r="K540" i="8"/>
  <c r="J539" i="8"/>
  <c r="K539" i="8"/>
  <c r="J536" i="8"/>
  <c r="K536" i="8"/>
  <c r="J450" i="8"/>
  <c r="K450" i="8"/>
  <c r="J58" i="8"/>
  <c r="K58" i="8"/>
  <c r="J103" i="8"/>
  <c r="K103" i="8"/>
  <c r="J352" i="8"/>
  <c r="K352" i="8"/>
  <c r="J138" i="8"/>
  <c r="K138" i="8"/>
  <c r="J186" i="8"/>
  <c r="K186" i="8"/>
  <c r="J18" i="8"/>
  <c r="K18" i="8"/>
  <c r="J360" i="8"/>
  <c r="K360" i="8"/>
  <c r="J73" i="8"/>
  <c r="K73" i="8"/>
  <c r="J75" i="8"/>
  <c r="K75" i="8"/>
  <c r="J385" i="8"/>
  <c r="K385" i="8"/>
  <c r="J177" i="8"/>
  <c r="K177" i="8"/>
  <c r="J178" i="8"/>
  <c r="K178" i="8"/>
  <c r="J443" i="8"/>
  <c r="K443" i="8"/>
  <c r="J384" i="8"/>
  <c r="K384" i="8"/>
  <c r="J229" i="8"/>
  <c r="K229" i="8"/>
  <c r="J324" i="8"/>
  <c r="K324" i="8"/>
  <c r="J381" i="8"/>
  <c r="K381" i="8"/>
  <c r="J533" i="8"/>
  <c r="K533" i="8"/>
  <c r="J532" i="8"/>
  <c r="K532" i="8"/>
  <c r="J542" i="8"/>
  <c r="K542" i="8"/>
  <c r="J448" i="8"/>
  <c r="K448" i="8"/>
  <c r="J454" i="8"/>
  <c r="K454" i="8"/>
  <c r="J579" i="8"/>
  <c r="K579" i="8"/>
  <c r="J577" i="8"/>
  <c r="K577" i="8"/>
  <c r="J102" i="8"/>
  <c r="K102" i="8"/>
  <c r="J27" i="8"/>
  <c r="K27" i="8"/>
  <c r="J61" i="8"/>
  <c r="K61" i="8"/>
  <c r="J415" i="8"/>
  <c r="K415" i="8"/>
  <c r="J109" i="8"/>
  <c r="K109" i="8"/>
  <c r="J106" i="8"/>
  <c r="K106" i="8"/>
  <c r="J292" i="8"/>
  <c r="K292" i="8"/>
  <c r="J69" i="8"/>
  <c r="K69" i="8"/>
  <c r="J416" i="8"/>
  <c r="K416" i="8"/>
  <c r="J442" i="8"/>
  <c r="K442" i="8"/>
  <c r="J347" i="8"/>
  <c r="K347" i="8"/>
  <c r="J137" i="8"/>
  <c r="K137" i="8"/>
  <c r="J350" i="8"/>
  <c r="K350" i="8"/>
  <c r="J94" i="8"/>
  <c r="K94" i="8"/>
  <c r="J144" i="8"/>
  <c r="K144" i="8"/>
  <c r="J146" i="8"/>
  <c r="K146" i="8"/>
  <c r="J498" i="8"/>
  <c r="K498" i="8"/>
  <c r="J473" i="8"/>
  <c r="K473" i="8"/>
  <c r="J46" i="23"/>
  <c r="J601" i="23"/>
  <c r="K601" i="23"/>
  <c r="J607" i="23"/>
  <c r="K607" i="23"/>
  <c r="J603" i="23"/>
  <c r="K603" i="23"/>
  <c r="J238" i="23"/>
  <c r="K238" i="23"/>
  <c r="J435" i="23"/>
  <c r="K435" i="23"/>
  <c r="J167" i="23"/>
  <c r="K167" i="23"/>
  <c r="J434" i="23"/>
  <c r="K434" i="23"/>
  <c r="J49" i="23"/>
  <c r="K49" i="23"/>
  <c r="J617" i="23"/>
  <c r="K617" i="23"/>
  <c r="J309" i="23"/>
  <c r="K309" i="23"/>
  <c r="J588" i="23"/>
  <c r="K588" i="23"/>
  <c r="J305" i="23"/>
  <c r="K305" i="23"/>
  <c r="J500" i="23"/>
  <c r="K500" i="23"/>
  <c r="J561" i="23"/>
  <c r="K561" i="23"/>
  <c r="J79" i="23"/>
  <c r="K79" i="23"/>
  <c r="J354" i="23"/>
  <c r="K354" i="23"/>
  <c r="J313" i="23"/>
  <c r="K313" i="23"/>
  <c r="J465" i="23"/>
  <c r="K465" i="23"/>
  <c r="J468" i="23"/>
  <c r="K468" i="23"/>
  <c r="J90" i="23"/>
  <c r="K90" i="23"/>
  <c r="J86" i="23"/>
  <c r="K86" i="23"/>
  <c r="J471" i="23"/>
  <c r="K471" i="23"/>
  <c r="J4" i="23"/>
  <c r="K4" i="23"/>
  <c r="J615" i="23"/>
  <c r="K615" i="23"/>
  <c r="J564" i="23"/>
  <c r="K564" i="23"/>
  <c r="J8" i="23"/>
  <c r="K8" i="23"/>
  <c r="J67" i="23"/>
  <c r="K67" i="23"/>
  <c r="J69" i="23"/>
  <c r="K69" i="23"/>
  <c r="J657" i="23"/>
  <c r="K657" i="23"/>
  <c r="J632" i="23"/>
  <c r="K632" i="23"/>
  <c r="J497" i="23"/>
  <c r="K497" i="23"/>
  <c r="J633" i="23"/>
  <c r="K633" i="23"/>
  <c r="J353" i="23"/>
  <c r="K353" i="23"/>
  <c r="J348" i="23"/>
  <c r="K348" i="23"/>
  <c r="J130" i="23"/>
  <c r="K130" i="23"/>
  <c r="J84" i="23"/>
  <c r="K84" i="23"/>
  <c r="J230" i="23"/>
  <c r="K230" i="23"/>
  <c r="J437" i="23"/>
  <c r="K437" i="23"/>
  <c r="J467" i="23"/>
  <c r="K467" i="23"/>
  <c r="J631" i="23"/>
  <c r="K631" i="23"/>
  <c r="J389" i="23"/>
  <c r="K389" i="23"/>
  <c r="J591" i="23"/>
  <c r="K591" i="23"/>
  <c r="J599" i="23"/>
  <c r="K599" i="23"/>
  <c r="J606" i="23"/>
  <c r="K606" i="23"/>
  <c r="J168" i="23"/>
  <c r="K168" i="23"/>
  <c r="J432" i="23"/>
  <c r="K432" i="23"/>
  <c r="J239" i="23"/>
  <c r="K239" i="23"/>
  <c r="J43" i="23"/>
  <c r="K43" i="23"/>
  <c r="J565" i="23"/>
  <c r="K565" i="23"/>
  <c r="J590" i="23"/>
  <c r="K590" i="23"/>
  <c r="J498" i="23"/>
  <c r="K498" i="23"/>
  <c r="J504" i="23"/>
  <c r="K504" i="23"/>
  <c r="J352" i="23"/>
  <c r="K352" i="23"/>
  <c r="J310" i="23"/>
  <c r="K310" i="23"/>
  <c r="J464" i="23"/>
  <c r="K464" i="23"/>
  <c r="J220" i="23"/>
  <c r="K220" i="23"/>
  <c r="J44" i="23"/>
  <c r="K44" i="23"/>
  <c r="J274" i="23"/>
  <c r="K274" i="23"/>
  <c r="J273" i="23"/>
  <c r="K273" i="23"/>
  <c r="J6" i="23"/>
  <c r="K6" i="23"/>
  <c r="J614" i="23"/>
  <c r="K614" i="23"/>
  <c r="J62" i="23"/>
  <c r="K62" i="23"/>
  <c r="J64" i="23"/>
  <c r="K64" i="23"/>
  <c r="J272" i="23"/>
  <c r="K272" i="23"/>
  <c r="J613" i="23"/>
  <c r="K613" i="23"/>
  <c r="J501" i="23"/>
  <c r="K501" i="23"/>
  <c r="J634" i="23"/>
  <c r="K634" i="23"/>
  <c r="J574" i="23"/>
  <c r="K574" i="23"/>
  <c r="J169" i="23"/>
  <c r="K169" i="23"/>
  <c r="J347" i="23"/>
  <c r="K347" i="23"/>
  <c r="J543" i="23"/>
  <c r="K543" i="23"/>
  <c r="J306" i="23"/>
  <c r="K306" i="23"/>
  <c r="J132" i="23"/>
  <c r="K132" i="23"/>
  <c r="J397" i="23"/>
  <c r="K397" i="23"/>
  <c r="J546" i="23"/>
  <c r="K546" i="23"/>
  <c r="J535" i="23"/>
  <c r="K535" i="23"/>
  <c r="J533" i="23"/>
  <c r="K533" i="23"/>
  <c r="J594" i="23"/>
  <c r="K594" i="23"/>
  <c r="J621" i="23"/>
  <c r="K621" i="23"/>
  <c r="J201" i="23"/>
  <c r="K201" i="23"/>
  <c r="J7" i="23"/>
  <c r="K7" i="23"/>
  <c r="J3" i="23"/>
  <c r="K3" i="23"/>
  <c r="J604" i="23"/>
  <c r="K604" i="23"/>
  <c r="J602" i="23"/>
  <c r="K602" i="23"/>
  <c r="J236" i="23"/>
  <c r="K236" i="23"/>
  <c r="J165" i="23"/>
  <c r="C26" i="6" s="1"/>
  <c r="K165" i="23"/>
  <c r="J242" i="23"/>
  <c r="K242" i="23"/>
  <c r="J431" i="23"/>
  <c r="K431" i="23"/>
  <c r="J240" i="23"/>
  <c r="K240" i="23"/>
  <c r="J47" i="23"/>
  <c r="K47" i="23"/>
  <c r="J563" i="23"/>
  <c r="K563" i="23"/>
  <c r="J107" i="23"/>
  <c r="K107" i="23"/>
  <c r="J592" i="23"/>
  <c r="K592" i="23"/>
  <c r="J502" i="23"/>
  <c r="K502" i="23"/>
  <c r="J308" i="23"/>
  <c r="K308" i="23"/>
  <c r="J311" i="23"/>
  <c r="K311" i="23"/>
  <c r="J351" i="23"/>
  <c r="K351" i="23"/>
  <c r="J82" i="23"/>
  <c r="K82" i="23"/>
  <c r="J42" i="23"/>
  <c r="K42" i="23"/>
  <c r="J45" i="23"/>
  <c r="K45" i="23"/>
  <c r="J48" i="23"/>
  <c r="K48" i="23"/>
  <c r="J88" i="23"/>
  <c r="K88" i="23"/>
  <c r="J659" i="23"/>
  <c r="K659" i="23"/>
  <c r="J277" i="23"/>
  <c r="K277" i="23"/>
  <c r="J9" i="23"/>
  <c r="K9" i="23"/>
  <c r="J658" i="23"/>
  <c r="K658" i="23"/>
  <c r="J276" i="23"/>
  <c r="K276" i="23"/>
  <c r="J653" i="23"/>
  <c r="K653" i="23"/>
  <c r="J275" i="23"/>
  <c r="K275" i="23"/>
  <c r="J66" i="23"/>
  <c r="K66" i="23"/>
  <c r="J68" i="23"/>
  <c r="K68" i="23"/>
  <c r="J202" i="23"/>
  <c r="K202" i="23"/>
  <c r="J204" i="23"/>
  <c r="K204" i="23"/>
  <c r="J630" i="23"/>
  <c r="K630" i="23"/>
  <c r="J577" i="23"/>
  <c r="K577" i="23"/>
  <c r="J575" i="23"/>
  <c r="K575" i="23"/>
  <c r="J531" i="23"/>
  <c r="K531" i="23"/>
  <c r="J395" i="23"/>
  <c r="K395" i="23"/>
  <c r="J128" i="23"/>
  <c r="K128" i="23"/>
  <c r="J131" i="23"/>
  <c r="K131" i="23"/>
  <c r="J127" i="23"/>
  <c r="K127" i="23"/>
  <c r="J628" i="23"/>
  <c r="K628" i="23"/>
  <c r="J532" i="23"/>
  <c r="K532" i="23"/>
  <c r="J466" i="23"/>
  <c r="K466" i="23"/>
  <c r="J595" i="23"/>
  <c r="K595" i="23"/>
  <c r="J510" i="23"/>
  <c r="K510" i="23"/>
  <c r="J600" i="23"/>
  <c r="K600" i="23"/>
  <c r="J436" i="23"/>
  <c r="K436" i="23"/>
  <c r="J171" i="23"/>
  <c r="K171" i="23"/>
  <c r="J243" i="23"/>
  <c r="K243" i="23"/>
  <c r="J170" i="23"/>
  <c r="K170" i="23"/>
  <c r="J166" i="23"/>
  <c r="K166" i="23"/>
  <c r="J610" i="23"/>
  <c r="K610" i="23"/>
  <c r="J605" i="23"/>
  <c r="K605" i="23"/>
  <c r="J503" i="23"/>
  <c r="K503" i="23"/>
  <c r="J355" i="23"/>
  <c r="K355" i="23"/>
  <c r="J562" i="23"/>
  <c r="K562" i="23"/>
  <c r="J312" i="23"/>
  <c r="K312" i="23"/>
  <c r="J87" i="23"/>
  <c r="K87" i="23"/>
  <c r="J83" i="23"/>
  <c r="K83" i="23"/>
  <c r="J89" i="23"/>
  <c r="K89" i="23"/>
  <c r="J85" i="23"/>
  <c r="K85" i="23"/>
  <c r="J463" i="23"/>
  <c r="K463" i="23"/>
  <c r="J470" i="23"/>
  <c r="K470" i="23"/>
  <c r="J5" i="23"/>
  <c r="K5" i="23"/>
  <c r="J655" i="23"/>
  <c r="K655" i="23"/>
  <c r="J611" i="23"/>
  <c r="K611" i="23"/>
  <c r="J654" i="23"/>
  <c r="K654" i="23"/>
  <c r="J616" i="23"/>
  <c r="K616" i="23"/>
  <c r="J656" i="23"/>
  <c r="K656" i="23"/>
  <c r="J63" i="23"/>
  <c r="K63" i="23"/>
  <c r="J65" i="23"/>
  <c r="K65" i="23"/>
  <c r="J205" i="23"/>
  <c r="K205" i="23"/>
  <c r="J241" i="23"/>
  <c r="K241" i="23"/>
  <c r="J206" i="23"/>
  <c r="K206" i="23"/>
  <c r="J161" i="23"/>
  <c r="K161" i="23"/>
  <c r="J350" i="23"/>
  <c r="K350" i="23"/>
  <c r="J576" i="23"/>
  <c r="K576" i="23"/>
  <c r="J141" i="23"/>
  <c r="K141" i="23"/>
  <c r="J392" i="23"/>
  <c r="K392" i="23"/>
  <c r="J391" i="23"/>
  <c r="K391" i="23"/>
  <c r="J394" i="23"/>
  <c r="K394" i="23"/>
  <c r="J390" i="23"/>
  <c r="K390" i="23"/>
  <c r="J545" i="23"/>
  <c r="K545" i="23"/>
  <c r="J544" i="23"/>
  <c r="K544" i="23"/>
  <c r="J534" i="23"/>
  <c r="K534" i="23"/>
  <c r="J393" i="23"/>
  <c r="K393" i="23"/>
  <c r="J126" i="23"/>
  <c r="K126" i="23"/>
  <c r="J133" i="23"/>
  <c r="C24" i="6" s="1"/>
  <c r="K133" i="23"/>
  <c r="J589" i="23"/>
  <c r="K589" i="23"/>
  <c r="J428" i="23"/>
  <c r="J212" i="23"/>
  <c r="K212" i="23"/>
  <c r="J207" i="23"/>
  <c r="K207" i="23"/>
  <c r="J208" i="23"/>
  <c r="K208" i="23"/>
  <c r="I36" i="8"/>
  <c r="I40" i="8"/>
  <c r="I519" i="8"/>
  <c r="I485" i="8"/>
  <c r="I488" i="8"/>
  <c r="I505" i="8"/>
  <c r="I501" i="8"/>
  <c r="I503" i="8"/>
  <c r="I474" i="8"/>
  <c r="I499" i="8"/>
  <c r="I500" i="8"/>
  <c r="I471" i="8"/>
  <c r="N162" i="3"/>
  <c r="E14" i="33" s="1"/>
  <c r="I497" i="8"/>
  <c r="I472" i="8"/>
  <c r="I502" i="8"/>
  <c r="I470" i="8"/>
  <c r="I504" i="8"/>
  <c r="O28" i="3"/>
  <c r="G86" i="3"/>
  <c r="I41" i="10"/>
  <c r="K41" i="10" s="1"/>
  <c r="I44" i="10"/>
  <c r="K44" i="10" s="1"/>
  <c r="G106" i="3"/>
  <c r="G101" i="3"/>
  <c r="I87" i="10"/>
  <c r="K87" i="10" s="1"/>
  <c r="G91" i="3"/>
  <c r="G96" i="3"/>
  <c r="I91" i="10"/>
  <c r="K91" i="10" s="1"/>
  <c r="I90" i="10"/>
  <c r="K90" i="10" s="1"/>
  <c r="I89" i="10"/>
  <c r="K89" i="10" s="1"/>
  <c r="I86" i="10"/>
  <c r="K86" i="10" s="1"/>
  <c r="I88" i="10"/>
  <c r="K88" i="10" s="1"/>
  <c r="I508" i="23"/>
  <c r="I45" i="10"/>
  <c r="K45" i="10" s="1"/>
  <c r="I85" i="10"/>
  <c r="K85" i="10" s="1"/>
  <c r="I38" i="10"/>
  <c r="K38" i="10" s="1"/>
  <c r="I137" i="23"/>
  <c r="I42" i="10"/>
  <c r="K42" i="10" s="1"/>
  <c r="I39" i="10"/>
  <c r="K39" i="10" s="1"/>
  <c r="I40" i="10"/>
  <c r="K40" i="10" s="1"/>
  <c r="I444" i="23"/>
  <c r="J19" i="6"/>
  <c r="I624" i="23"/>
  <c r="I15" i="6"/>
  <c r="I550" i="23"/>
  <c r="G45" i="3"/>
  <c r="G25" i="3"/>
  <c r="G35" i="3"/>
  <c r="I640" i="23"/>
  <c r="I113" i="29"/>
  <c r="K113" i="29" s="1"/>
  <c r="G20" i="3"/>
  <c r="I111" i="29"/>
  <c r="K111" i="29" s="1"/>
  <c r="I110" i="29"/>
  <c r="K110" i="29" s="1"/>
  <c r="G40" i="3"/>
  <c r="G60" i="3"/>
  <c r="G30" i="3"/>
  <c r="G50" i="3"/>
  <c r="I109" i="29"/>
  <c r="K109" i="29" s="1"/>
  <c r="I108" i="29"/>
  <c r="K108" i="29" s="1"/>
  <c r="I114" i="29"/>
  <c r="K114" i="29" s="1"/>
  <c r="I112" i="29"/>
  <c r="K112" i="29" s="1"/>
  <c r="I509" i="23"/>
  <c r="I513" i="23"/>
  <c r="I512" i="23"/>
  <c r="I19" i="10"/>
  <c r="K19" i="10" s="1"/>
  <c r="I423" i="23"/>
  <c r="I426" i="23"/>
  <c r="I637" i="23"/>
  <c r="I427" i="23"/>
  <c r="I343" i="23"/>
  <c r="I642" i="23"/>
  <c r="I421" i="23"/>
  <c r="I422" i="23"/>
  <c r="I106" i="29"/>
  <c r="K106" i="29" s="1"/>
  <c r="I511" i="23"/>
  <c r="I18" i="10"/>
  <c r="K18" i="10" s="1"/>
  <c r="I21" i="10"/>
  <c r="K21" i="10" s="1"/>
  <c r="I15" i="10"/>
  <c r="K15" i="10" s="1"/>
  <c r="I22" i="10"/>
  <c r="K22" i="10" s="1"/>
  <c r="I424" i="23"/>
  <c r="I638" i="23"/>
  <c r="I641" i="23"/>
  <c r="O145" i="3"/>
  <c r="I17" i="10"/>
  <c r="K17" i="10" s="1"/>
  <c r="I16" i="10"/>
  <c r="K16" i="10" s="1"/>
  <c r="I425" i="23"/>
  <c r="I44" i="29"/>
  <c r="K44" i="29" s="1"/>
  <c r="I507" i="23"/>
  <c r="I623" i="23"/>
  <c r="I620" i="23"/>
  <c r="I622" i="23"/>
  <c r="I625" i="23"/>
  <c r="I441" i="23"/>
  <c r="I440" i="23"/>
  <c r="I442" i="23"/>
  <c r="I443" i="23"/>
  <c r="I583" i="23"/>
  <c r="I581" i="23"/>
  <c r="I585" i="23"/>
  <c r="I582" i="23"/>
  <c r="I143" i="23"/>
  <c r="I524" i="8"/>
  <c r="I138" i="23"/>
  <c r="I139" i="23"/>
  <c r="H199" i="10"/>
  <c r="I199" i="10" s="1"/>
  <c r="K199" i="10" s="1"/>
  <c r="I142" i="23"/>
  <c r="I140" i="23"/>
  <c r="I136" i="23"/>
  <c r="I60" i="29"/>
  <c r="K60" i="29" s="1"/>
  <c r="I62" i="29"/>
  <c r="K62" i="29" s="1"/>
  <c r="I67" i="29"/>
  <c r="K67" i="29" s="1"/>
  <c r="I61" i="29"/>
  <c r="K61" i="29" s="1"/>
  <c r="I158" i="23"/>
  <c r="I65" i="29"/>
  <c r="K65" i="29" s="1"/>
  <c r="I525" i="8"/>
  <c r="I63" i="29"/>
  <c r="K63" i="29" s="1"/>
  <c r="I66" i="29"/>
  <c r="K66" i="29" s="1"/>
  <c r="I555" i="23"/>
  <c r="I110" i="10"/>
  <c r="K110" i="10" s="1"/>
  <c r="I540" i="23"/>
  <c r="I108" i="10"/>
  <c r="K108" i="10" s="1"/>
  <c r="I558" i="23"/>
  <c r="I109" i="10"/>
  <c r="K109" i="10" s="1"/>
  <c r="I538" i="23"/>
  <c r="I114" i="10"/>
  <c r="K114" i="10" s="1"/>
  <c r="I62" i="10"/>
  <c r="K62" i="10" s="1"/>
  <c r="I551" i="23"/>
  <c r="I111" i="10"/>
  <c r="K111" i="10" s="1"/>
  <c r="H203" i="10"/>
  <c r="I203" i="10" s="1"/>
  <c r="K203" i="10" s="1"/>
  <c r="I539" i="23"/>
  <c r="I112" i="10"/>
  <c r="K112" i="10" s="1"/>
  <c r="I552" i="23"/>
  <c r="I64" i="29"/>
  <c r="K64" i="29" s="1"/>
  <c r="I556" i="23"/>
  <c r="I113" i="10"/>
  <c r="K113" i="10" s="1"/>
  <c r="O100" i="3"/>
  <c r="O55" i="3"/>
  <c r="I328" i="23"/>
  <c r="H134" i="29"/>
  <c r="I134" i="29" s="1"/>
  <c r="K134" i="29" s="1"/>
  <c r="H204" i="10"/>
  <c r="I204" i="10" s="1"/>
  <c r="K204" i="10" s="1"/>
  <c r="I491" i="8"/>
  <c r="I493" i="8"/>
  <c r="I494" i="8"/>
  <c r="F30" i="3"/>
  <c r="F71" i="3" s="1"/>
  <c r="E13" i="33" s="1"/>
  <c r="P12" i="3"/>
  <c r="P14" i="3"/>
  <c r="P23" i="3"/>
  <c r="P93" i="3"/>
  <c r="J596" i="23"/>
  <c r="P59" i="3"/>
  <c r="P81" i="3"/>
  <c r="P111" i="3"/>
  <c r="I67" i="10"/>
  <c r="K67" i="10" s="1"/>
  <c r="I68" i="10"/>
  <c r="K68" i="10" s="1"/>
  <c r="I64" i="10"/>
  <c r="K64" i="10" s="1"/>
  <c r="I63" i="10"/>
  <c r="K63" i="10" s="1"/>
  <c r="I332" i="23"/>
  <c r="I330" i="23"/>
  <c r="I65" i="10"/>
  <c r="K65" i="10" s="1"/>
  <c r="I333" i="23"/>
  <c r="I329" i="23"/>
  <c r="I66" i="10"/>
  <c r="K66" i="10" s="1"/>
  <c r="I251" i="23"/>
  <c r="I252" i="23"/>
  <c r="I261" i="8"/>
  <c r="I247" i="23"/>
  <c r="I249" i="23"/>
  <c r="I248" i="23"/>
  <c r="H204" i="29"/>
  <c r="I204" i="29" s="1"/>
  <c r="K204" i="29" s="1"/>
  <c r="I334" i="23"/>
  <c r="I327" i="23"/>
  <c r="H129" i="29"/>
  <c r="I129" i="29" s="1"/>
  <c r="K129" i="29" s="1"/>
  <c r="H133" i="29"/>
  <c r="I133" i="29" s="1"/>
  <c r="K133" i="29" s="1"/>
  <c r="H132" i="29"/>
  <c r="I132" i="29" s="1"/>
  <c r="K132" i="29" s="1"/>
  <c r="H136" i="29"/>
  <c r="I136" i="29" s="1"/>
  <c r="K136" i="29" s="1"/>
  <c r="H137" i="29"/>
  <c r="I137" i="29" s="1"/>
  <c r="K137" i="29" s="1"/>
  <c r="I341" i="8"/>
  <c r="I340" i="8"/>
  <c r="I267" i="23"/>
  <c r="I269" i="23"/>
  <c r="I265" i="23"/>
  <c r="I268" i="23"/>
  <c r="H200" i="10"/>
  <c r="I200" i="10" s="1"/>
  <c r="K200" i="10" s="1"/>
  <c r="I527" i="8"/>
  <c r="I528" i="8"/>
  <c r="I526" i="8"/>
  <c r="H205" i="10"/>
  <c r="I205" i="10" s="1"/>
  <c r="K205" i="10" s="1"/>
  <c r="I41" i="29"/>
  <c r="I42" i="29"/>
  <c r="K42" i="29" s="1"/>
  <c r="I257" i="8"/>
  <c r="O19" i="3"/>
  <c r="I39" i="29"/>
  <c r="K39" i="29" s="1"/>
  <c r="H38" i="29"/>
  <c r="I38" i="29" s="1"/>
  <c r="K38" i="29" s="1"/>
  <c r="I346" i="8"/>
  <c r="O127" i="3"/>
  <c r="I467" i="8"/>
  <c r="I466" i="8"/>
  <c r="I465" i="8"/>
  <c r="I464" i="8"/>
  <c r="O64" i="3"/>
  <c r="I278" i="8"/>
  <c r="I283" i="8"/>
  <c r="I282" i="8"/>
  <c r="O82" i="3"/>
  <c r="I279" i="8"/>
  <c r="I91" i="29"/>
  <c r="K91" i="29" s="1"/>
  <c r="I87" i="29"/>
  <c r="K87" i="29" s="1"/>
  <c r="I85" i="29"/>
  <c r="K85" i="29" s="1"/>
  <c r="I160" i="23"/>
  <c r="I159" i="23"/>
  <c r="I157" i="23"/>
  <c r="I156" i="23"/>
  <c r="I162" i="23"/>
  <c r="O118" i="3"/>
  <c r="O136" i="3"/>
  <c r="O109" i="3"/>
  <c r="I560" i="8"/>
  <c r="O73" i="3"/>
  <c r="I521" i="23"/>
  <c r="I528" i="23"/>
  <c r="I418" i="23"/>
  <c r="I412" i="23"/>
  <c r="I415" i="23"/>
  <c r="I417" i="23"/>
  <c r="I411" i="23"/>
  <c r="I414" i="23"/>
  <c r="I413" i="23"/>
  <c r="I416" i="23"/>
  <c r="I45" i="29"/>
  <c r="K45" i="29" s="1"/>
  <c r="I43" i="29"/>
  <c r="K43" i="29" s="1"/>
  <c r="I37" i="29"/>
  <c r="K37" i="29" s="1"/>
  <c r="H130" i="29"/>
  <c r="I130" i="29" s="1"/>
  <c r="K130" i="29" s="1"/>
  <c r="H135" i="29"/>
  <c r="I135" i="29" s="1"/>
  <c r="K135" i="29" s="1"/>
  <c r="I262" i="8"/>
  <c r="I340" i="23"/>
  <c r="I517" i="23"/>
  <c r="I424" i="8"/>
  <c r="I259" i="8"/>
  <c r="I339" i="23"/>
  <c r="I343" i="8"/>
  <c r="I339" i="8"/>
  <c r="I526" i="23"/>
  <c r="O46" i="3"/>
  <c r="I423" i="8"/>
  <c r="I258" i="8"/>
  <c r="I344" i="23"/>
  <c r="I337" i="23"/>
  <c r="O91" i="3"/>
  <c r="O154" i="3"/>
  <c r="I263" i="8"/>
  <c r="I341" i="23"/>
  <c r="I518" i="23"/>
  <c r="I255" i="8"/>
  <c r="I338" i="23"/>
  <c r="I525" i="23"/>
  <c r="O37" i="3"/>
  <c r="I520" i="23"/>
  <c r="I557" i="8"/>
  <c r="I257" i="23"/>
  <c r="I562" i="8"/>
  <c r="H158" i="10"/>
  <c r="I158" i="10" s="1"/>
  <c r="K158" i="10" s="1"/>
  <c r="I261" i="23"/>
  <c r="I554" i="8"/>
  <c r="I556" i="8"/>
  <c r="I559" i="8"/>
  <c r="H153" i="10"/>
  <c r="I153" i="10" s="1"/>
  <c r="K153" i="10" s="1"/>
  <c r="H160" i="10"/>
  <c r="I160" i="10" s="1"/>
  <c r="K160" i="10" s="1"/>
  <c r="I561" i="8"/>
  <c r="H159" i="10"/>
  <c r="I159" i="10" s="1"/>
  <c r="K159" i="10" s="1"/>
  <c r="H156" i="10"/>
  <c r="I156" i="10" s="1"/>
  <c r="K156" i="10" s="1"/>
  <c r="I558" i="8"/>
  <c r="H157" i="10"/>
  <c r="I157" i="10" s="1"/>
  <c r="K157" i="10" s="1"/>
  <c r="I90" i="29"/>
  <c r="K90" i="29" s="1"/>
  <c r="H154" i="10"/>
  <c r="I154" i="10" s="1"/>
  <c r="K154" i="10" s="1"/>
  <c r="H205" i="29"/>
  <c r="I205" i="29" s="1"/>
  <c r="K205" i="29" s="1"/>
  <c r="I84" i="29"/>
  <c r="K84" i="29" s="1"/>
  <c r="I83" i="29"/>
  <c r="K83" i="29" s="1"/>
  <c r="H203" i="29"/>
  <c r="I203" i="29" s="1"/>
  <c r="K203" i="29" s="1"/>
  <c r="H201" i="29"/>
  <c r="I201" i="29" s="1"/>
  <c r="K201" i="29" s="1"/>
  <c r="I404" i="23"/>
  <c r="I408" i="23"/>
  <c r="I400" i="23"/>
  <c r="I407" i="23"/>
  <c r="I403" i="23"/>
  <c r="I406" i="23"/>
  <c r="I405" i="23"/>
  <c r="I402" i="23"/>
  <c r="I401" i="23"/>
  <c r="H200" i="29"/>
  <c r="I200" i="29" s="1"/>
  <c r="K200" i="29" s="1"/>
  <c r="I262" i="23"/>
  <c r="I259" i="23"/>
  <c r="I258" i="23"/>
  <c r="H199" i="29"/>
  <c r="I199" i="29" s="1"/>
  <c r="K199" i="29" s="1"/>
  <c r="I89" i="29"/>
  <c r="K89" i="29" s="1"/>
  <c r="I256" i="23"/>
  <c r="I477" i="8"/>
  <c r="I481" i="8"/>
  <c r="I480" i="8"/>
  <c r="I478" i="8"/>
  <c r="H198" i="29"/>
  <c r="I198" i="29" s="1"/>
  <c r="K198" i="29" s="1"/>
  <c r="H206" i="29"/>
  <c r="I206" i="29" s="1"/>
  <c r="K206" i="29" s="1"/>
  <c r="I88" i="29"/>
  <c r="K88" i="29" s="1"/>
  <c r="I255" i="23"/>
  <c r="H201" i="10"/>
  <c r="I201" i="10" s="1"/>
  <c r="K201" i="10" s="1"/>
  <c r="H206" i="10"/>
  <c r="I206" i="10" s="1"/>
  <c r="K206" i="10" s="1"/>
  <c r="I449" i="23"/>
  <c r="I452" i="23"/>
  <c r="I448" i="23"/>
  <c r="I451" i="23"/>
  <c r="I453" i="23"/>
  <c r="I450" i="23"/>
  <c r="I519" i="23"/>
  <c r="I516" i="23"/>
  <c r="I524" i="23"/>
  <c r="I527" i="23"/>
  <c r="H236" i="10"/>
  <c r="I236" i="10" s="1"/>
  <c r="K236" i="10" s="1"/>
  <c r="H241" i="10"/>
  <c r="I241" i="10" s="1"/>
  <c r="H235" i="10"/>
  <c r="I235" i="10" s="1"/>
  <c r="K235" i="10" s="1"/>
  <c r="H233" i="10"/>
  <c r="I233" i="10" s="1"/>
  <c r="K233" i="10" s="1"/>
  <c r="H240" i="10"/>
  <c r="I240" i="10" s="1"/>
  <c r="K240" i="10" s="1"/>
  <c r="H239" i="10"/>
  <c r="I239" i="10" s="1"/>
  <c r="K239" i="10" s="1"/>
  <c r="H234" i="10"/>
  <c r="I234" i="10" s="1"/>
  <c r="K234" i="10" s="1"/>
  <c r="H238" i="10"/>
  <c r="I238" i="10" s="1"/>
  <c r="K238" i="10" s="1"/>
  <c r="H237" i="10"/>
  <c r="I237" i="10" s="1"/>
  <c r="K237" i="10" s="1"/>
  <c r="I149" i="23"/>
  <c r="I152" i="23"/>
  <c r="I150" i="23"/>
  <c r="I151" i="23"/>
  <c r="I148" i="23"/>
  <c r="I146" i="23"/>
  <c r="I147" i="23"/>
  <c r="I153" i="23"/>
  <c r="I316" i="23"/>
  <c r="I322" i="23"/>
  <c r="I324" i="23"/>
  <c r="I320" i="23"/>
  <c r="I318" i="23"/>
  <c r="I323" i="23"/>
  <c r="I319" i="23"/>
  <c r="I321" i="23"/>
  <c r="I317" i="23"/>
  <c r="I459" i="8"/>
  <c r="I461" i="8"/>
  <c r="I460" i="8"/>
  <c r="I458" i="8"/>
  <c r="I281" i="8"/>
  <c r="I280" i="8"/>
  <c r="I256" i="8"/>
  <c r="I264" i="8"/>
  <c r="I460" i="23"/>
  <c r="I459" i="23"/>
  <c r="I458" i="23"/>
  <c r="I456" i="23"/>
  <c r="I457" i="23"/>
  <c r="I508" i="8"/>
  <c r="I510" i="8"/>
  <c r="I511" i="8"/>
  <c r="I509" i="8"/>
  <c r="H53" i="10"/>
  <c r="I53" i="10" s="1"/>
  <c r="K53" i="10" s="1"/>
  <c r="H54" i="10"/>
  <c r="I54" i="10" s="1"/>
  <c r="K54" i="10" s="1"/>
  <c r="H50" i="10"/>
  <c r="I50" i="10" s="1"/>
  <c r="K50" i="10" s="1"/>
  <c r="H52" i="10"/>
  <c r="I52" i="10" s="1"/>
  <c r="K52" i="10" s="1"/>
  <c r="H57" i="10"/>
  <c r="I57" i="10" s="1"/>
  <c r="K57" i="10" s="1"/>
  <c r="H49" i="10"/>
  <c r="I49" i="10" s="1"/>
  <c r="K49" i="10" s="1"/>
  <c r="H56" i="10"/>
  <c r="I56" i="10" s="1"/>
  <c r="K56" i="10" s="1"/>
  <c r="H51" i="10"/>
  <c r="I51" i="10" s="1"/>
  <c r="K51" i="10" s="1"/>
  <c r="H55" i="10"/>
  <c r="I55" i="10" s="1"/>
  <c r="K55" i="10" s="1"/>
  <c r="I342" i="8"/>
  <c r="I345" i="8"/>
  <c r="I344" i="8"/>
  <c r="I571" i="23"/>
  <c r="I570" i="23"/>
  <c r="I569" i="23"/>
  <c r="I568" i="23"/>
  <c r="J181" i="23" l="1"/>
  <c r="K36" i="23"/>
  <c r="J194" i="23"/>
  <c r="J99" i="23"/>
  <c r="J391" i="8"/>
  <c r="K252" i="8"/>
  <c r="K386" i="23"/>
  <c r="K116" i="23"/>
  <c r="K492" i="8"/>
  <c r="K293" i="23"/>
  <c r="K268" i="8"/>
  <c r="J365" i="23"/>
  <c r="J266" i="23"/>
  <c r="J445" i="23"/>
  <c r="K557" i="23"/>
  <c r="K115" i="8"/>
  <c r="K99" i="8"/>
  <c r="J316" i="8"/>
  <c r="K331" i="23"/>
  <c r="K584" i="23"/>
  <c r="K187" i="23"/>
  <c r="K395" i="8"/>
  <c r="J220" i="8"/>
  <c r="K207" i="8"/>
  <c r="J295" i="8"/>
  <c r="K297" i="23"/>
  <c r="J307" i="8"/>
  <c r="K588" i="8"/>
  <c r="J157" i="8"/>
  <c r="K330" i="8"/>
  <c r="J112" i="8"/>
  <c r="J405" i="8"/>
  <c r="K373" i="23"/>
  <c r="K487" i="23"/>
  <c r="K250" i="23"/>
  <c r="K342" i="23"/>
  <c r="K260" i="23"/>
  <c r="J33" i="8"/>
  <c r="K224" i="8"/>
  <c r="J584" i="8"/>
  <c r="K479" i="8"/>
  <c r="K66" i="8"/>
  <c r="J372" i="8"/>
  <c r="K163" i="8"/>
  <c r="J82" i="8"/>
  <c r="J201" i="8"/>
  <c r="J168" i="8"/>
  <c r="K491" i="23"/>
  <c r="J365" i="8"/>
  <c r="D10" i="6" s="1"/>
  <c r="J237" i="8"/>
  <c r="K53" i="8"/>
  <c r="K19" i="30"/>
  <c r="K61" i="30" s="1"/>
  <c r="I61" i="30"/>
  <c r="E49" i="30"/>
  <c r="K20" i="23"/>
  <c r="J314" i="8"/>
  <c r="E20" i="30"/>
  <c r="J119" i="8"/>
  <c r="J317" i="8"/>
  <c r="J293" i="8"/>
  <c r="K3" i="8"/>
  <c r="C18" i="6"/>
  <c r="K376" i="8"/>
  <c r="K373" i="8"/>
  <c r="K6" i="8"/>
  <c r="J158" i="8"/>
  <c r="K166" i="8"/>
  <c r="K116" i="8"/>
  <c r="J217" i="8"/>
  <c r="K275" i="8"/>
  <c r="K389" i="8"/>
  <c r="K390" i="8"/>
  <c r="J272" i="8"/>
  <c r="J8" i="8"/>
  <c r="K50" i="8"/>
  <c r="J171" i="8"/>
  <c r="K299" i="8"/>
  <c r="J270" i="8"/>
  <c r="K155" i="8"/>
  <c r="J156" i="8"/>
  <c r="J221" i="8"/>
  <c r="K639" i="23"/>
  <c r="K269" i="8"/>
  <c r="K315" i="8"/>
  <c r="J240" i="8"/>
  <c r="K400" i="8"/>
  <c r="K46" i="8"/>
  <c r="K160" i="8"/>
  <c r="K238" i="8"/>
  <c r="K369" i="8"/>
  <c r="J394" i="8"/>
  <c r="J555" i="8"/>
  <c r="K402" i="8"/>
  <c r="K319" i="8"/>
  <c r="K396" i="8"/>
  <c r="J336" i="8"/>
  <c r="K51" i="8"/>
  <c r="K118" i="8"/>
  <c r="K274" i="8"/>
  <c r="K48" i="8"/>
  <c r="K239" i="8"/>
  <c r="K273" i="8"/>
  <c r="K366" i="8"/>
  <c r="K271" i="8"/>
  <c r="J236" i="8"/>
  <c r="K363" i="8"/>
  <c r="K267" i="8"/>
  <c r="J169" i="8"/>
  <c r="K10" i="8"/>
  <c r="J328" i="8"/>
  <c r="K216" i="8"/>
  <c r="K367" i="8"/>
  <c r="J87" i="8"/>
  <c r="K375" i="8"/>
  <c r="K52" i="8"/>
  <c r="K320" i="8"/>
  <c r="K54" i="8"/>
  <c r="K333" i="8"/>
  <c r="K329" i="8"/>
  <c r="J197" i="8"/>
  <c r="K335" i="8"/>
  <c r="K364" i="8"/>
  <c r="K331" i="8"/>
  <c r="J47" i="8"/>
  <c r="J374" i="8"/>
  <c r="I19" i="6"/>
  <c r="K19" i="6" s="1"/>
  <c r="K334" i="8"/>
  <c r="K377" i="8"/>
  <c r="K397" i="8"/>
  <c r="K318" i="8"/>
  <c r="J368" i="8"/>
  <c r="K398" i="8"/>
  <c r="K117" i="8"/>
  <c r="K327" i="8"/>
  <c r="J300" i="8"/>
  <c r="J490" i="23"/>
  <c r="K113" i="8"/>
  <c r="K49" i="8"/>
  <c r="J7" i="8"/>
  <c r="J249" i="8"/>
  <c r="K86" i="8"/>
  <c r="K199" i="8"/>
  <c r="J305" i="8"/>
  <c r="K4" i="8"/>
  <c r="K399" i="8"/>
  <c r="J241" i="8"/>
  <c r="J297" i="8"/>
  <c r="K154" i="8"/>
  <c r="K309" i="8"/>
  <c r="K294" i="8"/>
  <c r="K493" i="23"/>
  <c r="K428" i="8"/>
  <c r="J298" i="8"/>
  <c r="J304" i="8"/>
  <c r="K245" i="8"/>
  <c r="K202" i="8"/>
  <c r="K433" i="8"/>
  <c r="K492" i="23"/>
  <c r="K585" i="8"/>
  <c r="K200" i="8"/>
  <c r="K583" i="8"/>
  <c r="J430" i="8"/>
  <c r="K332" i="8"/>
  <c r="K401" i="8"/>
  <c r="J429" i="8"/>
  <c r="J5" i="8"/>
  <c r="K198" i="8"/>
  <c r="K84" i="8"/>
  <c r="K210" i="8"/>
  <c r="J406" i="8"/>
  <c r="J88" i="8"/>
  <c r="D16" i="6" s="1"/>
  <c r="K427" i="8"/>
  <c r="K167" i="8"/>
  <c r="K170" i="8"/>
  <c r="K159" i="8"/>
  <c r="K310" i="8"/>
  <c r="K247" i="8"/>
  <c r="K9" i="8"/>
  <c r="J85" i="8"/>
  <c r="K244" i="8"/>
  <c r="K494" i="23"/>
  <c r="K248" i="8"/>
  <c r="K410" i="8"/>
  <c r="K303" i="8"/>
  <c r="K582" i="8"/>
  <c r="K80" i="8"/>
  <c r="J291" i="8"/>
  <c r="K296" i="8"/>
  <c r="K311" i="8"/>
  <c r="K206" i="8"/>
  <c r="K83" i="8"/>
  <c r="K172" i="8"/>
  <c r="K308" i="8"/>
  <c r="K212" i="8"/>
  <c r="J205" i="8"/>
  <c r="K81" i="8"/>
  <c r="K209" i="8"/>
  <c r="K408" i="8"/>
  <c r="K215" i="8"/>
  <c r="K211" i="8"/>
  <c r="K306" i="8"/>
  <c r="K11" i="8"/>
  <c r="K208" i="8"/>
  <c r="K196" i="8"/>
  <c r="K431" i="8"/>
  <c r="K409" i="8"/>
  <c r="K407" i="8"/>
  <c r="I9" i="6"/>
  <c r="K218" i="8"/>
  <c r="K219" i="8"/>
  <c r="J219" i="8"/>
  <c r="K515" i="8"/>
  <c r="D18" i="6"/>
  <c r="K38" i="8"/>
  <c r="J42" i="8"/>
  <c r="K514" i="8"/>
  <c r="J516" i="8"/>
  <c r="K484" i="8"/>
  <c r="K39" i="8"/>
  <c r="J518" i="8"/>
  <c r="K41" i="8"/>
  <c r="K520" i="8"/>
  <c r="D27" i="6"/>
  <c r="J10" i="6"/>
  <c r="K241" i="10"/>
  <c r="K255" i="10" s="1"/>
  <c r="I10" i="6"/>
  <c r="K41" i="29"/>
  <c r="K255" i="29" s="1"/>
  <c r="J477" i="8"/>
  <c r="K477" i="8"/>
  <c r="J556" i="8"/>
  <c r="K556" i="8"/>
  <c r="J128" i="8"/>
  <c r="K128" i="8"/>
  <c r="J562" i="8"/>
  <c r="K562" i="8"/>
  <c r="J263" i="8"/>
  <c r="K263" i="8"/>
  <c r="J343" i="8"/>
  <c r="K343" i="8"/>
  <c r="J424" i="8"/>
  <c r="K424" i="8"/>
  <c r="J279" i="8"/>
  <c r="K279" i="8"/>
  <c r="J278" i="8"/>
  <c r="K278" i="8"/>
  <c r="J467" i="8"/>
  <c r="K467" i="8"/>
  <c r="J527" i="8"/>
  <c r="K527" i="8"/>
  <c r="J510" i="8"/>
  <c r="K510" i="8"/>
  <c r="J460" i="8"/>
  <c r="K460" i="8"/>
  <c r="J258" i="8"/>
  <c r="K258" i="8"/>
  <c r="J464" i="8"/>
  <c r="K464" i="8"/>
  <c r="J525" i="8"/>
  <c r="K525" i="8"/>
  <c r="J508" i="8"/>
  <c r="K508" i="8"/>
  <c r="J280" i="8"/>
  <c r="K280" i="8"/>
  <c r="J461" i="8"/>
  <c r="K461" i="8"/>
  <c r="J480" i="8"/>
  <c r="K480" i="8"/>
  <c r="J124" i="8"/>
  <c r="K124" i="8"/>
  <c r="J561" i="8"/>
  <c r="K561" i="8"/>
  <c r="J557" i="8"/>
  <c r="K557" i="8"/>
  <c r="J423" i="8"/>
  <c r="K423" i="8"/>
  <c r="J560" i="8"/>
  <c r="D15" i="6" s="1"/>
  <c r="K560" i="8"/>
  <c r="J282" i="8"/>
  <c r="K282" i="8"/>
  <c r="J465" i="8"/>
  <c r="K465" i="8"/>
  <c r="J346" i="8"/>
  <c r="K346" i="8"/>
  <c r="J257" i="8"/>
  <c r="K257" i="8"/>
  <c r="J526" i="8"/>
  <c r="K526" i="8"/>
  <c r="J340" i="8"/>
  <c r="K340" i="8"/>
  <c r="J524" i="8"/>
  <c r="K524" i="8"/>
  <c r="J504" i="8"/>
  <c r="K504" i="8"/>
  <c r="J497" i="8"/>
  <c r="K497" i="8"/>
  <c r="J499" i="8"/>
  <c r="K499" i="8"/>
  <c r="J505" i="8"/>
  <c r="K505" i="8"/>
  <c r="J40" i="8"/>
  <c r="K40" i="8"/>
  <c r="J345" i="8"/>
  <c r="K345" i="8"/>
  <c r="J511" i="8"/>
  <c r="K511" i="8"/>
  <c r="J264" i="8"/>
  <c r="K264" i="8"/>
  <c r="J458" i="8"/>
  <c r="K458" i="8"/>
  <c r="J494" i="8"/>
  <c r="K494" i="8"/>
  <c r="J491" i="8"/>
  <c r="K491" i="8"/>
  <c r="J342" i="8"/>
  <c r="K342" i="8"/>
  <c r="J256" i="8"/>
  <c r="K256" i="8"/>
  <c r="J478" i="8"/>
  <c r="K478" i="8"/>
  <c r="J558" i="8"/>
  <c r="K558" i="8"/>
  <c r="J125" i="8"/>
  <c r="K125" i="8"/>
  <c r="J262" i="8"/>
  <c r="K262" i="8"/>
  <c r="J472" i="8"/>
  <c r="K472" i="8"/>
  <c r="J500" i="8"/>
  <c r="K500" i="8"/>
  <c r="J501" i="8"/>
  <c r="K501" i="8"/>
  <c r="J519" i="8"/>
  <c r="K519" i="8"/>
  <c r="J344" i="8"/>
  <c r="K344" i="8"/>
  <c r="J509" i="8"/>
  <c r="K509" i="8"/>
  <c r="J281" i="8"/>
  <c r="K281" i="8"/>
  <c r="J459" i="8"/>
  <c r="K459" i="8"/>
  <c r="J481" i="8"/>
  <c r="K481" i="8"/>
  <c r="J127" i="8"/>
  <c r="K127" i="8"/>
  <c r="J559" i="8"/>
  <c r="K559" i="8"/>
  <c r="J554" i="8"/>
  <c r="K554" i="8"/>
  <c r="J123" i="8"/>
  <c r="K123" i="8"/>
  <c r="J255" i="8"/>
  <c r="K255" i="8"/>
  <c r="J339" i="8"/>
  <c r="K339" i="8"/>
  <c r="J259" i="8"/>
  <c r="K259" i="8"/>
  <c r="J126" i="8"/>
  <c r="K126" i="8"/>
  <c r="J283" i="8"/>
  <c r="K283" i="8"/>
  <c r="J466" i="8"/>
  <c r="K466" i="8"/>
  <c r="J528" i="8"/>
  <c r="K528" i="8"/>
  <c r="J341" i="8"/>
  <c r="K341" i="8"/>
  <c r="J261" i="8"/>
  <c r="K261" i="8"/>
  <c r="J493" i="8"/>
  <c r="K493" i="8"/>
  <c r="J470" i="8"/>
  <c r="K470" i="8"/>
  <c r="J474" i="8"/>
  <c r="K474" i="8"/>
  <c r="J488" i="8"/>
  <c r="K488" i="8"/>
  <c r="J36" i="8"/>
  <c r="K36" i="8"/>
  <c r="C15" i="6"/>
  <c r="J502" i="8"/>
  <c r="K502" i="8"/>
  <c r="J471" i="8"/>
  <c r="K471" i="8"/>
  <c r="J503" i="8"/>
  <c r="K503" i="8"/>
  <c r="J485" i="8"/>
  <c r="K485" i="8"/>
  <c r="J570" i="23"/>
  <c r="K570" i="23"/>
  <c r="J458" i="23"/>
  <c r="K458" i="23"/>
  <c r="J286" i="23"/>
  <c r="K286" i="23"/>
  <c r="J281" i="23"/>
  <c r="K281" i="23"/>
  <c r="J321" i="23"/>
  <c r="K321" i="23"/>
  <c r="J153" i="23"/>
  <c r="K153" i="23"/>
  <c r="J478" i="23"/>
  <c r="K478" i="23"/>
  <c r="J451" i="23"/>
  <c r="K451" i="23"/>
  <c r="J300" i="23"/>
  <c r="K300" i="23"/>
  <c r="J256" i="23"/>
  <c r="K256" i="23"/>
  <c r="J407" i="23"/>
  <c r="K407" i="23"/>
  <c r="J94" i="23"/>
  <c r="K94" i="23"/>
  <c r="J73" i="23"/>
  <c r="K73" i="23"/>
  <c r="J520" i="23"/>
  <c r="K520" i="23"/>
  <c r="J74" i="23"/>
  <c r="K74" i="23"/>
  <c r="J108" i="23"/>
  <c r="K108" i="23"/>
  <c r="J517" i="23"/>
  <c r="K517" i="23"/>
  <c r="J24" i="23"/>
  <c r="K24" i="23"/>
  <c r="J121" i="23"/>
  <c r="K121" i="23"/>
  <c r="J267" i="23"/>
  <c r="K267" i="23"/>
  <c r="J327" i="23"/>
  <c r="K327" i="23"/>
  <c r="J226" i="23"/>
  <c r="K226" i="23"/>
  <c r="J188" i="23"/>
  <c r="K188" i="23"/>
  <c r="J249" i="23"/>
  <c r="K249" i="23"/>
  <c r="J186" i="23"/>
  <c r="K186" i="23"/>
  <c r="J189" i="23"/>
  <c r="K189" i="23"/>
  <c r="J294" i="23"/>
  <c r="K294" i="23"/>
  <c r="J333" i="23"/>
  <c r="K333" i="23"/>
  <c r="J332" i="23"/>
  <c r="K332" i="23"/>
  <c r="J178" i="23"/>
  <c r="K178" i="23"/>
  <c r="J37" i="23"/>
  <c r="K37" i="23"/>
  <c r="J195" i="23"/>
  <c r="K195" i="23"/>
  <c r="J328" i="23"/>
  <c r="K328" i="23"/>
  <c r="J97" i="23"/>
  <c r="K97" i="23"/>
  <c r="J101" i="23"/>
  <c r="K101" i="23"/>
  <c r="J551" i="23"/>
  <c r="K551" i="23"/>
  <c r="J140" i="23"/>
  <c r="K140" i="23"/>
  <c r="J138" i="23"/>
  <c r="K138" i="23"/>
  <c r="J585" i="23"/>
  <c r="K585" i="23"/>
  <c r="J117" i="23"/>
  <c r="K117" i="23"/>
  <c r="J442" i="23"/>
  <c r="K442" i="23"/>
  <c r="J622" i="23"/>
  <c r="K622" i="23"/>
  <c r="J120" i="23"/>
  <c r="K120" i="23"/>
  <c r="J638" i="23"/>
  <c r="K638" i="23"/>
  <c r="J384" i="23"/>
  <c r="K384" i="23"/>
  <c r="J19" i="23"/>
  <c r="K19" i="23"/>
  <c r="J642" i="23"/>
  <c r="K642" i="23"/>
  <c r="J426" i="23"/>
  <c r="K426" i="23"/>
  <c r="J217" i="23"/>
  <c r="K217" i="23"/>
  <c r="J18" i="23"/>
  <c r="K18" i="23"/>
  <c r="J509" i="23"/>
  <c r="K509" i="23"/>
  <c r="J379" i="23"/>
  <c r="K379" i="23"/>
  <c r="J370" i="23"/>
  <c r="K370" i="23"/>
  <c r="J483" i="23"/>
  <c r="K483" i="23"/>
  <c r="J371" i="23"/>
  <c r="K371" i="23"/>
  <c r="J484" i="23"/>
  <c r="K484" i="23"/>
  <c r="J364" i="23"/>
  <c r="K364" i="23"/>
  <c r="J363" i="23"/>
  <c r="K363" i="23"/>
  <c r="J53" i="23"/>
  <c r="K53" i="23"/>
  <c r="J320" i="23"/>
  <c r="K320" i="23"/>
  <c r="J519" i="23"/>
  <c r="K519" i="23"/>
  <c r="J112" i="23"/>
  <c r="K112" i="23"/>
  <c r="J259" i="23"/>
  <c r="K259" i="23"/>
  <c r="J402" i="23"/>
  <c r="K402" i="23"/>
  <c r="J55" i="23"/>
  <c r="K55" i="23"/>
  <c r="J571" i="23"/>
  <c r="K571" i="23"/>
  <c r="J283" i="23"/>
  <c r="K283" i="23"/>
  <c r="J106" i="23"/>
  <c r="K106" i="23"/>
  <c r="J319" i="23"/>
  <c r="K319" i="23"/>
  <c r="J324" i="23"/>
  <c r="K324" i="23"/>
  <c r="J147" i="23"/>
  <c r="K147" i="23"/>
  <c r="J150" i="23"/>
  <c r="K150" i="23"/>
  <c r="J527" i="23"/>
  <c r="K527" i="23"/>
  <c r="J221" i="23"/>
  <c r="K221" i="23"/>
  <c r="J105" i="23"/>
  <c r="K105" i="23"/>
  <c r="J448" i="23"/>
  <c r="K448" i="23"/>
  <c r="J110" i="23"/>
  <c r="K110" i="23"/>
  <c r="J301" i="23"/>
  <c r="K301" i="23"/>
  <c r="J262" i="23"/>
  <c r="K262" i="23"/>
  <c r="J405" i="23"/>
  <c r="K405" i="23"/>
  <c r="J400" i="23"/>
  <c r="K400" i="23"/>
  <c r="J76" i="23"/>
  <c r="K76" i="23"/>
  <c r="J72" i="23"/>
  <c r="K72" i="23"/>
  <c r="J98" i="23"/>
  <c r="K98" i="23"/>
  <c r="J111" i="23"/>
  <c r="K111" i="23"/>
  <c r="J338" i="23"/>
  <c r="K338" i="23"/>
  <c r="J476" i="23"/>
  <c r="K476" i="23"/>
  <c r="J77" i="23"/>
  <c r="K77" i="23"/>
  <c r="J339" i="23"/>
  <c r="K339" i="23"/>
  <c r="J477" i="23"/>
  <c r="K477" i="23"/>
  <c r="J411" i="23"/>
  <c r="K411" i="23"/>
  <c r="J418" i="23"/>
  <c r="K418" i="23"/>
  <c r="J159" i="23"/>
  <c r="K159" i="23"/>
  <c r="J25" i="23"/>
  <c r="K25" i="23"/>
  <c r="J334" i="23"/>
  <c r="K334" i="23"/>
  <c r="J252" i="23"/>
  <c r="K252" i="23"/>
  <c r="J176" i="23"/>
  <c r="K176" i="23"/>
  <c r="J38" i="23"/>
  <c r="K38" i="23"/>
  <c r="J558" i="23"/>
  <c r="K558" i="23"/>
  <c r="J142" i="23"/>
  <c r="K142" i="23"/>
  <c r="J56" i="23"/>
  <c r="K56" i="23"/>
  <c r="J568" i="23"/>
  <c r="K568" i="23"/>
  <c r="J146" i="23"/>
  <c r="K146" i="23"/>
  <c r="J524" i="23"/>
  <c r="K524" i="23"/>
  <c r="J224" i="23"/>
  <c r="K224" i="23"/>
  <c r="J452" i="23"/>
  <c r="K452" i="23"/>
  <c r="J302" i="23"/>
  <c r="K302" i="23"/>
  <c r="J341" i="23"/>
  <c r="K341" i="23"/>
  <c r="J416" i="23"/>
  <c r="K416" i="23"/>
  <c r="J417" i="23"/>
  <c r="K417" i="23"/>
  <c r="J528" i="23"/>
  <c r="K528" i="23"/>
  <c r="J162" i="23"/>
  <c r="K162" i="23"/>
  <c r="J29" i="23"/>
  <c r="K29" i="23"/>
  <c r="J34" i="23"/>
  <c r="K34" i="23"/>
  <c r="J265" i="23"/>
  <c r="K265" i="23"/>
  <c r="J191" i="23"/>
  <c r="K191" i="23"/>
  <c r="J198" i="23"/>
  <c r="K198" i="23"/>
  <c r="J247" i="23"/>
  <c r="K247" i="23"/>
  <c r="J246" i="23"/>
  <c r="K246" i="23"/>
  <c r="J291" i="23"/>
  <c r="K291" i="23"/>
  <c r="J33" i="23"/>
  <c r="K33" i="23"/>
  <c r="J232" i="23"/>
  <c r="K232" i="23"/>
  <c r="J158" i="23"/>
  <c r="K158" i="23"/>
  <c r="J143" i="23"/>
  <c r="K143" i="23"/>
  <c r="J118" i="23"/>
  <c r="K118" i="23"/>
  <c r="J96" i="23"/>
  <c r="K96" i="23"/>
  <c r="J441" i="23"/>
  <c r="K441" i="23"/>
  <c r="J623" i="23"/>
  <c r="K623" i="23"/>
  <c r="J511" i="23"/>
  <c r="K511" i="23"/>
  <c r="J14" i="23"/>
  <c r="K14" i="23"/>
  <c r="J421" i="23"/>
  <c r="K421" i="23"/>
  <c r="J427" i="23"/>
  <c r="K427" i="23"/>
  <c r="J213" i="23"/>
  <c r="K213" i="23"/>
  <c r="J211" i="23"/>
  <c r="K211" i="23"/>
  <c r="J177" i="23"/>
  <c r="K177" i="23"/>
  <c r="J385" i="23"/>
  <c r="K385" i="23"/>
  <c r="J382" i="23"/>
  <c r="K382" i="23"/>
  <c r="J374" i="23"/>
  <c r="K374" i="23"/>
  <c r="J175" i="23"/>
  <c r="K175" i="23"/>
  <c r="J358" i="23"/>
  <c r="K358" i="23"/>
  <c r="J361" i="23"/>
  <c r="K361" i="23"/>
  <c r="J376" i="23"/>
  <c r="K376" i="23"/>
  <c r="J485" i="23"/>
  <c r="K485" i="23"/>
  <c r="J508" i="23"/>
  <c r="K508" i="23"/>
  <c r="J58" i="23"/>
  <c r="K58" i="23"/>
  <c r="J151" i="23"/>
  <c r="K151" i="23"/>
  <c r="J255" i="23"/>
  <c r="K255" i="23"/>
  <c r="J261" i="23"/>
  <c r="K261" i="23"/>
  <c r="J525" i="23"/>
  <c r="K525" i="23"/>
  <c r="J298" i="23"/>
  <c r="K298" i="23"/>
  <c r="J414" i="23"/>
  <c r="K414" i="23"/>
  <c r="J412" i="23"/>
  <c r="K412" i="23"/>
  <c r="J157" i="23"/>
  <c r="K157" i="23"/>
  <c r="J57" i="23"/>
  <c r="K57" i="23"/>
  <c r="J459" i="23"/>
  <c r="K459" i="23"/>
  <c r="J30" i="23"/>
  <c r="K30" i="23"/>
  <c r="J123" i="23"/>
  <c r="K123" i="23"/>
  <c r="J268" i="23"/>
  <c r="K268" i="23"/>
  <c r="J184" i="23"/>
  <c r="K184" i="23"/>
  <c r="J290" i="23"/>
  <c r="K290" i="23"/>
  <c r="J185" i="23"/>
  <c r="K185" i="23"/>
  <c r="J292" i="23"/>
  <c r="K292" i="23"/>
  <c r="J190" i="23"/>
  <c r="K190" i="23"/>
  <c r="J229" i="23"/>
  <c r="C14" i="6" s="1"/>
  <c r="K229" i="23"/>
  <c r="J556" i="23"/>
  <c r="K556" i="23"/>
  <c r="J539" i="23"/>
  <c r="K539" i="23"/>
  <c r="J555" i="23"/>
  <c r="K555" i="23"/>
  <c r="J581" i="23"/>
  <c r="K581" i="23"/>
  <c r="J583" i="23"/>
  <c r="K583" i="23"/>
  <c r="J440" i="23"/>
  <c r="K440" i="23"/>
  <c r="J620" i="23"/>
  <c r="K620" i="23"/>
  <c r="J425" i="23"/>
  <c r="K425" i="23"/>
  <c r="J119" i="23"/>
  <c r="K119" i="23"/>
  <c r="J424" i="23"/>
  <c r="K424" i="23"/>
  <c r="J17" i="23"/>
  <c r="K17" i="23"/>
  <c r="J422" i="23"/>
  <c r="K422" i="23"/>
  <c r="J343" i="23"/>
  <c r="K343" i="23"/>
  <c r="J423" i="23"/>
  <c r="K423" i="23"/>
  <c r="J215" i="23"/>
  <c r="K215" i="23"/>
  <c r="J512" i="23"/>
  <c r="K512" i="23"/>
  <c r="J179" i="23"/>
  <c r="K179" i="23"/>
  <c r="J381" i="23"/>
  <c r="K381" i="23"/>
  <c r="J180" i="23"/>
  <c r="K180" i="23"/>
  <c r="J372" i="23"/>
  <c r="K372" i="23"/>
  <c r="J640" i="23"/>
  <c r="K640" i="23"/>
  <c r="J360" i="23"/>
  <c r="K360" i="23"/>
  <c r="J550" i="23"/>
  <c r="K550" i="23"/>
  <c r="J444" i="23"/>
  <c r="K444" i="23"/>
  <c r="J59" i="23"/>
  <c r="K59" i="23"/>
  <c r="J457" i="23"/>
  <c r="K457" i="23"/>
  <c r="J460" i="23"/>
  <c r="K460" i="23"/>
  <c r="J282" i="23"/>
  <c r="K282" i="23"/>
  <c r="J113" i="23"/>
  <c r="K113" i="23"/>
  <c r="J323" i="23"/>
  <c r="K323" i="23"/>
  <c r="J322" i="23"/>
  <c r="K322" i="23"/>
  <c r="J152" i="23"/>
  <c r="K152" i="23"/>
  <c r="J450" i="23"/>
  <c r="K450" i="23"/>
  <c r="J406" i="23"/>
  <c r="K406" i="23"/>
  <c r="J408" i="23"/>
  <c r="K408" i="23"/>
  <c r="J100" i="23"/>
  <c r="K100" i="23"/>
  <c r="J337" i="23"/>
  <c r="K337" i="23"/>
  <c r="J474" i="23"/>
  <c r="K474" i="23"/>
  <c r="J160" i="23"/>
  <c r="K160" i="23"/>
  <c r="J27" i="23"/>
  <c r="K27" i="23"/>
  <c r="J223" i="23"/>
  <c r="K223" i="23"/>
  <c r="J231" i="23"/>
  <c r="K231" i="23"/>
  <c r="J52" i="23"/>
  <c r="K52" i="23"/>
  <c r="J54" i="23"/>
  <c r="K54" i="23"/>
  <c r="J569" i="23"/>
  <c r="K569" i="23"/>
  <c r="J456" i="23"/>
  <c r="K456" i="23"/>
  <c r="J285" i="23"/>
  <c r="K285" i="23"/>
  <c r="J284" i="23"/>
  <c r="K284" i="23"/>
  <c r="J317" i="23"/>
  <c r="K317" i="23"/>
  <c r="J318" i="23"/>
  <c r="K318" i="23"/>
  <c r="J316" i="23"/>
  <c r="K316" i="23"/>
  <c r="J148" i="23"/>
  <c r="K148" i="23"/>
  <c r="J149" i="23"/>
  <c r="K149" i="23"/>
  <c r="J516" i="23"/>
  <c r="K516" i="23"/>
  <c r="J475" i="23"/>
  <c r="K475" i="23"/>
  <c r="J453" i="23"/>
  <c r="K453" i="23"/>
  <c r="J449" i="23"/>
  <c r="K449" i="23"/>
  <c r="J299" i="23"/>
  <c r="K299" i="23"/>
  <c r="J258" i="23"/>
  <c r="K258" i="23"/>
  <c r="J401" i="23"/>
  <c r="K401" i="23"/>
  <c r="J403" i="23"/>
  <c r="K403" i="23"/>
  <c r="J404" i="23"/>
  <c r="K404" i="23"/>
  <c r="J78" i="23"/>
  <c r="K78" i="23"/>
  <c r="J75" i="23"/>
  <c r="K75" i="23"/>
  <c r="J257" i="23"/>
  <c r="K257" i="23"/>
  <c r="J225" i="23"/>
  <c r="K225" i="23"/>
  <c r="J479" i="23"/>
  <c r="K479" i="23"/>
  <c r="J518" i="23"/>
  <c r="K518" i="23"/>
  <c r="J344" i="23"/>
  <c r="K344" i="23"/>
  <c r="J526" i="23"/>
  <c r="K526" i="23"/>
  <c r="J340" i="23"/>
  <c r="K340" i="23"/>
  <c r="J413" i="23"/>
  <c r="K413" i="23"/>
  <c r="J415" i="23"/>
  <c r="K415" i="23"/>
  <c r="J521" i="23"/>
  <c r="K521" i="23"/>
  <c r="J109" i="23"/>
  <c r="K109" i="23"/>
  <c r="J156" i="23"/>
  <c r="K156" i="23"/>
  <c r="J28" i="23"/>
  <c r="K28" i="23"/>
  <c r="J26" i="23"/>
  <c r="K26" i="23"/>
  <c r="J39" i="23"/>
  <c r="K39" i="23"/>
  <c r="J269" i="23"/>
  <c r="K269" i="23"/>
  <c r="J222" i="23"/>
  <c r="K222" i="23"/>
  <c r="J248" i="23"/>
  <c r="K248" i="23"/>
  <c r="J196" i="23"/>
  <c r="K196" i="23"/>
  <c r="J197" i="23"/>
  <c r="K197" i="23"/>
  <c r="J289" i="23"/>
  <c r="K289" i="23"/>
  <c r="J251" i="23"/>
  <c r="K251" i="23"/>
  <c r="J329" i="23"/>
  <c r="K329" i="23"/>
  <c r="J330" i="23"/>
  <c r="K330" i="23"/>
  <c r="J10" i="23"/>
  <c r="K10" i="23"/>
  <c r="J35" i="23"/>
  <c r="K35" i="23"/>
  <c r="J383" i="23"/>
  <c r="K383" i="23"/>
  <c r="J102" i="23"/>
  <c r="K102" i="23"/>
  <c r="J95" i="23"/>
  <c r="K95" i="23"/>
  <c r="J233" i="23"/>
  <c r="K233" i="23"/>
  <c r="J552" i="23"/>
  <c r="K552" i="23"/>
  <c r="J538" i="23"/>
  <c r="K538" i="23"/>
  <c r="J540" i="23"/>
  <c r="K540" i="23"/>
  <c r="J136" i="23"/>
  <c r="K136" i="23"/>
  <c r="J139" i="23"/>
  <c r="K139" i="23"/>
  <c r="J582" i="23"/>
  <c r="K582" i="23"/>
  <c r="J122" i="23"/>
  <c r="K122" i="23"/>
  <c r="J443" i="23"/>
  <c r="K443" i="23"/>
  <c r="J625" i="23"/>
  <c r="K625" i="23"/>
  <c r="J507" i="23"/>
  <c r="K507" i="23"/>
  <c r="J641" i="23"/>
  <c r="K641" i="23"/>
  <c r="J15" i="23"/>
  <c r="K15" i="23"/>
  <c r="J21" i="23"/>
  <c r="K21" i="23"/>
  <c r="J637" i="23"/>
  <c r="K637" i="23"/>
  <c r="J216" i="23"/>
  <c r="K216" i="23"/>
  <c r="J214" i="23"/>
  <c r="K214" i="23"/>
  <c r="J513" i="23"/>
  <c r="K513" i="23"/>
  <c r="J380" i="23"/>
  <c r="K380" i="23"/>
  <c r="J16" i="23"/>
  <c r="K16" i="23"/>
  <c r="J486" i="23"/>
  <c r="K486" i="23"/>
  <c r="J375" i="23"/>
  <c r="K375" i="23"/>
  <c r="J359" i="23"/>
  <c r="K359" i="23"/>
  <c r="J369" i="23"/>
  <c r="K369" i="23"/>
  <c r="J366" i="23"/>
  <c r="K366" i="23"/>
  <c r="J482" i="23"/>
  <c r="K482" i="23"/>
  <c r="J624" i="23"/>
  <c r="K624" i="23"/>
  <c r="J137" i="23"/>
  <c r="K137" i="23"/>
  <c r="J362" i="23"/>
  <c r="K362" i="23"/>
  <c r="O162" i="3"/>
  <c r="F14" i="33" s="1"/>
  <c r="G71" i="3"/>
  <c r="F13" i="33" s="1"/>
  <c r="F107" i="3"/>
  <c r="E15" i="33" s="1"/>
  <c r="G107" i="3"/>
  <c r="F15" i="33" s="1"/>
  <c r="J11" i="6"/>
  <c r="J18" i="6"/>
  <c r="I16" i="6"/>
  <c r="I14" i="6"/>
  <c r="J12" i="6"/>
  <c r="I13" i="6"/>
  <c r="I12" i="6"/>
  <c r="J13" i="6"/>
  <c r="J9" i="6"/>
  <c r="I11" i="6"/>
  <c r="I17" i="6"/>
  <c r="J17" i="6"/>
  <c r="J15" i="6"/>
  <c r="K15" i="6" s="1"/>
  <c r="I18" i="6"/>
  <c r="J16" i="6"/>
  <c r="J14" i="6"/>
  <c r="E26" i="6"/>
  <c r="F26" i="6" s="1"/>
  <c r="D13" i="6" l="1"/>
  <c r="D22" i="6"/>
  <c r="E18" i="6"/>
  <c r="F18" i="6" s="1"/>
  <c r="C11" i="6"/>
  <c r="E11" i="6" s="1"/>
  <c r="F11" i="6" s="1"/>
  <c r="C12" i="6"/>
  <c r="E12" i="6" s="1"/>
  <c r="F12" i="6" s="1"/>
  <c r="C10" i="6"/>
  <c r="E10" i="6" s="1"/>
  <c r="K9" i="6"/>
  <c r="Q13" i="33" s="1"/>
  <c r="C27" i="6"/>
  <c r="E27" i="6" s="1"/>
  <c r="F27" i="6" s="1"/>
  <c r="C21" i="6"/>
  <c r="D28" i="6"/>
  <c r="C28" i="6"/>
  <c r="D29" i="6"/>
  <c r="E15" i="6"/>
  <c r="F15" i="6" s="1"/>
  <c r="D21" i="6"/>
  <c r="D9" i="6"/>
  <c r="D17" i="6"/>
  <c r="K10" i="6"/>
  <c r="L10" i="6" s="1"/>
  <c r="R14" i="33" s="1"/>
  <c r="C29" i="6"/>
  <c r="C13" i="6"/>
  <c r="E13" i="6" s="1"/>
  <c r="F13" i="6" s="1"/>
  <c r="D19" i="6"/>
  <c r="C23" i="6"/>
  <c r="E23" i="6" s="1"/>
  <c r="F23" i="6" s="1"/>
  <c r="C17" i="6"/>
  <c r="D20" i="6"/>
  <c r="C22" i="6"/>
  <c r="C16" i="6"/>
  <c r="E16" i="6" s="1"/>
  <c r="F16" i="6" s="1"/>
  <c r="C9" i="6"/>
  <c r="C25" i="6"/>
  <c r="C20" i="6"/>
  <c r="C19" i="6"/>
  <c r="K589" i="8"/>
  <c r="D25" i="6"/>
  <c r="K660" i="23"/>
  <c r="F16" i="33"/>
  <c r="L19" i="6"/>
  <c r="R23" i="33" s="1"/>
  <c r="Q23" i="33"/>
  <c r="L15" i="6"/>
  <c r="R19" i="33" s="1"/>
  <c r="Q19" i="33"/>
  <c r="K16" i="6"/>
  <c r="K18" i="6"/>
  <c r="K11" i="6"/>
  <c r="K14" i="6"/>
  <c r="K12" i="6"/>
  <c r="K17" i="6"/>
  <c r="K13" i="6"/>
  <c r="E14" i="6"/>
  <c r="E24" i="6"/>
  <c r="F24" i="6" s="1"/>
  <c r="E22" i="6" l="1"/>
  <c r="F22" i="6" s="1"/>
  <c r="L9" i="6"/>
  <c r="R13" i="33" s="1"/>
  <c r="E21" i="6"/>
  <c r="F21" i="6" s="1"/>
  <c r="E28" i="6"/>
  <c r="F28" i="6" s="1"/>
  <c r="E29" i="6"/>
  <c r="F29" i="6" s="1"/>
  <c r="Q14" i="33"/>
  <c r="E9" i="6"/>
  <c r="F9" i="6" s="1"/>
  <c r="E17" i="6"/>
  <c r="F17" i="6" s="1"/>
  <c r="E19" i="6"/>
  <c r="F19" i="6" s="1"/>
  <c r="E20" i="6"/>
  <c r="F20" i="6" s="1"/>
  <c r="K17" i="33"/>
  <c r="E25" i="6"/>
  <c r="F25" i="6" s="1"/>
  <c r="I52" i="2"/>
  <c r="V15" i="33" s="1"/>
  <c r="F10" i="6"/>
  <c r="F14" i="6"/>
  <c r="L17" i="6"/>
  <c r="R21" i="33" s="1"/>
  <c r="Q21" i="33"/>
  <c r="L12" i="6"/>
  <c r="R16" i="33" s="1"/>
  <c r="Q16" i="33"/>
  <c r="L18" i="6"/>
  <c r="R22" i="33" s="1"/>
  <c r="Q22" i="33"/>
  <c r="L11" i="6"/>
  <c r="R15" i="33" s="1"/>
  <c r="Q15" i="33"/>
  <c r="L14" i="6"/>
  <c r="R18" i="33" s="1"/>
  <c r="Q18" i="33"/>
  <c r="L16" i="6"/>
  <c r="R20" i="33" s="1"/>
  <c r="Q20" i="33"/>
  <c r="L13" i="6"/>
  <c r="R17" i="33" s="1"/>
  <c r="Q17" i="33"/>
  <c r="L17" i="33"/>
  <c r="L14" i="33" l="1"/>
  <c r="L15" i="33"/>
  <c r="K14" i="33"/>
  <c r="K13" i="33"/>
  <c r="K15" i="33"/>
  <c r="L13" i="33"/>
  <c r="K16" i="33"/>
  <c r="L16" i="33"/>
  <c r="Q24" i="33"/>
  <c r="R24" i="33"/>
  <c r="L18" i="33" l="1"/>
  <c r="K18" i="33"/>
  <c r="AJ49" i="26" l="1" a="1"/>
  <c r="AT52" i="28" a="1"/>
  <c r="AI51" i="26" a="1"/>
  <c r="BH53" i="14" a="1"/>
  <c r="H45" i="28" a="1"/>
  <c r="BD55" i="28" a="1"/>
  <c r="Z60" i="25" a="1"/>
  <c r="BE54" i="27" a="1"/>
  <c r="AY49" i="28" a="1"/>
  <c r="AD56" i="14" a="1"/>
  <c r="AP36" i="25" a="1"/>
  <c r="AE57" i="14" a="1"/>
  <c r="X44" i="25" a="1"/>
  <c r="S59" i="27" a="1"/>
  <c r="BC46" i="28" a="1"/>
  <c r="AN49" i="28" a="1"/>
  <c r="M34" i="24" a="1"/>
  <c r="Q56" i="27" a="1"/>
  <c r="AO37" i="14" a="1"/>
  <c r="T38" i="24" a="1"/>
  <c r="BE35" i="28" a="1"/>
  <c r="BJ48" i="25" a="1"/>
  <c r="F36" i="25" a="1"/>
  <c r="AH45" i="14" a="1"/>
  <c r="C58" i="28" a="1"/>
  <c r="F49" i="28" a="1"/>
  <c r="AL56" i="14" a="1"/>
  <c r="BK34" i="27" a="1"/>
  <c r="C47" i="26" a="1"/>
  <c r="V48" i="24" a="1"/>
  <c r="AY51" i="27" a="1"/>
  <c r="AB41" i="24" a="1"/>
  <c r="BC49" i="27" a="1"/>
  <c r="G39" i="28" a="1"/>
  <c r="BG34" i="14" a="1"/>
  <c r="Q54" i="25" a="1"/>
  <c r="AU60" i="14" a="1"/>
  <c r="B43" i="28" a="1"/>
  <c r="AS33" i="28" a="1"/>
  <c r="AD57" i="24" a="1"/>
  <c r="AV48" i="28" a="1"/>
  <c r="BK48" i="28" a="1"/>
  <c r="H33" i="24" a="1"/>
  <c r="U48" i="28" a="1"/>
  <c r="AF40" i="27" a="1"/>
  <c r="F60" i="28" a="1"/>
  <c r="AE49" i="26" a="1"/>
  <c r="K48" i="24" a="1"/>
  <c r="C37" i="25" a="1"/>
  <c r="AD52" i="26" a="1"/>
  <c r="S34" i="25" a="1"/>
  <c r="BF36" i="24" a="1"/>
  <c r="AZ46" i="14" a="1"/>
  <c r="AH54" i="25" a="1"/>
  <c r="Z58" i="28" a="1"/>
  <c r="N41" i="14" a="1"/>
  <c r="BB37" i="28" a="1"/>
  <c r="J50" i="27" a="1"/>
  <c r="AP41" i="24" a="1"/>
  <c r="E53" i="25" a="1"/>
  <c r="R37" i="26" a="1"/>
  <c r="Q58" i="27" a="1"/>
  <c r="P58" i="26" a="1"/>
  <c r="BF40" i="28" a="1"/>
  <c r="D54" i="26" a="1"/>
  <c r="AU35" i="24" a="1"/>
  <c r="AY35" i="25" a="1"/>
  <c r="AU37" i="26" a="1"/>
  <c r="AT45" i="26" a="1"/>
  <c r="C57" i="25" a="1"/>
  <c r="B56" i="27" a="1"/>
  <c r="Z44" i="28" a="1"/>
  <c r="E39" i="25" a="1"/>
  <c r="D53" i="28" a="1"/>
  <c r="BB41" i="24" a="1"/>
  <c r="BB54" i="25" a="1"/>
  <c r="X53" i="14" a="1"/>
  <c r="BF53" i="26" a="1"/>
  <c r="C42" i="27" a="1"/>
  <c r="BD46" i="26" a="1"/>
  <c r="AW38" i="14" a="1"/>
  <c r="D56" i="28" a="1"/>
  <c r="L46" i="27" a="1"/>
  <c r="Z42" i="26" a="1"/>
  <c r="AS48" i="24" a="1"/>
  <c r="Q38" i="27" a="1"/>
  <c r="AD33" i="26" a="1"/>
  <c r="D46" i="28" a="1"/>
  <c r="M56" i="26" a="1"/>
  <c r="X51" i="14" a="1"/>
  <c r="AK46" i="28" a="1"/>
  <c r="R44" i="27" a="1"/>
  <c r="AV53" i="28" a="1"/>
  <c r="AN60" i="27" a="1"/>
  <c r="C38" i="14" a="1"/>
  <c r="AQ45" i="27" a="1"/>
  <c r="BC38" i="14" a="1"/>
  <c r="K53" i="24" a="1"/>
  <c r="Y33" i="27" a="1"/>
  <c r="AL51" i="28" a="1"/>
  <c r="BB46" i="26" a="1"/>
  <c r="AU49" i="28" a="1"/>
  <c r="BC42" i="27" a="1"/>
  <c r="AX57" i="26" a="1"/>
  <c r="AW34" i="14" a="1"/>
  <c r="BA52" i="25" a="1"/>
  <c r="AZ55" i="24" a="1"/>
  <c r="X45" i="27" a="1"/>
  <c r="I60" i="24" a="1"/>
  <c r="Z49" i="25" a="1"/>
  <c r="N34" i="28" a="1"/>
  <c r="P41" i="28" a="1"/>
  <c r="AK42" i="27" a="1"/>
  <c r="C37" i="27" a="1"/>
  <c r="AC49" i="28" a="1"/>
  <c r="R41" i="28" a="1"/>
  <c r="K39" i="25" a="1"/>
  <c r="AW36" i="27" a="1"/>
  <c r="M35" i="28" a="1"/>
  <c r="AF54" i="25" a="1"/>
  <c r="V37" i="28" a="1"/>
  <c r="AN45" i="28" a="1"/>
  <c r="BH43" i="28" a="1"/>
  <c r="BC54" i="14" a="1"/>
  <c r="E33" i="26" a="1"/>
  <c r="AW34" i="28" a="1"/>
  <c r="U46" i="28" a="1"/>
  <c r="AB49" i="28" a="1"/>
  <c r="D51" i="27" a="1"/>
  <c r="AP56" i="14" a="1"/>
  <c r="AI42" i="27" a="1"/>
  <c r="AZ51" i="27" a="1"/>
  <c r="AC40" i="28" a="1"/>
  <c r="O37" i="26" a="1"/>
  <c r="Z35" i="24" a="1"/>
  <c r="D43" i="26" a="1"/>
  <c r="AI50" i="27" a="1"/>
  <c r="AS56" i="24" a="1"/>
  <c r="N38" i="14" a="1"/>
  <c r="BI42" i="25" a="1"/>
  <c r="BK41" i="27" a="1"/>
  <c r="N42" i="26" a="1"/>
  <c r="O44" i="14" a="1"/>
  <c r="BI38" i="27" a="1"/>
  <c r="G56" i="26" a="1"/>
  <c r="Y34" i="25" a="1"/>
  <c r="BF56" i="14" a="1"/>
  <c r="AR49" i="26" a="1"/>
  <c r="W55" i="27" a="1"/>
  <c r="AK50" i="27" a="1"/>
  <c r="BK51" i="28" a="1"/>
  <c r="AK38" i="27" a="1"/>
  <c r="R34" i="26" a="1"/>
  <c r="AY57" i="27" a="1"/>
  <c r="BA41" i="26" a="1"/>
  <c r="AD46" i="27" a="1"/>
  <c r="AW36" i="28" a="1"/>
  <c r="BG37" i="14" a="1"/>
  <c r="AM48" i="25" a="1"/>
  <c r="BI38" i="28" a="1"/>
  <c r="BH55" i="14" a="1"/>
  <c r="AR35" i="14" a="1"/>
  <c r="C54" i="28" a="1"/>
  <c r="AJ48" i="25" a="1"/>
  <c r="BH60" i="26" a="1"/>
  <c r="AX47" i="24" a="1"/>
  <c r="BK43" i="26" a="1"/>
  <c r="AV49" i="25" a="1"/>
  <c r="BI50" i="27" a="1"/>
  <c r="AY47" i="25" a="1"/>
  <c r="L35" i="28" a="1"/>
  <c r="D53" i="27" a="1"/>
  <c r="M37" i="28" a="1"/>
  <c r="AY46" i="14" a="1"/>
  <c r="AA47" i="27" a="1"/>
  <c r="J39" i="24" a="1"/>
  <c r="I54" i="26" a="1"/>
  <c r="R52" i="25" a="1"/>
  <c r="AC39" i="14" a="1"/>
  <c r="M33" i="27" a="1"/>
  <c r="F45" i="27" a="1"/>
  <c r="AP50" i="28" a="1"/>
  <c r="T41" i="28" a="1"/>
  <c r="M45" i="24" a="1"/>
  <c r="AN47" i="27" a="1"/>
  <c r="BB35" i="25" a="1"/>
  <c r="BF35" i="24" a="1"/>
  <c r="BH34" i="14" a="1"/>
  <c r="BA40" i="26" a="1"/>
  <c r="BK44" i="25" a="1"/>
  <c r="AY35" i="26" a="1"/>
  <c r="J38" i="14" a="1"/>
  <c r="R59" i="28" a="1"/>
  <c r="Q42" i="25" a="1"/>
  <c r="AH54" i="26" a="1"/>
  <c r="AO49" i="26" a="1"/>
  <c r="BF40" i="25" a="1"/>
  <c r="AV51" i="24" a="1"/>
  <c r="AV40" i="24" a="1"/>
  <c r="V39" i="26" a="1"/>
  <c r="BF40" i="24" a="1"/>
  <c r="AI50" i="26" a="1"/>
  <c r="Y54" i="27" a="1"/>
  <c r="U60" i="26" a="1"/>
  <c r="T43" i="27" a="1"/>
  <c r="AP50" i="24" a="1"/>
  <c r="N54" i="24" a="1"/>
  <c r="AD56" i="25" a="1"/>
  <c r="AV43" i="26" a="1"/>
  <c r="AL48" i="28" a="1"/>
  <c r="AG59" i="27" a="1"/>
  <c r="AQ39" i="27" a="1"/>
  <c r="AM53" i="27" a="1"/>
  <c r="BA40" i="14" a="1"/>
  <c r="AK38" i="28" a="1"/>
  <c r="P58" i="27" a="1"/>
  <c r="AB38" i="24" a="1"/>
  <c r="AF35" i="27" a="1"/>
  <c r="AE42" i="24" a="1"/>
  <c r="AL56" i="26" a="1"/>
  <c r="AV36" i="27" a="1"/>
  <c r="Y33" i="24" a="1"/>
  <c r="BF39" i="27" a="1"/>
  <c r="G46" i="26" a="1"/>
  <c r="AX37" i="27" a="1"/>
  <c r="AO47" i="28" a="1"/>
  <c r="AY52" i="25" a="1"/>
  <c r="AM50" i="24" a="1"/>
  <c r="P59" i="14" a="1"/>
  <c r="H33" i="25" a="1"/>
  <c r="L46" i="25" a="1"/>
  <c r="BF54" i="26" a="1"/>
  <c r="S46" i="28" a="1"/>
  <c r="AV46" i="24" a="1"/>
  <c r="AC41" i="25" a="1"/>
  <c r="AQ56" i="28" a="1"/>
  <c r="BC36" i="24" a="1"/>
  <c r="AJ41" i="24" a="1"/>
  <c r="BA42" i="25" a="1"/>
  <c r="O50" i="25" a="1"/>
  <c r="G43" i="27" a="1"/>
  <c r="BF44" i="24" a="1"/>
  <c r="M46" i="14" a="1"/>
  <c r="J43" i="24" a="1"/>
  <c r="X56" i="28" a="1"/>
  <c r="AK49" i="26" a="1"/>
  <c r="C60" i="28" a="1"/>
  <c r="Q41" i="28" a="1"/>
  <c r="AD40" i="24" a="1"/>
  <c r="AB50" i="27" a="1"/>
  <c r="F55" i="25" a="1"/>
  <c r="BJ53" i="28" a="1"/>
  <c r="P52" i="14" a="1"/>
  <c r="AH54" i="28" a="1"/>
  <c r="U44" i="26" a="1"/>
  <c r="N53" i="28" a="1"/>
  <c r="P39" i="27" a="1"/>
  <c r="K44" i="24" a="1"/>
  <c r="V44" i="28" a="1"/>
  <c r="BB39" i="14" a="1"/>
  <c r="AG44" i="25" a="1"/>
  <c r="P44" i="28" a="1"/>
  <c r="AL33" i="14" a="1"/>
  <c r="H34" i="24" a="1"/>
  <c r="O50" i="24" a="1"/>
  <c r="J42" i="26" a="1"/>
  <c r="BF34" i="28" a="1"/>
  <c r="C44" i="24" a="1"/>
  <c r="AI36" i="24" a="1"/>
  <c r="AZ45" i="14" a="1"/>
  <c r="I57" i="28" a="1"/>
  <c r="I43" i="14" a="1"/>
  <c r="BK37" i="14" a="1"/>
  <c r="I39" i="28" a="1"/>
  <c r="AF46" i="28" a="1"/>
  <c r="J37" i="25" a="1"/>
  <c r="AD38" i="27" a="1"/>
  <c r="Y60" i="28" a="1"/>
  <c r="BF40" i="27" a="1"/>
  <c r="N44" i="24" a="1"/>
  <c r="AU48" i="26" a="1"/>
  <c r="AX36" i="28" a="1"/>
  <c r="BD46" i="24" a="1"/>
  <c r="AU60" i="24" a="1"/>
  <c r="E51" i="27" a="1"/>
  <c r="P41" i="26" a="1"/>
  <c r="K59" i="26" a="1"/>
  <c r="AI53" i="25" a="1"/>
  <c r="AD37" i="26" a="1"/>
  <c r="BH42" i="28" a="1"/>
  <c r="AV53" i="24" a="1"/>
  <c r="AR58" i="27" a="1"/>
  <c r="R56" i="25" a="1"/>
  <c r="F33" i="24" a="1"/>
  <c r="G44" i="28" a="1"/>
  <c r="G35" i="24" a="1"/>
  <c r="AU39" i="14" a="1"/>
  <c r="AV56" i="14" a="1"/>
  <c r="AI39" i="27" a="1"/>
  <c r="N39" i="24" a="1"/>
  <c r="BG53" i="28" a="1"/>
  <c r="R55" i="25" a="1"/>
  <c r="H38" i="28" a="1"/>
  <c r="AS49" i="24" a="1"/>
  <c r="D33" i="27" a="1"/>
  <c r="O49" i="27" a="1"/>
  <c r="K46" i="14" a="1"/>
  <c r="AU37" i="14" a="1"/>
  <c r="I51" i="26" a="1"/>
  <c r="O41" i="27" a="1"/>
  <c r="O45" i="26" a="1"/>
  <c r="L40" i="26" a="1"/>
  <c r="AE60" i="27" a="1"/>
  <c r="AO53" i="28" a="1"/>
  <c r="Z35" i="28" a="1"/>
  <c r="K36" i="25" a="1"/>
  <c r="AB56" i="28" a="1"/>
  <c r="T35" i="24" a="1"/>
  <c r="AF50" i="14" a="1"/>
  <c r="Z47" i="25" a="1"/>
  <c r="AR60" i="27" a="1"/>
  <c r="AL36" i="25" a="1"/>
  <c r="V34" i="24" a="1"/>
  <c r="BF40" i="14" a="1"/>
  <c r="AH42" i="25" a="1"/>
  <c r="AO39" i="26" a="1"/>
  <c r="AM44" i="27" a="1"/>
  <c r="BJ46" i="14" a="1"/>
  <c r="AQ44" i="28" a="1"/>
  <c r="AQ55" i="27" a="1"/>
  <c r="AC38" i="26" a="1"/>
  <c r="I59" i="24" a="1"/>
  <c r="R45" i="27" a="1"/>
  <c r="T47" i="25" a="1"/>
  <c r="F53" i="14" a="1"/>
  <c r="BA56" i="28" a="1"/>
  <c r="N53" i="25" a="1"/>
  <c r="BE36" i="14" a="1"/>
  <c r="BH59" i="27" a="1"/>
  <c r="P46" i="27" a="1"/>
  <c r="AQ45" i="28" a="1"/>
  <c r="F44" i="27" a="1"/>
  <c r="AV52" i="25" a="1"/>
  <c r="O51" i="25" a="1"/>
  <c r="AU48" i="25" a="1"/>
  <c r="AH48" i="26" a="1"/>
  <c r="AE44" i="24" a="1"/>
  <c r="AB41" i="14" a="1"/>
  <c r="AW33" i="24" a="1"/>
  <c r="E59" i="26" a="1"/>
  <c r="BB37" i="27" a="1"/>
  <c r="BE48" i="27" a="1"/>
  <c r="J52" i="28" a="1"/>
  <c r="BE58" i="27" a="1"/>
  <c r="AC47" i="24" a="1"/>
  <c r="AE43" i="25" a="1"/>
  <c r="W55" i="24" a="1"/>
  <c r="AG33" i="26" a="1"/>
  <c r="BA55" i="27" a="1"/>
  <c r="D59" i="25" a="1"/>
  <c r="AR37" i="14" a="1"/>
  <c r="E38" i="27" a="1"/>
  <c r="AP51" i="27" a="1"/>
  <c r="BK34" i="24" a="1"/>
  <c r="AO45" i="14" a="1"/>
  <c r="AV59" i="27" a="1"/>
  <c r="C38" i="26" a="1"/>
  <c r="AV51" i="28" a="1"/>
  <c r="AP45" i="14" a="1"/>
  <c r="L38" i="28" a="1"/>
  <c r="H57" i="28" a="1"/>
  <c r="AM55" i="14" a="1"/>
  <c r="L33" i="27" a="1"/>
  <c r="AB46" i="14" a="1"/>
  <c r="BF58" i="24" a="1"/>
  <c r="BK36" i="26" a="1"/>
  <c r="AO57" i="14" a="1"/>
  <c r="E55" i="26" a="1"/>
  <c r="Q47" i="24" a="1"/>
  <c r="AB45" i="25" a="1"/>
  <c r="AJ40" i="26" a="1"/>
  <c r="AF53" i="24" a="1"/>
  <c r="AZ56" i="27" a="1"/>
  <c r="BH47" i="27" a="1"/>
  <c r="I36" i="25" a="1"/>
  <c r="S35" i="27" a="1"/>
  <c r="Z50" i="28" a="1"/>
  <c r="I48" i="28" a="1"/>
  <c r="Q53" i="26" a="1"/>
  <c r="BD53" i="24" a="1"/>
  <c r="AO36" i="25" a="1"/>
  <c r="AV44" i="24" a="1"/>
  <c r="AW46" i="26" a="1"/>
  <c r="AU43" i="24" a="1"/>
  <c r="AC41" i="28" a="1"/>
  <c r="AY37" i="26" a="1"/>
  <c r="AB34" i="25" a="1"/>
  <c r="X58" i="28" a="1"/>
  <c r="W50" i="28" a="1"/>
  <c r="AR53" i="28" a="1"/>
  <c r="AY33" i="25" a="1"/>
  <c r="M51" i="26" a="1"/>
  <c r="P35" i="24" a="1"/>
  <c r="P38" i="14" a="1"/>
  <c r="E52" i="25" a="1"/>
  <c r="P34" i="26" a="1"/>
  <c r="X38" i="28" a="1"/>
  <c r="BB59" i="24" a="1"/>
  <c r="E52" i="14" a="1"/>
  <c r="AU46" i="25" a="1"/>
  <c r="BC55" i="25" a="1"/>
  <c r="G48" i="26" a="1"/>
  <c r="T47" i="26" a="1"/>
  <c r="BF46" i="26" a="1"/>
  <c r="AK39" i="27" a="1"/>
  <c r="I34" i="28" a="1"/>
  <c r="E45" i="14" a="1"/>
  <c r="I50" i="27" a="1"/>
  <c r="AW42" i="27" a="1"/>
  <c r="S53" i="28" a="1"/>
  <c r="AB46" i="25" a="1"/>
  <c r="AW48" i="24" a="1"/>
  <c r="AL36" i="24" a="1"/>
  <c r="G47" i="14" a="1"/>
  <c r="L52" i="25" a="1"/>
  <c r="H50" i="14" a="1"/>
  <c r="AT60" i="26" a="1"/>
  <c r="AT38" i="25" a="1"/>
  <c r="BJ45" i="27" a="1"/>
  <c r="X53" i="26" a="1"/>
  <c r="AK33" i="24" a="1"/>
  <c r="BE43" i="25" a="1"/>
  <c r="AM59" i="28" a="1"/>
  <c r="AV35" i="26" a="1"/>
  <c r="AB39" i="28" a="1"/>
  <c r="E35" i="28" a="1"/>
  <c r="AU41" i="25" a="1"/>
  <c r="AA40" i="25" a="1"/>
  <c r="BK53" i="28" a="1"/>
  <c r="X38" i="14" a="1"/>
  <c r="AY41" i="28" a="1"/>
  <c r="J51" i="25" a="1"/>
  <c r="V48" i="25" a="1"/>
  <c r="AC38" i="28" a="1"/>
  <c r="AI56" i="27" a="1"/>
  <c r="P56" i="14" a="1"/>
  <c r="AW43" i="28" a="1"/>
  <c r="AJ49" i="24" a="1"/>
  <c r="AL43" i="27" a="1"/>
  <c r="G42" i="14" a="1"/>
  <c r="Y49" i="28" a="1"/>
  <c r="F42" i="28" a="1"/>
  <c r="AY51" i="14" a="1"/>
  <c r="J49" i="14" a="1"/>
  <c r="AS50" i="14" a="1"/>
  <c r="AE33" i="25" a="1"/>
  <c r="T41" i="25" a="1"/>
  <c r="AG60" i="14" a="1"/>
  <c r="T44" i="27" a="1"/>
  <c r="BH59" i="28" a="1"/>
  <c r="E46" i="26" a="1"/>
  <c r="T56" i="14" a="1"/>
  <c r="B48" i="26" a="1"/>
  <c r="T35" i="27" a="1"/>
  <c r="AN35" i="25" a="1"/>
  <c r="BH38" i="28" a="1"/>
  <c r="B57" i="24" a="1"/>
  <c r="AI54" i="28" a="1"/>
  <c r="AG49" i="24" a="1"/>
  <c r="F50" i="14" a="1"/>
  <c r="L41" i="24" a="1"/>
  <c r="X33" i="26" a="1"/>
  <c r="AE38" i="27" a="1"/>
  <c r="Q33" i="28" a="1"/>
  <c r="BB47" i="25" a="1"/>
  <c r="BK59" i="24" a="1"/>
  <c r="BC41" i="25" a="1"/>
  <c r="AC55" i="25" a="1"/>
  <c r="AO50" i="14" a="1"/>
  <c r="BI42" i="14" a="1"/>
  <c r="AT36" i="14" a="1"/>
  <c r="AG50" i="24" a="1"/>
  <c r="AU36" i="25" a="1"/>
  <c r="C43" i="26" a="1"/>
  <c r="BE33" i="25" a="1"/>
  <c r="BE54" i="24" a="1"/>
  <c r="BB43" i="24" a="1"/>
  <c r="AK40" i="26" a="1"/>
  <c r="U60" i="27" a="1"/>
  <c r="AZ35" i="27" a="1"/>
  <c r="BD33" i="28" a="1"/>
  <c r="H51" i="27" a="1"/>
  <c r="M60" i="28" a="1"/>
  <c r="AZ34" i="28" a="1"/>
  <c r="BH51" i="27" a="1"/>
  <c r="G46" i="14" a="1"/>
  <c r="BG40" i="26" a="1"/>
  <c r="Y56" i="25" a="1"/>
  <c r="V43" i="28" a="1"/>
  <c r="C36" i="14" a="1"/>
  <c r="F51" i="28" a="1"/>
  <c r="G38" i="26" a="1"/>
  <c r="AE40" i="24" a="1"/>
  <c r="BE52" i="27" a="1"/>
  <c r="D33" i="28" a="1"/>
  <c r="AP47" i="25" a="1"/>
  <c r="G47" i="26" a="1"/>
  <c r="AD59" i="26" a="1"/>
  <c r="BI47" i="24" a="1"/>
  <c r="B33" i="24" a="1"/>
  <c r="AA44" i="14" a="1"/>
  <c r="AX55" i="28" a="1"/>
  <c r="BC35" i="24" a="1"/>
  <c r="AT57" i="28" a="1"/>
  <c r="T48" i="28" a="1"/>
  <c r="AK55" i="24" a="1"/>
  <c r="AQ47" i="28" a="1"/>
  <c r="D46" i="25" a="1"/>
  <c r="AG51" i="14" a="1"/>
  <c r="M50" i="14" a="1"/>
  <c r="J40" i="26" a="1"/>
  <c r="Y50" i="28" a="1"/>
  <c r="X54" i="27" a="1"/>
  <c r="BH52" i="14" a="1"/>
  <c r="AI51" i="28" a="1"/>
  <c r="AY50" i="28" a="1"/>
  <c r="AF51" i="14" a="1"/>
  <c r="AP41" i="25" a="1"/>
  <c r="BB58" i="28" a="1"/>
  <c r="BJ57" i="24" a="1"/>
  <c r="L59" i="24" a="1"/>
  <c r="AI58" i="25" a="1"/>
  <c r="AV50" i="26" a="1"/>
  <c r="W49" i="14" a="1"/>
  <c r="AT58" i="14" a="1"/>
  <c r="AO38" i="28" a="1"/>
  <c r="AE47" i="28" a="1"/>
  <c r="BE55" i="14" a="1"/>
  <c r="AL47" i="28" a="1"/>
  <c r="AW34" i="24" a="1"/>
  <c r="L49" i="27" a="1"/>
  <c r="AF40" i="14" a="1"/>
  <c r="AN44" i="24" a="1"/>
  <c r="AU35" i="27" a="1"/>
  <c r="AG38" i="26" a="1"/>
  <c r="BA60" i="24" a="1"/>
  <c r="Y52" i="28" a="1"/>
  <c r="AG44" i="26" a="1"/>
  <c r="Y40" i="27" a="1"/>
  <c r="BA40" i="28" a="1"/>
  <c r="BF54" i="25" a="1"/>
  <c r="AC49" i="26" a="1"/>
  <c r="BC58" i="25" a="1"/>
  <c r="AI55" i="28" a="1"/>
  <c r="V35" i="14" a="1"/>
  <c r="AL50" i="24" a="1"/>
  <c r="BB44" i="27" a="1"/>
  <c r="AU51" i="14" a="1"/>
  <c r="E59" i="14" a="1"/>
  <c r="G39" i="26" a="1"/>
  <c r="AK39" i="24" a="1"/>
  <c r="AN58" i="25" a="1"/>
  <c r="V52" i="14" a="1"/>
  <c r="AF53" i="26" a="1"/>
  <c r="K33" i="24" a="1"/>
  <c r="L33" i="26" a="1"/>
  <c r="D55" i="28" a="1"/>
  <c r="AY58" i="26" a="1"/>
  <c r="M36" i="25" a="1"/>
  <c r="BC55" i="26" a="1"/>
  <c r="H44" i="25" a="1"/>
  <c r="BI54" i="26" a="1"/>
  <c r="AJ36" i="25" a="1"/>
  <c r="Q46" i="27" a="1"/>
  <c r="AF38" i="24" a="1"/>
  <c r="N53" i="26" a="1"/>
  <c r="BI49" i="14" a="1"/>
  <c r="AY39" i="25" a="1"/>
  <c r="AD33" i="27" a="1"/>
  <c r="R51" i="14" a="1"/>
  <c r="AR33" i="25" a="1"/>
  <c r="BH40" i="14" a="1"/>
  <c r="AN60" i="25" a="1"/>
  <c r="K53" i="14" a="1"/>
  <c r="F49" i="24" a="1"/>
  <c r="T48" i="27" a="1"/>
  <c r="AE37" i="26" a="1"/>
  <c r="AG53" i="25" a="1"/>
  <c r="K59" i="24" a="1"/>
  <c r="R35" i="24" a="1"/>
  <c r="AE60" i="28" a="1"/>
  <c r="H38" i="24" a="1"/>
  <c r="AU35" i="26" a="1"/>
  <c r="AK57" i="14" a="1"/>
  <c r="D58" i="27" a="1"/>
  <c r="U55" i="25" a="1"/>
  <c r="E34" i="24" a="1"/>
  <c r="AG47" i="14" a="1"/>
  <c r="BJ47" i="25" a="1"/>
  <c r="BG55" i="25" a="1"/>
  <c r="AN54" i="14" a="1"/>
  <c r="AA35" i="25" a="1"/>
  <c r="AN37" i="27" a="1"/>
  <c r="C39" i="25" a="1"/>
  <c r="AS59" i="26" a="1"/>
  <c r="AM43" i="25" a="1"/>
  <c r="BE44" i="27" a="1"/>
  <c r="E39" i="27" a="1"/>
  <c r="AE39" i="27" a="1"/>
  <c r="W34" i="26" a="1"/>
  <c r="W49" i="25" a="1"/>
  <c r="AN38" i="28" a="1"/>
  <c r="S43" i="24" a="1"/>
  <c r="F58" i="14" a="1"/>
  <c r="BG41" i="27" a="1"/>
  <c r="AY59" i="28" a="1"/>
  <c r="M48" i="27" a="1"/>
  <c r="S45" i="25" a="1"/>
  <c r="N41" i="24" a="1"/>
  <c r="AV53" i="14" a="1"/>
  <c r="AI43" i="25" a="1"/>
  <c r="N50" i="26" a="1"/>
  <c r="AA43" i="28" a="1"/>
  <c r="U48" i="27" a="1"/>
  <c r="AR54" i="28" a="1"/>
  <c r="AU47" i="24" a="1"/>
  <c r="O53" i="26" a="1"/>
  <c r="E42" i="27" a="1"/>
  <c r="L38" i="27" a="1"/>
  <c r="Y53" i="14" a="1"/>
  <c r="L42" i="24" a="1"/>
  <c r="W39" i="25" a="1"/>
  <c r="S58" i="26" a="1"/>
  <c r="BI51" i="14" a="1"/>
  <c r="BE55" i="27" a="1"/>
  <c r="I43" i="28" a="1"/>
  <c r="J35" i="14" a="1"/>
  <c r="BC34" i="25" a="1"/>
  <c r="AB60" i="28" a="1"/>
  <c r="AX43" i="25" a="1"/>
  <c r="O34" i="25" a="1"/>
  <c r="V41" i="24" a="1"/>
  <c r="AO42" i="14" a="1"/>
  <c r="AS37" i="26" a="1"/>
  <c r="V44" i="24" a="1"/>
  <c r="BH43" i="26" a="1"/>
  <c r="BA57" i="26" a="1"/>
  <c r="S54" i="26" a="1"/>
  <c r="AE45" i="25" a="1"/>
  <c r="AR38" i="28" a="1"/>
  <c r="AR60" i="25" a="1"/>
  <c r="AL41" i="24" a="1"/>
  <c r="AE41" i="24" a="1"/>
  <c r="AX51" i="25" a="1"/>
  <c r="BD56" i="14" a="1"/>
  <c r="AW54" i="14" a="1"/>
  <c r="BF53" i="28" a="1"/>
  <c r="Y36" i="14" a="1"/>
  <c r="AL46" i="28" a="1"/>
  <c r="N49" i="27" a="1"/>
  <c r="H48" i="27" a="1"/>
  <c r="O37" i="14" a="1"/>
  <c r="K58" i="25" a="1"/>
  <c r="Y33" i="28" a="1"/>
  <c r="P35" i="14" a="1"/>
  <c r="Y51" i="25" a="1"/>
  <c r="O34" i="24" a="1"/>
  <c r="BA44" i="25" a="1"/>
  <c r="AB55" i="24" a="1"/>
  <c r="AX53" i="26" a="1"/>
  <c r="BJ35" i="27" a="1"/>
  <c r="AT38" i="28" a="1"/>
  <c r="AD33" i="28" a="1"/>
  <c r="AB38" i="14" a="1"/>
  <c r="AN44" i="28" a="1"/>
  <c r="AZ46" i="26" a="1"/>
  <c r="J50" i="14" a="1"/>
  <c r="R50" i="28" a="1"/>
  <c r="AP33" i="14" a="1"/>
  <c r="AD59" i="14" a="1"/>
  <c r="AM33" i="14" a="1"/>
  <c r="R42" i="26" a="1"/>
  <c r="Q34" i="26" a="1"/>
  <c r="AN50" i="27" a="1"/>
  <c r="S51" i="26" a="1"/>
  <c r="W52" i="28" a="1"/>
  <c r="BA50" i="14" a="1"/>
  <c r="G57" i="27" a="1"/>
  <c r="AQ33" i="28" a="1"/>
  <c r="AV41" i="14" a="1"/>
  <c r="AM57" i="14" a="1"/>
  <c r="BC40" i="14" a="1"/>
  <c r="BA46" i="28" a="1"/>
  <c r="W36" i="28" a="1"/>
  <c r="L60" i="14" a="1"/>
  <c r="AG51" i="27" a="1"/>
  <c r="Q41" i="25" a="1"/>
  <c r="AE46" i="14" a="1"/>
  <c r="AV58" i="26" a="1"/>
  <c r="BK59" i="25" a="1"/>
  <c r="BI47" i="27" a="1"/>
  <c r="AP53" i="24" a="1"/>
  <c r="BA43" i="26" a="1"/>
  <c r="AB55" i="14" a="1"/>
  <c r="AT56" i="28" a="1"/>
  <c r="AI56" i="24" a="1"/>
  <c r="BK48" i="14" a="1"/>
  <c r="G42" i="25" a="1"/>
  <c r="AJ58" i="27" a="1"/>
  <c r="AQ59" i="14" a="1"/>
  <c r="BE36" i="28" a="1"/>
  <c r="T48" i="26" a="1"/>
  <c r="AM38" i="14" a="1"/>
  <c r="Z34" i="28" a="1"/>
  <c r="T54" i="28" a="1"/>
  <c r="AW37" i="14" a="1"/>
  <c r="J40" i="28" a="1"/>
  <c r="AE57" i="28" a="1"/>
  <c r="L51" i="24" a="1"/>
  <c r="AY34" i="27" a="1"/>
  <c r="Q41" i="27" a="1"/>
  <c r="L42" i="25" a="1"/>
  <c r="K48" i="25" a="1"/>
  <c r="Z56" i="27" a="1"/>
  <c r="AW43" i="24" a="1"/>
  <c r="K56" i="26" a="1"/>
  <c r="BF58" i="28" a="1"/>
  <c r="AH39" i="27" a="1"/>
  <c r="AU48" i="24" a="1"/>
  <c r="AL45" i="27" a="1"/>
  <c r="BJ58" i="14" a="1"/>
  <c r="AL50" i="26" a="1"/>
  <c r="AN54" i="28" a="1"/>
  <c r="BI41" i="26" a="1"/>
  <c r="AR43" i="14" a="1"/>
  <c r="AZ41" i="14" a="1"/>
  <c r="I45" i="27" a="1"/>
  <c r="AO60" i="14" a="1"/>
  <c r="M47" i="27" a="1"/>
  <c r="AC50" i="26" a="1"/>
  <c r="AV49" i="27" a="1"/>
  <c r="X50" i="25" a="1"/>
  <c r="AD59" i="24" a="1"/>
  <c r="F59" i="14" a="1"/>
  <c r="AR59" i="14" a="1"/>
  <c r="AT54" i="25" a="1"/>
  <c r="AG35" i="14" a="1"/>
  <c r="P60" i="25" a="1"/>
  <c r="R53" i="14" a="1"/>
  <c r="AA49" i="27" a="1"/>
  <c r="AX37" i="14" a="1"/>
  <c r="BI52" i="28" a="1"/>
  <c r="AS38" i="28" a="1"/>
  <c r="AF37" i="26" a="1"/>
  <c r="J38" i="28" a="1"/>
  <c r="AW47" i="25" a="1"/>
  <c r="J43" i="25" a="1"/>
  <c r="AY56" i="24" a="1"/>
  <c r="P57" i="24" a="1"/>
  <c r="BJ38" i="25" a="1"/>
  <c r="Q55" i="27" a="1"/>
  <c r="S40" i="27" a="1"/>
  <c r="B51" i="28" a="1"/>
  <c r="AF60" i="27" a="1"/>
  <c r="AY42" i="14" a="1"/>
  <c r="AK44" i="25" a="1"/>
  <c r="AJ44" i="26" a="1"/>
  <c r="AG53" i="24" a="1"/>
  <c r="AI42" i="14" a="1"/>
  <c r="AA46" i="24" a="1"/>
  <c r="AS47" i="24" a="1"/>
  <c r="Q54" i="28" a="1"/>
  <c r="AB47" i="14" a="1"/>
  <c r="N48" i="14" a="1"/>
  <c r="AZ33" i="26" a="1"/>
  <c r="B34" i="28" a="1"/>
  <c r="AD58" i="26" a="1"/>
  <c r="AH53" i="24" a="1"/>
  <c r="AE35" i="14" a="1"/>
  <c r="G56" i="25" a="1"/>
  <c r="G47" i="25" a="1"/>
  <c r="BH46" i="26" a="1"/>
  <c r="AY48" i="27" a="1"/>
  <c r="AZ45" i="27" a="1"/>
  <c r="L43" i="28" a="1"/>
  <c r="J56" i="27" a="1"/>
  <c r="H36" i="28" a="1"/>
  <c r="X48" i="26" a="1"/>
  <c r="BF56" i="26" a="1"/>
  <c r="AH39" i="28" a="1"/>
  <c r="BC36" i="25" a="1"/>
  <c r="BE41" i="27" a="1"/>
  <c r="AR39" i="27" a="1"/>
  <c r="AT33" i="27" a="1"/>
  <c r="AO58" i="25" a="1"/>
  <c r="L53" i="27" a="1"/>
  <c r="AK58" i="26" a="1"/>
  <c r="BK36" i="25" a="1"/>
  <c r="AR48" i="27" a="1"/>
  <c r="H35" i="14" a="1"/>
  <c r="AR50" i="25" a="1"/>
  <c r="AL41" i="25" a="1"/>
  <c r="AS36" i="26" a="1"/>
  <c r="BE45" i="24" a="1"/>
  <c r="H47" i="24" a="1"/>
  <c r="I47" i="14" a="1"/>
  <c r="W59" i="24" a="1"/>
  <c r="BB59" i="27" a="1"/>
  <c r="AM55" i="28" a="1"/>
  <c r="AL44" i="24" a="1"/>
  <c r="N49" i="25" a="1"/>
  <c r="M34" i="28" a="1"/>
  <c r="L56" i="27" a="1"/>
  <c r="J44" i="27" a="1"/>
  <c r="D40" i="24" a="1"/>
  <c r="AA57" i="27" a="1"/>
  <c r="L39" i="28" a="1"/>
  <c r="AK43" i="26" a="1"/>
  <c r="AA45" i="26" a="1"/>
  <c r="Z35" i="27" a="1"/>
  <c r="BK39" i="26" a="1"/>
  <c r="AE43" i="27" a="1"/>
  <c r="AV46" i="27" a="1"/>
  <c r="Q51" i="25" a="1"/>
  <c r="AT39" i="24" a="1"/>
  <c r="AP42" i="24" a="1"/>
  <c r="AB59" i="28" a="1"/>
  <c r="AA47" i="26" a="1"/>
  <c r="C41" i="14" a="1"/>
  <c r="I39" i="26" a="1"/>
  <c r="AJ46" i="28" a="1"/>
  <c r="AD60" i="28" a="1"/>
  <c r="BA59" i="24" a="1"/>
  <c r="AA34" i="25" a="1"/>
  <c r="H34" i="14" a="1"/>
  <c r="BD38" i="26" a="1"/>
  <c r="AA37" i="26" a="1"/>
  <c r="Y49" i="26" a="1"/>
  <c r="D41" i="26" a="1"/>
  <c r="BF37" i="25" a="1"/>
  <c r="BH55" i="24" a="1"/>
  <c r="O42" i="25" a="1"/>
  <c r="AI58" i="27" a="1"/>
  <c r="AB42" i="27" a="1"/>
  <c r="Y60" i="27" a="1"/>
  <c r="Z59" i="27" a="1"/>
  <c r="K41" i="27" a="1"/>
  <c r="U44" i="14" a="1"/>
  <c r="AR33" i="27" a="1"/>
  <c r="BD60" i="26" a="1"/>
  <c r="AU45" i="28" a="1"/>
  <c r="AW56" i="26" a="1"/>
  <c r="I46" i="27" a="1"/>
  <c r="Z42" i="24" a="1"/>
  <c r="AA39" i="14" a="1"/>
  <c r="O56" i="27" a="1"/>
  <c r="AF33" i="14" a="1"/>
  <c r="J56" i="28" a="1"/>
  <c r="AR44" i="26" a="1"/>
  <c r="BF50" i="25" a="1"/>
  <c r="I40" i="25" a="1"/>
  <c r="AN45" i="26" a="1"/>
  <c r="AZ56" i="28" a="1"/>
  <c r="AJ33" i="24" a="1"/>
  <c r="BJ33" i="25" a="1"/>
  <c r="D44" i="26" a="1"/>
  <c r="AU47" i="14" a="1"/>
  <c r="Z56" i="14" a="1"/>
  <c r="BG34" i="27" a="1"/>
  <c r="K51" i="28" a="1"/>
  <c r="BJ39" i="24" a="1"/>
  <c r="L36" i="24" a="1"/>
  <c r="AK33" i="14" a="1"/>
  <c r="AE58" i="24" a="1"/>
  <c r="BA36" i="14" a="1"/>
  <c r="M34" i="26" a="1"/>
  <c r="AW45" i="26" a="1"/>
  <c r="H49" i="25" a="1"/>
  <c r="BJ34" i="26" a="1"/>
  <c r="Y57" i="25" a="1"/>
  <c r="BA34" i="27" a="1"/>
  <c r="B52" i="27" a="1"/>
  <c r="BG49" i="24" a="1"/>
  <c r="J48" i="25" a="1"/>
  <c r="AP38" i="26" a="1"/>
  <c r="BD60" i="27" a="1"/>
  <c r="AM47" i="27" a="1"/>
  <c r="AU60" i="27" a="1"/>
  <c r="BI37" i="27" a="1"/>
  <c r="Y60" i="26" a="1"/>
  <c r="AX42" i="24" a="1"/>
  <c r="BD37" i="28" a="1"/>
  <c r="AK56" i="25" a="1"/>
  <c r="V33" i="24" a="1"/>
  <c r="AJ60" i="28" a="1"/>
  <c r="AF36" i="28" a="1"/>
  <c r="B38" i="24" a="1"/>
  <c r="AS37" i="14" a="1"/>
  <c r="BK59" i="26" a="1"/>
  <c r="X39" i="24" a="1"/>
  <c r="AH57" i="28" a="1"/>
  <c r="S54" i="24" a="1"/>
  <c r="AM39" i="26" a="1"/>
  <c r="J46" i="24" a="1"/>
  <c r="AB48" i="14" a="1"/>
  <c r="AA54" i="27" a="1"/>
  <c r="C55" i="26" a="1"/>
  <c r="AR51" i="26" a="1"/>
  <c r="C35" i="27" a="1"/>
  <c r="O51" i="27" a="1"/>
  <c r="AI52" i="24" a="1"/>
  <c r="I54" i="25" a="1"/>
  <c r="AH51" i="25" a="1"/>
  <c r="AX49" i="28" a="1"/>
  <c r="I38" i="26" a="1"/>
  <c r="K54" i="27" a="1"/>
  <c r="AF43" i="25" a="1"/>
  <c r="B55" i="27" a="1"/>
  <c r="T47" i="27" a="1"/>
  <c r="AF57" i="26" a="1"/>
  <c r="BA45" i="24" a="1"/>
  <c r="X34" i="27" a="1"/>
  <c r="P36" i="24" a="1"/>
  <c r="AD48" i="24" a="1"/>
  <c r="AQ39" i="28" a="1"/>
  <c r="AE40" i="27" a="1"/>
  <c r="BK58" i="25" a="1"/>
  <c r="F35" i="14" a="1"/>
  <c r="R34" i="25" a="1"/>
  <c r="AN34" i="28" a="1"/>
  <c r="H52" i="27" a="1"/>
  <c r="AF43" i="28" a="1"/>
  <c r="AH42" i="14" a="1"/>
  <c r="AH43" i="24" a="1"/>
  <c r="N33" i="14" a="1"/>
  <c r="AI49" i="27" a="1"/>
  <c r="AR48" i="25" a="1"/>
  <c r="AB58" i="24" a="1"/>
  <c r="AV46" i="28" a="1"/>
  <c r="AA51" i="26" a="1"/>
  <c r="E41" i="24" a="1"/>
  <c r="BG38" i="25" a="1"/>
  <c r="AV59" i="25" a="1"/>
  <c r="N52" i="25" a="1"/>
  <c r="P39" i="14" a="1"/>
  <c r="AV54" i="26" a="1"/>
  <c r="D39" i="24" a="1"/>
  <c r="Q37" i="25" a="1"/>
  <c r="AP48" i="24" a="1"/>
  <c r="M42" i="25" a="1"/>
  <c r="B43" i="14" a="1"/>
  <c r="P39" i="28" a="1"/>
  <c r="AR45" i="24" a="1"/>
  <c r="BG57" i="28" a="1"/>
  <c r="P43" i="24" a="1"/>
  <c r="AB50" i="14" a="1"/>
  <c r="AC57" i="28" a="1"/>
  <c r="BI55" i="28" a="1"/>
  <c r="AB43" i="14" a="1"/>
  <c r="AN37" i="26" a="1"/>
  <c r="BC51" i="24" a="1"/>
  <c r="AD43" i="14" a="1"/>
  <c r="BK38" i="26" a="1"/>
  <c r="S59" i="28" a="1"/>
  <c r="AA48" i="28" a="1"/>
  <c r="AN60" i="24" a="1"/>
  <c r="AH41" i="27" a="1"/>
  <c r="W55" i="28" a="1"/>
  <c r="I39" i="24" a="1"/>
  <c r="AP60" i="24" a="1"/>
  <c r="AA38" i="26" a="1"/>
  <c r="AK47" i="27" a="1"/>
  <c r="G44" i="26" a="1"/>
  <c r="AQ47" i="25" a="1"/>
  <c r="P34" i="24" a="1"/>
  <c r="AR48" i="26" a="1"/>
  <c r="F46" i="14" a="1"/>
  <c r="AB33" i="28" a="1"/>
  <c r="BG57" i="24" a="1"/>
  <c r="X36" i="14" a="1"/>
  <c r="BI33" i="28" a="1"/>
  <c r="G54" i="26" a="1"/>
  <c r="BD33" i="25" a="1"/>
  <c r="AW45" i="27" a="1"/>
  <c r="AL57" i="25" a="1"/>
  <c r="AP40" i="26" a="1"/>
  <c r="BB57" i="14" a="1"/>
  <c r="BH50" i="25" a="1"/>
  <c r="AH37" i="28" a="1"/>
  <c r="W36" i="14" a="1"/>
  <c r="AV41" i="28" a="1"/>
  <c r="AI33" i="28" a="1"/>
  <c r="BD58" i="27" a="1"/>
  <c r="BC38" i="25" a="1"/>
  <c r="I44" i="24" a="1"/>
  <c r="B36" i="26" a="1"/>
  <c r="BB34" i="27" a="1"/>
  <c r="Y49" i="27" a="1"/>
  <c r="BE55" i="26" a="1"/>
  <c r="T48" i="24" a="1"/>
  <c r="H55" i="14" a="1"/>
  <c r="AL59" i="28" a="1"/>
  <c r="AI57" i="24" a="1"/>
  <c r="AI44" i="25" a="1"/>
  <c r="BB35" i="26" a="1"/>
  <c r="AN34" i="24" a="1"/>
  <c r="W53" i="14" a="1"/>
  <c r="R44" i="25" a="1"/>
  <c r="T45" i="27" a="1"/>
  <c r="AP55" i="25" a="1"/>
  <c r="BG45" i="28" a="1"/>
  <c r="AS57" i="28" a="1"/>
  <c r="AZ37" i="27" a="1"/>
  <c r="Y47" i="28" a="1"/>
  <c r="BE57" i="28" a="1"/>
  <c r="G41" i="26" a="1"/>
  <c r="N42" i="28" a="1"/>
  <c r="AP46" i="26" a="1"/>
  <c r="O41" i="28" a="1"/>
  <c r="Y41" i="14" a="1"/>
  <c r="AQ51" i="28" a="1"/>
  <c r="T36" i="27" a="1"/>
  <c r="AX40" i="14" a="1"/>
  <c r="S56" i="28" a="1"/>
  <c r="L56" i="28" a="1"/>
  <c r="S52" i="24" a="1"/>
  <c r="H37" i="27" a="1"/>
  <c r="AQ40" i="24" a="1"/>
  <c r="AN48" i="26" a="1"/>
  <c r="AH53" i="25" a="1"/>
  <c r="R60" i="14" a="1"/>
  <c r="O46" i="14" a="1"/>
  <c r="AJ55" i="24" a="1"/>
  <c r="AR51" i="14" a="1"/>
  <c r="L42" i="27" a="1"/>
  <c r="AN56" i="24" a="1"/>
  <c r="G42" i="26" a="1"/>
  <c r="AV51" i="27" a="1"/>
  <c r="AB58" i="27" a="1"/>
  <c r="AL43" i="28" a="1"/>
  <c r="AS53" i="27" a="1"/>
  <c r="AP57" i="28" a="1"/>
  <c r="T54" i="24" a="1"/>
  <c r="G55" i="14" a="1"/>
  <c r="G33" i="14" a="1"/>
  <c r="AG45" i="24" a="1"/>
  <c r="BE56" i="26" a="1"/>
  <c r="AJ33" i="26" a="1"/>
  <c r="J34" i="25" a="1"/>
  <c r="AH44" i="27" a="1"/>
  <c r="AC50" i="28" a="1"/>
  <c r="AD41" i="27" a="1"/>
  <c r="Z34" i="27" a="1"/>
  <c r="BG33" i="25" a="1"/>
  <c r="AA40" i="24" a="1"/>
  <c r="AP56" i="25" a="1"/>
  <c r="BI48" i="25" a="1"/>
  <c r="V34" i="26" a="1"/>
  <c r="O58" i="28" a="1"/>
  <c r="I40" i="14" a="1"/>
  <c r="AM45" i="25" a="1"/>
  <c r="L39" i="25" a="1"/>
  <c r="AV59" i="24" a="1"/>
  <c r="H48" i="24" a="1"/>
  <c r="J50" i="25" a="1"/>
  <c r="O48" i="14" a="1"/>
  <c r="BE35" i="25" a="1"/>
  <c r="AA60" i="26" a="1"/>
  <c r="AX57" i="25" a="1"/>
  <c r="AF42" i="27" a="1"/>
  <c r="BD47" i="27" a="1"/>
  <c r="AM34" i="14" a="1"/>
  <c r="Y40" i="26" a="1"/>
  <c r="BH59" i="24" a="1"/>
  <c r="AF35" i="14" a="1"/>
  <c r="AS35" i="28" a="1"/>
  <c r="BE60" i="14" a="1"/>
  <c r="AR53" i="14" a="1"/>
  <c r="I39" i="14" a="1"/>
  <c r="N50" i="28" a="1"/>
  <c r="AZ42" i="26" a="1"/>
  <c r="AK38" i="14" a="1"/>
  <c r="AL52" i="24" a="1"/>
  <c r="I55" i="27" a="1"/>
  <c r="K51" i="14" a="1"/>
  <c r="F34" i="27" a="1"/>
  <c r="AH36" i="24" a="1"/>
  <c r="F40" i="28" a="1"/>
  <c r="AV57" i="27" a="1"/>
  <c r="Z33" i="24" a="1"/>
  <c r="S60" i="27" a="1"/>
  <c r="BK56" i="28" a="1"/>
  <c r="BB51" i="27" a="1"/>
  <c r="M60" i="14" a="1"/>
  <c r="D43" i="14" a="1"/>
  <c r="C56" i="26" a="1"/>
  <c r="AJ48" i="26" a="1"/>
  <c r="AD60" i="27" a="1"/>
  <c r="K57" i="27" a="1"/>
  <c r="E52" i="24" a="1"/>
  <c r="D39" i="28" a="1"/>
  <c r="G36" i="27" a="1"/>
  <c r="U50" i="24" a="1"/>
  <c r="N56" i="27" a="1"/>
  <c r="AJ35" i="25" a="1"/>
  <c r="BA54" i="25" a="1"/>
  <c r="BH52" i="28" a="1"/>
  <c r="I49" i="27" a="1"/>
  <c r="BD48" i="26" a="1"/>
  <c r="BF35" i="26" a="1"/>
  <c r="AG38" i="24" a="1"/>
  <c r="D38" i="26" a="1"/>
  <c r="AK60" i="27" a="1"/>
  <c r="X35" i="26" a="1"/>
  <c r="AX58" i="28" a="1"/>
  <c r="BA54" i="14" a="1"/>
  <c r="AY48" i="14" a="1"/>
  <c r="Z45" i="28" a="1"/>
  <c r="U37" i="27" a="1"/>
  <c r="BJ36" i="27" a="1"/>
  <c r="O54" i="25" a="1"/>
  <c r="BG54" i="24" a="1"/>
  <c r="BJ58" i="24" a="1"/>
  <c r="BD34" i="25" a="1"/>
  <c r="E53" i="28" a="1"/>
  <c r="AA33" i="28" a="1"/>
  <c r="AJ39" i="25" a="1"/>
  <c r="J55" i="28" a="1"/>
  <c r="AR57" i="14" a="1"/>
  <c r="B50" i="24" a="1"/>
  <c r="AR57" i="28" a="1"/>
  <c r="AO55" i="28" a="1"/>
  <c r="BH45" i="26" a="1"/>
  <c r="AU60" i="28" a="1"/>
  <c r="AG58" i="25" a="1"/>
  <c r="O50" i="26" a="1"/>
  <c r="M38" i="24" a="1"/>
  <c r="J39" i="14" a="1"/>
  <c r="AD38" i="26" a="1"/>
  <c r="AB58" i="14" a="1"/>
  <c r="J60" i="24" a="1"/>
  <c r="BG56" i="14" a="1"/>
  <c r="AO35" i="25" a="1"/>
  <c r="AP39" i="14" a="1"/>
  <c r="BK50" i="14" a="1"/>
  <c r="AC47" i="28" a="1"/>
  <c r="S51" i="24" a="1"/>
  <c r="S50" i="26" a="1"/>
  <c r="BB55" i="28" a="1"/>
  <c r="AR52" i="26" a="1"/>
  <c r="AB35" i="25" a="1"/>
  <c r="Y40" i="25" a="1"/>
  <c r="S41" i="14" a="1"/>
  <c r="BD57" i="27" a="1"/>
  <c r="I60" i="27" a="1"/>
  <c r="AF41" i="24" a="1"/>
  <c r="AP37" i="27" a="1"/>
  <c r="AN55" i="27" a="1"/>
  <c r="AH58" i="27" a="1"/>
  <c r="V37" i="14" a="1"/>
  <c r="AU39" i="24" a="1"/>
  <c r="S39" i="24" a="1"/>
  <c r="AF58" i="25" a="1"/>
  <c r="AO50" i="25" a="1"/>
  <c r="AW47" i="14" a="1"/>
  <c r="AM33" i="26" a="1"/>
  <c r="D37" i="27" a="1"/>
  <c r="Y44" i="25" a="1"/>
  <c r="AK43" i="25" a="1"/>
  <c r="B52" i="25" a="1"/>
  <c r="AN56" i="25" a="1"/>
  <c r="W41" i="26" a="1"/>
  <c r="AQ56" i="25" a="1"/>
  <c r="BA44" i="28" a="1"/>
  <c r="AD54" i="25" a="1"/>
  <c r="W36" i="25" a="1"/>
  <c r="T59" i="26" a="1"/>
  <c r="BD33" i="24" a="1"/>
  <c r="J36" i="14" a="1"/>
  <c r="C56" i="28" a="1"/>
  <c r="AQ34" i="25" a="1"/>
  <c r="Q45" i="14" a="1"/>
  <c r="BF35" i="25" a="1"/>
  <c r="AA54" i="28" a="1"/>
  <c r="BG52" i="27" a="1"/>
  <c r="AJ43" i="24" a="1"/>
  <c r="K48" i="27" a="1"/>
  <c r="AA46" i="26" a="1"/>
  <c r="BA34" i="25" a="1"/>
  <c r="AW39" i="24" a="1"/>
  <c r="AG36" i="25" a="1"/>
  <c r="AG52" i="28" a="1"/>
  <c r="L49" i="25" a="1"/>
  <c r="BF46" i="24" a="1"/>
  <c r="AA38" i="28" a="1"/>
  <c r="AO40" i="27" a="1"/>
  <c r="N60" i="14" a="1"/>
  <c r="G52" i="24" a="1"/>
  <c r="S60" i="14" a="1"/>
  <c r="O57" i="24" a="1"/>
  <c r="AK58" i="25" a="1"/>
  <c r="AC35" i="14" a="1"/>
  <c r="AY57" i="28" a="1"/>
  <c r="AY45" i="26" a="1"/>
  <c r="S60" i="28" a="1"/>
  <c r="Q34" i="27" a="1"/>
  <c r="AM59" i="24" a="1"/>
  <c r="U41" i="28" a="1"/>
  <c r="AH60" i="27" a="1"/>
  <c r="AJ42" i="24" a="1"/>
  <c r="I42" i="24" a="1"/>
  <c r="AY36" i="26" a="1"/>
  <c r="AF50" i="28" a="1"/>
  <c r="BE42" i="14" a="1"/>
  <c r="BC45" i="25" a="1"/>
  <c r="AI54" i="27" a="1"/>
  <c r="AY45" i="27" a="1"/>
  <c r="AS37" i="27" a="1"/>
  <c r="AN55" i="26" a="1"/>
  <c r="AV60" i="26" a="1"/>
  <c r="L34" i="24" a="1"/>
  <c r="AE56" i="28" a="1"/>
  <c r="AY38" i="27" a="1"/>
  <c r="AR38" i="25" a="1"/>
  <c r="BD35" i="14" a="1"/>
  <c r="AD34" i="28" a="1"/>
  <c r="AJ43" i="27" a="1"/>
  <c r="BK44" i="28" a="1"/>
  <c r="Y45" i="27" a="1"/>
  <c r="K36" i="27" a="1"/>
  <c r="AJ42" i="27" a="1"/>
  <c r="D36" i="28" a="1"/>
  <c r="X38" i="27" a="1"/>
  <c r="AU53" i="24" a="1"/>
  <c r="AJ58" i="25" a="1"/>
  <c r="AJ56" i="14" a="1"/>
  <c r="R33" i="25" a="1"/>
  <c r="F55" i="28" a="1"/>
  <c r="AU52" i="28" a="1"/>
  <c r="BD40" i="26" a="1"/>
  <c r="AH56" i="27" a="1"/>
  <c r="AP38" i="27" a="1"/>
  <c r="AQ58" i="14" a="1"/>
  <c r="J40" i="25" a="1"/>
  <c r="H54" i="27" a="1"/>
  <c r="L37" i="25" a="1"/>
  <c r="AP44" i="14" a="1"/>
  <c r="C56" i="25" a="1"/>
  <c r="BH45" i="28" a="1"/>
  <c r="Q51" i="14" a="1"/>
  <c r="B47" i="24" a="1"/>
  <c r="V47" i="28" a="1"/>
  <c r="BA33" i="25" a="1"/>
  <c r="AF54" i="28" a="1"/>
  <c r="Z53" i="14" a="1"/>
  <c r="L58" i="24" a="1"/>
  <c r="BK35" i="28" a="1"/>
  <c r="AN46" i="26" a="1"/>
  <c r="F43" i="28" a="1"/>
  <c r="AM45" i="28" a="1"/>
  <c r="AC42" i="28" a="1"/>
  <c r="AX39" i="28" a="1"/>
  <c r="AG56" i="25" a="1"/>
  <c r="R58" i="25" a="1"/>
  <c r="P54" i="14" a="1"/>
  <c r="BE58" i="24" a="1"/>
  <c r="AT59" i="28" a="1"/>
  <c r="BK38" i="28" a="1"/>
  <c r="AC40" i="24" a="1"/>
  <c r="AF41" i="28" a="1"/>
  <c r="Q44" i="28" a="1"/>
  <c r="AN48" i="28" a="1"/>
  <c r="P35" i="28" a="1"/>
  <c r="Y51" i="26" a="1"/>
  <c r="AD52" i="25" a="1"/>
  <c r="X35" i="25" a="1"/>
  <c r="O53" i="25" a="1"/>
  <c r="BJ53" i="27" a="1"/>
  <c r="AU34" i="14" a="1"/>
  <c r="AA42" i="24" a="1"/>
  <c r="AY57" i="25" a="1"/>
  <c r="AE59" i="24" a="1"/>
  <c r="Z38" i="27" a="1"/>
  <c r="L47" i="27" a="1"/>
  <c r="T51" i="25" a="1"/>
  <c r="Z50" i="25" a="1"/>
  <c r="W50" i="25" a="1"/>
  <c r="N60" i="26" a="1"/>
  <c r="AQ42" i="25" a="1"/>
  <c r="P50" i="28" a="1"/>
  <c r="BI51" i="28" a="1"/>
  <c r="R43" i="28" a="1"/>
  <c r="BA52" i="26" a="1"/>
  <c r="AD45" i="26" a="1"/>
  <c r="R50" i="24" a="1"/>
  <c r="BI49" i="27" a="1"/>
  <c r="AN37" i="14" a="1"/>
  <c r="BF57" i="26" a="1"/>
  <c r="R57" i="27" a="1"/>
  <c r="AI38" i="28" a="1"/>
  <c r="AC46" i="25" a="1"/>
  <c r="K46" i="27" a="1"/>
  <c r="F52" i="24" a="1"/>
  <c r="AN53" i="25" a="1"/>
  <c r="BK58" i="28" a="1"/>
  <c r="AE53" i="25" a="1"/>
  <c r="U48" i="26" a="1"/>
  <c r="AQ59" i="26" a="1"/>
  <c r="BE38" i="25" a="1"/>
  <c r="BD57" i="14" a="1"/>
  <c r="P59" i="25" a="1"/>
  <c r="AS47" i="26" a="1"/>
  <c r="J50" i="24" a="1"/>
  <c r="AS60" i="14" a="1"/>
  <c r="BG40" i="27" a="1"/>
  <c r="AS45" i="24" a="1"/>
  <c r="M44" i="25" a="1"/>
  <c r="AU45" i="26" a="1"/>
  <c r="BA56" i="14" a="1"/>
  <c r="B59" i="14" a="1"/>
  <c r="B53" i="14" a="1"/>
  <c r="X40" i="14" a="1"/>
  <c r="E46" i="27" a="1"/>
  <c r="G59" i="27" a="1"/>
  <c r="Q50" i="14" a="1"/>
  <c r="AA46" i="14" a="1"/>
  <c r="AK56" i="28" a="1"/>
  <c r="L60" i="25" a="1"/>
  <c r="B33" i="26" a="1"/>
  <c r="J43" i="26" a="1"/>
  <c r="AB56" i="24" a="1"/>
  <c r="AS40" i="27" a="1"/>
  <c r="AX58" i="24" a="1"/>
  <c r="BE56" i="27" a="1"/>
  <c r="BE39" i="28" a="1"/>
  <c r="BH39" i="27" a="1"/>
  <c r="AW46" i="24" a="1"/>
  <c r="AY45" i="24" a="1"/>
  <c r="AQ57" i="14" a="1"/>
  <c r="AF39" i="28" a="1"/>
  <c r="Y56" i="28" a="1"/>
  <c r="BH59" i="25" a="1"/>
  <c r="AQ37" i="25" a="1"/>
  <c r="Y57" i="27" a="1"/>
  <c r="F42" i="24" a="1"/>
  <c r="AK48" i="26" a="1"/>
  <c r="AZ58" i="27" a="1"/>
  <c r="BE50" i="25" a="1"/>
  <c r="BG58" i="24" a="1"/>
  <c r="M57" i="24" a="1"/>
  <c r="W45" i="25" a="1"/>
  <c r="AM52" i="14" a="1"/>
  <c r="AF58" i="28" a="1"/>
  <c r="AO49" i="24" a="1"/>
  <c r="AN39" i="27" a="1"/>
  <c r="BJ44" i="14" a="1"/>
  <c r="X39" i="14" a="1"/>
  <c r="B57" i="28" a="1"/>
  <c r="AK41" i="26" a="1"/>
  <c r="BK60" i="27" a="1"/>
  <c r="BD48" i="28" a="1"/>
  <c r="AG34" i="27" a="1"/>
  <c r="S50" i="28" a="1"/>
  <c r="BC33" i="26" a="1"/>
  <c r="BC46" i="14" a="1"/>
  <c r="AX60" i="14" a="1"/>
  <c r="S47" i="28" a="1"/>
  <c r="AA49" i="28" a="1"/>
  <c r="Y59" i="27" a="1"/>
  <c r="G50" i="26" a="1"/>
  <c r="BA51" i="14" a="1"/>
  <c r="AK41" i="27" a="1"/>
  <c r="BG47" i="28" a="1"/>
  <c r="G60" i="24" a="1"/>
  <c r="BJ49" i="24" a="1"/>
  <c r="BB60" i="27" a="1"/>
  <c r="F47" i="27" a="1"/>
  <c r="AN51" i="26" a="1"/>
  <c r="AD35" i="25" a="1"/>
  <c r="Y38" i="27" a="1"/>
  <c r="BE60" i="25" a="1"/>
  <c r="AL56" i="27" a="1"/>
  <c r="Q55" i="25" a="1"/>
  <c r="BC59" i="27" a="1"/>
  <c r="X59" i="28" a="1"/>
  <c r="V60" i="28" a="1"/>
  <c r="Q52" i="14" a="1"/>
  <c r="K49" i="27" a="1"/>
  <c r="X37" i="24" a="1"/>
  <c r="N42" i="24" a="1"/>
  <c r="AB55" i="28" a="1"/>
  <c r="R60" i="24" a="1"/>
  <c r="BK56" i="24" a="1"/>
  <c r="AQ37" i="24" a="1"/>
  <c r="BI33" i="25" a="1"/>
  <c r="AA51" i="27" a="1"/>
  <c r="Y55" i="27" a="1"/>
  <c r="BG34" i="28" a="1"/>
  <c r="K37" i="25" a="1"/>
  <c r="Z34" i="25" a="1"/>
  <c r="H54" i="14" a="1"/>
  <c r="AB53" i="26" a="1"/>
  <c r="L56" i="14" a="1"/>
  <c r="AI60" i="24" a="1"/>
  <c r="AR46" i="27" a="1"/>
  <c r="M35" i="25" a="1"/>
  <c r="R39" i="27" a="1"/>
  <c r="BJ43" i="28" a="1"/>
  <c r="AM60" i="27" a="1"/>
  <c r="AK35" i="27" a="1"/>
  <c r="W40" i="28" a="1"/>
  <c r="AN53" i="14" a="1"/>
  <c r="AN57" i="14" a="1"/>
  <c r="AV60" i="24" a="1"/>
  <c r="AQ41" i="14" a="1"/>
  <c r="AC34" i="14" a="1"/>
  <c r="L39" i="27" a="1"/>
  <c r="AJ60" i="24" a="1"/>
  <c r="W60" i="26" a="1"/>
  <c r="Z48" i="14" a="1"/>
  <c r="BJ58" i="25" a="1"/>
  <c r="T57" i="14" a="1"/>
  <c r="R49" i="14" a="1"/>
  <c r="AH40" i="25" a="1"/>
  <c r="Y35" i="26" a="1"/>
  <c r="BF41" i="14" a="1"/>
  <c r="BC49" i="25" a="1"/>
  <c r="AA48" i="14" a="1"/>
  <c r="BK49" i="28" a="1"/>
  <c r="M35" i="14" a="1"/>
  <c r="J44" i="26" a="1"/>
  <c r="AJ37" i="24" a="1"/>
  <c r="AB59" i="14" a="1"/>
  <c r="AN52" i="26" a="1"/>
  <c r="AN59" i="25" a="1"/>
  <c r="AH36" i="25" a="1"/>
  <c r="BA48" i="24" a="1"/>
  <c r="AS45" i="25" a="1"/>
  <c r="AG57" i="26" a="1"/>
  <c r="AB54" i="14" a="1"/>
  <c r="AS54" i="28" a="1"/>
  <c r="BA37" i="14" a="1"/>
  <c r="Q51" i="24" a="1"/>
  <c r="O45" i="24" a="1"/>
  <c r="U44" i="24" a="1"/>
  <c r="AT55" i="27" a="1"/>
  <c r="AF40" i="24" a="1"/>
  <c r="AL33" i="24" a="1"/>
  <c r="H49" i="27" a="1"/>
  <c r="AV40" i="25" a="1"/>
  <c r="P38" i="25" a="1"/>
  <c r="D33" i="25" a="1"/>
  <c r="AO55" i="14" a="1"/>
  <c r="H51" i="25" a="1"/>
  <c r="R49" i="28" a="1"/>
  <c r="X34" i="14" a="1"/>
  <c r="AL46" i="24" a="1"/>
  <c r="AG42" i="28" a="1"/>
  <c r="N60" i="24" a="1"/>
  <c r="E34" i="27" a="1"/>
  <c r="L34" i="25" a="1"/>
  <c r="AY47" i="28" a="1"/>
  <c r="AW48" i="28" a="1"/>
  <c r="W34" i="28" a="1"/>
  <c r="AS33" i="27" a="1"/>
  <c r="Q39" i="25" a="1"/>
  <c r="AR51" i="24" a="1"/>
  <c r="J49" i="25" a="1"/>
  <c r="BJ51" i="14" a="1"/>
  <c r="V59" i="27" a="1"/>
  <c r="L35" i="14" a="1"/>
  <c r="D44" i="25" a="1"/>
  <c r="AT60" i="27" a="1"/>
  <c r="AJ52" i="25" a="1"/>
  <c r="W38" i="28" a="1"/>
  <c r="AX55" i="25" a="1"/>
  <c r="Y47" i="14" a="1"/>
  <c r="V53" i="27" a="1"/>
  <c r="Z36" i="24" a="1"/>
  <c r="Y47" i="26" a="1"/>
  <c r="S60" i="26" a="1"/>
  <c r="AC43" i="24" a="1"/>
  <c r="AP58" i="26" a="1"/>
  <c r="AZ53" i="27" a="1"/>
  <c r="N36" i="25" a="1"/>
  <c r="Y47" i="25" a="1"/>
  <c r="B42" i="27" a="1"/>
  <c r="AF51" i="27" a="1"/>
  <c r="H46" i="25" a="1"/>
  <c r="V56" i="24" a="1"/>
  <c r="N40" i="27" a="1"/>
  <c r="AM34" i="25" a="1"/>
  <c r="AY44" i="24" a="1"/>
  <c r="AT51" i="14" a="1"/>
  <c r="BJ40" i="14" a="1"/>
  <c r="AC35" i="26" a="1"/>
  <c r="AO41" i="26" a="1"/>
  <c r="AP54" i="28" a="1"/>
  <c r="BB48" i="26" a="1"/>
  <c r="AG51" i="26" a="1"/>
  <c r="AT44" i="26" a="1"/>
  <c r="AL43" i="25" a="1"/>
  <c r="AO51" i="25" a="1"/>
  <c r="AT60" i="25" a="1"/>
  <c r="N33" i="25" a="1"/>
  <c r="AV37" i="24" a="1"/>
  <c r="BI34" i="26" a="1"/>
  <c r="M42" i="28" a="1"/>
  <c r="U42" i="25" a="1"/>
  <c r="BJ40" i="25" a="1"/>
  <c r="AG43" i="28" a="1"/>
  <c r="K33" i="27" a="1"/>
  <c r="AC59" i="26" a="1"/>
  <c r="L35" i="25" a="1"/>
  <c r="R34" i="28" a="1"/>
  <c r="BH34" i="28" a="1"/>
  <c r="AV50" i="24" a="1"/>
  <c r="AZ59" i="14" a="1"/>
  <c r="H39" i="14" a="1"/>
  <c r="AO43" i="26" a="1"/>
  <c r="AT51" i="28" a="1"/>
  <c r="AC52" i="28" a="1"/>
  <c r="Z40" i="27" a="1"/>
  <c r="AI45" i="14" a="1"/>
  <c r="AH41" i="14" a="1"/>
  <c r="BG40" i="24" a="1"/>
  <c r="AC44" i="27" a="1"/>
  <c r="K35" i="28" a="1"/>
  <c r="AQ52" i="14" a="1"/>
  <c r="AH38" i="25" a="1"/>
  <c r="AF59" i="28" a="1"/>
  <c r="O59" i="26" a="1"/>
  <c r="AI39" i="14" a="1"/>
  <c r="V35" i="25" a="1"/>
  <c r="C42" i="14" a="1"/>
  <c r="BC57" i="28" a="1"/>
  <c r="AT52" i="14" a="1"/>
  <c r="M53" i="28" a="1"/>
  <c r="AF36" i="26" a="1"/>
  <c r="L43" i="24" a="1"/>
  <c r="F60" i="27" a="1"/>
  <c r="BD46" i="27" a="1"/>
  <c r="BA55" i="26" a="1"/>
  <c r="BC39" i="25" a="1"/>
  <c r="BD57" i="24" a="1"/>
  <c r="AD41" i="24" a="1"/>
  <c r="AE45" i="26" a="1"/>
  <c r="AT55" i="28" a="1"/>
  <c r="AD58" i="27" a="1"/>
  <c r="Z54" i="14" a="1"/>
  <c r="AO44" i="25" a="1"/>
  <c r="N51" i="25" a="1"/>
  <c r="V49" i="25" a="1"/>
  <c r="V41" i="14" a="1"/>
  <c r="AC45" i="25" a="1"/>
  <c r="G56" i="27" a="1"/>
  <c r="BA47" i="27" a="1"/>
  <c r="T45" i="14" a="1"/>
  <c r="AJ55" i="27" a="1"/>
  <c r="AF49" i="14" a="1"/>
  <c r="T58" i="24" a="1"/>
  <c r="AY50" i="25" a="1"/>
  <c r="Y42" i="27" a="1"/>
  <c r="BB48" i="27" a="1"/>
  <c r="BK43" i="28" a="1"/>
  <c r="F39" i="28" a="1"/>
  <c r="AD39" i="27" a="1"/>
  <c r="BB48" i="28" a="1"/>
  <c r="BG55" i="24" a="1"/>
  <c r="AO34" i="24" a="1"/>
  <c r="BH54" i="25" a="1"/>
  <c r="BA52" i="28" a="1"/>
  <c r="AN38" i="26" a="1"/>
  <c r="B54" i="25" a="1"/>
  <c r="U40" i="14" a="1"/>
  <c r="AJ37" i="27" a="1"/>
  <c r="BK52" i="28" a="1"/>
  <c r="AD34" i="25" a="1"/>
  <c r="G53" i="26" a="1"/>
  <c r="Y60" i="14" a="1"/>
  <c r="BA52" i="14" a="1"/>
  <c r="B59" i="28" a="1"/>
  <c r="AR38" i="26" a="1"/>
  <c r="U43" i="26" a="1"/>
  <c r="BC57" i="25" a="1"/>
  <c r="F57" i="14" a="1"/>
  <c r="AN55" i="25" a="1"/>
  <c r="AS42" i="24" a="1"/>
  <c r="AE39" i="28" a="1"/>
  <c r="AQ47" i="14" a="1"/>
  <c r="AN54" i="24" a="1"/>
  <c r="AD49" i="26" a="1"/>
  <c r="Q43" i="26" a="1"/>
  <c r="K41" i="24" a="1"/>
  <c r="Q52" i="26" a="1"/>
  <c r="AM47" i="14" a="1"/>
  <c r="R51" i="26" a="1"/>
  <c r="B40" i="28" a="1"/>
  <c r="E46" i="28" a="1"/>
  <c r="P60" i="14" a="1"/>
  <c r="W56" i="28" a="1"/>
  <c r="BI41" i="14" a="1"/>
  <c r="AC33" i="24" a="1"/>
  <c r="C40" i="28" a="1"/>
  <c r="G50" i="25" a="1"/>
  <c r="L53" i="14" a="1"/>
  <c r="BG36" i="27" a="1"/>
  <c r="M39" i="27" a="1"/>
  <c r="K59" i="28" a="1"/>
  <c r="AK53" i="14" a="1"/>
  <c r="AP57" i="24" a="1"/>
  <c r="AJ36" i="26" a="1"/>
  <c r="AV36" i="26" a="1"/>
  <c r="BG58" i="14" a="1"/>
  <c r="AI49" i="14" a="1"/>
  <c r="V33" i="28" a="1"/>
  <c r="AU43" i="25" a="1"/>
  <c r="M51" i="28" a="1"/>
  <c r="E46" i="24" a="1"/>
  <c r="BH38" i="25" a="1"/>
  <c r="BC39" i="14" a="1"/>
  <c r="AT47" i="27" a="1"/>
  <c r="AA48" i="26" a="1"/>
  <c r="M54" i="25" a="1"/>
  <c r="AF50" i="25" a="1"/>
  <c r="AL52" i="28" a="1"/>
  <c r="BF33" i="14" a="1"/>
  <c r="H58" i="25" a="1"/>
  <c r="BE40" i="28" a="1"/>
  <c r="E53" i="14" a="1"/>
  <c r="N59" i="26" a="1"/>
  <c r="X58" i="27" a="1"/>
  <c r="AH57" i="24" a="1"/>
  <c r="BA42" i="26" a="1"/>
  <c r="AO56" i="27" a="1"/>
  <c r="BD52" i="28" a="1"/>
  <c r="O57" i="14" a="1"/>
  <c r="BF33" i="27" a="1"/>
  <c r="Y52" i="26" a="1"/>
  <c r="G60" i="26" a="1"/>
  <c r="AM57" i="25" a="1"/>
  <c r="AO56" i="26" a="1"/>
  <c r="AC48" i="25" a="1"/>
  <c r="Q37" i="26" a="1"/>
  <c r="AP40" i="14" a="1"/>
  <c r="V58" i="26" a="1"/>
  <c r="AH55" i="24" a="1"/>
  <c r="BI45" i="14" a="1"/>
  <c r="AD48" i="28" a="1"/>
  <c r="BD33" i="26" a="1"/>
  <c r="X45" i="28" a="1"/>
  <c r="AP59" i="24" a="1"/>
  <c r="AU53" i="28" a="1"/>
  <c r="BB54" i="28" a="1"/>
  <c r="AT39" i="14" a="1"/>
  <c r="AJ54" i="26" a="1"/>
  <c r="AJ37" i="14" a="1"/>
  <c r="BJ35" i="25" a="1"/>
  <c r="X54" i="24" a="1"/>
  <c r="J59" i="26" a="1"/>
  <c r="I55" i="25" a="1"/>
  <c r="R46" i="28" a="1"/>
  <c r="J55" i="14" a="1"/>
  <c r="C37" i="28" a="1"/>
  <c r="Q51" i="26" a="1"/>
  <c r="BI47" i="28" a="1"/>
  <c r="AO53" i="14" a="1"/>
  <c r="BF42" i="26" a="1"/>
  <c r="AF47" i="26" a="1"/>
  <c r="M52" i="27" a="1"/>
  <c r="C52" i="25" a="1"/>
  <c r="AJ57" i="26" a="1"/>
  <c r="D35" i="26" a="1"/>
  <c r="AQ41" i="27" a="1"/>
  <c r="AH34" i="28" a="1"/>
  <c r="AO33" i="27" a="1"/>
  <c r="AL41" i="28" a="1"/>
  <c r="Z47" i="26" a="1"/>
  <c r="BE51" i="14" a="1"/>
  <c r="BG46" i="25" a="1"/>
  <c r="AT42" i="25" a="1"/>
  <c r="BD42" i="28" a="1"/>
  <c r="F60" i="24" a="1"/>
  <c r="W37" i="27" a="1"/>
  <c r="AT34" i="26" a="1"/>
  <c r="AD48" i="27" a="1"/>
  <c r="BD51" i="26" a="1"/>
  <c r="AQ42" i="24" a="1"/>
  <c r="U39" i="28" a="1"/>
  <c r="AX49" i="25" a="1"/>
  <c r="BK34" i="25" a="1"/>
  <c r="L58" i="27" a="1"/>
  <c r="AI53" i="27" a="1"/>
  <c r="BJ60" i="28" a="1"/>
  <c r="Y54" i="28" a="1"/>
  <c r="BJ33" i="24" a="1"/>
  <c r="AS52" i="28" a="1"/>
  <c r="B41" i="14" a="1"/>
  <c r="Z37" i="14" a="1"/>
  <c r="V53" i="24" a="1"/>
  <c r="L33" i="28" a="1"/>
  <c r="AN58" i="26" a="1"/>
  <c r="AW35" i="27" a="1"/>
  <c r="X46" i="25" a="1"/>
  <c r="S53" i="26" a="1"/>
  <c r="BH52" i="26" a="1"/>
  <c r="O46" i="28" a="1"/>
  <c r="AZ56" i="26" a="1"/>
  <c r="AH44" i="24" a="1"/>
  <c r="AQ43" i="24" a="1"/>
  <c r="K35" i="14" a="1"/>
  <c r="AV37" i="28" a="1"/>
  <c r="AF58" i="14" a="1"/>
  <c r="BI40" i="25" a="1"/>
  <c r="AL60" i="14" a="1"/>
  <c r="H40" i="28" a="1"/>
  <c r="AS46" i="14" a="1"/>
  <c r="H52" i="26" a="1"/>
  <c r="R38" i="25" a="1"/>
  <c r="W42" i="14" a="1"/>
  <c r="AP52" i="24" a="1"/>
  <c r="AT38" i="24" a="1"/>
  <c r="J59" i="27" a="1"/>
  <c r="AG34" i="28" a="1"/>
  <c r="V40" i="26" a="1"/>
  <c r="V41" i="28" a="1"/>
  <c r="AP51" i="14" a="1"/>
  <c r="AD56" i="27" a="1"/>
  <c r="J49" i="28" a="1"/>
  <c r="AH37" i="25" a="1"/>
  <c r="BK41" i="25" a="1"/>
  <c r="BK49" i="24" a="1"/>
  <c r="AW45" i="25" a="1"/>
  <c r="U54" i="26" a="1"/>
  <c r="AD51" i="27" a="1"/>
  <c r="AT41" i="24" a="1"/>
  <c r="AO54" i="14" a="1"/>
  <c r="S46" i="26" a="1"/>
  <c r="AM35" i="14" a="1"/>
  <c r="AK40" i="28" a="1"/>
  <c r="AY55" i="27" a="1"/>
  <c r="AY59" i="25" a="1"/>
  <c r="C53" i="24" a="1"/>
  <c r="BG38" i="24" a="1"/>
  <c r="AQ39" i="26" a="1"/>
  <c r="AC37" i="24" a="1"/>
  <c r="AI55" i="14" a="1"/>
  <c r="BB34" i="25" a="1"/>
  <c r="C56" i="14" a="1"/>
  <c r="AB52" i="27" a="1"/>
  <c r="M54" i="14" a="1"/>
  <c r="AG38" i="25" a="1"/>
  <c r="AW35" i="28" a="1"/>
  <c r="AH37" i="27" a="1"/>
  <c r="I50" i="26" a="1"/>
  <c r="W57" i="25" a="1"/>
  <c r="BE53" i="24" a="1"/>
  <c r="AJ47" i="25" a="1"/>
  <c r="P52" i="26" a="1"/>
  <c r="AI36" i="26" a="1"/>
  <c r="J36" i="24" a="1"/>
  <c r="AI46" i="26" a="1"/>
  <c r="U59" i="26" a="1"/>
  <c r="AC40" i="27" a="1"/>
  <c r="O53" i="28" a="1"/>
  <c r="AQ48" i="26" a="1"/>
  <c r="AX43" i="28" a="1"/>
  <c r="C51" i="26" a="1"/>
  <c r="AX54" i="25" a="1"/>
  <c r="AR49" i="27" a="1"/>
  <c r="AN39" i="26" a="1"/>
  <c r="AE47" i="24" a="1"/>
  <c r="H37" i="25" a="1"/>
  <c r="AY48" i="28" a="1"/>
  <c r="F42" i="14" a="1"/>
  <c r="AC57" i="27" a="1"/>
  <c r="BH48" i="27" a="1"/>
  <c r="X37" i="14" a="1"/>
  <c r="BE55" i="25" a="1"/>
  <c r="AJ58" i="14" a="1"/>
  <c r="AG49" i="27" a="1"/>
  <c r="BI50" i="25" a="1"/>
  <c r="AC35" i="25" a="1"/>
  <c r="AJ36" i="14" a="1"/>
  <c r="B52" i="14" a="1"/>
  <c r="AX37" i="24" a="1"/>
  <c r="AO39" i="24" a="1"/>
  <c r="BG56" i="28" a="1"/>
  <c r="AI37" i="27" a="1"/>
  <c r="BC43" i="26" a="1"/>
  <c r="AV42" i="27" a="1"/>
  <c r="AR38" i="27" a="1"/>
  <c r="O40" i="27" a="1"/>
  <c r="AW57" i="25" a="1"/>
  <c r="BJ60" i="14" a="1"/>
  <c r="F40" i="24" a="1"/>
  <c r="AE40" i="28" a="1"/>
  <c r="AJ52" i="27" a="1"/>
  <c r="AU56" i="27" a="1"/>
  <c r="P46" i="26" a="1"/>
  <c r="AF53" i="28" a="1"/>
  <c r="Z39" i="26" a="1"/>
  <c r="AU37" i="24" a="1"/>
  <c r="T39" i="28" a="1"/>
  <c r="N36" i="26" a="1"/>
  <c r="G45" i="24" a="1"/>
  <c r="AO44" i="26" a="1"/>
  <c r="AC33" i="25" a="1"/>
  <c r="D39" i="27" a="1"/>
  <c r="I51" i="27" a="1"/>
  <c r="O43" i="28" a="1"/>
  <c r="AI43" i="28" a="1"/>
  <c r="AU43" i="27" a="1"/>
  <c r="AY42" i="26" a="1"/>
  <c r="BB49" i="14" a="1"/>
  <c r="K58" i="26" a="1"/>
  <c r="B60" i="25" a="1"/>
  <c r="AP46" i="25" a="1"/>
  <c r="N45" i="24" a="1"/>
  <c r="BK35" i="14" a="1"/>
  <c r="P53" i="26" a="1"/>
  <c r="AI37" i="14" a="1"/>
  <c r="Q57" i="25" a="1"/>
  <c r="AZ58" i="26" a="1"/>
  <c r="D48" i="14" a="1"/>
  <c r="AY59" i="14" a="1"/>
  <c r="V50" i="25" a="1"/>
  <c r="BH53" i="25" a="1"/>
  <c r="AU59" i="25" a="1"/>
  <c r="AY35" i="28" a="1"/>
  <c r="O49" i="24" a="1"/>
  <c r="Q37" i="24" a="1"/>
  <c r="AR33" i="24" a="1"/>
  <c r="BC55" i="28" a="1"/>
  <c r="AG43" i="14" a="1"/>
  <c r="AO49" i="28" a="1"/>
  <c r="V50" i="26" a="1"/>
  <c r="C43" i="24" a="1"/>
  <c r="V46" i="26" a="1"/>
  <c r="BE37" i="26" a="1"/>
  <c r="W56" i="27" a="1"/>
  <c r="BE60" i="28" a="1"/>
  <c r="AK34" i="14" a="1"/>
  <c r="F46" i="27" a="1"/>
  <c r="AU49" i="14" a="1"/>
  <c r="AV42" i="26" a="1"/>
  <c r="AI36" i="25" a="1"/>
  <c r="AX41" i="27" a="1"/>
  <c r="BI48" i="14" a="1"/>
  <c r="J56" i="24" a="1"/>
  <c r="AZ54" i="28" a="1"/>
  <c r="AF38" i="28" a="1"/>
  <c r="AH44" i="28" a="1"/>
  <c r="Q59" i="25" a="1"/>
  <c r="K41" i="14" a="1"/>
  <c r="AA36" i="27" a="1"/>
  <c r="AN52" i="28" a="1"/>
  <c r="AF34" i="27" a="1"/>
  <c r="AZ54" i="25" a="1"/>
  <c r="AC36" i="14" a="1"/>
  <c r="BI48" i="24" a="1"/>
  <c r="AC50" i="25" a="1"/>
  <c r="AD35" i="27" a="1"/>
  <c r="AQ41" i="25" a="1"/>
  <c r="Z47" i="14" a="1"/>
  <c r="AA60" i="27" a="1"/>
  <c r="J55" i="26" a="1"/>
  <c r="BC43" i="28" a="1"/>
  <c r="AM49" i="28" a="1"/>
  <c r="AT40" i="27" a="1"/>
  <c r="AR40" i="28" a="1"/>
  <c r="AP53" i="26" a="1"/>
  <c r="E54" i="27" a="1"/>
  <c r="AT41" i="27" a="1"/>
  <c r="AK59" i="26" a="1"/>
  <c r="BB57" i="28" a="1"/>
  <c r="K37" i="24" a="1"/>
  <c r="BK35" i="25" a="1"/>
  <c r="AZ40" i="25" a="1"/>
  <c r="W45" i="24" a="1"/>
  <c r="AE44" i="14" a="1"/>
  <c r="AZ34" i="24" a="1"/>
  <c r="AU58" i="25" a="1"/>
  <c r="P35" i="26" a="1"/>
  <c r="N55" i="28" a="1"/>
  <c r="B60" i="14" a="1"/>
  <c r="N35" i="26" a="1"/>
  <c r="BJ57" i="14" a="1"/>
  <c r="D57" i="14" a="1"/>
  <c r="H45" i="24" a="1"/>
  <c r="AL55" i="28" a="1"/>
  <c r="BD60" i="28" a="1"/>
  <c r="T34" i="25" a="1"/>
  <c r="AA57" i="14" a="1"/>
  <c r="P50" i="27" a="1"/>
  <c r="BJ43" i="24" a="1"/>
  <c r="BK43" i="24" a="1"/>
  <c r="AQ58" i="25" a="1"/>
  <c r="BK35" i="26" a="1"/>
  <c r="AQ40" i="28" a="1"/>
  <c r="AI56" i="14" a="1"/>
  <c r="AX48" i="24" a="1"/>
  <c r="AX46" i="24" a="1"/>
  <c r="AK46" i="25" a="1"/>
  <c r="BI56" i="28" a="1"/>
  <c r="AD53" i="27" a="1"/>
  <c r="N50" i="27" a="1"/>
  <c r="AC52" i="14" a="1"/>
  <c r="G36" i="25" a="1"/>
  <c r="L45" i="14" a="1"/>
  <c r="W38" i="27" a="1"/>
  <c r="Q60" i="26" a="1"/>
  <c r="AW59" i="14" a="1"/>
  <c r="X33" i="28" a="1"/>
  <c r="B44" i="14" a="1"/>
  <c r="AT49" i="26" a="1"/>
  <c r="AV40" i="28" a="1"/>
  <c r="BK50" i="28" a="1"/>
  <c r="AG47" i="27" a="1"/>
  <c r="Z36" i="25" a="1"/>
  <c r="I38" i="28" a="1"/>
  <c r="S47" i="25" a="1"/>
  <c r="U46" i="14" a="1"/>
  <c r="BH54" i="14" a="1"/>
  <c r="Y48" i="27" a="1"/>
  <c r="W47" i="28" a="1"/>
  <c r="AF44" i="25" a="1"/>
  <c r="AU58" i="24" a="1"/>
  <c r="C39" i="26" a="1"/>
  <c r="AC44" i="25" a="1"/>
  <c r="AW38" i="28" a="1"/>
  <c r="BE41" i="25" a="1"/>
  <c r="AZ60" i="28" a="1"/>
  <c r="BC45" i="14" a="1"/>
  <c r="O36" i="27" a="1"/>
  <c r="BJ58" i="26" a="1"/>
  <c r="BB33" i="25" a="1"/>
  <c r="V58" i="25" a="1"/>
  <c r="AZ36" i="14" a="1"/>
  <c r="I51" i="24" a="1"/>
  <c r="BJ36" i="28" a="1"/>
  <c r="BH40" i="27" a="1"/>
  <c r="B54" i="27" a="1"/>
  <c r="V34" i="25" a="1"/>
  <c r="K35" i="26" a="1"/>
  <c r="H46" i="27" a="1"/>
  <c r="AU36" i="28" a="1"/>
  <c r="V40" i="14" a="1"/>
  <c r="AD43" i="25" a="1"/>
  <c r="AU57" i="25" a="1"/>
  <c r="BC42" i="26" a="1"/>
  <c r="AF38" i="14" a="1"/>
  <c r="BE39" i="14" a="1"/>
  <c r="AG50" i="14" a="1"/>
  <c r="AO38" i="26" a="1"/>
  <c r="AP43" i="14" a="1"/>
  <c r="Y47" i="24" a="1"/>
  <c r="H38" i="27" a="1"/>
  <c r="M46" i="28" a="1"/>
  <c r="R54" i="27" a="1"/>
  <c r="AA35" i="14" a="1"/>
  <c r="S33" i="14" a="1"/>
  <c r="J41" i="27" a="1"/>
  <c r="D47" i="28" a="1"/>
  <c r="AQ34" i="14" a="1"/>
  <c r="C50" i="25" a="1"/>
  <c r="I41" i="28" a="1"/>
  <c r="W39" i="14" a="1"/>
  <c r="B36" i="28" a="1"/>
  <c r="AX52" i="24" a="1"/>
  <c r="AR48" i="24" a="1"/>
  <c r="T35" i="25" a="1"/>
  <c r="W52" i="27" a="1"/>
  <c r="AV52" i="28" a="1"/>
  <c r="W41" i="24" a="1"/>
  <c r="AM33" i="27" a="1"/>
  <c r="AC56" i="28" a="1"/>
  <c r="BJ35" i="28" a="1"/>
  <c r="BF34" i="25" a="1"/>
  <c r="Z43" i="14" a="1"/>
  <c r="Z43" i="24" a="1"/>
  <c r="AH41" i="28" a="1"/>
  <c r="H60" i="14" a="1"/>
  <c r="BC49" i="26" a="1"/>
  <c r="X50" i="27" a="1"/>
  <c r="AC37" i="27" a="1"/>
  <c r="AL49" i="27" a="1"/>
  <c r="BK37" i="27" a="1"/>
  <c r="W53" i="28" a="1"/>
  <c r="P36" i="25" a="1"/>
  <c r="AN37" i="25" a="1"/>
  <c r="AX59" i="28" a="1"/>
  <c r="BB54" i="26" a="1"/>
  <c r="E58" i="27" a="1"/>
  <c r="O58" i="27" a="1"/>
  <c r="N48" i="28" a="1"/>
  <c r="BF54" i="27" a="1"/>
  <c r="AA40" i="28" a="1"/>
  <c r="AA45" i="27" a="1"/>
  <c r="AA35" i="28" a="1"/>
  <c r="AU60" i="26" a="1"/>
  <c r="BG50" i="14" a="1"/>
  <c r="K53" i="25" a="1"/>
  <c r="AD55" i="14" a="1"/>
  <c r="BD55" i="14" a="1"/>
  <c r="AG59" i="25" a="1"/>
  <c r="BG59" i="28" a="1"/>
  <c r="AA54" i="24" a="1"/>
  <c r="B34" i="14" a="1"/>
  <c r="BF60" i="28" a="1"/>
  <c r="K49" i="26" a="1"/>
  <c r="C34" i="14" a="1"/>
  <c r="BD36" i="25" a="1"/>
  <c r="AG47" i="28" a="1"/>
  <c r="BE33" i="26" a="1"/>
  <c r="N47" i="25" a="1"/>
  <c r="BH55" i="25" a="1"/>
  <c r="AV58" i="24" a="1"/>
  <c r="V36" i="26" a="1"/>
  <c r="AE56" i="27" a="1"/>
  <c r="AH56" i="14" a="1"/>
  <c r="U36" i="24" a="1"/>
  <c r="Q44" i="24" a="1"/>
  <c r="AG56" i="28" a="1"/>
  <c r="K48" i="28" a="1"/>
  <c r="AC54" i="26" a="1"/>
  <c r="AD59" i="27" a="1"/>
  <c r="L53" i="26" a="1"/>
  <c r="S59" i="24" a="1"/>
  <c r="AL50" i="14" a="1"/>
  <c r="H43" i="28" a="1"/>
  <c r="AA42" i="27" a="1"/>
  <c r="BK47" i="24" a="1"/>
  <c r="AV52" i="14" a="1"/>
  <c r="BG54" i="14" a="1"/>
  <c r="AL53" i="25" a="1"/>
  <c r="AS48" i="27" a="1"/>
  <c r="BD45" i="27" a="1"/>
  <c r="AP53" i="25" a="1"/>
  <c r="AP52" i="26" a="1"/>
  <c r="BC54" i="25" a="1"/>
  <c r="AZ50" i="24" a="1"/>
  <c r="AR50" i="14" a="1"/>
  <c r="AS56" i="28" a="1"/>
  <c r="F60" i="25" a="1"/>
  <c r="BB39" i="26" a="1"/>
  <c r="G35" i="14" a="1"/>
  <c r="Y58" i="26" a="1"/>
  <c r="AS54" i="25" a="1"/>
  <c r="BD34" i="28" a="1"/>
  <c r="AG52" i="27" a="1"/>
  <c r="L44" i="27" a="1"/>
  <c r="Q36" i="24" a="1"/>
  <c r="BC57" i="26" a="1"/>
  <c r="AJ34" i="27" a="1"/>
  <c r="AD42" i="28" a="1"/>
  <c r="T55" i="14" a="1"/>
  <c r="BD58" i="14" a="1"/>
  <c r="B57" i="25" a="1"/>
  <c r="W49" i="27" a="1"/>
  <c r="AZ39" i="24" a="1"/>
  <c r="BF39" i="26" a="1"/>
  <c r="X46" i="24" a="1"/>
  <c r="AG46" i="26" a="1"/>
  <c r="AF49" i="28" a="1"/>
  <c r="BB54" i="14" a="1"/>
  <c r="B34" i="24" a="1"/>
  <c r="AZ46" i="24" a="1"/>
  <c r="AB58" i="28" a="1"/>
  <c r="BE51" i="24" a="1"/>
  <c r="W33" i="14" a="1"/>
  <c r="AQ58" i="27" a="1"/>
  <c r="Z60" i="24" a="1"/>
  <c r="U56" i="26" a="1"/>
  <c r="AU34" i="27" a="1"/>
  <c r="H60" i="26" a="1"/>
  <c r="BB55" i="27" a="1"/>
  <c r="N56" i="14" a="1"/>
  <c r="AU40" i="28" a="1"/>
  <c r="AS52" i="14" a="1"/>
  <c r="Q60" i="28" a="1"/>
  <c r="AE52" i="24" a="1"/>
  <c r="AX36" i="26" a="1"/>
  <c r="AP48" i="25" a="1"/>
  <c r="M53" i="25" a="1"/>
  <c r="B39" i="27" a="1"/>
  <c r="AA60" i="14" a="1"/>
  <c r="AY58" i="14" a="1"/>
  <c r="BE43" i="27" a="1"/>
  <c r="AP53" i="14" a="1"/>
  <c r="K47" i="14" a="1"/>
  <c r="AE44" i="26" a="1"/>
  <c r="AP59" i="26" a="1"/>
  <c r="K44" i="25" a="1"/>
  <c r="AR36" i="24" a="1"/>
  <c r="AJ50" i="25" a="1"/>
  <c r="G41" i="27" a="1"/>
  <c r="Q60" i="25" a="1"/>
  <c r="BA53" i="24" a="1"/>
  <c r="BE44" i="24" a="1"/>
  <c r="N38" i="24" a="1"/>
  <c r="AQ53" i="28" a="1"/>
  <c r="AR46" i="14" a="1"/>
  <c r="F34" i="28" a="1"/>
  <c r="BJ39" i="26" a="1"/>
  <c r="AB57" i="27" a="1"/>
  <c r="K44" i="28" a="1"/>
  <c r="AG58" i="28" a="1"/>
  <c r="B46" i="14" a="1"/>
  <c r="U33" i="26" a="1"/>
  <c r="BC45" i="24" a="1"/>
  <c r="BH57" i="25" a="1"/>
  <c r="AR47" i="26" a="1"/>
  <c r="AA39" i="25" a="1"/>
  <c r="BC54" i="24" a="1"/>
  <c r="BD59" i="24" a="1"/>
  <c r="AF58" i="26" a="1"/>
  <c r="T42" i="24" a="1"/>
  <c r="H47" i="27" a="1"/>
  <c r="AF59" i="14" a="1"/>
  <c r="T51" i="14" a="1"/>
  <c r="BF44" i="26" a="1"/>
  <c r="AB45" i="24" a="1"/>
  <c r="BA44" i="14" a="1"/>
  <c r="F59" i="28" a="1"/>
  <c r="BF35" i="28" a="1"/>
  <c r="AS58" i="14" a="1"/>
  <c r="AB51" i="28" a="1"/>
  <c r="AS58" i="26" a="1"/>
  <c r="S44" i="25" a="1"/>
  <c r="BJ34" i="24" a="1"/>
  <c r="AX48" i="14" a="1"/>
  <c r="AZ57" i="14" a="1"/>
  <c r="AQ35" i="28" a="1"/>
  <c r="AW50" i="26" a="1"/>
  <c r="AC58" i="14" a="1"/>
  <c r="BC42" i="14" a="1"/>
  <c r="AX51" i="28" a="1"/>
  <c r="BI54" i="24" a="1"/>
  <c r="AK44" i="27" a="1"/>
  <c r="AT53" i="24" a="1"/>
  <c r="AX39" i="14" a="1"/>
  <c r="AT44" i="27" a="1"/>
  <c r="AN58" i="14" a="1"/>
  <c r="AQ46" i="26" a="1"/>
  <c r="AR58" i="24" a="1"/>
  <c r="H40" i="14" a="1"/>
  <c r="L33" i="24" a="1"/>
  <c r="AR54" i="25" a="1"/>
  <c r="BE44" i="26" a="1"/>
  <c r="AO53" i="24" a="1"/>
  <c r="AX44" i="27" a="1"/>
  <c r="L33" i="25" a="1"/>
  <c r="P33" i="28" a="1"/>
  <c r="BE35" i="14" a="1"/>
  <c r="AN58" i="28" a="1"/>
  <c r="AA58" i="14" a="1"/>
  <c r="C60" i="26" a="1"/>
  <c r="U34" i="26" a="1"/>
  <c r="O35" i="25" a="1"/>
  <c r="AC59" i="27" a="1"/>
  <c r="AO52" i="28" a="1"/>
  <c r="V48" i="27" a="1"/>
  <c r="AZ40" i="14" a="1"/>
  <c r="AV34" i="26" a="1"/>
  <c r="Q33" i="24" a="1"/>
  <c r="BE35" i="27" a="1"/>
  <c r="X59" i="26" a="1"/>
  <c r="BB36" i="25" a="1"/>
  <c r="C58" i="24" a="1"/>
  <c r="J54" i="27" a="1"/>
  <c r="AJ44" i="14" a="1"/>
  <c r="P52" i="28" a="1"/>
  <c r="H52" i="24" a="1"/>
  <c r="AT54" i="28" a="1"/>
  <c r="AL46" i="27" a="1"/>
  <c r="AU48" i="14" a="1"/>
  <c r="V41" i="25" a="1"/>
  <c r="AN36" i="26" a="1"/>
  <c r="O42" i="28" a="1"/>
  <c r="BI60" i="24" a="1"/>
  <c r="Z56" i="25" a="1"/>
  <c r="BI39" i="25" a="1"/>
  <c r="AN49" i="26" a="1"/>
  <c r="AD54" i="27" a="1"/>
  <c r="AF45" i="24" a="1"/>
  <c r="AT53" i="25" a="1"/>
  <c r="R56" i="28" a="1"/>
  <c r="AD35" i="14" a="1"/>
  <c r="AQ47" i="27" a="1"/>
  <c r="U47" i="26" a="1"/>
  <c r="AU51" i="28" a="1"/>
  <c r="AD35" i="28" a="1"/>
  <c r="J36" i="26" a="1"/>
  <c r="C49" i="28" a="1"/>
  <c r="AH49" i="14" a="1"/>
  <c r="AQ43" i="14" a="1"/>
  <c r="AW41" i="24" a="1"/>
  <c r="BE37" i="14" a="1"/>
  <c r="AK58" i="14" a="1"/>
  <c r="G37" i="14" a="1"/>
  <c r="BE40" i="26" a="1"/>
  <c r="E54" i="26" a="1"/>
  <c r="BK51" i="27" a="1"/>
  <c r="BE36" i="25" a="1"/>
  <c r="BJ46" i="26" a="1"/>
  <c r="BJ47" i="24" a="1"/>
  <c r="D50" i="25" a="1"/>
  <c r="AZ39" i="14" a="1"/>
  <c r="AV56" i="24" a="1"/>
  <c r="AI57" i="27" a="1"/>
  <c r="AS43" i="25" a="1"/>
  <c r="M35" i="26" a="1"/>
  <c r="BB58" i="27" a="1"/>
  <c r="G47" i="24" a="1"/>
  <c r="M46" i="25" a="1"/>
  <c r="BF45" i="26" a="1"/>
  <c r="K43" i="26" a="1"/>
  <c r="C55" i="27" a="1"/>
  <c r="AD37" i="25" a="1"/>
  <c r="BD43" i="14" a="1"/>
  <c r="T44" i="28" a="1"/>
  <c r="BA43" i="14" a="1"/>
  <c r="BA41" i="25" a="1"/>
  <c r="BF47" i="26" a="1"/>
  <c r="E58" i="14" a="1"/>
  <c r="C53" i="14" a="1"/>
  <c r="AS55" i="28" a="1"/>
  <c r="AT44" i="25" a="1"/>
  <c r="AF34" i="25" a="1"/>
  <c r="C52" i="14" a="1"/>
  <c r="U45" i="28" a="1"/>
  <c r="BG49" i="27" a="1"/>
  <c r="AF50" i="27" a="1"/>
  <c r="AO55" i="25" a="1"/>
  <c r="Y40" i="14" a="1"/>
  <c r="BK37" i="25" a="1"/>
  <c r="BD43" i="26" a="1"/>
  <c r="AA36" i="14" a="1"/>
  <c r="AK50" i="25" a="1"/>
  <c r="AC43" i="28" a="1"/>
  <c r="AN51" i="25" a="1"/>
  <c r="AR57" i="27" a="1"/>
  <c r="AD60" i="24" a="1"/>
  <c r="X59" i="24" a="1"/>
  <c r="AE52" i="27" a="1"/>
  <c r="AD33" i="25" a="1"/>
  <c r="AN37" i="28" a="1"/>
  <c r="AA58" i="25" a="1"/>
  <c r="V37" i="25" a="1"/>
  <c r="AK34" i="28" a="1"/>
  <c r="AP49" i="14" a="1"/>
  <c r="W44" i="14" a="1"/>
  <c r="O38" i="14" a="1"/>
  <c r="AJ60" i="25" a="1"/>
  <c r="AE54" i="24" a="1"/>
  <c r="S38" i="25" a="1"/>
  <c r="BK54" i="24" a="1"/>
  <c r="AM55" i="26" a="1"/>
  <c r="U41" i="24" a="1"/>
  <c r="AY40" i="27" a="1"/>
  <c r="Y58" i="25" a="1"/>
  <c r="AO34" i="14" a="1"/>
  <c r="AU42" i="14" a="1"/>
  <c r="Q39" i="27" a="1"/>
  <c r="AG48" i="27" a="1"/>
  <c r="AO51" i="28" a="1"/>
  <c r="E54" i="25" a="1"/>
  <c r="AD50" i="24" a="1"/>
  <c r="T44" i="26" a="1"/>
  <c r="N56" i="26" a="1"/>
  <c r="U47" i="14" a="1"/>
  <c r="E49" i="24" a="1"/>
  <c r="F45" i="26" a="1"/>
  <c r="V33" i="14" a="1"/>
  <c r="AV58" i="28" a="1"/>
  <c r="N59" i="27" a="1"/>
  <c r="S38" i="26" a="1"/>
  <c r="W36" i="27" a="1"/>
  <c r="AL58" i="28" a="1"/>
  <c r="N47" i="24" a="1"/>
  <c r="AQ60" i="28" a="1"/>
  <c r="BJ33" i="28" a="1"/>
  <c r="BG46" i="27" a="1"/>
  <c r="R55" i="28" a="1"/>
  <c r="AL54" i="26" a="1"/>
  <c r="AH41" i="24" a="1"/>
  <c r="AL37" i="28" a="1"/>
  <c r="I37" i="25" a="1"/>
  <c r="AH49" i="26" a="1"/>
  <c r="Y49" i="14" a="1"/>
  <c r="AW36" i="25" a="1"/>
  <c r="AW45" i="14" a="1"/>
  <c r="S38" i="28" a="1"/>
  <c r="B33" i="28" a="1"/>
  <c r="AR39" i="28" a="1"/>
  <c r="AI45" i="28" a="1"/>
  <c r="C46" i="26" a="1"/>
  <c r="AJ60" i="26" a="1"/>
  <c r="AJ41" i="27" a="1"/>
  <c r="O39" i="25" a="1"/>
  <c r="AP37" i="24" a="1"/>
  <c r="AV42" i="28" a="1"/>
  <c r="AH46" i="26" a="1"/>
  <c r="AF60" i="14" a="1"/>
  <c r="X36" i="26" a="1"/>
  <c r="N43" i="27" a="1"/>
  <c r="AE47" i="25" a="1"/>
  <c r="BD60" i="14" a="1"/>
  <c r="W58" i="26" a="1"/>
  <c r="AN59" i="28" a="1"/>
  <c r="H41" i="28" a="1"/>
  <c r="V57" i="26" a="1"/>
  <c r="H47" i="14" a="1"/>
  <c r="AK54" i="27" a="1"/>
  <c r="M43" i="25" a="1"/>
  <c r="AY46" i="25" a="1"/>
  <c r="AE37" i="28" a="1"/>
  <c r="AL39" i="14" a="1"/>
  <c r="AN57" i="25" a="1"/>
  <c r="W48" i="26" a="1"/>
  <c r="AM36" i="28" a="1"/>
  <c r="BD39" i="28" a="1"/>
  <c r="AM36" i="27" a="1"/>
  <c r="AU52" i="24" a="1"/>
  <c r="AZ56" i="24" a="1"/>
  <c r="BJ45" i="24" a="1"/>
  <c r="W56" i="24" a="1"/>
  <c r="AF50" i="24" a="1"/>
  <c r="D43" i="28" a="1"/>
  <c r="BE52" i="28" a="1"/>
  <c r="AZ37" i="14" a="1"/>
  <c r="AI54" i="26" a="1"/>
  <c r="AS59" i="14" a="1"/>
  <c r="W52" i="26" a="1"/>
  <c r="D58" i="24" a="1"/>
  <c r="V58" i="27" a="1"/>
  <c r="AR55" i="24" a="1"/>
  <c r="AD52" i="27" a="1"/>
  <c r="AA60" i="25" a="1"/>
  <c r="AA39" i="24" a="1"/>
  <c r="S47" i="27" a="1"/>
  <c r="H50" i="28" a="1"/>
  <c r="R52" i="26" a="1"/>
  <c r="BK35" i="24" a="1"/>
  <c r="D49" i="26" a="1"/>
  <c r="K52" i="28" a="1"/>
  <c r="BJ37" i="24" a="1"/>
  <c r="X39" i="28" a="1"/>
  <c r="AO50" i="28" a="1"/>
  <c r="Y41" i="25" a="1"/>
  <c r="D58" i="14" a="1"/>
  <c r="AO40" i="28" a="1"/>
  <c r="D55" i="25" a="1"/>
  <c r="AA55" i="24" a="1"/>
  <c r="W42" i="28" a="1"/>
  <c r="AZ52" i="27" a="1"/>
  <c r="N37" i="14" a="1"/>
  <c r="Y43" i="28" a="1"/>
  <c r="BG52" i="24" a="1"/>
  <c r="AK59" i="25" a="1"/>
  <c r="O60" i="25" a="1"/>
  <c r="T58" i="25" a="1"/>
  <c r="AB49" i="14" a="1"/>
  <c r="AH47" i="14" a="1"/>
  <c r="R52" i="14" a="1"/>
  <c r="AO43" i="25" a="1"/>
  <c r="AI34" i="25" a="1"/>
  <c r="BJ46" i="24" a="1"/>
  <c r="AR41" i="14" a="1"/>
  <c r="B43" i="25" a="1"/>
  <c r="AL57" i="26" a="1"/>
  <c r="AB46" i="27" a="1"/>
  <c r="AC36" i="24" a="1"/>
  <c r="BF36" i="26" a="1"/>
  <c r="AX39" i="27" a="1"/>
  <c r="V35" i="26" a="1"/>
  <c r="AH46" i="24" a="1"/>
  <c r="BJ51" i="27" a="1"/>
  <c r="N52" i="24" a="1"/>
  <c r="P57" i="26" a="1"/>
  <c r="AW41" i="25" a="1"/>
  <c r="P47" i="28" a="1"/>
  <c r="AR43" i="27" a="1"/>
  <c r="BK47" i="14" a="1"/>
  <c r="BE43" i="24" a="1"/>
  <c r="Y47" i="27" a="1"/>
  <c r="AU36" i="24" a="1"/>
  <c r="K60" i="14" a="1"/>
  <c r="AP35" i="26" a="1"/>
  <c r="BK39" i="14" a="1"/>
  <c r="P47" i="24" a="1"/>
  <c r="U48" i="14" a="1"/>
  <c r="AM53" i="14" a="1"/>
  <c r="X33" i="24" a="1"/>
  <c r="AY60" i="14" a="1"/>
  <c r="AS50" i="26" a="1"/>
  <c r="AJ40" i="14" a="1"/>
  <c r="Q46" i="14" a="1"/>
  <c r="AI46" i="28" a="1"/>
  <c r="T53" i="25" a="1"/>
  <c r="BD43" i="25" a="1"/>
  <c r="M57" i="25" a="1"/>
  <c r="AM40" i="24" a="1"/>
  <c r="D60" i="24" a="1"/>
  <c r="AV38" i="25" a="1"/>
  <c r="AO35" i="14" a="1"/>
  <c r="E58" i="28" a="1"/>
  <c r="BB34" i="28" a="1"/>
  <c r="S36" i="27" a="1"/>
  <c r="M39" i="25" a="1"/>
  <c r="K40" i="28" a="1"/>
  <c r="U38" i="27" a="1"/>
  <c r="AA49" i="24" a="1"/>
  <c r="AE36" i="24" a="1"/>
  <c r="BI47" i="26" a="1"/>
  <c r="U49" i="14" a="1"/>
  <c r="Y33" i="26" a="1"/>
  <c r="AK56" i="14" a="1"/>
  <c r="AT50" i="27" a="1"/>
  <c r="AW53" i="27" a="1"/>
  <c r="Q42" i="14" a="1"/>
  <c r="H42" i="26" a="1"/>
  <c r="AN45" i="25" a="1"/>
  <c r="AT45" i="24" a="1"/>
  <c r="BJ38" i="24" a="1"/>
  <c r="BE38" i="27" a="1"/>
  <c r="AA57" i="25" a="1"/>
  <c r="S56" i="25" a="1"/>
  <c r="E33" i="25" a="1"/>
  <c r="AZ37" i="25" a="1"/>
  <c r="AJ47" i="27" a="1"/>
  <c r="W54" i="24" a="1"/>
  <c r="AP35" i="25" a="1"/>
  <c r="AP60" i="27" a="1"/>
  <c r="AT57" i="25" a="1"/>
  <c r="AJ36" i="24" a="1"/>
  <c r="BI54" i="27" a="1"/>
  <c r="BE60" i="26" a="1"/>
  <c r="AN51" i="14" a="1"/>
  <c r="BE33" i="14" a="1"/>
  <c r="AT46" i="26" a="1"/>
  <c r="F39" i="24" a="1"/>
  <c r="M50" i="25" a="1"/>
  <c r="BB49" i="28" a="1"/>
  <c r="AU49" i="24" a="1"/>
  <c r="S58" i="27" a="1"/>
  <c r="Z40" i="24" a="1"/>
  <c r="AE57" i="26" a="1"/>
  <c r="AI42" i="28" a="1"/>
  <c r="AC44" i="28" a="1"/>
  <c r="S55" i="26" a="1"/>
  <c r="BI53" i="28" a="1"/>
  <c r="AW39" i="25" a="1"/>
  <c r="AK41" i="24" a="1"/>
  <c r="B48" i="28" a="1"/>
  <c r="AC43" i="26" a="1"/>
  <c r="BH45" i="14" a="1"/>
  <c r="E55" i="27" a="1"/>
  <c r="BB33" i="27" a="1"/>
  <c r="X49" i="24" a="1"/>
  <c r="AZ34" i="25" a="1"/>
  <c r="AQ49" i="25" a="1"/>
  <c r="Q50" i="24" a="1"/>
  <c r="BI49" i="25" a="1"/>
  <c r="O42" i="27" a="1"/>
  <c r="BJ46" i="28" a="1"/>
  <c r="T40" i="27" a="1"/>
  <c r="AG56" i="24" a="1"/>
  <c r="P48" i="26" a="1"/>
  <c r="AX44" i="25" a="1"/>
  <c r="W42" i="24" a="1"/>
  <c r="AK57" i="27" a="1"/>
  <c r="E44" i="27" a="1"/>
  <c r="L39" i="26" a="1"/>
  <c r="H53" i="27" a="1"/>
  <c r="AH39" i="24" a="1"/>
  <c r="AY33" i="26" a="1"/>
  <c r="BK50" i="25" a="1"/>
  <c r="AC54" i="14" a="1"/>
  <c r="I37" i="26" a="1"/>
  <c r="O60" i="27" a="1"/>
  <c r="AY44" i="27" a="1"/>
  <c r="AV45" i="27" a="1"/>
  <c r="BK33" i="26" a="1"/>
  <c r="AC60" i="26" a="1"/>
  <c r="BB35" i="24" a="1"/>
  <c r="AP51" i="26" a="1"/>
  <c r="AN44" i="26" a="1"/>
  <c r="AM60" i="24" a="1"/>
  <c r="BD42" i="14" a="1"/>
  <c r="AV50" i="25" a="1"/>
  <c r="BH36" i="27" a="1"/>
  <c r="AR55" i="26" a="1"/>
  <c r="B40" i="26" a="1"/>
  <c r="BG46" i="14" a="1"/>
  <c r="AL36" i="28" a="1"/>
  <c r="AU55" i="14" a="1"/>
  <c r="BD58" i="28" a="1"/>
  <c r="V42" i="24" a="1"/>
  <c r="BA39" i="28" a="1"/>
  <c r="N48" i="25" a="1"/>
  <c r="BG58" i="27" a="1"/>
  <c r="BB39" i="25" a="1"/>
  <c r="AH47" i="24" a="1"/>
  <c r="AQ45" i="26" a="1"/>
  <c r="AP40" i="28" a="1"/>
  <c r="BK59" i="27" a="1"/>
  <c r="O33" i="26" a="1"/>
  <c r="AH44" i="26" a="1"/>
  <c r="AW49" i="27" a="1"/>
  <c r="X41" i="14" a="1"/>
  <c r="BH44" i="28" a="1"/>
  <c r="AH57" i="25" a="1"/>
  <c r="AX34" i="27" a="1"/>
  <c r="AA41" i="26" a="1"/>
  <c r="BA38" i="14" a="1"/>
  <c r="W53" i="27" a="1"/>
  <c r="AO55" i="24" a="1"/>
  <c r="AK60" i="14" a="1"/>
  <c r="F55" i="27" a="1"/>
  <c r="AS33" i="24" a="1"/>
  <c r="X48" i="14" a="1"/>
  <c r="G49" i="27" a="1"/>
  <c r="AP37" i="14" a="1"/>
  <c r="AT34" i="24" a="1"/>
  <c r="AA40" i="27" a="1"/>
  <c r="BD59" i="26" a="1"/>
  <c r="AF57" i="24" a="1"/>
  <c r="D50" i="27" a="1"/>
  <c r="K38" i="14" a="1"/>
  <c r="AB44" i="24" a="1"/>
  <c r="AA58" i="28" a="1"/>
  <c r="H33" i="28" a="1"/>
  <c r="AU54" i="28" a="1"/>
  <c r="AF41" i="25" a="1"/>
  <c r="X41" i="25" a="1"/>
  <c r="AW38" i="27" a="1"/>
  <c r="AZ43" i="14" a="1"/>
  <c r="S35" i="26" a="1"/>
  <c r="AA57" i="24" a="1"/>
  <c r="B47" i="25" a="1"/>
  <c r="AP36" i="27" a="1"/>
  <c r="BI36" i="25" a="1"/>
  <c r="AI36" i="14" a="1"/>
  <c r="AH50" i="14" a="1"/>
  <c r="U34" i="14" a="1"/>
  <c r="AQ35" i="25" a="1"/>
  <c r="T55" i="28" a="1"/>
  <c r="AS52" i="24" a="1"/>
  <c r="M57" i="27" a="1"/>
  <c r="BA50" i="27" a="1"/>
  <c r="AG55" i="24" a="1"/>
  <c r="J52" i="25" a="1"/>
  <c r="AZ47" i="28" a="1"/>
  <c r="AC58" i="25" a="1"/>
  <c r="BF53" i="25" a="1"/>
  <c r="AP40" i="24" a="1"/>
  <c r="D40" i="28" a="1"/>
  <c r="E53" i="24" a="1"/>
  <c r="AH60" i="26" a="1"/>
  <c r="AY46" i="26" a="1"/>
  <c r="AN49" i="27" a="1"/>
  <c r="AZ40" i="28" a="1"/>
  <c r="K44" i="27" a="1"/>
  <c r="AK51" i="25" a="1"/>
  <c r="AX55" i="14" a="1"/>
  <c r="D52" i="14" a="1"/>
  <c r="U36" i="25" a="1"/>
  <c r="J38" i="24" a="1"/>
  <c r="I59" i="26" a="1"/>
  <c r="X37" i="26" a="1"/>
  <c r="X56" i="14" a="1"/>
  <c r="BD58" i="25" a="1"/>
  <c r="N46" i="26" a="1"/>
  <c r="AP54" i="14" a="1"/>
  <c r="W48" i="25" a="1"/>
  <c r="Y58" i="28" a="1"/>
  <c r="BE40" i="27" a="1"/>
  <c r="AK34" i="24" a="1"/>
  <c r="F46" i="25" a="1"/>
  <c r="U55" i="27" a="1"/>
  <c r="AP51" i="28" a="1"/>
  <c r="AX53" i="25" a="1"/>
  <c r="E60" i="27" a="1"/>
  <c r="G33" i="27" a="1"/>
  <c r="BA44" i="27" a="1"/>
  <c r="AL40" i="28" a="1"/>
  <c r="AI52" i="28" a="1"/>
  <c r="AP55" i="28" a="1"/>
  <c r="L36" i="26" a="1"/>
  <c r="BH44" i="25" a="1"/>
  <c r="AT48" i="28" a="1"/>
  <c r="AE36" i="26" a="1"/>
  <c r="AP36" i="24" a="1"/>
  <c r="AM35" i="25" a="1"/>
  <c r="AL50" i="25" a="1"/>
  <c r="P39" i="25" a="1"/>
  <c r="BA48" i="25" a="1"/>
  <c r="Q46" i="25" a="1"/>
  <c r="AQ33" i="24" a="1"/>
  <c r="D47" i="25" a="1"/>
  <c r="U52" i="26" a="1"/>
  <c r="G50" i="24" a="1"/>
  <c r="P53" i="24" a="1"/>
  <c r="AA42" i="25" a="1"/>
  <c r="D49" i="14" a="1"/>
  <c r="X35" i="27" a="1"/>
  <c r="AK46" i="26" a="1"/>
  <c r="BD33" i="27" a="1"/>
  <c r="AT47" i="14" a="1"/>
  <c r="D36" i="26" a="1"/>
  <c r="AW50" i="28" a="1"/>
  <c r="AM42" i="28" a="1"/>
  <c r="AS40" i="14" a="1"/>
  <c r="BF52" i="28" a="1"/>
  <c r="H34" i="26" a="1"/>
  <c r="I58" i="28" a="1"/>
  <c r="C36" i="28" a="1"/>
  <c r="R42" i="14" a="1"/>
  <c r="Q57" i="26" a="1"/>
  <c r="AP33" i="26" a="1"/>
  <c r="O41" i="26" a="1"/>
  <c r="Z40" i="26" a="1"/>
  <c r="P37" i="25" a="1"/>
  <c r="U52" i="28" a="1"/>
  <c r="M39" i="24" a="1"/>
  <c r="BJ41" i="27" a="1"/>
  <c r="AX50" i="26" a="1"/>
  <c r="BG38" i="28" a="1"/>
  <c r="BJ53" i="25" a="1"/>
  <c r="Z56" i="28" a="1"/>
  <c r="AO42" i="28" a="1"/>
  <c r="AK60" i="26" a="1"/>
  <c r="H35" i="24" a="1"/>
  <c r="AI33" i="25" a="1"/>
  <c r="M60" i="27" a="1"/>
  <c r="AB35" i="14" a="1"/>
  <c r="C59" i="25" a="1"/>
  <c r="AD44" i="27" a="1"/>
  <c r="N48" i="27" a="1"/>
  <c r="AQ39" i="14" a="1"/>
  <c r="B48" i="24" a="1"/>
  <c r="BJ34" i="27" a="1"/>
  <c r="AF42" i="28" a="1"/>
  <c r="R48" i="14" a="1"/>
  <c r="K56" i="28" a="1"/>
  <c r="AS60" i="24" a="1"/>
  <c r="P58" i="14" a="1"/>
  <c r="AG42" i="26" a="1"/>
  <c r="W57" i="27" a="1"/>
  <c r="AV35" i="27" a="1"/>
  <c r="AP57" i="27" a="1"/>
  <c r="V55" i="28" a="1"/>
  <c r="BH39" i="14" a="1"/>
  <c r="BI34" i="25" a="1"/>
  <c r="AE44" i="25" a="1"/>
  <c r="O51" i="26" a="1"/>
  <c r="AR34" i="27" a="1"/>
  <c r="BE56" i="14" a="1"/>
  <c r="AE34" i="25" a="1"/>
  <c r="Y37" i="24" a="1"/>
  <c r="AD46" i="28" a="1"/>
  <c r="C33" i="26" a="1"/>
  <c r="AK50" i="14" a="1"/>
  <c r="AC53" i="28" a="1"/>
  <c r="BE42" i="24" a="1"/>
  <c r="AJ42" i="14" a="1"/>
  <c r="V46" i="14" a="1"/>
  <c r="N60" i="27" a="1"/>
  <c r="L39" i="14" a="1"/>
  <c r="L47" i="28" a="1"/>
  <c r="N36" i="24" a="1"/>
  <c r="M46" i="26" a="1"/>
  <c r="C54" i="25" a="1"/>
  <c r="AB39" i="27" a="1"/>
  <c r="AX34" i="26" a="1"/>
  <c r="BJ44" i="28" a="1"/>
  <c r="BD56" i="28" a="1"/>
  <c r="P47" i="27" a="1"/>
  <c r="N46" i="25" a="1"/>
  <c r="AU54" i="25" a="1"/>
  <c r="AA50" i="24" a="1"/>
  <c r="AX48" i="25" a="1"/>
  <c r="AQ49" i="26" a="1"/>
  <c r="X55" i="24" a="1"/>
  <c r="AK57" i="24" a="1"/>
  <c r="AP49" i="26" a="1"/>
  <c r="L37" i="27" a="1"/>
  <c r="BB58" i="25" a="1"/>
  <c r="E34" i="26" a="1"/>
  <c r="Y43" i="14" a="1"/>
  <c r="BD45" i="26" a="1"/>
  <c r="AN34" i="27" a="1"/>
  <c r="AH46" i="27" a="1"/>
  <c r="AV44" i="28" a="1"/>
  <c r="AG52" i="26" a="1"/>
  <c r="BA48" i="14" a="1"/>
  <c r="AT35" i="14" a="1"/>
  <c r="AB57" i="28" a="1"/>
  <c r="BC48" i="24" a="1"/>
  <c r="K50" i="24" a="1"/>
  <c r="Z38" i="14" a="1"/>
  <c r="AU39" i="26" a="1"/>
  <c r="AW60" i="28" a="1"/>
  <c r="BJ55" i="26" a="1"/>
  <c r="B52" i="28" a="1"/>
  <c r="K51" i="27" a="1"/>
  <c r="AG60" i="24" a="1"/>
  <c r="Q42" i="24" a="1"/>
  <c r="W40" i="24" a="1"/>
  <c r="BE39" i="25" a="1"/>
  <c r="V36" i="27" a="1"/>
  <c r="AC49" i="27" a="1"/>
  <c r="BJ38" i="26" a="1"/>
  <c r="L44" i="14" a="1"/>
  <c r="W42" i="26" a="1"/>
  <c r="D55" i="14" a="1"/>
  <c r="BC42" i="28" a="1"/>
  <c r="AW55" i="28" a="1"/>
  <c r="P47" i="25" a="1"/>
  <c r="G38" i="28" a="1"/>
  <c r="AF56" i="26" a="1"/>
  <c r="BG45" i="26" a="1"/>
  <c r="AF54" i="27" a="1"/>
  <c r="K38" i="25" a="1"/>
  <c r="BH40" i="25" a="1"/>
  <c r="AY40" i="25" a="1"/>
  <c r="BE57" i="26" a="1"/>
  <c r="M47" i="25" a="1"/>
  <c r="BD36" i="26" a="1"/>
  <c r="BF50" i="24" a="1"/>
  <c r="Z59" i="14" a="1"/>
  <c r="V49" i="27" a="1"/>
  <c r="D44" i="27" a="1"/>
  <c r="V58" i="28" a="1"/>
  <c r="BB46" i="24" a="1"/>
  <c r="U34" i="27" a="1"/>
  <c r="AO52" i="14" a="1"/>
  <c r="BE59" i="25" a="1"/>
  <c r="AT52" i="27" a="1"/>
  <c r="AR48" i="14" a="1"/>
  <c r="Z53" i="26" a="1"/>
  <c r="AD44" i="25" a="1"/>
  <c r="AA50" i="28" a="1"/>
  <c r="BD41" i="27" a="1"/>
  <c r="AK45" i="28" a="1"/>
  <c r="W49" i="28" a="1"/>
  <c r="BJ34" i="28" a="1"/>
  <c r="AI51" i="25" a="1"/>
  <c r="BC47" i="25" a="1"/>
  <c r="M57" i="26" a="1"/>
  <c r="L34" i="27" a="1"/>
  <c r="AC45" i="26" a="1"/>
  <c r="BH43" i="27" a="1"/>
  <c r="AT59" i="25" a="1"/>
  <c r="AX60" i="24" a="1"/>
  <c r="AG43" i="25" a="1"/>
  <c r="AS39" i="14" a="1"/>
  <c r="BA56" i="24" a="1"/>
  <c r="AA34" i="28" a="1"/>
  <c r="AV47" i="27" a="1"/>
  <c r="AG43" i="24" a="1"/>
  <c r="L47" i="24" a="1"/>
  <c r="BK50" i="26" a="1"/>
  <c r="BG41" i="14" a="1"/>
  <c r="AB54" i="28" a="1"/>
  <c r="AK49" i="28" a="1"/>
  <c r="N57" i="26" a="1"/>
  <c r="AI35" i="28" a="1"/>
  <c r="AS57" i="25" a="1"/>
  <c r="O41" i="24" a="1"/>
  <c r="BG39" i="28" a="1"/>
  <c r="BI53" i="14" a="1"/>
  <c r="AM48" i="26" a="1"/>
  <c r="AV55" i="24" a="1"/>
  <c r="AI43" i="14" a="1"/>
  <c r="C38" i="27" a="1"/>
  <c r="N37" i="26" a="1"/>
  <c r="AL53" i="28" a="1"/>
  <c r="G44" i="24" a="1"/>
  <c r="AM44" i="28" a="1"/>
  <c r="BA47" i="14" a="1"/>
  <c r="AW54" i="26" a="1"/>
  <c r="U39" i="24" a="1"/>
  <c r="Z58" i="24" a="1"/>
  <c r="AU48" i="27" a="1"/>
  <c r="X56" i="26" a="1"/>
  <c r="AW55" i="24" a="1"/>
  <c r="AG45" i="26" a="1"/>
  <c r="AR36" i="27" a="1"/>
  <c r="AI42" i="24" a="1"/>
  <c r="BJ38" i="27" a="1"/>
  <c r="BF39" i="25" a="1"/>
  <c r="AS42" i="25" a="1"/>
  <c r="K55" i="14" a="1"/>
  <c r="AJ46" i="24" a="1"/>
  <c r="X42" i="25" a="1"/>
  <c r="AL35" i="25" a="1"/>
  <c r="AM51" i="25" a="1"/>
  <c r="N52" i="28" a="1"/>
  <c r="L52" i="27" a="1"/>
  <c r="AW53" i="25" a="1"/>
  <c r="AO48" i="28" a="1"/>
  <c r="Q35" i="25" a="1"/>
  <c r="F43" i="27" a="1"/>
  <c r="T41" i="26" a="1"/>
  <c r="AR37" i="27" a="1"/>
  <c r="AO55" i="26" a="1"/>
  <c r="AY37" i="25" a="1"/>
  <c r="AF44" i="28" a="1"/>
  <c r="AE59" i="26" a="1"/>
  <c r="BG54" i="25" a="1"/>
  <c r="AA50" i="14" a="1"/>
  <c r="BJ54" i="25" a="1"/>
  <c r="AG36" i="27" a="1"/>
  <c r="AG44" i="24" a="1"/>
  <c r="BE50" i="28" a="1"/>
  <c r="I46" i="26" a="1"/>
  <c r="BJ37" i="25" a="1"/>
  <c r="AY35" i="24" a="1"/>
  <c r="AS49" i="27" a="1"/>
  <c r="AN46" i="25" a="1"/>
  <c r="J60" i="27" a="1"/>
  <c r="BI43" i="28" a="1"/>
  <c r="K34" i="28" a="1"/>
  <c r="AU43" i="14" a="1"/>
  <c r="J48" i="28" a="1"/>
  <c r="I33" i="14" a="1"/>
  <c r="G33" i="25" a="1"/>
  <c r="C41" i="26" a="1"/>
  <c r="K60" i="27" a="1"/>
  <c r="BD56" i="25" a="1"/>
  <c r="AZ44" i="26" a="1"/>
  <c r="AG54" i="14" a="1"/>
  <c r="AM42" i="24" a="1"/>
  <c r="Q43" i="27" a="1"/>
  <c r="R47" i="24" a="1"/>
  <c r="Q50" i="25" a="1"/>
  <c r="Z52" i="26" a="1"/>
  <c r="AZ35" i="26" a="1"/>
  <c r="Z60" i="14" a="1"/>
  <c r="Z36" i="27" a="1"/>
  <c r="V34" i="14" a="1"/>
  <c r="D51" i="26" a="1"/>
  <c r="BJ55" i="25" a="1"/>
  <c r="V43" i="25" a="1"/>
  <c r="X40" i="25" a="1"/>
  <c r="V60" i="27" a="1"/>
  <c r="U56" i="14" a="1"/>
  <c r="AY39" i="14" a="1"/>
  <c r="U39" i="25" a="1"/>
  <c r="AJ52" i="26" a="1"/>
  <c r="BI34" i="24" a="1"/>
  <c r="AC48" i="27" a="1"/>
  <c r="BF55" i="26" a="1"/>
  <c r="L55" i="14" a="1"/>
  <c r="AX39" i="26" a="1"/>
  <c r="M36" i="27" a="1"/>
  <c r="AA59" i="28" a="1"/>
  <c r="BF60" i="25" a="1"/>
  <c r="D57" i="27" a="1"/>
  <c r="BA38" i="25" a="1"/>
  <c r="L48" i="27" a="1"/>
  <c r="AL40" i="14" a="1"/>
  <c r="BG46" i="24" a="1"/>
  <c r="AC60" i="27" a="1"/>
  <c r="AN45" i="27" a="1"/>
  <c r="BJ39" i="14" a="1"/>
  <c r="AQ49" i="14" a="1"/>
  <c r="AL39" i="25" a="1"/>
  <c r="AT47" i="26" a="1"/>
  <c r="S59" i="26" a="1"/>
  <c r="AX33" i="26" a="1"/>
  <c r="AC36" i="27" a="1"/>
  <c r="AL39" i="26" a="1"/>
  <c r="Y53" i="25" a="1"/>
  <c r="BC60" i="25" a="1"/>
  <c r="G34" i="24" a="1"/>
  <c r="E57" i="27" a="1"/>
  <c r="AW35" i="24" a="1"/>
  <c r="BF51" i="27" a="1"/>
  <c r="AM57" i="24" a="1"/>
  <c r="BB48" i="14" a="1"/>
  <c r="H47" i="25" a="1"/>
  <c r="Y60" i="24" a="1"/>
  <c r="BK49" i="27" a="1"/>
  <c r="X34" i="25" a="1"/>
  <c r="N52" i="14" a="1"/>
  <c r="AB51" i="24" a="1"/>
  <c r="BK45" i="14" a="1"/>
  <c r="R45" i="25" a="1"/>
  <c r="BD40" i="28" a="1"/>
  <c r="S36" i="26" a="1"/>
  <c r="AQ50" i="24" a="1"/>
  <c r="AJ36" i="27" a="1"/>
  <c r="F53" i="26" a="1"/>
  <c r="Z56" i="26" a="1"/>
  <c r="AF47" i="25" a="1"/>
  <c r="W53" i="25" a="1"/>
  <c r="B53" i="27" a="1"/>
  <c r="AZ44" i="24" a="1"/>
  <c r="I45" i="14" a="1"/>
  <c r="BI57" i="24" a="1"/>
  <c r="AC59" i="28" a="1"/>
  <c r="K47" i="28" a="1"/>
  <c r="AI44" i="24" a="1"/>
  <c r="AY53" i="14" a="1"/>
  <c r="AH57" i="27" a="1"/>
  <c r="AW57" i="27" a="1"/>
  <c r="AM49" i="27" a="1"/>
  <c r="AT34" i="27" a="1"/>
  <c r="BJ36" i="24" a="1"/>
  <c r="M48" i="24" a="1"/>
  <c r="M35" i="24" a="1"/>
  <c r="BK55" i="28" a="1"/>
  <c r="AK59" i="14" a="1"/>
  <c r="AX39" i="24" a="1"/>
  <c r="AL48" i="24" a="1"/>
  <c r="G33" i="26" a="1"/>
  <c r="Y34" i="26" a="1"/>
  <c r="AE56" i="14" a="1"/>
  <c r="BE46" i="26" a="1"/>
  <c r="B58" i="26" a="1"/>
  <c r="AT54" i="24" a="1"/>
  <c r="BK52" i="24" a="1"/>
  <c r="R39" i="14" a="1"/>
  <c r="Z37" i="27" a="1"/>
  <c r="T49" i="28" a="1"/>
  <c r="AN43" i="28" a="1"/>
  <c r="G58" i="27" a="1"/>
  <c r="BH51" i="28" a="1"/>
  <c r="W47" i="27" a="1"/>
  <c r="AK51" i="24" a="1"/>
  <c r="BH56" i="25" a="1"/>
  <c r="J55" i="27" a="1"/>
  <c r="S49" i="27" a="1"/>
  <c r="P51" i="26" a="1"/>
  <c r="L36" i="25" a="1"/>
  <c r="AC36" i="26" a="1"/>
  <c r="U45" i="24" a="1"/>
  <c r="AF47" i="27" a="1"/>
  <c r="AB44" i="28" a="1"/>
  <c r="H41" i="27" a="1"/>
  <c r="AC56" i="25" a="1"/>
  <c r="K39" i="28" a="1"/>
  <c r="M36" i="26" a="1"/>
  <c r="P49" i="25" a="1"/>
  <c r="M44" i="28" a="1"/>
  <c r="G54" i="25" a="1"/>
  <c r="BG49" i="28" a="1"/>
  <c r="AM54" i="14" a="1"/>
  <c r="AK40" i="14" a="1"/>
  <c r="V47" i="26" a="1"/>
  <c r="BJ42" i="26" a="1"/>
  <c r="BH51" i="26" a="1"/>
  <c r="L53" i="24" a="1"/>
  <c r="BJ36" i="26" a="1"/>
  <c r="AM41" i="26" a="1"/>
  <c r="AG48" i="14" a="1"/>
  <c r="AQ56" i="26" a="1"/>
  <c r="BF55" i="24" a="1"/>
  <c r="H38" i="26" a="1"/>
  <c r="D36" i="27" a="1"/>
  <c r="AE60" i="24" a="1"/>
  <c r="Y42" i="25" a="1"/>
  <c r="AG52" i="25" a="1"/>
  <c r="R46" i="25" a="1"/>
  <c r="B33" i="14" a="1"/>
  <c r="R33" i="24" a="1"/>
  <c r="W50" i="27" a="1"/>
  <c r="AZ60" i="27" a="1"/>
  <c r="T46" i="24" a="1"/>
  <c r="M52" i="26" a="1"/>
  <c r="T37" i="26" a="1"/>
  <c r="AO42" i="24" a="1"/>
  <c r="K35" i="24" a="1"/>
  <c r="V55" i="27" a="1"/>
  <c r="BD56" i="26" a="1"/>
  <c r="AQ33" i="25" a="1"/>
  <c r="S39" i="27" a="1"/>
  <c r="H36" i="14" a="1"/>
  <c r="BK38" i="27" a="1"/>
  <c r="E35" i="27" a="1"/>
  <c r="M57" i="28" a="1"/>
  <c r="BE54" i="26" a="1"/>
  <c r="Y58" i="27" a="1"/>
  <c r="AQ45" i="25" a="1"/>
  <c r="AC37" i="14" a="1"/>
  <c r="BJ60" i="27" a="1"/>
  <c r="X55" i="26" a="1"/>
  <c r="AW33" i="14" a="1"/>
  <c r="AR47" i="28" a="1"/>
  <c r="BC36" i="26" a="1"/>
  <c r="AP49" i="28" a="1"/>
  <c r="AG60" i="27" a="1"/>
  <c r="M38" i="28" a="1"/>
  <c r="AS51" i="26" a="1"/>
  <c r="BJ56" i="24" a="1"/>
  <c r="AP60" i="14" a="1"/>
  <c r="L45" i="27" a="1"/>
  <c r="BI44" i="25" a="1"/>
  <c r="G38" i="25" a="1"/>
  <c r="J46" i="14" a="1"/>
  <c r="B57" i="27" a="1"/>
  <c r="Y50" i="24" a="1"/>
  <c r="F54" i="27" a="1"/>
  <c r="BK42" i="26" a="1"/>
  <c r="AE48" i="27" a="1"/>
  <c r="I59" i="14" a="1"/>
  <c r="F54" i="25" a="1"/>
  <c r="AO46" i="25" a="1"/>
  <c r="B52" i="24" a="1"/>
  <c r="BK56" i="27" a="1"/>
  <c r="AE55" i="24" a="1"/>
  <c r="V53" i="14" a="1"/>
  <c r="P37" i="26" a="1"/>
  <c r="AQ39" i="25" a="1"/>
  <c r="AH51" i="27" a="1"/>
  <c r="AC53" i="26" a="1"/>
  <c r="BA46" i="27" a="1"/>
  <c r="AD34" i="24" a="1"/>
  <c r="AX36" i="27" a="1"/>
  <c r="AA48" i="25" a="1"/>
  <c r="P49" i="27" a="1"/>
  <c r="BK38" i="24" a="1"/>
  <c r="BG35" i="28" a="1"/>
  <c r="BB53" i="26" a="1"/>
  <c r="N44" i="27" a="1"/>
  <c r="BJ56" i="28" a="1"/>
  <c r="S37" i="27" a="1"/>
  <c r="AV39" i="24" a="1"/>
  <c r="C58" i="26" a="1"/>
  <c r="BI40" i="26" a="1"/>
  <c r="F38" i="25" a="1"/>
  <c r="J33" i="14" a="1"/>
  <c r="S59" i="25" a="1"/>
  <c r="R49" i="27" a="1"/>
  <c r="E40" i="14" a="1"/>
  <c r="M45" i="25" a="1"/>
  <c r="D42" i="27" a="1"/>
  <c r="G52" i="26" a="1"/>
  <c r="AG42" i="24" a="1"/>
  <c r="T47" i="28" a="1"/>
  <c r="BH33" i="25" a="1"/>
  <c r="K37" i="26" a="1"/>
  <c r="X49" i="27" a="1"/>
  <c r="BF34" i="26" a="1"/>
  <c r="AF40" i="25" a="1"/>
  <c r="BI36" i="27" a="1"/>
  <c r="AI45" i="27" a="1"/>
  <c r="Q45" i="25" a="1"/>
  <c r="Z41" i="26" a="1"/>
  <c r="BF45" i="14" a="1"/>
  <c r="AT58" i="27" a="1"/>
  <c r="J59" i="24" a="1"/>
  <c r="O51" i="14" a="1"/>
  <c r="BC45" i="28" a="1"/>
  <c r="P47" i="26" a="1"/>
  <c r="E47" i="24" a="1"/>
  <c r="AR60" i="28" a="1"/>
  <c r="X57" i="27" a="1"/>
  <c r="AS51" i="28" a="1"/>
  <c r="AP52" i="27" a="1"/>
  <c r="BG45" i="14" a="1"/>
  <c r="AC38" i="14" a="1"/>
  <c r="AU49" i="27" a="1"/>
  <c r="AQ57" i="26" a="1"/>
  <c r="F50" i="25" a="1"/>
  <c r="AK41" i="25" a="1"/>
  <c r="AU46" i="14" a="1"/>
  <c r="AY49" i="27" a="1"/>
  <c r="AL58" i="24" a="1"/>
  <c r="BA47" i="26" a="1"/>
  <c r="BF50" i="28" a="1"/>
  <c r="BH38" i="24" a="1"/>
  <c r="U33" i="28" a="1"/>
  <c r="AV37" i="14" a="1"/>
  <c r="E40" i="24" a="1"/>
  <c r="Z44" i="24" a="1"/>
  <c r="N36" i="28" a="1"/>
  <c r="X50" i="28" a="1"/>
  <c r="BA38" i="24" a="1"/>
  <c r="BB55" i="24" a="1"/>
  <c r="G49" i="26" a="1"/>
  <c r="AB40" i="24" a="1"/>
  <c r="T44" i="24" a="1"/>
  <c r="N41" i="26" a="1"/>
  <c r="BH57" i="27" a="1"/>
  <c r="AL49" i="24" a="1"/>
  <c r="BF58" i="25" a="1"/>
  <c r="J45" i="27" a="1"/>
  <c r="D34" i="14" a="1"/>
  <c r="BA35" i="28" a="1"/>
  <c r="AP45" i="26" a="1"/>
  <c r="W37" i="24" a="1"/>
  <c r="T49" i="25" a="1"/>
  <c r="C40" i="24" a="1"/>
  <c r="D35" i="28" a="1"/>
  <c r="AF59" i="25" a="1"/>
  <c r="W33" i="26" a="1"/>
  <c r="W38" i="14" a="1"/>
  <c r="AI58" i="24" a="1"/>
  <c r="I52" i="28" a="1"/>
  <c r="S54" i="14" a="1"/>
  <c r="H57" i="27" a="1"/>
  <c r="AG39" i="14" a="1"/>
  <c r="G43" i="14" a="1"/>
  <c r="AO43" i="24" a="1"/>
  <c r="AA45" i="28" a="1"/>
  <c r="BF36" i="25" a="1"/>
  <c r="V35" i="27" a="1"/>
  <c r="Y41" i="26" a="1"/>
  <c r="S33" i="27" a="1"/>
  <c r="O57" i="26" a="1"/>
  <c r="N58" i="28" a="1"/>
  <c r="U45" i="25" a="1"/>
  <c r="BF43" i="24" a="1"/>
  <c r="BI58" i="26" a="1"/>
  <c r="AA56" i="24" a="1"/>
  <c r="BC33" i="14" a="1"/>
  <c r="BJ48" i="27" a="1"/>
  <c r="AD40" i="14" a="1"/>
  <c r="U51" i="26" a="1"/>
  <c r="BA33" i="24" a="1"/>
  <c r="AO42" i="26" a="1"/>
  <c r="BI35" i="14" a="1"/>
  <c r="AL50" i="28" a="1"/>
  <c r="X56" i="24" a="1"/>
  <c r="AE58" i="27" a="1"/>
  <c r="AG55" i="28" a="1"/>
  <c r="BA46" i="14" a="1"/>
  <c r="BD50" i="26" a="1"/>
  <c r="AE36" i="27" a="1"/>
  <c r="F54" i="24" a="1"/>
  <c r="I44" i="28" a="1"/>
  <c r="Q38" i="24" a="1"/>
  <c r="H52" i="25" a="1"/>
  <c r="BI38" i="25" a="1"/>
  <c r="Q40" i="28" a="1"/>
  <c r="H58" i="28" a="1"/>
  <c r="AR37" i="28" a="1"/>
  <c r="I38" i="14" a="1"/>
  <c r="AK49" i="27" a="1"/>
  <c r="AX58" i="25" a="1"/>
  <c r="AX59" i="24" a="1"/>
  <c r="AM38" i="25" a="1"/>
  <c r="AO45" i="28" a="1"/>
  <c r="O43" i="24" a="1"/>
  <c r="AF38" i="27" a="1"/>
  <c r="BI59" i="28" a="1"/>
  <c r="AT56" i="26" a="1"/>
  <c r="AU44" i="28" a="1"/>
  <c r="P40" i="14" a="1"/>
  <c r="AY46" i="28" a="1"/>
  <c r="AK33" i="26" a="1"/>
  <c r="AJ43" i="26" a="1"/>
  <c r="H48" i="28" a="1"/>
  <c r="K50" i="26" a="1"/>
  <c r="BK36" i="27" a="1"/>
  <c r="BB50" i="25" a="1"/>
  <c r="AO35" i="24" a="1"/>
  <c r="BC56" i="14" a="1"/>
  <c r="AI35" i="27" a="1"/>
  <c r="AG45" i="25" a="1"/>
  <c r="I39" i="27" a="1"/>
  <c r="K42" i="14" a="1"/>
  <c r="Z39" i="25" a="1"/>
  <c r="AS59" i="25" a="1"/>
  <c r="AG44" i="27" a="1"/>
  <c r="S44" i="26" a="1"/>
  <c r="AC37" i="26" a="1"/>
  <c r="AA40" i="26" a="1"/>
  <c r="AE55" i="27" a="1"/>
  <c r="R53" i="28" a="1"/>
  <c r="AW58" i="27" a="1"/>
  <c r="AO53" i="25" a="1"/>
  <c r="AE33" i="28" a="1"/>
  <c r="AQ36" i="26" a="1"/>
  <c r="K33" i="28" a="1"/>
  <c r="J52" i="14" a="1"/>
  <c r="X43" i="14" a="1"/>
  <c r="BB35" i="27" a="1"/>
  <c r="BC44" i="14" a="1"/>
  <c r="AE46" i="28" a="1"/>
  <c r="P40" i="26" a="1"/>
  <c r="BB40" i="25" a="1"/>
  <c r="AG40" i="28" a="1"/>
  <c r="AB58" i="25" a="1"/>
  <c r="O33" i="14" a="1"/>
  <c r="AV46" i="25" a="1"/>
  <c r="U50" i="27" a="1"/>
  <c r="BC35" i="26" a="1"/>
  <c r="AL48" i="14" a="1"/>
  <c r="AE43" i="14" a="1"/>
  <c r="C52" i="27" a="1"/>
  <c r="AO54" i="27" a="1"/>
  <c r="Y36" i="24" a="1"/>
  <c r="I46" i="28" a="1"/>
  <c r="P43" i="25" a="1"/>
  <c r="BD50" i="27" a="1"/>
  <c r="BG36" i="14" a="1"/>
  <c r="Z57" i="24" a="1"/>
  <c r="AM40" i="27" a="1"/>
  <c r="F53" i="25" a="1"/>
  <c r="AY46" i="27" a="1"/>
  <c r="AX57" i="27" a="1"/>
  <c r="J41" i="24" a="1"/>
  <c r="BH60" i="25" a="1"/>
  <c r="AA38" i="27" a="1"/>
  <c r="W50" i="14" a="1"/>
  <c r="G46" i="24" a="1"/>
  <c r="D59" i="28" a="1"/>
  <c r="AG54" i="28" a="1"/>
  <c r="X38" i="24" a="1"/>
  <c r="S57" i="14" a="1"/>
  <c r="X55" i="28" a="1"/>
  <c r="H41" i="26" a="1"/>
  <c r="AZ49" i="28" a="1"/>
  <c r="AD52" i="24" a="1"/>
  <c r="N58" i="25" a="1"/>
  <c r="AS60" i="28" a="1"/>
  <c r="O39" i="27" a="1"/>
  <c r="AU58" i="28" a="1"/>
  <c r="W41" i="14" a="1"/>
  <c r="BF48" i="14" a="1"/>
  <c r="Z37" i="24" a="1"/>
  <c r="Z47" i="24" a="1"/>
  <c r="I60" i="26" a="1"/>
  <c r="Y54" i="25" a="1"/>
  <c r="P46" i="25" a="1"/>
  <c r="AV33" i="28" a="1"/>
  <c r="BI44" i="26" a="1"/>
  <c r="BC42" i="25" a="1"/>
  <c r="S33" i="24" a="1"/>
  <c r="AX46" i="28" a="1"/>
  <c r="AO48" i="24" a="1"/>
  <c r="C48" i="28" a="1"/>
  <c r="Q42" i="26" a="1"/>
  <c r="I54" i="24" a="1"/>
  <c r="AG46" i="25" a="1"/>
  <c r="AB36" i="24" a="1"/>
  <c r="D45" i="27" a="1"/>
  <c r="U35" i="27" a="1"/>
  <c r="C60" i="14" a="1"/>
  <c r="X53" i="24" a="1"/>
  <c r="Q53" i="28" a="1"/>
  <c r="AU44" i="24" a="1"/>
  <c r="AY59" i="24" a="1"/>
  <c r="L47" i="25" a="1"/>
  <c r="AQ57" i="24" a="1"/>
  <c r="AR56" i="28" a="1"/>
  <c r="R59" i="26" a="1"/>
  <c r="AE53" i="28" a="1"/>
  <c r="BC37" i="26" a="1"/>
  <c r="AY54" i="28" a="1"/>
  <c r="BJ39" i="28" a="1"/>
  <c r="BJ51" i="25" a="1"/>
  <c r="AC55" i="27" a="1"/>
  <c r="AW42" i="26" a="1"/>
  <c r="AT55" i="14" a="1"/>
  <c r="AH34" i="26" a="1"/>
  <c r="N53" i="24" a="1"/>
  <c r="AD34" i="26" a="1"/>
  <c r="AC51" i="28" a="1"/>
  <c r="BB41" i="27" a="1"/>
  <c r="AX34" i="24" a="1"/>
  <c r="BF59" i="14" a="1"/>
  <c r="AO59" i="24" a="1"/>
  <c r="X52" i="24" a="1"/>
  <c r="AC33" i="28" a="1"/>
  <c r="S45" i="14" a="1"/>
  <c r="S40" i="14" a="1"/>
  <c r="C53" i="25" a="1"/>
  <c r="BH47" i="28" a="1"/>
  <c r="AJ57" i="24" a="1"/>
  <c r="Z35" i="25" a="1"/>
  <c r="BG55" i="26" a="1"/>
  <c r="H44" i="28" a="1"/>
  <c r="E51" i="26" a="1"/>
  <c r="F40" i="25" a="1"/>
  <c r="C45" i="28" a="1"/>
  <c r="AH33" i="28" a="1"/>
  <c r="AA35" i="26" a="1"/>
  <c r="G53" i="25" a="1"/>
  <c r="B49" i="27" a="1"/>
  <c r="AW52" i="24" a="1"/>
  <c r="BE48" i="28" a="1"/>
  <c r="AT37" i="26" a="1"/>
  <c r="S60" i="25" a="1"/>
  <c r="AW57" i="24" a="1"/>
  <c r="AK52" i="27" a="1"/>
  <c r="P33" i="24" a="1"/>
  <c r="F44" i="24" a="1"/>
  <c r="P35" i="25" a="1"/>
  <c r="BB49" i="26" a="1"/>
  <c r="M33" i="25" a="1"/>
  <c r="AL33" i="27" a="1"/>
  <c r="V34" i="27" a="1"/>
  <c r="BG33" i="14" a="1"/>
  <c r="G49" i="24" a="1"/>
  <c r="AK53" i="25" a="1"/>
  <c r="BH56" i="14" a="1"/>
  <c r="I52" i="26" a="1"/>
  <c r="AP47" i="27" a="1"/>
  <c r="T50" i="26" a="1"/>
  <c r="AH49" i="25" a="1"/>
  <c r="Q47" i="27" a="1"/>
  <c r="W59" i="26" a="1"/>
  <c r="U53" i="27" a="1"/>
  <c r="AJ41" i="14" a="1"/>
  <c r="BJ36" i="14" a="1"/>
  <c r="U59" i="25" a="1"/>
  <c r="K46" i="28" a="1"/>
  <c r="AM39" i="27" a="1"/>
  <c r="V54" i="26" a="1"/>
  <c r="B47" i="28" a="1"/>
  <c r="AV50" i="14" a="1"/>
  <c r="AB56" i="14" a="1"/>
  <c r="BE51" i="28" a="1"/>
  <c r="X47" i="24" a="1"/>
  <c r="AC48" i="24" a="1"/>
  <c r="AY49" i="24" a="1"/>
  <c r="BD52" i="25" a="1"/>
  <c r="AB43" i="27" a="1"/>
  <c r="F56" i="26" a="1"/>
  <c r="L57" i="26" a="1"/>
  <c r="G57" i="28" a="1"/>
  <c r="N52" i="26" a="1"/>
  <c r="BF51" i="28" a="1"/>
  <c r="C57" i="14" a="1"/>
  <c r="AG50" i="26" a="1"/>
  <c r="BC51" i="25" a="1"/>
  <c r="AN40" i="28" a="1"/>
  <c r="S46" i="25" a="1"/>
  <c r="BE50" i="14" a="1"/>
  <c r="I47" i="25" a="1"/>
  <c r="BJ41" i="25" a="1"/>
  <c r="L60" i="24" a="1"/>
  <c r="AO58" i="28" a="1"/>
  <c r="AW56" i="25" a="1"/>
  <c r="BI55" i="26" a="1"/>
  <c r="BH47" i="24" a="1"/>
  <c r="AO56" i="14" a="1"/>
  <c r="M34" i="27" a="1"/>
  <c r="AF33" i="25" a="1"/>
  <c r="BA53" i="28" a="1"/>
  <c r="AF51" i="26" a="1"/>
  <c r="BK53" i="25" a="1"/>
  <c r="B47" i="26" a="1"/>
  <c r="I48" i="24" a="1"/>
  <c r="X47" i="25" a="1"/>
  <c r="AE55" i="26" a="1"/>
  <c r="AY41" i="25" a="1"/>
  <c r="AJ38" i="27" a="1"/>
  <c r="U55" i="26" a="1"/>
  <c r="AY52" i="28" a="1"/>
  <c r="J52" i="24" a="1"/>
  <c r="BE37" i="27" a="1"/>
  <c r="AS36" i="28" a="1"/>
  <c r="T53" i="24" a="1"/>
  <c r="AL33" i="25" a="1"/>
  <c r="B50" i="28" a="1"/>
  <c r="BE50" i="26" a="1"/>
  <c r="AE53" i="14" a="1"/>
  <c r="X60" i="14" a="1"/>
  <c r="D47" i="26" a="1"/>
  <c r="AR59" i="25" a="1"/>
  <c r="AW42" i="28" a="1"/>
  <c r="BK36" i="28" a="1"/>
  <c r="BG56" i="27" a="1"/>
  <c r="BA55" i="25" a="1"/>
  <c r="BC41" i="14" a="1"/>
  <c r="J46" i="28" a="1"/>
  <c r="C38" i="25" a="1"/>
  <c r="N54" i="27" a="1"/>
  <c r="AH35" i="25" a="1"/>
  <c r="AU41" i="14" a="1"/>
  <c r="BJ45" i="14" a="1"/>
  <c r="O54" i="27" a="1"/>
  <c r="H56" i="27" a="1"/>
  <c r="BI57" i="27" a="1"/>
  <c r="AD50" i="14" a="1"/>
  <c r="U35" i="25" a="1"/>
  <c r="U44" i="27" a="1"/>
  <c r="AK39" i="26" a="1"/>
  <c r="T36" i="25" a="1"/>
  <c r="AX58" i="27" a="1"/>
  <c r="T42" i="25" a="1"/>
  <c r="AI53" i="26" a="1"/>
  <c r="AM43" i="28" a="1"/>
  <c r="O59" i="27" a="1"/>
  <c r="B39" i="24" a="1"/>
  <c r="BB50" i="24" a="1"/>
  <c r="AL54" i="25" a="1"/>
  <c r="J47" i="27" a="1"/>
  <c r="Y35" i="25" a="1"/>
  <c r="AW38" i="26" a="1"/>
  <c r="BH33" i="14" a="1"/>
  <c r="AS43" i="28" a="1"/>
  <c r="BH35" i="14" a="1"/>
  <c r="AL57" i="24" a="1"/>
  <c r="T34" i="26" a="1"/>
  <c r="I48" i="26" a="1"/>
  <c r="BH48" i="24" a="1"/>
  <c r="BB45" i="26" a="1"/>
  <c r="BF59" i="28" a="1"/>
  <c r="T41" i="27" a="1"/>
  <c r="O37" i="27" a="1"/>
  <c r="AA36" i="26" a="1"/>
  <c r="AZ35" i="25" a="1"/>
  <c r="H44" i="27" a="1"/>
  <c r="F40" i="14" a="1"/>
  <c r="BE38" i="24" a="1"/>
  <c r="AI36" i="27" a="1"/>
  <c r="BI37" i="14" a="1"/>
  <c r="AS58" i="27" a="1"/>
  <c r="AP33" i="27" a="1"/>
  <c r="AJ44" i="25" a="1"/>
  <c r="AE53" i="26" a="1"/>
  <c r="AD49" i="24" a="1"/>
  <c r="AS46" i="26" a="1"/>
  <c r="BC42" i="24" a="1"/>
  <c r="AN46" i="28" a="1"/>
  <c r="Z52" i="28" a="1"/>
  <c r="AC45" i="27" a="1"/>
  <c r="T33" i="28" a="1"/>
  <c r="BB55" i="26" a="1"/>
  <c r="W54" i="26" a="1"/>
  <c r="U36" i="28" a="1"/>
  <c r="X33" i="25" a="1"/>
  <c r="K57" i="14" a="1"/>
  <c r="Q43" i="28" a="1"/>
  <c r="P52" i="27" a="1"/>
  <c r="AN35" i="14" a="1"/>
  <c r="B49" i="26" a="1"/>
  <c r="AW58" i="26" a="1"/>
  <c r="AT51" i="26" a="1"/>
  <c r="E57" i="28" a="1"/>
  <c r="BG36" i="24" a="1"/>
  <c r="AT49" i="25" a="1"/>
  <c r="BJ40" i="28" a="1"/>
  <c r="AJ42" i="26" a="1"/>
  <c r="S35" i="14" a="1"/>
  <c r="Q52" i="27" a="1"/>
  <c r="AT57" i="24" a="1"/>
  <c r="AW44" i="25" a="1"/>
  <c r="AG58" i="26" a="1"/>
  <c r="T40" i="26" a="1"/>
  <c r="H44" i="14" a="1"/>
  <c r="AA47" i="25" a="1"/>
  <c r="J53" i="26" a="1"/>
  <c r="W38" i="24" a="1"/>
  <c r="BB47" i="28" a="1"/>
  <c r="AX35" i="27" a="1"/>
  <c r="X38" i="25" a="1"/>
  <c r="AM50" i="26" a="1"/>
  <c r="AL44" i="27" a="1"/>
  <c r="AC54" i="25" a="1"/>
  <c r="AN35" i="26" a="1"/>
  <c r="L51" i="14" a="1"/>
  <c r="N38" i="28" a="1"/>
  <c r="J33" i="25" a="1"/>
  <c r="AD42" i="14" a="1"/>
  <c r="AL40" i="25" a="1"/>
  <c r="G51" i="25" a="1"/>
  <c r="O52" i="27" a="1"/>
  <c r="AJ43" i="14" a="1"/>
  <c r="AG34" i="25" a="1"/>
  <c r="AJ55" i="25" a="1"/>
  <c r="AF57" i="28" a="1"/>
  <c r="AM50" i="27" a="1"/>
  <c r="BB43" i="25" a="1"/>
  <c r="AS49" i="14" a="1"/>
  <c r="AH52" i="24" a="1"/>
  <c r="AA56" i="27" a="1"/>
  <c r="AQ55" i="26" a="1"/>
  <c r="X58" i="25" a="1"/>
  <c r="AG43" i="26" a="1"/>
  <c r="F33" i="25" a="1"/>
  <c r="AL39" i="24" a="1"/>
  <c r="AB48" i="25" a="1"/>
  <c r="U56" i="28" a="1"/>
  <c r="BE59" i="26" a="1"/>
  <c r="L51" i="27" a="1"/>
  <c r="U36" i="14" a="1"/>
  <c r="AR53" i="26" a="1"/>
  <c r="BC55" i="27" a="1"/>
  <c r="AS56" i="27" a="1"/>
  <c r="E38" i="26" a="1"/>
  <c r="AS49" i="25" a="1"/>
  <c r="AU47" i="25" a="1"/>
  <c r="BB44" i="25" a="1"/>
  <c r="AP58" i="25" a="1"/>
  <c r="R46" i="14" a="1"/>
  <c r="Y43" i="27" a="1"/>
  <c r="R58" i="28" a="1"/>
  <c r="AD37" i="14" a="1"/>
  <c r="M43" i="27" a="1"/>
  <c r="AR36" i="14" a="1"/>
  <c r="R38" i="24" a="1"/>
  <c r="AL45" i="25" a="1"/>
  <c r="AV57" i="25" a="1"/>
  <c r="Q44" i="25" a="1"/>
  <c r="AH60" i="28" a="1"/>
  <c r="AV48" i="27" a="1"/>
  <c r="B40" i="14" a="1"/>
  <c r="AN43" i="24" a="1"/>
  <c r="AK41" i="14" a="1"/>
  <c r="AF47" i="28" a="1"/>
  <c r="Y48" i="24" a="1"/>
  <c r="BG60" i="27" a="1"/>
  <c r="T43" i="28" a="1"/>
  <c r="R40" i="28" a="1"/>
  <c r="AB46" i="28" a="1"/>
  <c r="AG53" i="27" a="1"/>
  <c r="C33" i="24" a="1"/>
  <c r="AR58" i="14" a="1"/>
  <c r="Q47" i="26" a="1"/>
  <c r="S40" i="25" a="1"/>
  <c r="AE38" i="24" a="1"/>
  <c r="X41" i="26" a="1"/>
  <c r="AA43" i="24" a="1"/>
  <c r="AP59" i="14" a="1"/>
  <c r="AK33" i="28" a="1"/>
  <c r="AC53" i="25" a="1"/>
  <c r="I41" i="14" a="1"/>
  <c r="AU37" i="28" a="1"/>
  <c r="BE54" i="14" a="1"/>
  <c r="BB59" i="28" a="1"/>
  <c r="AQ53" i="25" a="1"/>
  <c r="BF49" i="26" a="1"/>
  <c r="BH37" i="28" a="1"/>
  <c r="AL45" i="28" a="1"/>
  <c r="BB38" i="25" a="1"/>
  <c r="AR41" i="25" a="1"/>
  <c r="L34" i="14" a="1"/>
  <c r="AW47" i="28" a="1"/>
  <c r="X37" i="27" a="1"/>
  <c r="C51" i="28" a="1"/>
  <c r="H57" i="24" a="1"/>
  <c r="AU40" i="26" a="1"/>
  <c r="V47" i="25" a="1"/>
  <c r="X41" i="27" a="1"/>
  <c r="AV34" i="14" a="1"/>
  <c r="BH34" i="24" a="1"/>
  <c r="P44" i="24" a="1"/>
  <c r="AH51" i="24" a="1"/>
  <c r="Z38" i="26" a="1"/>
  <c r="AM49" i="24" a="1"/>
  <c r="AM37" i="14" a="1"/>
  <c r="AG54" i="26" a="1"/>
  <c r="AJ49" i="28" a="1"/>
  <c r="Z50" i="24" a="1"/>
  <c r="G39" i="24" a="1"/>
  <c r="AC54" i="28" a="1"/>
  <c r="M48" i="28" a="1"/>
  <c r="J45" i="24" a="1"/>
  <c r="U55" i="28" a="1"/>
  <c r="BK34" i="14" a="1"/>
  <c r="O36" i="25" a="1"/>
  <c r="AK39" i="28" a="1"/>
  <c r="AH38" i="24" a="1"/>
  <c r="BC33" i="25" a="1"/>
  <c r="AP37" i="26" a="1"/>
  <c r="Q37" i="28" a="1"/>
  <c r="G45" i="25" a="1"/>
  <c r="AM47" i="25" a="1"/>
  <c r="C38" i="28" a="1"/>
  <c r="U47" i="28" a="1"/>
  <c r="W51" i="24" a="1"/>
  <c r="AW51" i="24" a="1"/>
  <c r="Q46" i="26" a="1"/>
  <c r="AF57" i="27" a="1"/>
  <c r="F37" i="14" a="1"/>
  <c r="W59" i="14" a="1"/>
  <c r="Y50" i="25" a="1"/>
  <c r="W54" i="28" a="1"/>
  <c r="H52" i="14" a="1"/>
  <c r="AT37" i="24" a="1"/>
  <c r="BB56" i="28" a="1"/>
  <c r="N43" i="14" a="1"/>
  <c r="AQ56" i="27" a="1"/>
  <c r="K41" i="26" a="1"/>
  <c r="AG35" i="28" a="1"/>
  <c r="AZ53" i="25" a="1"/>
  <c r="AV36" i="14" a="1"/>
  <c r="I56" i="24" a="1"/>
  <c r="AH51" i="14" a="1"/>
  <c r="BA47" i="28" a="1"/>
  <c r="D37" i="25" a="1"/>
  <c r="AK37" i="25" a="1"/>
  <c r="AM44" i="25" a="1"/>
  <c r="AV34" i="25" a="1"/>
  <c r="AG33" i="24" a="1"/>
  <c r="V36" i="14" a="1"/>
  <c r="AH43" i="14" a="1"/>
  <c r="BF49" i="25" a="1"/>
  <c r="BD57" i="25" a="1"/>
  <c r="BC47" i="27" a="1"/>
  <c r="BI59" i="24" a="1"/>
  <c r="Q38" i="14" a="1"/>
  <c r="AD43" i="28" a="1"/>
  <c r="AS54" i="26" a="1"/>
  <c r="V59" i="26" a="1"/>
  <c r="B37" i="26" a="1"/>
  <c r="BK33" i="24" a="1"/>
  <c r="B58" i="27" a="1"/>
  <c r="P43" i="28" a="1"/>
  <c r="AT35" i="27" a="1"/>
  <c r="B35" i="24" a="1"/>
  <c r="V36" i="25" a="1"/>
  <c r="AQ45" i="14" a="1"/>
  <c r="D50" i="14" a="1"/>
  <c r="L58" i="26" a="1"/>
  <c r="AL57" i="28" a="1"/>
  <c r="I57" i="24" a="1"/>
  <c r="J42" i="24" a="1"/>
  <c r="BG35" i="25" a="1"/>
  <c r="F48" i="26" a="1"/>
  <c r="G54" i="28" a="1"/>
  <c r="BD48" i="14" a="1"/>
  <c r="BK49" i="14" a="1"/>
  <c r="P51" i="14" a="1"/>
  <c r="BC56" i="26" a="1"/>
  <c r="F36" i="24" a="1"/>
  <c r="I33" i="27" a="1"/>
  <c r="AJ34" i="26" a="1"/>
  <c r="Y57" i="14" a="1"/>
  <c r="AS55" i="24" a="1"/>
  <c r="AW36" i="14" a="1"/>
  <c r="BE49" i="28" a="1"/>
  <c r="K52" i="25" a="1"/>
  <c r="AZ52" i="25" a="1"/>
  <c r="AT59" i="14" a="1"/>
  <c r="BD49" i="24" a="1"/>
  <c r="Z42" i="25" a="1"/>
  <c r="E34" i="14" a="1"/>
  <c r="AR45" i="25" a="1"/>
  <c r="K33" i="14" a="1"/>
  <c r="T47" i="14" a="1"/>
  <c r="D49" i="25" a="1"/>
  <c r="AU50" i="28" a="1"/>
  <c r="BH50" i="27" a="1"/>
  <c r="BF41" i="24" a="1"/>
  <c r="U42" i="14" a="1"/>
  <c r="AI41" i="26" a="1"/>
  <c r="AK37" i="26" a="1"/>
  <c r="Z41" i="28" a="1"/>
  <c r="I51" i="25" a="1"/>
  <c r="AR52" i="27" a="1"/>
  <c r="P48" i="25" a="1"/>
  <c r="B46" i="28" a="1"/>
  <c r="AQ49" i="27" a="1"/>
  <c r="AR50" i="26" a="1"/>
  <c r="M48" i="14" a="1"/>
  <c r="W59" i="28" a="1"/>
  <c r="E53" i="27" a="1"/>
  <c r="BH55" i="27" a="1"/>
  <c r="K33" i="26" a="1"/>
  <c r="AS41" i="14" a="1"/>
  <c r="J54" i="24" a="1"/>
  <c r="N39" i="14" a="1"/>
  <c r="AL49" i="14" a="1"/>
  <c r="AM39" i="24" a="1"/>
  <c r="AR51" i="27" a="1"/>
  <c r="AJ56" i="24" a="1"/>
  <c r="C39" i="28" a="1"/>
  <c r="P33" i="26" a="1"/>
  <c r="AD41" i="26" a="1"/>
  <c r="U46" i="27" a="1"/>
  <c r="AU59" i="14" a="1"/>
  <c r="AE57" i="24" a="1"/>
  <c r="Y35" i="24" a="1"/>
  <c r="BA33" i="27" a="1"/>
  <c r="Y56" i="26" a="1"/>
  <c r="X58" i="24" a="1"/>
  <c r="AV38" i="27" a="1"/>
  <c r="AJ52" i="14" a="1"/>
  <c r="V53" i="28" a="1"/>
  <c r="AY41" i="14" a="1"/>
  <c r="BI41" i="25" a="1"/>
  <c r="AK35" i="25" a="1"/>
  <c r="AD47" i="24" a="1"/>
  <c r="AV53" i="27" a="1"/>
  <c r="P40" i="24" a="1"/>
  <c r="H48" i="14" a="1"/>
  <c r="BA46" i="26" a="1"/>
  <c r="BD48" i="24" a="1"/>
  <c r="AJ54" i="27" a="1"/>
  <c r="AB48" i="28" a="1"/>
  <c r="P35" i="27" a="1"/>
  <c r="AN43" i="26" a="1"/>
  <c r="B42" i="25" a="1"/>
  <c r="AY50" i="26" a="1"/>
  <c r="BB50" i="28" a="1"/>
  <c r="T53" i="26" a="1"/>
  <c r="I50" i="28" a="1"/>
  <c r="AW58" i="25" a="1"/>
  <c r="AP60" i="26" a="1"/>
  <c r="BK55" i="27" a="1"/>
  <c r="BB44" i="28" a="1"/>
  <c r="AZ41" i="25" a="1"/>
  <c r="AW39" i="28" a="1"/>
  <c r="AL41" i="26" a="1"/>
  <c r="BG33" i="24" a="1"/>
  <c r="BJ35" i="14" a="1"/>
  <c r="AE47" i="26" a="1"/>
  <c r="AX40" i="25" a="1"/>
  <c r="AJ53" i="24" a="1"/>
  <c r="R44" i="26" a="1"/>
  <c r="I35" i="28" a="1"/>
  <c r="AK36" i="27" a="1"/>
  <c r="C49" i="24" a="1"/>
  <c r="AX54" i="14" a="1"/>
  <c r="AY55" i="24" a="1"/>
  <c r="BA49" i="25" a="1"/>
  <c r="BA57" i="25" a="1"/>
  <c r="T36" i="14" a="1"/>
  <c r="AP42" i="25" a="1"/>
  <c r="BH38" i="26" a="1"/>
  <c r="BB60" i="14" a="1"/>
  <c r="K36" i="26" a="1"/>
  <c r="AJ51" i="26" a="1"/>
  <c r="AO46" i="28" a="1"/>
  <c r="K56" i="27" a="1"/>
  <c r="F54" i="14" a="1"/>
  <c r="AQ52" i="26" a="1"/>
  <c r="BF59" i="24" a="1"/>
  <c r="BI56" i="24" a="1"/>
  <c r="AR44" i="28" a="1"/>
  <c r="AF53" i="14" a="1"/>
  <c r="BE45" i="25" a="1"/>
  <c r="R35" i="14" a="1"/>
  <c r="AO41" i="25" a="1"/>
  <c r="AX33" i="24" a="1"/>
  <c r="Z39" i="27" a="1"/>
  <c r="AH38" i="14" a="1"/>
  <c r="N44" i="25" a="1"/>
  <c r="B33" i="27" a="1"/>
  <c r="AN53" i="27" a="1"/>
  <c r="AG49" i="26" a="1"/>
  <c r="I42" i="26" a="1"/>
  <c r="BJ54" i="26" a="1"/>
  <c r="AB50" i="26" a="1"/>
  <c r="AX48" i="26" a="1"/>
  <c r="AC34" i="28" a="1"/>
  <c r="AM41" i="24" a="1"/>
  <c r="AH54" i="14" a="1"/>
  <c r="F34" i="24" a="1"/>
  <c r="BE58" i="26" a="1"/>
  <c r="W38" i="26" a="1"/>
  <c r="AH37" i="26" a="1"/>
  <c r="X42" i="27" a="1"/>
  <c r="AP39" i="27" a="1"/>
  <c r="B39" i="26" a="1"/>
  <c r="K49" i="14" a="1"/>
  <c r="C47" i="27" a="1"/>
  <c r="Y46" i="28" a="1"/>
  <c r="Y39" i="14" a="1"/>
  <c r="O57" i="25" a="1"/>
  <c r="R46" i="27" a="1"/>
  <c r="BH54" i="26" a="1"/>
  <c r="BG36" i="26" a="1"/>
  <c r="T46" i="26" a="1"/>
  <c r="AE33" i="24" a="1"/>
  <c r="F60" i="14" a="1"/>
  <c r="AW48" i="14" a="1"/>
  <c r="P40" i="25" a="1"/>
  <c r="H36" i="27" a="1"/>
  <c r="BD38" i="27" a="1"/>
  <c r="E43" i="24" a="1"/>
  <c r="T52" i="25" a="1"/>
  <c r="BD41" i="24" a="1"/>
  <c r="L54" i="28" a="1"/>
  <c r="W33" i="24" a="1"/>
  <c r="D34" i="27" a="1"/>
  <c r="BD49" i="28" a="1"/>
  <c r="BG35" i="26" a="1"/>
  <c r="BK60" i="26" a="1"/>
  <c r="AS39" i="28" a="1"/>
  <c r="B35" i="14" a="1"/>
  <c r="AN42" i="25" a="1"/>
  <c r="AG59" i="28" a="1"/>
  <c r="AW54" i="25" a="1"/>
  <c r="AY33" i="14" a="1"/>
  <c r="AU42" i="25" a="1"/>
  <c r="AB45" i="14" a="1"/>
  <c r="Z54" i="25" a="1"/>
  <c r="AE46" i="26" a="1"/>
  <c r="T52" i="26" a="1"/>
  <c r="AQ48" i="14" a="1"/>
  <c r="BA46" i="24" a="1"/>
  <c r="Z51" i="25" a="1"/>
  <c r="G58" i="26" a="1"/>
  <c r="J41" i="26" a="1"/>
  <c r="BD44" i="14" a="1"/>
  <c r="BH34" i="26" a="1"/>
  <c r="T57" i="28" a="1"/>
  <c r="D60" i="25" a="1"/>
  <c r="AI33" i="27" a="1"/>
  <c r="AG45" i="14" a="1"/>
  <c r="AM43" i="14" a="1"/>
  <c r="S37" i="26" a="1"/>
  <c r="BD51" i="24" a="1"/>
  <c r="W59" i="25" a="1"/>
  <c r="AH45" i="24" a="1"/>
  <c r="BI58" i="27" a="1"/>
  <c r="AR54" i="14" a="1"/>
  <c r="BA33" i="28" a="1"/>
  <c r="S46" i="14" a="1"/>
  <c r="AH57" i="26" a="1"/>
  <c r="M51" i="25" a="1"/>
  <c r="K40" i="14" a="1"/>
  <c r="Q58" i="14" a="1"/>
  <c r="H59" i="26" a="1"/>
  <c r="AO37" i="27" a="1"/>
  <c r="W58" i="14" a="1"/>
  <c r="BJ58" i="27" a="1"/>
  <c r="U34" i="24" a="1"/>
  <c r="AA39" i="28" a="1"/>
  <c r="G49" i="28" a="1"/>
  <c r="E38" i="24" a="1"/>
  <c r="I42" i="25" a="1"/>
  <c r="BE44" i="25" a="1"/>
  <c r="AR59" i="24" a="1"/>
  <c r="BI42" i="27" a="1"/>
  <c r="AG39" i="28" a="1"/>
  <c r="AD50" i="26" a="1"/>
  <c r="AZ34" i="14" a="1"/>
  <c r="AA51" i="24" a="1"/>
  <c r="P40" i="28" a="1"/>
  <c r="AS42" i="14" a="1"/>
  <c r="AI38" i="26" a="1"/>
  <c r="AT46" i="25" a="1"/>
  <c r="O46" i="26" a="1"/>
  <c r="AY39" i="26" a="1"/>
  <c r="AC48" i="26" a="1"/>
  <c r="AL56" i="28" a="1"/>
  <c r="O44" i="28" a="1"/>
  <c r="AB45" i="26" a="1"/>
  <c r="F58" i="25" a="1"/>
  <c r="M42" i="27" a="1"/>
  <c r="BK48" i="27" a="1"/>
  <c r="K43" i="28" a="1"/>
  <c r="AI39" i="26" a="1"/>
  <c r="BD37" i="24" a="1"/>
  <c r="AG59" i="26" a="1"/>
  <c r="BG33" i="28" a="1"/>
  <c r="AB50" i="28" a="1"/>
  <c r="AF48" i="28" a="1"/>
  <c r="AC60" i="24" a="1"/>
  <c r="H56" i="24" a="1"/>
  <c r="AW46" i="14" a="1"/>
  <c r="I57" i="14" a="1"/>
  <c r="AY58" i="25" a="1"/>
  <c r="B40" i="24" a="1"/>
  <c r="H33" i="27" a="1"/>
  <c r="BJ56" i="27" a="1"/>
  <c r="AX41" i="14" a="1"/>
  <c r="R51" i="28" a="1"/>
  <c r="AE43" i="26" a="1"/>
  <c r="AO34" i="27" a="1"/>
  <c r="BJ49" i="26" a="1"/>
  <c r="BG37" i="27" a="1"/>
  <c r="P50" i="24" a="1"/>
  <c r="O54" i="14" a="1"/>
  <c r="W44" i="26" a="1"/>
  <c r="AX44" i="28" a="1"/>
  <c r="V48" i="14" a="1"/>
  <c r="W41" i="27" a="1"/>
  <c r="Z41" i="24" a="1"/>
  <c r="Y49" i="24" a="1"/>
  <c r="Q45" i="24" a="1"/>
  <c r="AO56" i="28" a="1"/>
  <c r="AY38" i="14" a="1"/>
  <c r="BD46" i="14" a="1"/>
  <c r="D37" i="14" a="1"/>
  <c r="BD51" i="27" a="1"/>
  <c r="D57" i="24" a="1"/>
  <c r="AY41" i="27" a="1"/>
  <c r="AV43" i="14" a="1"/>
  <c r="AD52" i="28" a="1"/>
  <c r="Q34" i="25" a="1"/>
  <c r="BA43" i="24" a="1"/>
  <c r="Q57" i="14" a="1"/>
  <c r="AS50" i="25" a="1"/>
  <c r="AN40" i="14" a="1"/>
  <c r="AK48" i="25" a="1"/>
  <c r="U38" i="28" a="1"/>
  <c r="AJ33" i="28" a="1"/>
  <c r="N39" i="27" a="1"/>
  <c r="AX59" i="27" a="1"/>
  <c r="BC36" i="14" a="1"/>
  <c r="AE52" i="26" a="1"/>
  <c r="D46" i="24" a="1"/>
  <c r="AR60" i="26" a="1"/>
  <c r="AR42" i="14" a="1"/>
  <c r="AZ55" i="14" a="1"/>
  <c r="AX41" i="24" a="1"/>
  <c r="H46" i="24" a="1"/>
  <c r="BA58" i="26" a="1"/>
  <c r="AZ51" i="24" a="1"/>
  <c r="L55" i="26" a="1"/>
  <c r="K45" i="24" a="1"/>
  <c r="BH39" i="25" a="1"/>
  <c r="F47" i="24" a="1"/>
  <c r="AX48" i="28" a="1"/>
  <c r="Z44" i="25" a="1"/>
  <c r="AI42" i="26" a="1"/>
  <c r="D50" i="24" a="1"/>
  <c r="S47" i="24" a="1"/>
  <c r="Q36" i="14" a="1"/>
  <c r="AT40" i="25" a="1"/>
  <c r="M41" i="26" a="1"/>
  <c r="J33" i="26" a="1"/>
  <c r="AU37" i="25" a="1"/>
  <c r="P55" i="24" a="1"/>
  <c r="F35" i="25" a="1"/>
  <c r="AN52" i="24" a="1"/>
  <c r="BI58" i="28" a="1"/>
  <c r="BE53" i="25" a="1"/>
  <c r="E57" i="26" a="1"/>
  <c r="H39" i="28" a="1"/>
  <c r="Q40" i="14" a="1"/>
  <c r="X53" i="28" a="1"/>
  <c r="AZ43" i="26" a="1"/>
  <c r="AZ43" i="28" a="1"/>
  <c r="Z42" i="27" a="1"/>
  <c r="BJ48" i="26" a="1"/>
  <c r="E49" i="25" a="1"/>
  <c r="AP44" i="28" a="1"/>
  <c r="AD60" i="25" a="1"/>
  <c r="R37" i="28" a="1"/>
  <c r="I40" i="26" a="1"/>
  <c r="BB42" i="26" a="1"/>
  <c r="S49" i="24" a="1"/>
  <c r="AW57" i="28" a="1"/>
  <c r="BE49" i="14" a="1"/>
  <c r="Y54" i="24" a="1"/>
  <c r="AA52" i="27" a="1"/>
  <c r="O41" i="14" a="1"/>
  <c r="D44" i="28" a="1"/>
  <c r="O33" i="24" a="1"/>
  <c r="N45" i="28" a="1"/>
  <c r="BI39" i="26" a="1"/>
  <c r="AG37" i="25" a="1"/>
  <c r="H54" i="28" a="1"/>
  <c r="BI53" i="26" a="1"/>
  <c r="Z55" i="25" a="1"/>
  <c r="AJ35" i="24" a="1"/>
  <c r="Y36" i="28" a="1"/>
  <c r="AS37" i="25" a="1"/>
  <c r="AL34" i="28" a="1"/>
  <c r="AC38" i="25" a="1"/>
  <c r="P57" i="14" a="1"/>
  <c r="AC43" i="14" a="1"/>
  <c r="AL47" i="24" a="1"/>
  <c r="C50" i="28" a="1"/>
  <c r="AJ54" i="24" a="1"/>
  <c r="AR35" i="26" a="1"/>
  <c r="AA42" i="26" a="1"/>
  <c r="BE60" i="27" a="1"/>
  <c r="H59" i="14" a="1"/>
  <c r="G37" i="28" a="1"/>
  <c r="E38" i="25" a="1"/>
  <c r="J47" i="14" a="1"/>
  <c r="M58" i="14" a="1"/>
  <c r="AD45" i="24" a="1"/>
  <c r="E45" i="25" a="1"/>
  <c r="H42" i="14" a="1"/>
  <c r="BG55" i="27" a="1"/>
  <c r="BJ59" i="14" a="1"/>
  <c r="BC55" i="24" a="1"/>
  <c r="D50" i="28" a="1"/>
  <c r="AA37" i="27" a="1"/>
  <c r="R46" i="26" a="1"/>
  <c r="AJ55" i="26" a="1"/>
  <c r="BC52" i="27" a="1"/>
  <c r="AD41" i="28" a="1"/>
  <c r="H42" i="28" a="1"/>
  <c r="BJ57" i="25" a="1"/>
  <c r="S41" i="26" a="1"/>
  <c r="S43" i="25" a="1"/>
  <c r="B38" i="26" a="1"/>
  <c r="E57" i="25" a="1"/>
  <c r="AL59" i="26" a="1"/>
  <c r="AA55" i="25" a="1"/>
  <c r="AE51" i="26" a="1"/>
  <c r="X40" i="28" a="1"/>
  <c r="X45" i="26" a="1"/>
  <c r="AS56" i="26" a="1"/>
  <c r="AD35" i="26" a="1"/>
  <c r="T57" i="24" a="1"/>
  <c r="BH50" i="26" a="1"/>
  <c r="AI55" i="24" a="1"/>
  <c r="X50" i="24" a="1"/>
  <c r="H35" i="27" a="1"/>
  <c r="N53" i="14" a="1"/>
  <c r="X55" i="27" a="1"/>
  <c r="BH49" i="25" a="1"/>
  <c r="M58" i="26" a="1"/>
  <c r="J51" i="26" a="1"/>
  <c r="BF54" i="28" a="1"/>
  <c r="W44" i="25" a="1"/>
  <c r="AW53" i="26" a="1"/>
  <c r="AR59" i="28" a="1"/>
  <c r="BG39" i="14" a="1"/>
  <c r="H40" i="27" a="1"/>
  <c r="O56" i="25" a="1"/>
  <c r="C53" i="27" a="1"/>
  <c r="G41" i="24" a="1"/>
  <c r="B38" i="27" a="1"/>
  <c r="F36" i="14" a="1"/>
  <c r="AK40" i="25" a="1"/>
  <c r="AK53" i="27" a="1"/>
  <c r="AM56" i="14" a="1"/>
  <c r="X60" i="26" a="1"/>
  <c r="AU51" i="25" a="1"/>
  <c r="BD44" i="25" a="1"/>
  <c r="BH37" i="14" a="1"/>
  <c r="AM38" i="27" a="1"/>
  <c r="AM56" i="28" a="1"/>
  <c r="AO48" i="26" a="1"/>
  <c r="X51" i="28" a="1"/>
  <c r="AI59" i="24" a="1"/>
  <c r="AV45" i="24" a="1"/>
  <c r="AB43" i="26" a="1"/>
  <c r="M56" i="25" a="1"/>
  <c r="P45" i="26" a="1"/>
  <c r="BH52" i="24" a="1"/>
  <c r="M33" i="14" a="1"/>
  <c r="AY57" i="24" a="1"/>
  <c r="BH35" i="27" a="1"/>
  <c r="AU38" i="28" a="1"/>
  <c r="Y53" i="28" a="1"/>
  <c r="T56" i="28" a="1"/>
  <c r="E39" i="14" a="1"/>
  <c r="BI46" i="27" a="1"/>
  <c r="BA48" i="28" a="1"/>
  <c r="J34" i="24" a="1"/>
  <c r="BD40" i="25" a="1"/>
  <c r="AV33" i="14" a="1"/>
  <c r="AR55" i="28" a="1"/>
  <c r="F53" i="24" a="1"/>
  <c r="G38" i="27" a="1"/>
  <c r="AC53" i="14" a="1"/>
  <c r="AA56" i="28" a="1"/>
  <c r="W41" i="25" a="1"/>
  <c r="BJ56" i="14" a="1"/>
  <c r="AL51" i="25" a="1"/>
  <c r="AQ40" i="27" a="1"/>
  <c r="BA50" i="25" a="1"/>
  <c r="BJ50" i="25" a="1"/>
  <c r="X43" i="25" a="1"/>
  <c r="BK49" i="25" a="1"/>
  <c r="U53" i="28" a="1"/>
  <c r="AF54" i="26" a="1"/>
  <c r="AK59" i="24" a="1"/>
  <c r="Z57" i="14" a="1"/>
  <c r="AM42" i="27" a="1"/>
  <c r="AU58" i="26" a="1"/>
  <c r="W33" i="27" a="1"/>
  <c r="AS59" i="27" a="1"/>
  <c r="E44" i="28" a="1"/>
  <c r="AX40" i="24" a="1"/>
  <c r="AL44" i="26" a="1"/>
  <c r="Q58" i="26" a="1"/>
  <c r="AZ59" i="24" a="1"/>
  <c r="AC45" i="24" a="1"/>
  <c r="AW58" i="24" a="1"/>
  <c r="F48" i="28" a="1"/>
  <c r="BD49" i="27" a="1"/>
  <c r="AA53" i="24" a="1"/>
  <c r="R54" i="26" a="1"/>
  <c r="AN43" i="27" a="1"/>
  <c r="BF39" i="24" a="1"/>
  <c r="AH41" i="25" a="1"/>
  <c r="F58" i="24" a="1"/>
  <c r="W58" i="27" a="1"/>
  <c r="AB55" i="27" a="1"/>
  <c r="AX33" i="27" a="1"/>
  <c r="AK45" i="25" a="1"/>
  <c r="V59" i="28" a="1"/>
  <c r="Q59" i="27" a="1"/>
  <c r="BB40" i="24" a="1"/>
  <c r="S33" i="26" a="1"/>
  <c r="B59" i="26" a="1"/>
  <c r="BE39" i="26" a="1"/>
  <c r="BI52" i="25" a="1"/>
  <c r="N45" i="26" a="1"/>
  <c r="R48" i="27" a="1"/>
  <c r="BJ46" i="27" a="1"/>
  <c r="V46" i="24" a="1"/>
  <c r="Z58" i="14" a="1"/>
  <c r="AN43" i="25" a="1"/>
  <c r="AF53" i="27" a="1"/>
  <c r="AF43" i="24" a="1"/>
  <c r="AZ50" i="27" a="1"/>
  <c r="D58" i="28" a="1"/>
  <c r="AN40" i="25" a="1"/>
  <c r="Q37" i="27" a="1"/>
  <c r="AO36" i="28" a="1"/>
  <c r="AO45" i="27" a="1"/>
  <c r="BC53" i="28" a="1"/>
  <c r="AF52" i="27" a="1"/>
  <c r="C34" i="28" a="1"/>
  <c r="AO34" i="25" a="1"/>
  <c r="N46" i="24" a="1"/>
  <c r="S52" i="28" a="1"/>
  <c r="AA36" i="24" a="1"/>
  <c r="B41" i="26" a="1"/>
  <c r="R52" i="27" a="1"/>
  <c r="R59" i="24" a="1"/>
  <c r="F48" i="27" a="1"/>
  <c r="BI35" i="28" a="1"/>
  <c r="AV56" i="25" a="1"/>
  <c r="X58" i="26" a="1"/>
  <c r="AG50" i="27" a="1"/>
  <c r="G35" i="25" a="1"/>
  <c r="F51" i="27" a="1"/>
  <c r="AE59" i="27" a="1"/>
  <c r="AO33" i="28" a="1"/>
  <c r="I58" i="25" a="1"/>
  <c r="F51" i="26" a="1"/>
  <c r="M42" i="26" a="1"/>
  <c r="S53" i="27" a="1"/>
  <c r="H53" i="14" a="1"/>
  <c r="AX49" i="26" a="1"/>
  <c r="AY49" i="14" a="1"/>
  <c r="AE49" i="24" a="1"/>
  <c r="C58" i="14" a="1"/>
  <c r="J38" i="26" a="1"/>
  <c r="AY52" i="27" a="1"/>
  <c r="J46" i="27" a="1"/>
  <c r="L36" i="27" a="1"/>
  <c r="K34" i="24" a="1"/>
  <c r="D54" i="25" a="1"/>
  <c r="S38" i="27" a="1"/>
  <c r="AL54" i="28" a="1"/>
  <c r="N55" i="14" a="1"/>
  <c r="S50" i="25" a="1"/>
  <c r="AM35" i="27" a="1"/>
  <c r="AZ46" i="27" a="1"/>
  <c r="N49" i="24" a="1"/>
  <c r="F54" i="26" a="1"/>
  <c r="AJ48" i="28" a="1"/>
  <c r="AW56" i="14" a="1"/>
  <c r="AS49" i="26" a="1"/>
  <c r="G40" i="28" a="1"/>
  <c r="BE36" i="26" a="1"/>
  <c r="H41" i="14" a="1"/>
  <c r="AG33" i="27" a="1"/>
  <c r="C59" i="24" a="1"/>
  <c r="Q51" i="28" a="1"/>
  <c r="AO37" i="25" a="1"/>
  <c r="Q56" i="26" a="1"/>
  <c r="B52" i="26" a="1"/>
  <c r="BJ43" i="26" a="1"/>
  <c r="C46" i="25" a="1"/>
  <c r="D49" i="28" a="1"/>
  <c r="AK51" i="26" a="1"/>
  <c r="AH39" i="14" a="1"/>
  <c r="AF33" i="26" a="1"/>
  <c r="C50" i="24" a="1"/>
  <c r="BC56" i="27" a="1"/>
  <c r="AY50" i="14" a="1"/>
  <c r="AG39" i="27" a="1"/>
  <c r="AE48" i="28" a="1"/>
  <c r="AU50" i="25" a="1"/>
  <c r="AW58" i="14" a="1"/>
  <c r="AI49" i="24" a="1"/>
  <c r="AZ54" i="27" a="1"/>
  <c r="AH60" i="24" a="1"/>
  <c r="AY44" i="14" a="1"/>
  <c r="AS36" i="24" a="1"/>
  <c r="AY43" i="28" a="1"/>
  <c r="BB36" i="26" a="1"/>
  <c r="AR36" i="26" a="1"/>
  <c r="AH47" i="25" a="1"/>
  <c r="AO40" i="25" a="1"/>
  <c r="AV40" i="14" a="1"/>
  <c r="Z33" i="26" a="1"/>
  <c r="D36" i="25" a="1"/>
  <c r="AT41" i="28" a="1"/>
  <c r="BE45" i="27" a="1"/>
  <c r="D58" i="25" a="1"/>
  <c r="T39" i="26" a="1"/>
  <c r="G58" i="24" a="1"/>
  <c r="AR59" i="27" a="1"/>
  <c r="AV34" i="24" a="1"/>
  <c r="BA60" i="27" a="1"/>
  <c r="AJ45" i="27" a="1"/>
  <c r="BK57" i="24" a="1"/>
  <c r="AA54" i="26" a="1"/>
  <c r="AX42" i="28" a="1"/>
  <c r="AQ38" i="27" a="1"/>
  <c r="N37" i="25" a="1"/>
  <c r="K52" i="14" a="1"/>
  <c r="AP54" i="26" a="1"/>
  <c r="R40" i="26" a="1"/>
  <c r="P50" i="14" a="1"/>
  <c r="P56" i="24" a="1"/>
  <c r="T54" i="25" a="1"/>
  <c r="AT33" i="24" a="1"/>
  <c r="AN42" i="28" a="1"/>
  <c r="E56" i="14" a="1"/>
  <c r="BI40" i="24" a="1"/>
  <c r="BI51" i="24" a="1"/>
  <c r="BI55" i="24" a="1"/>
  <c r="AV49" i="14" a="1"/>
  <c r="Z60" i="26" a="1"/>
  <c r="BE34" i="28" a="1"/>
  <c r="W47" i="25" a="1"/>
  <c r="AF35" i="25" a="1"/>
  <c r="J39" i="28" a="1"/>
  <c r="BJ37" i="26" a="1"/>
  <c r="C42" i="25" a="1"/>
  <c r="AA42" i="28" a="1"/>
  <c r="E50" i="27" a="1"/>
  <c r="BJ39" i="27" a="1"/>
  <c r="AA54" i="25" a="1"/>
  <c r="AB43" i="25" a="1"/>
  <c r="AH55" i="27" a="1"/>
  <c r="G56" i="24" a="1"/>
  <c r="AL37" i="27" a="1"/>
  <c r="AA52" i="24" a="1"/>
  <c r="Q41" i="24" a="1"/>
  <c r="BG35" i="27" a="1"/>
  <c r="J53" i="14" a="1"/>
  <c r="AF36" i="27" a="1"/>
  <c r="AI60" i="14" a="1"/>
  <c r="AT56" i="14" a="1"/>
  <c r="AE54" i="28" a="1"/>
  <c r="Q59" i="28" a="1"/>
  <c r="BE44" i="14" a="1"/>
  <c r="V52" i="28" a="1"/>
  <c r="V37" i="27" a="1"/>
  <c r="BJ51" i="26" a="1"/>
  <c r="C45" i="14" a="1"/>
  <c r="BD56" i="27" a="1"/>
  <c r="AC35" i="27" a="1"/>
  <c r="AW44" i="14" a="1"/>
  <c r="Y59" i="25" a="1"/>
  <c r="S53" i="25" a="1"/>
  <c r="AR47" i="27" a="1"/>
  <c r="AI60" i="25" a="1"/>
  <c r="AB54" i="25" a="1"/>
  <c r="C54" i="27" a="1"/>
  <c r="C36" i="27" a="1"/>
  <c r="AU55" i="28" a="1"/>
  <c r="G51" i="27" a="1"/>
  <c r="W55" i="25" a="1"/>
  <c r="AZ35" i="14" a="1"/>
  <c r="Y39" i="28" a="1"/>
  <c r="G35" i="28" a="1"/>
  <c r="M41" i="24" a="1"/>
  <c r="G33" i="24" a="1"/>
  <c r="U60" i="25" a="1"/>
  <c r="BD53" i="28" a="1"/>
  <c r="AQ51" i="26" a="1"/>
  <c r="W39" i="24" a="1"/>
  <c r="AP54" i="25" a="1"/>
  <c r="C60" i="24" a="1"/>
  <c r="BK60" i="25" a="1"/>
  <c r="D39" i="26" a="1"/>
  <c r="F51" i="24" a="1"/>
  <c r="AA41" i="25" a="1"/>
  <c r="BB60" i="24" a="1"/>
  <c r="J36" i="25" a="1"/>
  <c r="F38" i="24" a="1"/>
  <c r="M52" i="14" a="1"/>
  <c r="S54" i="27" a="1"/>
  <c r="AQ51" i="14" a="1"/>
  <c r="L48" i="26" a="1"/>
  <c r="AK37" i="27" a="1"/>
  <c r="AA34" i="26" a="1"/>
  <c r="AA43" i="14" a="1"/>
  <c r="B50" i="14" a="1"/>
  <c r="AF56" i="25" a="1"/>
  <c r="BG39" i="25" a="1"/>
  <c r="T38" i="25" a="1"/>
  <c r="E45" i="28" a="1"/>
  <c r="M40" i="14" a="1"/>
  <c r="AK54" i="26" a="1"/>
  <c r="BJ50" i="26" a="1"/>
  <c r="AJ40" i="25" a="1"/>
  <c r="E60" i="26" a="1"/>
  <c r="AF56" i="28" a="1"/>
  <c r="AB40" i="28" a="1"/>
  <c r="N35" i="28" a="1"/>
  <c r="V38" i="25" a="1"/>
  <c r="X40" i="26" a="1"/>
  <c r="AK38" i="25" a="1"/>
  <c r="P60" i="27" a="1"/>
  <c r="AO60" i="26" a="1"/>
  <c r="AP43" i="25" a="1"/>
  <c r="J33" i="24" a="1"/>
  <c r="Q56" i="25" a="1"/>
  <c r="J59" i="25" a="1"/>
  <c r="AG48" i="26" a="1"/>
  <c r="B50" i="26" a="1"/>
  <c r="AA44" i="28" a="1"/>
  <c r="F36" i="26" a="1"/>
  <c r="AA45" i="24" a="1"/>
  <c r="AZ53" i="14" a="1"/>
  <c r="AT42" i="14" a="1"/>
  <c r="BE41" i="26" a="1"/>
  <c r="AP43" i="26" a="1"/>
  <c r="BA38" i="28" a="1"/>
  <c r="BG56" i="25" a="1"/>
  <c r="P60" i="26" a="1"/>
  <c r="AB48" i="24" a="1"/>
  <c r="BJ35" i="24" a="1"/>
  <c r="G55" i="25" a="1"/>
  <c r="AF46" i="25" a="1"/>
  <c r="P46" i="28" a="1"/>
  <c r="S41" i="24" a="1"/>
  <c r="U51" i="14" a="1"/>
  <c r="Y44" i="26" a="1"/>
  <c r="I36" i="27" a="1"/>
  <c r="W42" i="25" a="1"/>
  <c r="BI46" i="28" a="1"/>
  <c r="Y55" i="14" a="1"/>
  <c r="AC57" i="25" a="1"/>
  <c r="W51" i="27" a="1"/>
  <c r="O43" i="27" a="1"/>
  <c r="AI35" i="25" a="1"/>
  <c r="AR45" i="27" a="1"/>
  <c r="AV33" i="27" a="1"/>
  <c r="BA53" i="26" a="1"/>
  <c r="J34" i="26" a="1"/>
  <c r="G34" i="14" a="1"/>
  <c r="BF45" i="25" a="1"/>
  <c r="S46" i="24" a="1"/>
  <c r="BF58" i="14" a="1"/>
  <c r="AX50" i="25" a="1"/>
  <c r="H37" i="26" a="1"/>
  <c r="J54" i="14" a="1"/>
  <c r="S42" i="28" a="1"/>
  <c r="AI45" i="26" a="1"/>
  <c r="AG43" i="27" a="1"/>
  <c r="M59" i="25" a="1"/>
  <c r="AH59" i="24" a="1"/>
  <c r="BA50" i="24" a="1"/>
  <c r="AP35" i="24" a="1"/>
  <c r="AX56" i="14" a="1"/>
  <c r="AS45" i="27" a="1"/>
  <c r="AH48" i="24" a="1"/>
  <c r="AH49" i="27" a="1"/>
  <c r="D38" i="25" a="1"/>
  <c r="AK33" i="27" a="1"/>
  <c r="AC46" i="24" a="1"/>
  <c r="BG43" i="24" a="1"/>
  <c r="AX45" i="25" a="1"/>
  <c r="H60" i="24" a="1"/>
  <c r="BB33" i="14" a="1"/>
  <c r="AZ42" i="25" a="1"/>
  <c r="AZ48" i="27" a="1"/>
  <c r="BH49" i="27" a="1"/>
  <c r="BD39" i="24" a="1"/>
  <c r="J57" i="25" a="1"/>
  <c r="J36" i="28" a="1"/>
  <c r="G50" i="14" a="1"/>
  <c r="AJ49" i="14" a="1"/>
  <c r="AO50" i="26" a="1"/>
  <c r="AP57" i="26" a="1"/>
  <c r="AU41" i="28" a="1"/>
  <c r="AM60" i="25" a="1"/>
  <c r="AY46" i="24" a="1"/>
  <c r="J34" i="28" a="1"/>
  <c r="AE59" i="25" a="1"/>
  <c r="AN59" i="14" a="1"/>
  <c r="B49" i="14" a="1"/>
  <c r="T55" i="26" a="1"/>
  <c r="W46" i="25" a="1"/>
  <c r="AO36" i="14" a="1"/>
  <c r="AK51" i="14" a="1"/>
  <c r="T52" i="24" a="1"/>
  <c r="J39" i="26" a="1"/>
  <c r="BH53" i="28" a="1"/>
  <c r="BG59" i="24" a="1"/>
  <c r="J36" i="27" a="1"/>
  <c r="AZ47" i="24" a="1"/>
  <c r="AY47" i="27" a="1"/>
  <c r="AM36" i="14" a="1"/>
  <c r="BB42" i="25" a="1"/>
  <c r="BF33" i="26" a="1"/>
  <c r="BH58" i="27" a="1"/>
  <c r="AZ48" i="26" a="1"/>
  <c r="AP50" i="27" a="1"/>
  <c r="Q55" i="14" a="1"/>
  <c r="D39" i="25" a="1"/>
  <c r="L52" i="14" a="1"/>
  <c r="Q35" i="14" a="1"/>
  <c r="BG39" i="24" a="1"/>
  <c r="AX36" i="14" a="1"/>
  <c r="J49" i="26" a="1"/>
  <c r="AK46" i="27" a="1"/>
  <c r="AS35" i="25" a="1"/>
  <c r="P53" i="27" a="1"/>
  <c r="BF54" i="14" a="1"/>
  <c r="BD42" i="25" a="1"/>
  <c r="AT60" i="28" a="1"/>
  <c r="G41" i="28" a="1"/>
  <c r="E48" i="14" a="1"/>
  <c r="U37" i="28" a="1"/>
  <c r="AZ54" i="24" a="1"/>
  <c r="AU56" i="25" a="1"/>
  <c r="E44" i="25" a="1"/>
  <c r="AP59" i="28" a="1"/>
  <c r="BD46" i="28" a="1"/>
  <c r="B35" i="25" a="1"/>
  <c r="AJ53" i="25" a="1"/>
  <c r="AO40" i="26" a="1"/>
  <c r="I60" i="25" a="1"/>
  <c r="AW39" i="26" a="1"/>
  <c r="W49" i="26" a="1"/>
  <c r="BK42" i="24" a="1"/>
  <c r="BH33" i="27" a="1"/>
  <c r="AU45" i="14" a="1"/>
  <c r="AI38" i="14" a="1"/>
  <c r="AW52" i="26" a="1"/>
  <c r="AF55" i="25" a="1"/>
  <c r="AT37" i="25" a="1"/>
  <c r="AB36" i="25" a="1"/>
  <c r="M50" i="26" a="1"/>
  <c r="AK47" i="24" a="1"/>
  <c r="BK41" i="28" a="1"/>
  <c r="I40" i="28" a="1"/>
  <c r="T43" i="14" a="1"/>
  <c r="AH35" i="27" a="1"/>
  <c r="X47" i="26" a="1"/>
  <c r="AC41" i="26" a="1"/>
  <c r="P34" i="14" a="1"/>
  <c r="AX44" i="26" a="1"/>
  <c r="AT38" i="26" a="1"/>
  <c r="C55" i="25" a="1"/>
  <c r="AG58" i="27" a="1"/>
  <c r="Q50" i="26" a="1"/>
  <c r="L52" i="24" a="1"/>
  <c r="AX47" i="28" a="1"/>
  <c r="AV56" i="28" a="1"/>
  <c r="BH54" i="28" a="1"/>
  <c r="H35" i="28" a="1"/>
  <c r="AA60" i="28" a="1"/>
  <c r="AX33" i="25" a="1"/>
  <c r="H59" i="28" a="1"/>
  <c r="AP40" i="27" a="1"/>
  <c r="BA59" i="25" a="1"/>
  <c r="W50" i="24" a="1"/>
  <c r="V40" i="25" a="1"/>
  <c r="BD58" i="24" a="1"/>
  <c r="AB52" i="28" a="1"/>
  <c r="D33" i="24" a="1"/>
  <c r="BB57" i="27" a="1"/>
  <c r="Y41" i="28" a="1"/>
  <c r="BK33" i="27" a="1"/>
  <c r="AU58" i="27" a="1"/>
  <c r="AR59" i="26" a="1"/>
  <c r="W36" i="24" a="1"/>
  <c r="AF39" i="24" a="1"/>
  <c r="BH42" i="26" a="1"/>
  <c r="AW40" i="28" a="1"/>
  <c r="F59" i="27" a="1"/>
  <c r="BE37" i="24" a="1"/>
  <c r="AL47" i="25" a="1"/>
  <c r="G43" i="28" a="1"/>
  <c r="AK60" i="24" a="1"/>
  <c r="R38" i="27" a="1"/>
  <c r="BK42" i="28" a="1"/>
  <c r="I47" i="28" a="1"/>
  <c r="BA33" i="14" a="1"/>
  <c r="AC40" i="26" a="1"/>
  <c r="I34" i="27" a="1"/>
  <c r="BC40" i="25" a="1"/>
  <c r="E60" i="28" a="1"/>
  <c r="AA55" i="27" a="1"/>
  <c r="F45" i="25" a="1"/>
  <c r="AL59" i="27" a="1"/>
  <c r="J41" i="14" a="1"/>
  <c r="E48" i="28" a="1"/>
  <c r="H53" i="24" a="1"/>
  <c r="H39" i="27" a="1"/>
  <c r="BC60" i="28" a="1"/>
  <c r="P57" i="25" a="1"/>
  <c r="W57" i="26" a="1"/>
  <c r="AX47" i="26" a="1"/>
  <c r="U52" i="14" a="1"/>
  <c r="BA37" i="25" a="1"/>
  <c r="C52" i="24" a="1"/>
  <c r="AY43" i="24" a="1"/>
  <c r="D41" i="24" a="1"/>
  <c r="W35" i="26" a="1"/>
  <c r="AH49" i="28" a="1"/>
  <c r="AQ43" i="25" a="1"/>
  <c r="BD54" i="27" a="1"/>
  <c r="O36" i="14" a="1"/>
  <c r="J37" i="26" a="1"/>
  <c r="AR49" i="14" a="1"/>
  <c r="AM44" i="26" a="1"/>
  <c r="BB33" i="24" a="1"/>
  <c r="BH39" i="24" a="1"/>
  <c r="AY49" i="26" a="1"/>
  <c r="AY48" i="24" a="1"/>
  <c r="AU46" i="28" a="1"/>
  <c r="J48" i="27" a="1"/>
  <c r="AR40" i="26" a="1"/>
  <c r="L60" i="27" a="1"/>
  <c r="AJ45" i="28" a="1"/>
  <c r="AB49" i="27" a="1"/>
  <c r="B45" i="27" a="1"/>
  <c r="AS39" i="24" a="1"/>
  <c r="AV59" i="26" a="1"/>
  <c r="BH57" i="26" a="1"/>
  <c r="AO46" i="27" a="1"/>
  <c r="BF57" i="27" a="1"/>
  <c r="AG50" i="25" a="1"/>
  <c r="BF36" i="27" a="1"/>
  <c r="X45" i="24" a="1"/>
  <c r="BF60" i="24" a="1"/>
  <c r="AX46" i="26" a="1"/>
  <c r="BK57" i="27" a="1"/>
  <c r="AA35" i="24" a="1"/>
  <c r="AV35" i="25" a="1"/>
  <c r="I56" i="26" a="1"/>
  <c r="BK40" i="28" a="1"/>
  <c r="BB50" i="27" a="1"/>
  <c r="F59" i="26" a="1"/>
  <c r="AE60" i="14" a="1"/>
  <c r="AH36" i="28" a="1"/>
  <c r="AD55" i="26" a="1"/>
  <c r="AZ55" i="28" a="1"/>
  <c r="AE50" i="26" a="1"/>
  <c r="P42" i="26" a="1"/>
  <c r="AF55" i="28" a="1"/>
  <c r="BG51" i="25" a="1"/>
  <c r="AV45" i="25" a="1"/>
  <c r="C60" i="27" a="1"/>
  <c r="BK51" i="25" a="1"/>
  <c r="AU36" i="14" a="1"/>
  <c r="Q37" i="14" a="1"/>
  <c r="C40" i="25" a="1"/>
  <c r="AU52" i="27" a="1"/>
  <c r="AA41" i="14" a="1"/>
  <c r="H37" i="28" a="1"/>
  <c r="AF43" i="14" a="1"/>
  <c r="AG41" i="14" a="1"/>
  <c r="AK43" i="14" a="1"/>
  <c r="BH33" i="28" a="1"/>
  <c r="AT49" i="28" a="1"/>
  <c r="AA35" i="27" a="1"/>
  <c r="Q36" i="28" a="1"/>
  <c r="AA33" i="24" a="1"/>
  <c r="BE55" i="28" a="1"/>
  <c r="U52" i="25" a="1"/>
  <c r="R40" i="24" a="1"/>
  <c r="AF33" i="27" a="1"/>
  <c r="AL40" i="26" a="1"/>
  <c r="AH52" i="27" a="1"/>
  <c r="J48" i="24" a="1"/>
  <c r="BA59" i="28" a="1"/>
  <c r="AT48" i="27" a="1"/>
  <c r="I37" i="24" a="1"/>
  <c r="AE59" i="14" a="1"/>
  <c r="AJ53" i="26" a="1"/>
  <c r="V39" i="28" a="1"/>
  <c r="AB38" i="26" a="1"/>
  <c r="BK39" i="25" a="1"/>
  <c r="AB48" i="26" a="1"/>
  <c r="BF49" i="27" a="1"/>
  <c r="U37" i="14" a="1"/>
  <c r="AM33" i="28" a="1"/>
  <c r="AM41" i="25" a="1"/>
  <c r="F57" i="26" a="1"/>
  <c r="BH45" i="24" a="1"/>
  <c r="M41" i="27" a="1"/>
  <c r="AY56" i="25" a="1"/>
  <c r="J44" i="14" a="1"/>
  <c r="AE34" i="14" a="1"/>
  <c r="G56" i="28" a="1"/>
  <c r="BF39" i="28" a="1"/>
  <c r="G42" i="24" a="1"/>
  <c r="AN42" i="27" a="1"/>
  <c r="AP43" i="28" a="1"/>
  <c r="AC37" i="25" a="1"/>
  <c r="F45" i="14" a="1"/>
  <c r="AG51" i="25" a="1"/>
  <c r="AV55" i="26" a="1"/>
  <c r="J35" i="26" a="1"/>
  <c r="T52" i="27" a="1"/>
  <c r="BC59" i="26" a="1"/>
  <c r="G40" i="27" a="1"/>
  <c r="BF41" i="26" a="1"/>
  <c r="BA54" i="24" a="1"/>
  <c r="AY58" i="28" a="1"/>
  <c r="AR44" i="25" a="1"/>
  <c r="BE49" i="24" a="1"/>
  <c r="AH50" i="24" a="1"/>
  <c r="AF42" i="26" a="1"/>
  <c r="U49" i="27" a="1"/>
  <c r="AG41" i="28" a="1"/>
  <c r="G43" i="24" a="1"/>
  <c r="F40" i="27" a="1"/>
  <c r="AH40" i="14" a="1"/>
  <c r="N34" i="25" a="1"/>
  <c r="C51" i="25" a="1"/>
  <c r="AN33" i="27" a="1"/>
  <c r="E50" i="28" a="1"/>
  <c r="H43" i="27" a="1"/>
  <c r="AB43" i="28" a="1"/>
  <c r="AF60" i="24" a="1"/>
  <c r="AQ58" i="28" a="1"/>
  <c r="AA57" i="26" a="1"/>
  <c r="AK60" i="25" a="1"/>
  <c r="H43" i="14" a="1"/>
  <c r="BK55" i="25" a="1"/>
  <c r="W45" i="26" a="1"/>
  <c r="BG47" i="24" a="1"/>
  <c r="AM37" i="28" a="1"/>
  <c r="N33" i="27" a="1"/>
  <c r="AB39" i="25" a="1"/>
  <c r="L58" i="25" a="1"/>
  <c r="AA46" i="27" a="1"/>
  <c r="B39" i="14" a="1"/>
  <c r="AP50" i="26" a="1"/>
  <c r="AA48" i="27" a="1"/>
  <c r="K42" i="27" a="1"/>
  <c r="AA59" i="14" a="1"/>
  <c r="AF43" i="27" a="1"/>
  <c r="E52" i="27" a="1"/>
  <c r="BF51" i="24" a="1"/>
  <c r="AJ38" i="28" a="1"/>
  <c r="C60" i="25" a="1"/>
  <c r="AR37" i="26" a="1"/>
  <c r="AM58" i="25" a="1"/>
  <c r="X57" i="24" a="1"/>
  <c r="BI52" i="24" a="1"/>
  <c r="AB40" i="26" a="1"/>
  <c r="BC54" i="26" a="1"/>
  <c r="AB34" i="26" a="1"/>
  <c r="BC54" i="28" a="1"/>
  <c r="D53" i="25" a="1"/>
  <c r="Q57" i="27" a="1"/>
  <c r="H51" i="14" a="1"/>
  <c r="AK50" i="24" a="1"/>
  <c r="AL50" i="27" a="1"/>
  <c r="BK38" i="25" a="1"/>
  <c r="AT37" i="28" a="1"/>
  <c r="AX54" i="28" a="1"/>
  <c r="AW56" i="28" a="1"/>
  <c r="AM46" i="28" a="1"/>
  <c r="BA56" i="26" a="1"/>
  <c r="BH42" i="25" a="1"/>
  <c r="L49" i="26" a="1"/>
  <c r="BH40" i="26" a="1"/>
  <c r="AZ44" i="27" a="1"/>
  <c r="AV36" i="28" a="1"/>
  <c r="H55" i="26" a="1"/>
  <c r="AA51" i="28" a="1"/>
  <c r="S53" i="14" a="1"/>
  <c r="BA34" i="28" a="1"/>
  <c r="Z48" i="25" a="1"/>
  <c r="G55" i="27" a="1"/>
  <c r="AB37" i="14" a="1"/>
  <c r="F50" i="26" a="1"/>
  <c r="AS41" i="25" a="1"/>
  <c r="AN46" i="24" a="1"/>
  <c r="BI33" i="24" a="1"/>
  <c r="AO51" i="27" a="1"/>
  <c r="S35" i="28" a="1"/>
  <c r="R34" i="24" a="1"/>
  <c r="Z46" i="26" a="1"/>
  <c r="BC34" i="28" a="1"/>
  <c r="AO41" i="28" a="1"/>
  <c r="BG47" i="26" a="1"/>
  <c r="AG59" i="14" a="1"/>
  <c r="O38" i="26" a="1"/>
  <c r="S60" i="24" a="1"/>
  <c r="R41" i="27" a="1"/>
  <c r="BI35" i="27" a="1"/>
  <c r="T40" i="24" a="1"/>
  <c r="BI37" i="24" a="1"/>
  <c r="AU46" i="26" a="1"/>
  <c r="M41" i="28" a="1"/>
  <c r="Q60" i="14" a="1"/>
  <c r="V39" i="24" a="1"/>
  <c r="AR45" i="26" a="1"/>
  <c r="J57" i="24" a="1"/>
  <c r="AZ39" i="25" a="1"/>
  <c r="AX50" i="24" a="1"/>
  <c r="Y41" i="27" a="1"/>
  <c r="BF52" i="27" a="1"/>
  <c r="Y34" i="28" a="1"/>
  <c r="AD56" i="24" a="1"/>
  <c r="AH57" i="14" a="1"/>
  <c r="BG50" i="24" a="1"/>
  <c r="J34" i="27" a="1"/>
  <c r="AC42" i="14" a="1"/>
  <c r="Q48" i="14" a="1"/>
  <c r="X37" i="28" a="1"/>
  <c r="Z36" i="28" a="1"/>
  <c r="AI60" i="28" a="1"/>
  <c r="AW49" i="24" a="1"/>
  <c r="B37" i="27" a="1"/>
  <c r="R43" i="27" a="1"/>
  <c r="BH58" i="24" a="1"/>
  <c r="D60" i="14" a="1"/>
  <c r="Y46" i="27" a="1"/>
  <c r="AX40" i="27" a="1"/>
  <c r="G34" i="27" a="1"/>
  <c r="AL34" i="27" a="1"/>
  <c r="BJ52" i="28" a="1"/>
  <c r="AE34" i="24" a="1"/>
  <c r="BB34" i="26" a="1"/>
  <c r="T45" i="25" a="1"/>
  <c r="P45" i="25" a="1"/>
  <c r="BI44" i="24" a="1"/>
  <c r="AF51" i="28" a="1"/>
  <c r="AA54" i="14" a="1"/>
  <c r="BH41" i="27" a="1"/>
  <c r="M37" i="25" a="1"/>
  <c r="AQ36" i="24" a="1"/>
  <c r="AG35" i="25" a="1"/>
  <c r="AZ35" i="28" a="1"/>
  <c r="O44" i="24" a="1"/>
  <c r="U43" i="24" a="1"/>
  <c r="BG43" i="25" a="1"/>
  <c r="R48" i="26" a="1"/>
  <c r="AW54" i="24" a="1"/>
  <c r="U56" i="25" a="1"/>
  <c r="AM51" i="27" a="1"/>
  <c r="AQ50" i="26" a="1"/>
  <c r="BJ53" i="24" a="1"/>
  <c r="U46" i="26" a="1"/>
  <c r="O58" i="14" a="1"/>
  <c r="AV52" i="27" a="1"/>
  <c r="AF33" i="28" a="1"/>
  <c r="Q58" i="28" a="1"/>
  <c r="H39" i="25" a="1"/>
  <c r="AH35" i="24" a="1"/>
  <c r="AS54" i="24" a="1"/>
  <c r="AN36" i="27" a="1"/>
  <c r="AN56" i="26" a="1"/>
  <c r="W43" i="24" a="1"/>
  <c r="X39" i="26" a="1"/>
  <c r="AQ57" i="28" a="1"/>
  <c r="AP34" i="14" a="1"/>
  <c r="BI59" i="14" a="1"/>
  <c r="F41" i="14" a="1"/>
  <c r="AD39" i="24" a="1"/>
  <c r="O49" i="28" a="1"/>
  <c r="I55" i="24" a="1"/>
  <c r="N39" i="25" a="1"/>
  <c r="BK56" i="14" a="1"/>
  <c r="E42" i="14" a="1"/>
  <c r="AC53" i="24" a="1"/>
  <c r="AA47" i="28" a="1"/>
  <c r="AS42" i="26" a="1"/>
  <c r="AL53" i="26" a="1"/>
  <c r="BH46" i="14" a="1"/>
  <c r="J54" i="26" a="1"/>
  <c r="BH52" i="27" a="1"/>
  <c r="AZ38" i="26" a="1"/>
  <c r="G55" i="28" a="1"/>
  <c r="AO38" i="14" a="1"/>
  <c r="Z53" i="24" a="1"/>
  <c r="AJ51" i="25" a="1"/>
  <c r="AI54" i="25" a="1"/>
  <c r="K60" i="26" a="1"/>
  <c r="BE52" i="24" a="1"/>
  <c r="J42" i="27" a="1"/>
  <c r="AT40" i="28" a="1"/>
  <c r="BG57" i="26" a="1"/>
  <c r="BK52" i="14" a="1"/>
  <c r="BF43" i="26" a="1"/>
  <c r="L39" i="24" a="1"/>
  <c r="AT43" i="26" a="1"/>
  <c r="AJ47" i="26" a="1"/>
  <c r="AP46" i="27" a="1"/>
  <c r="V51" i="28" a="1"/>
  <c r="BA41" i="27" a="1"/>
  <c r="BJ46" i="25" a="1"/>
  <c r="AY33" i="27" a="1"/>
  <c r="AT35" i="28" a="1"/>
  <c r="D47" i="14" a="1"/>
  <c r="AB56" i="25" a="1"/>
  <c r="I47" i="26" a="1"/>
  <c r="AP42" i="27" a="1"/>
  <c r="E41" i="27" a="1"/>
  <c r="AQ40" i="14" a="1"/>
  <c r="AC47" i="25" a="1"/>
  <c r="AN60" i="14" a="1"/>
  <c r="BI50" i="24" a="1"/>
  <c r="AI47" i="28" a="1"/>
  <c r="AV41" i="25" a="1"/>
  <c r="BD54" i="14" a="1"/>
  <c r="AR39" i="25" a="1"/>
  <c r="AX46" i="27" a="1"/>
  <c r="BG48" i="28" a="1"/>
  <c r="BC50" i="26" a="1"/>
  <c r="X42" i="14" a="1"/>
  <c r="AQ57" i="25" a="1"/>
  <c r="N44" i="26" a="1"/>
  <c r="F37" i="24" a="1"/>
  <c r="AK44" i="26" a="1"/>
  <c r="BF41" i="27" a="1"/>
  <c r="AW60" i="26" a="1"/>
  <c r="AS40" i="24" a="1"/>
  <c r="W43" i="26" a="1"/>
  <c r="AH48" i="14" a="1"/>
  <c r="Y51" i="24" a="1"/>
  <c r="AH59" i="26" a="1"/>
  <c r="AY41" i="26" a="1"/>
  <c r="S39" i="28" a="1"/>
  <c r="AY50" i="27" a="1"/>
  <c r="N59" i="25" a="1"/>
  <c r="BG40" i="14" a="1"/>
  <c r="BG44" i="27" a="1"/>
  <c r="W56" i="26" a="1"/>
  <c r="AO39" i="14" a="1"/>
  <c r="Z46" i="14" a="1"/>
  <c r="BH39" i="26" a="1"/>
  <c r="BE52" i="14" a="1"/>
  <c r="G60" i="28" a="1"/>
  <c r="G45" i="26" a="1"/>
  <c r="W53" i="26" a="1"/>
  <c r="W35" i="14" a="1"/>
  <c r="AE33" i="26" a="1"/>
  <c r="AK42" i="25" a="1"/>
  <c r="AB52" i="14" a="1"/>
  <c r="AZ43" i="24" a="1"/>
  <c r="B55" i="26" a="1"/>
  <c r="T45" i="24" a="1"/>
  <c r="AK58" i="28" a="1"/>
  <c r="O34" i="27" a="1"/>
  <c r="AS35" i="26" a="1"/>
  <c r="BJ60" i="26" a="1"/>
  <c r="BK52" i="27" a="1"/>
  <c r="BJ47" i="26" a="1"/>
  <c r="AK44" i="14" a="1"/>
  <c r="AS52" i="27" a="1"/>
  <c r="AO36" i="24" a="1"/>
  <c r="AX60" i="26" a="1"/>
  <c r="AN39" i="28" a="1"/>
  <c r="K42" i="28" a="1"/>
  <c r="T34" i="24" a="1"/>
  <c r="BI44" i="28" a="1"/>
  <c r="AL49" i="25" a="1"/>
  <c r="R53" i="26" a="1"/>
  <c r="W43" i="25" a="1"/>
  <c r="L55" i="28" a="1"/>
  <c r="AH52" i="26" a="1"/>
  <c r="D35" i="25" a="1"/>
  <c r="AL59" i="14" a="1"/>
  <c r="E40" i="27" a="1"/>
  <c r="BF51" i="25" a="1"/>
  <c r="AL37" i="24" a="1"/>
  <c r="AU39" i="28" a="1"/>
  <c r="AW56" i="24" a="1"/>
  <c r="AK49" i="14" a="1"/>
  <c r="BB42" i="24" a="1"/>
  <c r="AK43" i="27" a="1"/>
  <c r="Y54" i="26" a="1"/>
  <c r="AS35" i="24" a="1"/>
  <c r="T60" i="26" a="1"/>
  <c r="M49" i="26" a="1"/>
  <c r="AY42" i="28" a="1"/>
  <c r="Q35" i="27" a="1"/>
  <c r="BB41" i="28" a="1"/>
  <c r="S57" i="26" a="1"/>
  <c r="BD57" i="28" a="1"/>
  <c r="AK49" i="24" a="1"/>
  <c r="AK35" i="26" a="1"/>
  <c r="AU57" i="14" a="1"/>
  <c r="BF52" i="24" a="1"/>
  <c r="AY57" i="14" a="1"/>
  <c r="AO57" i="27" a="1"/>
  <c r="C55" i="14" a="1"/>
  <c r="BG41" i="26" a="1"/>
  <c r="AK37" i="28" a="1"/>
  <c r="AK47" i="28" a="1"/>
  <c r="BK45" i="27" a="1"/>
  <c r="AV55" i="27" a="1"/>
  <c r="AI59" i="14" a="1"/>
  <c r="AK58" i="27" a="1"/>
  <c r="BE37" i="25" a="1"/>
  <c r="BK33" i="14" a="1"/>
  <c r="Q52" i="25" a="1"/>
  <c r="AQ37" i="14" a="1"/>
  <c r="BE43" i="14" a="1"/>
  <c r="C38" i="24" a="1"/>
  <c r="P34" i="25" a="1"/>
  <c r="J57" i="28" a="1"/>
  <c r="AB41" i="27" a="1"/>
  <c r="BA45" i="27" a="1"/>
  <c r="AS33" i="26" a="1"/>
  <c r="O35" i="27" a="1"/>
  <c r="AG33" i="25" a="1"/>
  <c r="AX34" i="14" a="1"/>
  <c r="AQ52" i="24" a="1"/>
  <c r="AV39" i="14" a="1"/>
  <c r="T38" i="14" a="1"/>
  <c r="AP34" i="26" a="1"/>
  <c r="F33" i="14" a="1"/>
  <c r="G35" i="26" a="1"/>
  <c r="BH56" i="28" a="1"/>
  <c r="AX52" i="25" a="1"/>
  <c r="J49" i="27" a="1"/>
  <c r="AQ51" i="24" a="1"/>
  <c r="O52" i="24" a="1"/>
  <c r="C53" i="26" a="1"/>
  <c r="BG43" i="26" a="1"/>
  <c r="O44" i="27" a="1"/>
  <c r="AU55" i="24" a="1"/>
  <c r="L51" i="25" a="1"/>
  <c r="AO54" i="26" a="1"/>
  <c r="G43" i="25" a="1"/>
  <c r="BK41" i="26" a="1"/>
  <c r="Z41" i="14" a="1"/>
  <c r="I53" i="24" a="1"/>
  <c r="N41" i="25" a="1"/>
  <c r="AT38" i="14" a="1"/>
  <c r="AZ59" i="27" a="1"/>
  <c r="AL38" i="24" a="1"/>
  <c r="AF52" i="14" a="1"/>
  <c r="BJ43" i="14" a="1"/>
  <c r="AU39" i="25" a="1"/>
  <c r="AS55" i="27" a="1"/>
  <c r="BF47" i="14" a="1"/>
  <c r="BB57" i="24" a="1"/>
  <c r="K54" i="24" a="1"/>
  <c r="BD37" i="25" a="1"/>
  <c r="AR52" i="24" a="1"/>
  <c r="C54" i="14" a="1"/>
  <c r="P41" i="14" a="1"/>
  <c r="AQ46" i="28" a="1"/>
  <c r="V54" i="28" a="1"/>
  <c r="P42" i="27" a="1"/>
  <c r="Q57" i="24" a="1"/>
  <c r="AK36" i="26" a="1"/>
  <c r="AA37" i="28" a="1"/>
  <c r="L53" i="25" a="1"/>
  <c r="BG42" i="14" a="1"/>
  <c r="AI39" i="24" a="1"/>
  <c r="K53" i="26" a="1"/>
  <c r="BD56" i="24" a="1"/>
  <c r="AE35" i="28" a="1"/>
  <c r="M43" i="24" a="1"/>
  <c r="BE59" i="14" a="1"/>
  <c r="AD44" i="24" a="1"/>
  <c r="AY43" i="25" a="1"/>
  <c r="G59" i="28" a="1"/>
  <c r="BG51" i="24" a="1"/>
  <c r="B36" i="14" a="1"/>
  <c r="AD51" i="26" a="1"/>
  <c r="N38" i="27" a="1"/>
  <c r="AT48" i="14" a="1"/>
  <c r="M38" i="26" a="1"/>
  <c r="E35" i="26" a="1"/>
  <c r="AT43" i="24" a="1"/>
  <c r="AY45" i="25" a="1"/>
  <c r="BA51" i="27" a="1"/>
  <c r="BJ59" i="25" a="1"/>
  <c r="AJ49" i="25" a="1"/>
  <c r="N54" i="28" a="1"/>
  <c r="M59" i="26" a="1"/>
  <c r="B35" i="27" a="1"/>
  <c r="AV47" i="14" a="1"/>
  <c r="AB57" i="25" a="1"/>
  <c r="BH36" i="24" a="1"/>
  <c r="B49" i="25" a="1"/>
  <c r="BG39" i="26" a="1"/>
  <c r="Z54" i="27" a="1"/>
  <c r="AB41" i="26" a="1"/>
  <c r="T56" i="27" a="1"/>
  <c r="G46" i="27" a="1"/>
  <c r="AF57" i="25" a="1"/>
  <c r="O47" i="25" a="1"/>
  <c r="AS35" i="27" a="1"/>
  <c r="J37" i="24" a="1"/>
  <c r="N43" i="24" a="1"/>
  <c r="Z34" i="24" a="1"/>
  <c r="U36" i="26" a="1"/>
  <c r="BC37" i="27" a="1"/>
  <c r="AF56" i="27" a="1"/>
  <c r="AK52" i="25" a="1"/>
  <c r="AN44" i="14" a="1"/>
  <c r="AH33" i="25" a="1"/>
  <c r="Y37" i="28" a="1"/>
  <c r="AM45" i="24" a="1"/>
  <c r="R40" i="25" a="1"/>
  <c r="AZ34" i="26" a="1"/>
  <c r="H54" i="25" a="1"/>
  <c r="AN41" i="24" a="1"/>
  <c r="F57" i="28" a="1"/>
  <c r="BE48" i="14" a="1"/>
  <c r="BE47" i="28" a="1"/>
  <c r="Z58" i="25" a="1"/>
  <c r="BJ34" i="25" a="1"/>
  <c r="O45" i="25" a="1"/>
  <c r="AW41" i="27" a="1"/>
  <c r="B41" i="27" a="1"/>
  <c r="C57" i="27" a="1"/>
  <c r="Q50" i="27" a="1"/>
  <c r="BB54" i="27" a="1"/>
  <c r="AJ54" i="25" a="1"/>
  <c r="E38" i="14" a="1"/>
  <c r="P48" i="27" a="1"/>
  <c r="Z60" i="27" a="1"/>
  <c r="E36" i="27" a="1"/>
  <c r="G56" i="14" a="1"/>
  <c r="AY37" i="27" a="1"/>
  <c r="P42" i="14" a="1"/>
  <c r="E40" i="25" a="1"/>
  <c r="BK51" i="26" a="1"/>
  <c r="K57" i="26" a="1"/>
  <c r="Y58" i="14" a="1"/>
  <c r="AW56" i="27" a="1"/>
  <c r="AO33" i="26" a="1"/>
  <c r="M40" i="25" a="1"/>
  <c r="Z56" i="24" a="1"/>
  <c r="AU55" i="26" a="1"/>
  <c r="BD59" i="14" a="1"/>
  <c r="T45" i="26" a="1"/>
  <c r="R47" i="25" a="1"/>
  <c r="AQ40" i="25" a="1"/>
  <c r="D55" i="24" a="1"/>
  <c r="BE46" i="24" a="1"/>
  <c r="AR37" i="24" a="1"/>
  <c r="D56" i="14" a="1"/>
  <c r="AZ34" i="27" a="1"/>
  <c r="H59" i="25" a="1"/>
  <c r="BC47" i="28" a="1"/>
  <c r="AG46" i="28" a="1"/>
  <c r="AO56" i="24" a="1"/>
  <c r="V36" i="24" a="1"/>
  <c r="Z41" i="27" a="1"/>
  <c r="AQ49" i="24" a="1"/>
  <c r="AO41" i="24" a="1"/>
  <c r="AR44" i="14" a="1"/>
  <c r="AZ42" i="14" a="1"/>
  <c r="BJ49" i="27" a="1"/>
  <c r="AH58" i="25" a="1"/>
  <c r="N55" i="24" a="1"/>
  <c r="BH49" i="14" a="1"/>
  <c r="BB35" i="28" a="1"/>
  <c r="BG34" i="24" a="1"/>
  <c r="AB37" i="28" a="1"/>
  <c r="I49" i="25" a="1"/>
  <c r="AQ55" i="28" a="1"/>
  <c r="AE37" i="24" a="1"/>
  <c r="E57" i="14" a="1"/>
  <c r="AA49" i="25" a="1"/>
  <c r="AP39" i="26" a="1"/>
  <c r="BB42" i="14" a="1"/>
  <c r="AI56" i="28" a="1"/>
  <c r="S56" i="24" a="1"/>
  <c r="BI59" i="25" a="1"/>
  <c r="AF56" i="24" a="1"/>
  <c r="C48" i="14" a="1"/>
  <c r="B55" i="24" a="1"/>
  <c r="G46" i="28" a="1"/>
  <c r="AK45" i="26" a="1"/>
  <c r="J42" i="25" a="1"/>
  <c r="W41" i="28" a="1"/>
  <c r="I33" i="24" a="1"/>
  <c r="AK34" i="26" a="1"/>
  <c r="BB49" i="27" a="1"/>
  <c r="BB51" i="25" a="1"/>
  <c r="J49" i="24" a="1"/>
  <c r="AN49" i="14" a="1"/>
  <c r="D45" i="25" a="1"/>
  <c r="AK51" i="28" a="1"/>
  <c r="AQ44" i="27" a="1"/>
  <c r="F56" i="27" a="1"/>
  <c r="P55" i="14" a="1"/>
  <c r="J45" i="28" a="1"/>
  <c r="D59" i="14" a="1"/>
  <c r="BI49" i="28" a="1"/>
  <c r="K36" i="28" a="1"/>
  <c r="AJ56" i="25" a="1"/>
  <c r="AQ35" i="24" a="1"/>
  <c r="O59" i="14" a="1"/>
  <c r="BE46" i="14" a="1"/>
  <c r="BK57" i="25" a="1"/>
  <c r="V51" i="27" a="1"/>
  <c r="AL49" i="28" a="1"/>
  <c r="W44" i="27" a="1"/>
  <c r="W46" i="28" a="1"/>
  <c r="U43" i="27" a="1"/>
  <c r="BF41" i="28" a="1"/>
  <c r="BH37" i="26" a="1"/>
  <c r="BG51" i="28" a="1"/>
  <c r="BA35" i="24" a="1"/>
  <c r="M38" i="25" a="1"/>
  <c r="S39" i="14" a="1"/>
  <c r="BI35" i="25" a="1"/>
  <c r="M39" i="14" a="1"/>
  <c r="T33" i="14" a="1"/>
  <c r="BC37" i="24" a="1"/>
  <c r="D43" i="27" a="1"/>
  <c r="AI39" i="28" a="1"/>
  <c r="AO47" i="25" a="1"/>
  <c r="Z49" i="28" a="1"/>
  <c r="BF60" i="27" a="1"/>
  <c r="BH53" i="27" a="1"/>
  <c r="S41" i="25" a="1"/>
  <c r="AG44" i="14" a="1"/>
  <c r="BA53" i="27" a="1"/>
  <c r="AE50" i="27" a="1"/>
  <c r="L53" i="28" a="1"/>
  <c r="BB47" i="14" a="1"/>
  <c r="L43" i="26" a="1"/>
  <c r="AC51" i="26" a="1"/>
  <c r="AA40" i="14" a="1"/>
  <c r="AC48" i="14" a="1"/>
  <c r="BB37" i="25" a="1"/>
  <c r="AP34" i="28" a="1"/>
  <c r="BA51" i="25" a="1"/>
  <c r="D46" i="26" a="1"/>
  <c r="N59" i="14" a="1"/>
  <c r="AC52" i="26" a="1"/>
  <c r="N57" i="28" a="1"/>
  <c r="H48" i="26" a="1"/>
  <c r="AS58" i="28" a="1"/>
  <c r="AY60" i="24" a="1"/>
  <c r="AZ48" i="25" a="1"/>
  <c r="I36" i="26" a="1"/>
  <c r="AU43" i="28" a="1"/>
  <c r="BI48" i="26" a="1"/>
  <c r="BI36" i="26" a="1"/>
  <c r="BF37" i="26" a="1"/>
  <c r="AQ44" i="14" a="1"/>
  <c r="T39" i="24" a="1"/>
  <c r="X41" i="28" a="1"/>
  <c r="AD37" i="27" a="1"/>
  <c r="AL53" i="27" a="1"/>
  <c r="AO41" i="14" a="1"/>
  <c r="AN56" i="14" a="1"/>
  <c r="H56" i="28" a="1"/>
  <c r="Z43" i="25" a="1"/>
  <c r="D45" i="14" a="1"/>
  <c r="AU55" i="25" a="1"/>
  <c r="T36" i="28" a="1"/>
  <c r="AW35" i="26" a="1"/>
  <c r="BD50" i="14" a="1"/>
  <c r="BH53" i="26" a="1"/>
  <c r="BB58" i="26" a="1"/>
  <c r="Q33" i="25" a="1"/>
  <c r="P60" i="28" a="1"/>
  <c r="R45" i="26" a="1"/>
  <c r="AK43" i="28" a="1"/>
  <c r="AJ41" i="28" a="1"/>
  <c r="AB47" i="28" a="1"/>
  <c r="BF38" i="25" a="1"/>
  <c r="AB35" i="24" a="1"/>
  <c r="S34" i="27" a="1"/>
  <c r="V46" i="25" a="1"/>
  <c r="W51" i="14" a="1"/>
  <c r="AL54" i="27" a="1"/>
  <c r="P36" i="14" a="1"/>
  <c r="E39" i="24" a="1"/>
  <c r="S56" i="27" a="1"/>
  <c r="BE46" i="28" a="1"/>
  <c r="AR41" i="27" a="1"/>
  <c r="K39" i="24" a="1"/>
  <c r="BI42" i="28" a="1"/>
  <c r="AK55" i="28" a="1"/>
  <c r="BJ48" i="14" a="1"/>
  <c r="R37" i="27" a="1"/>
  <c r="BK53" i="24" a="1"/>
  <c r="AF39" i="14" a="1"/>
  <c r="AF34" i="26" a="1"/>
  <c r="AF41" i="27" a="1"/>
  <c r="AT34" i="28" a="1"/>
  <c r="B46" i="26" a="1"/>
  <c r="AB39" i="26" a="1"/>
  <c r="BG52" i="14" a="1"/>
  <c r="AA50" i="26" a="1"/>
  <c r="BA38" i="26" a="1"/>
  <c r="V45" i="25" a="1"/>
  <c r="H53" i="26" a="1"/>
  <c r="V53" i="25" a="1"/>
  <c r="AL58" i="27" a="1"/>
  <c r="U54" i="27" a="1"/>
  <c r="BA53" i="25" a="1"/>
  <c r="AL51" i="26" a="1"/>
  <c r="AX57" i="24" a="1"/>
  <c r="W57" i="24" a="1"/>
  <c r="K50" i="28" a="1"/>
  <c r="AK42" i="28" a="1"/>
  <c r="AE45" i="28" a="1"/>
  <c r="AO33" i="25" a="1"/>
  <c r="V57" i="25" a="1"/>
  <c r="AD33" i="14" a="1"/>
  <c r="AI33" i="26" a="1"/>
  <c r="F39" i="26" a="1"/>
  <c r="F52" i="27" a="1"/>
  <c r="AX43" i="24" a="1"/>
  <c r="AE48" i="26" a="1"/>
  <c r="BH57" i="24" a="1"/>
  <c r="AG45" i="27" a="1"/>
  <c r="Z42" i="14" a="1"/>
  <c r="AD45" i="25" a="1"/>
  <c r="AE40" i="25" a="1"/>
  <c r="AI50" i="14" a="1"/>
  <c r="M47" i="14" a="1"/>
  <c r="BC57" i="24" a="1"/>
  <c r="AQ46" i="24" a="1"/>
  <c r="R53" i="25" a="1"/>
  <c r="AJ49" i="27" a="1"/>
  <c r="AT36" i="27" a="1"/>
  <c r="AO33" i="14" a="1"/>
  <c r="F48" i="24" a="1"/>
  <c r="AC33" i="27" a="1"/>
  <c r="N51" i="27" a="1"/>
  <c r="P50" i="25" a="1"/>
  <c r="AK52" i="24" a="1"/>
  <c r="R41" i="26" a="1"/>
  <c r="W47" i="24" a="1"/>
  <c r="C47" i="28" a="1"/>
  <c r="AR52" i="25" a="1"/>
  <c r="BK49" i="26" a="1"/>
  <c r="Q60" i="24" a="1"/>
  <c r="AS35" i="14" a="1"/>
  <c r="B56" i="28" a="1"/>
  <c r="AS47" i="27" a="1"/>
  <c r="AE50" i="28" a="1"/>
  <c r="AN46" i="14" a="1"/>
  <c r="AU54" i="26" a="1"/>
  <c r="AZ56" i="14" a="1"/>
  <c r="AW37" i="27" a="1"/>
  <c r="AR42" i="25" a="1"/>
  <c r="AS53" i="24" a="1"/>
  <c r="AN57" i="26" a="1"/>
  <c r="BD52" i="24" a="1"/>
  <c r="E50" i="24" a="1"/>
  <c r="AX44" i="24" a="1"/>
  <c r="AZ59" i="26" a="1"/>
  <c r="X46" i="27" a="1"/>
  <c r="AM44" i="14" a="1"/>
  <c r="BJ47" i="14" a="1"/>
  <c r="AO42" i="27" a="1"/>
  <c r="AB37" i="27" a="1"/>
  <c r="C39" i="24" a="1"/>
  <c r="AU38" i="14" a="1"/>
  <c r="Q36" i="25" a="1"/>
  <c r="AY33" i="28" a="1"/>
  <c r="D42" i="28" a="1"/>
  <c r="S44" i="14" a="1"/>
  <c r="L38" i="14" a="1"/>
  <c r="R36" i="24" a="1"/>
  <c r="BI39" i="24" a="1"/>
  <c r="AY34" i="28" a="1"/>
  <c r="E42" i="24" a="1"/>
  <c r="AG40" i="14" a="1"/>
  <c r="AU38" i="24" a="1"/>
  <c r="L48" i="25" a="1"/>
  <c r="M51" i="27" a="1"/>
  <c r="AM50" i="28" a="1"/>
  <c r="M49" i="28" a="1"/>
  <c r="AR39" i="14" a="1"/>
  <c r="AE44" i="27" a="1"/>
  <c r="AU36" i="27" a="1"/>
  <c r="AK36" i="28" a="1"/>
  <c r="AN35" i="28" a="1"/>
  <c r="U43" i="28" a="1"/>
  <c r="K47" i="24" a="1"/>
  <c r="AS39" i="27" a="1"/>
  <c r="Y53" i="24" a="1"/>
  <c r="AW44" i="24" a="1"/>
  <c r="AB53" i="28" a="1"/>
  <c r="BA40" i="24" a="1"/>
  <c r="AL52" i="14" a="1"/>
  <c r="AF54" i="14" a="1"/>
  <c r="AJ50" i="26" a="1"/>
  <c r="AZ46" i="25" a="1"/>
  <c r="V54" i="27" a="1"/>
  <c r="Y45" i="14" a="1"/>
  <c r="D38" i="24" a="1"/>
  <c r="BD42" i="26" a="1"/>
  <c r="AS37" i="28" a="1"/>
  <c r="V36" i="28" a="1"/>
  <c r="AS36" i="25" a="1"/>
  <c r="AJ35" i="28" a="1"/>
  <c r="C58" i="25" a="1"/>
  <c r="G53" i="28" a="1"/>
  <c r="BG59" i="26" a="1"/>
  <c r="AZ45" i="26" a="1"/>
  <c r="Y56" i="14" a="1"/>
  <c r="BA49" i="28" a="1"/>
  <c r="H49" i="24" a="1"/>
  <c r="AV45" i="26" a="1"/>
  <c r="BB48" i="25" a="1"/>
  <c r="F46" i="26" a="1"/>
  <c r="AM41" i="28" a="1"/>
  <c r="AB40" i="25" a="1"/>
  <c r="H42" i="25" a="1"/>
  <c r="AT43" i="27" a="1"/>
  <c r="S49" i="26" a="1"/>
  <c r="AG36" i="26" a="1"/>
  <c r="BA50" i="26" a="1"/>
  <c r="AB42" i="24" a="1"/>
  <c r="R44" i="14" a="1"/>
  <c r="U58" i="26" a="1"/>
  <c r="K42" i="24" a="1"/>
  <c r="AN50" i="26" a="1"/>
  <c r="BA41" i="24" a="1"/>
  <c r="AX48" i="27" a="1"/>
  <c r="BK47" i="26" a="1"/>
  <c r="I47" i="27" a="1"/>
  <c r="AQ59" i="25" a="1"/>
  <c r="M45" i="27" a="1"/>
  <c r="AE48" i="24" a="1"/>
  <c r="AS38" i="26" a="1"/>
  <c r="E52" i="26" a="1"/>
  <c r="N45" i="14" a="1"/>
  <c r="AJ51" i="27" a="1"/>
  <c r="K43" i="25" a="1"/>
  <c r="AQ44" i="25" a="1"/>
  <c r="BH55" i="26" a="1"/>
  <c r="AG54" i="27" a="1"/>
  <c r="AS38" i="24" a="1"/>
  <c r="AF42" i="24" a="1"/>
  <c r="AQ36" i="27" a="1"/>
  <c r="X48" i="27" a="1"/>
  <c r="BJ41" i="24" a="1"/>
  <c r="AM51" i="28" a="1"/>
  <c r="AV54" i="24" a="1"/>
  <c r="AL42" i="27" a="1"/>
  <c r="AL45" i="26" a="1"/>
  <c r="AV51" i="25" a="1"/>
  <c r="W55" i="14" a="1"/>
  <c r="BD54" i="28" a="1"/>
  <c r="AG57" i="25" a="1"/>
  <c r="AH52" i="14" a="1"/>
  <c r="AO49" i="25" a="1"/>
  <c r="BE58" i="14" a="1"/>
  <c r="D42" i="26" a="1"/>
  <c r="Z59" i="25" a="1"/>
  <c r="AR35" i="25" a="1"/>
  <c r="AG34" i="26" a="1"/>
  <c r="R42" i="24" a="1"/>
  <c r="AW51" i="27" a="1"/>
  <c r="AD43" i="26" a="1"/>
  <c r="R52" i="28" a="1"/>
  <c r="AD42" i="24" a="1"/>
  <c r="AX56" i="28" a="1"/>
  <c r="AM49" i="25" a="1"/>
  <c r="L44" i="25" a="1"/>
  <c r="AF37" i="28" a="1"/>
  <c r="T49" i="14" a="1"/>
  <c r="M55" i="28" a="1"/>
  <c r="D55" i="26" a="1"/>
  <c r="AS58" i="25" a="1"/>
  <c r="M43" i="26" a="1"/>
  <c r="AX41" i="28" a="1"/>
  <c r="I52" i="27" a="1"/>
  <c r="I45" i="24" a="1"/>
  <c r="BG57" i="14" a="1"/>
  <c r="P60" i="24" a="1"/>
  <c r="F57" i="24" a="1"/>
  <c r="H46" i="26" a="1"/>
  <c r="R53" i="27" a="1"/>
  <c r="J37" i="27" a="1"/>
  <c r="AY53" i="24" a="1"/>
  <c r="Y33" i="25" a="1"/>
  <c r="BH42" i="14" a="1"/>
  <c r="I57" i="26" a="1"/>
  <c r="AL37" i="26" a="1"/>
  <c r="AZ53" i="24" a="1"/>
  <c r="G55" i="24" a="1"/>
  <c r="BD50" i="24" a="1"/>
  <c r="AQ48" i="25" a="1"/>
  <c r="C57" i="24" a="1"/>
  <c r="N40" i="28" a="1"/>
  <c r="AJ60" i="27" a="1"/>
  <c r="G37" i="24" a="1"/>
  <c r="B37" i="14" a="1"/>
  <c r="AX43" i="14" a="1"/>
  <c r="AU56" i="26" a="1"/>
  <c r="AN41" i="27" a="1"/>
  <c r="AW51" i="26" a="1"/>
  <c r="M59" i="27" a="1"/>
  <c r="AS52" i="26" a="1"/>
  <c r="BC34" i="27" a="1"/>
  <c r="Q35" i="28" a="1"/>
  <c r="AD36" i="24" a="1"/>
  <c r="BB49" i="25" a="1"/>
  <c r="AM51" i="26" a="1"/>
  <c r="U46" i="25" a="1"/>
  <c r="D38" i="27" a="1"/>
  <c r="AV33" i="24" a="1"/>
  <c r="M56" i="14" a="1"/>
  <c r="T38" i="26" a="1"/>
  <c r="AY43" i="14" a="1"/>
  <c r="P40" i="27" a="1"/>
  <c r="V49" i="24" a="1"/>
  <c r="B37" i="25" a="1"/>
  <c r="AD49" i="25" a="1"/>
  <c r="AT40" i="14" a="1"/>
  <c r="AF49" i="25" a="1"/>
  <c r="AW49" i="26" a="1"/>
  <c r="AL55" i="26" a="1"/>
  <c r="N54" i="26" a="1"/>
  <c r="U50" i="26" a="1"/>
  <c r="AG42" i="25" a="1"/>
  <c r="BF48" i="25" a="1"/>
  <c r="T43" i="26" a="1"/>
  <c r="AY42" i="25" a="1"/>
  <c r="AF49" i="27" a="1"/>
  <c r="BD48" i="25" a="1"/>
  <c r="BJ56" i="26" a="1"/>
  <c r="Q59" i="14" a="1"/>
  <c r="M49" i="27" a="1"/>
  <c r="W56" i="25" a="1"/>
  <c r="AJ57" i="25" a="1"/>
  <c r="L60" i="26" a="1"/>
  <c r="AA34" i="14" a="1"/>
  <c r="BG40" i="25" a="1"/>
  <c r="AM42" i="14" a="1"/>
  <c r="V48" i="26" a="1"/>
  <c r="AV37" i="27" a="1"/>
  <c r="I53" i="27" a="1"/>
  <c r="D52" i="26" a="1"/>
  <c r="AH60" i="25" a="1"/>
  <c r="BA43" i="28" a="1"/>
  <c r="Z46" i="28" a="1"/>
  <c r="AM52" i="28" a="1"/>
  <c r="BC45" i="27" a="1"/>
  <c r="E42" i="28" a="1"/>
  <c r="BC44" i="24" a="1"/>
  <c r="R35" i="27" a="1"/>
  <c r="U50" i="25" a="1"/>
  <c r="U60" i="24" a="1"/>
  <c r="AB50" i="25" a="1"/>
  <c r="G44" i="27" a="1"/>
  <c r="Z57" i="28" a="1"/>
  <c r="AW48" i="27" a="1"/>
  <c r="BD35" i="28" a="1"/>
  <c r="BA39" i="14" a="1"/>
  <c r="D37" i="26" a="1"/>
  <c r="BI43" i="24" a="1"/>
  <c r="BC48" i="28" a="1"/>
  <c r="E51" i="28" a="1"/>
  <c r="AH42" i="27" a="1"/>
  <c r="AT41" i="25" a="1"/>
  <c r="AZ55" i="26" a="1"/>
  <c r="AA55" i="26" a="1"/>
  <c r="B39" i="28" a="1"/>
  <c r="P43" i="27" a="1"/>
  <c r="AU57" i="24" a="1"/>
  <c r="BF44" i="14" a="1"/>
  <c r="BB44" i="14" a="1"/>
  <c r="P50" i="26" a="1"/>
  <c r="G57" i="25" a="1"/>
  <c r="BK58" i="24" a="1"/>
  <c r="Q49" i="26" a="1"/>
  <c r="N33" i="28" a="1"/>
  <c r="AX54" i="24" a="1"/>
  <c r="BH43" i="25" a="1"/>
  <c r="V60" i="14" a="1"/>
  <c r="Z59" i="28" a="1"/>
  <c r="E37" i="27" a="1"/>
  <c r="X49" i="28" a="1"/>
  <c r="AM46" i="25" a="1"/>
  <c r="I47" i="24" a="1"/>
  <c r="O48" i="27" a="1"/>
  <c r="BJ51" i="24" a="1"/>
  <c r="AF51" i="25" a="1"/>
  <c r="L51" i="28" a="1"/>
  <c r="BI41" i="27" a="1"/>
  <c r="C54" i="26" a="1"/>
  <c r="AL52" i="26" a="1"/>
  <c r="N36" i="14" a="1"/>
  <c r="AC42" i="25" a="1"/>
  <c r="AP55" i="27" a="1"/>
  <c r="N38" i="25" a="1"/>
  <c r="T40" i="28" a="1"/>
  <c r="AJ34" i="24" a="1"/>
  <c r="X53" i="25" a="1"/>
  <c r="AO44" i="24" a="1"/>
  <c r="AO37" i="26" a="1"/>
  <c r="AP55" i="14" a="1"/>
  <c r="Y48" i="28" a="1"/>
  <c r="AZ33" i="24" a="1"/>
  <c r="AT51" i="27" a="1"/>
  <c r="E45" i="24" a="1"/>
  <c r="AC57" i="24" a="1"/>
  <c r="AU56" i="24" a="1"/>
  <c r="BG44" i="25" a="1"/>
  <c r="AN46" i="27" a="1"/>
  <c r="M36" i="14" a="1"/>
  <c r="H36" i="25" a="1"/>
  <c r="AH33" i="14" a="1"/>
  <c r="BC46" i="24" a="1"/>
  <c r="AB54" i="24" a="1"/>
  <c r="AT47" i="25" a="1"/>
  <c r="Y42" i="26" a="1"/>
  <c r="AI41" i="24" a="1"/>
  <c r="BG40" i="28" a="1"/>
  <c r="W52" i="14" a="1"/>
  <c r="AW59" i="24" a="1"/>
  <c r="H50" i="24" a="1"/>
  <c r="AP36" i="14" a="1"/>
  <c r="AR34" i="14" a="1"/>
  <c r="AV60" i="28" a="1"/>
  <c r="N34" i="14" a="1"/>
  <c r="N56" i="24" a="1"/>
  <c r="BC54" i="27" a="1"/>
  <c r="AY45" i="28" a="1"/>
  <c r="AM56" i="25" a="1"/>
  <c r="N38" i="26" a="1"/>
  <c r="B54" i="14" a="1"/>
  <c r="AR53" i="24" a="1"/>
  <c r="Z60" i="28" a="1"/>
  <c r="T46" i="27" a="1"/>
  <c r="AN41" i="26" a="1"/>
  <c r="L37" i="26" a="1"/>
  <c r="AM46" i="24" a="1"/>
  <c r="V43" i="27" a="1"/>
  <c r="AX35" i="26" a="1"/>
  <c r="T40" i="14" a="1"/>
  <c r="BC38" i="24" a="1"/>
  <c r="D37" i="28" a="1"/>
  <c r="U43" i="14" a="1"/>
  <c r="C35" i="24" a="1"/>
  <c r="BD45" i="14" a="1"/>
  <c r="BG54" i="27" a="1"/>
  <c r="AJ53" i="28" a="1"/>
  <c r="AK55" i="27" a="1"/>
  <c r="P49" i="28" a="1"/>
  <c r="T59" i="24" a="1"/>
  <c r="BB58" i="24" a="1"/>
  <c r="AB60" i="14" a="1"/>
  <c r="P48" i="28" a="1"/>
  <c r="J47" i="24" a="1"/>
  <c r="BK55" i="14" a="1"/>
  <c r="X35" i="14" a="1"/>
  <c r="AQ47" i="24" a="1"/>
  <c r="M47" i="28" a="1"/>
  <c r="AO41" i="27" a="1"/>
  <c r="F55" i="24" a="1"/>
  <c r="B44" i="27" a="1"/>
  <c r="Z35" i="14" a="1"/>
  <c r="J35" i="24" a="1"/>
  <c r="AE48" i="25" a="1"/>
  <c r="H49" i="26" a="1"/>
  <c r="B44" i="26" a="1"/>
  <c r="X44" i="28" a="1"/>
  <c r="AA37" i="24" a="1"/>
  <c r="AA45" i="25" a="1"/>
  <c r="AF49" i="26" a="1"/>
  <c r="AR33" i="28" a="1"/>
  <c r="AE33" i="27" a="1"/>
  <c r="AC45" i="14" a="1"/>
  <c r="AC47" i="27" a="1"/>
  <c r="AH45" i="28" a="1"/>
  <c r="AY38" i="28" a="1"/>
  <c r="AT37" i="14" a="1"/>
  <c r="AI44" i="14" a="1"/>
  <c r="AT33" i="26" a="1"/>
  <c r="I58" i="24" a="1"/>
  <c r="BE36" i="27" a="1"/>
  <c r="AF54" i="24" a="1"/>
  <c r="AO51" i="24" a="1"/>
  <c r="C39" i="14" a="1"/>
  <c r="H48" i="25" a="1"/>
  <c r="AS52" i="25" a="1"/>
  <c r="Z47" i="27" a="1"/>
  <c r="AC48" i="28" a="1"/>
  <c r="BK46" i="24" a="1"/>
  <c r="X56" i="25" a="1"/>
  <c r="L58" i="28" a="1"/>
  <c r="BG36" i="28" a="1"/>
  <c r="AS48" i="25" a="1"/>
  <c r="W40" i="26" a="1"/>
  <c r="C34" i="27" a="1"/>
  <c r="Q38" i="28" a="1"/>
  <c r="U47" i="24" a="1"/>
  <c r="BB53" i="27" a="1"/>
  <c r="AH58" i="28" a="1"/>
  <c r="AH38" i="26" a="1"/>
  <c r="J43" i="28" a="1"/>
  <c r="O60" i="14" a="1"/>
  <c r="B42" i="14" a="1"/>
  <c r="BC52" i="28" a="1"/>
  <c r="I44" i="27" a="1"/>
  <c r="Q46" i="24" a="1"/>
  <c r="AZ44" i="14" a="1"/>
  <c r="P42" i="25" a="1"/>
  <c r="M40" i="26" a="1"/>
  <c r="T45" i="28" a="1"/>
  <c r="AI57" i="26" a="1"/>
  <c r="R59" i="27" a="1"/>
  <c r="O47" i="14" a="1"/>
  <c r="AD53" i="24" a="1"/>
  <c r="AC45" i="28" a="1"/>
  <c r="Q45" i="27" a="1"/>
  <c r="R49" i="24" a="1"/>
  <c r="AJ39" i="28" a="1"/>
  <c r="BH60" i="14" a="1"/>
  <c r="BG44" i="28" a="1"/>
  <c r="M45" i="26" a="1"/>
  <c r="AM54" i="28" a="1"/>
  <c r="BG43" i="28" a="1"/>
  <c r="Q59" i="24" a="1"/>
  <c r="AF35" i="28" a="1"/>
  <c r="AB60" i="24" a="1"/>
  <c r="AX51" i="26" a="1"/>
  <c r="AS50" i="28" a="1"/>
  <c r="AJ59" i="24" a="1"/>
  <c r="R57" i="24" a="1"/>
  <c r="BJ37" i="14" a="1"/>
  <c r="AQ42" i="14" a="1"/>
  <c r="U57" i="26" a="1"/>
  <c r="D59" i="26" a="1"/>
  <c r="F44" i="25" a="1"/>
  <c r="AQ44" i="26" a="1"/>
  <c r="AV33" i="26" a="1"/>
  <c r="F47" i="14" a="1"/>
  <c r="BA53" i="14" a="1"/>
  <c r="AG46" i="14" a="1"/>
  <c r="AR50" i="27" a="1"/>
  <c r="AQ55" i="24" a="1"/>
  <c r="W45" i="14" a="1"/>
  <c r="BI44" i="27" a="1"/>
  <c r="BC49" i="28" a="1"/>
  <c r="AE51" i="27" a="1"/>
  <c r="AF45" i="28" a="1"/>
  <c r="C35" i="25" a="1"/>
  <c r="O58" i="24" a="1"/>
  <c r="U53" i="24" a="1"/>
  <c r="BJ48" i="24" a="1"/>
  <c r="BK50" i="24" a="1"/>
  <c r="BD55" i="25" a="1"/>
  <c r="R48" i="25" a="1"/>
  <c r="K46" i="24" a="1"/>
  <c r="BK53" i="26" a="1"/>
  <c r="AM39" i="14" a="1"/>
  <c r="Q53" i="25" a="1"/>
  <c r="AO45" i="25" a="1"/>
  <c r="AJ53" i="14" a="1"/>
  <c r="AL60" i="27" a="1"/>
  <c r="BJ36" i="25" a="1"/>
  <c r="H45" i="14" a="1"/>
  <c r="AX46" i="25" a="1"/>
  <c r="U54" i="24" a="1"/>
  <c r="J46" i="25" a="1"/>
  <c r="AV42" i="14" a="1"/>
  <c r="I58" i="27" a="1"/>
  <c r="BI42" i="26" a="1"/>
  <c r="O54" i="26" a="1"/>
  <c r="AC47" i="26" a="1"/>
  <c r="AL42" i="25" a="1"/>
  <c r="BC44" i="28" a="1"/>
  <c r="I36" i="14" a="1"/>
  <c r="U52" i="27" a="1"/>
  <c r="AP34" i="27" a="1"/>
  <c r="AF36" i="25" a="1"/>
  <c r="AT49" i="24" a="1"/>
  <c r="AG56" i="27" a="1"/>
  <c r="AZ51" i="26" a="1"/>
  <c r="E44" i="14" a="1"/>
  <c r="BF57" i="14" a="1"/>
  <c r="AZ33" i="27" a="1"/>
  <c r="J40" i="27" a="1"/>
  <c r="K34" i="25" a="1"/>
  <c r="BF35" i="14" a="1"/>
  <c r="AJ59" i="26" a="1"/>
  <c r="AD46" i="26" a="1"/>
  <c r="AS44" i="26" a="1"/>
  <c r="K55" i="27" a="1"/>
  <c r="BC53" i="25" a="1"/>
  <c r="BK37" i="26" a="1"/>
  <c r="H53" i="28" a="1"/>
  <c r="BJ59" i="26" a="1"/>
  <c r="AB42" i="26" a="1"/>
  <c r="S47" i="26" a="1"/>
  <c r="V42" i="28" a="1"/>
  <c r="O53" i="14" a="1"/>
  <c r="R33" i="27" a="1"/>
  <c r="AF52" i="28" a="1"/>
  <c r="T59" i="27" a="1"/>
  <c r="AT59" i="26" a="1"/>
  <c r="AT47" i="28" a="1"/>
  <c r="BK40" i="14" a="1"/>
  <c r="AC35" i="28" a="1"/>
  <c r="AD50" i="27" a="1"/>
  <c r="BC38" i="26" a="1"/>
  <c r="G48" i="24" a="1"/>
  <c r="AA53" i="25" a="1"/>
  <c r="AK54" i="28" a="1"/>
  <c r="AO38" i="24" a="1"/>
  <c r="AS41" i="28" a="1"/>
  <c r="BF43" i="14" a="1"/>
  <c r="M51" i="14" a="1"/>
  <c r="AR48" i="28" a="1"/>
  <c r="R47" i="14" a="1"/>
  <c r="AN36" i="14" a="1"/>
  <c r="BC39" i="28" a="1"/>
  <c r="BB38" i="27" a="1"/>
  <c r="E33" i="27" a="1"/>
  <c r="AV43" i="25" a="1"/>
  <c r="AC33" i="26" a="1"/>
  <c r="AI55" i="25" a="1"/>
  <c r="AU35" i="25" a="1"/>
  <c r="R56" i="14" a="1"/>
  <c r="Z35" i="26" a="1"/>
  <c r="B48" i="27" a="1"/>
  <c r="BI33" i="14" a="1"/>
  <c r="C44" i="14" a="1"/>
  <c r="I57" i="25" a="1"/>
  <c r="AQ54" i="26" a="1"/>
  <c r="AJ59" i="28" a="1"/>
  <c r="AL34" i="24" a="1"/>
  <c r="AG60" i="25" a="1"/>
  <c r="S36" i="28" a="1"/>
  <c r="W60" i="27" a="1"/>
  <c r="AL48" i="26" a="1"/>
  <c r="BF47" i="27" a="1"/>
  <c r="AS55" i="25" a="1"/>
  <c r="AZ38" i="24" a="1"/>
  <c r="Y56" i="24" a="1"/>
  <c r="J51" i="14" a="1"/>
  <c r="AU52" i="14" a="1"/>
  <c r="AI47" i="25" a="1"/>
  <c r="BB56" i="26" a="1"/>
  <c r="BK54" i="27" a="1"/>
  <c r="Q41" i="14" a="1"/>
  <c r="BA44" i="24" a="1"/>
  <c r="AZ35" i="24" a="1"/>
  <c r="AM53" i="24" a="1"/>
  <c r="X54" i="28" a="1"/>
  <c r="AN35" i="27" a="1"/>
  <c r="BB53" i="28" a="1"/>
  <c r="AW60" i="25" a="1"/>
  <c r="AI47" i="27" a="1"/>
  <c r="AY40" i="28" a="1"/>
  <c r="K47" i="26" a="1"/>
  <c r="AK54" i="14" a="1"/>
  <c r="AW45" i="24" a="1"/>
  <c r="V52" i="26" a="1"/>
  <c r="K56" i="24" a="1"/>
  <c r="AH56" i="26" a="1"/>
  <c r="BB52" i="26" a="1"/>
  <c r="R57" i="26" a="1"/>
  <c r="AX45" i="14" a="1"/>
  <c r="C34" i="24" a="1"/>
  <c r="BA59" i="27" a="1"/>
  <c r="G55" i="26" a="1"/>
  <c r="AP52" i="25" a="1"/>
  <c r="T55" i="24" a="1"/>
  <c r="BC51" i="14" a="1"/>
  <c r="BC53" i="27" a="1"/>
  <c r="AV36" i="25" a="1"/>
  <c r="BA38" i="27" a="1"/>
  <c r="AY42" i="24" a="1"/>
  <c r="B35" i="26" a="1"/>
  <c r="AY39" i="27" a="1"/>
  <c r="AP47" i="28" a="1"/>
  <c r="BH57" i="14" a="1"/>
  <c r="AG39" i="26" a="1"/>
  <c r="AS34" i="24" a="1"/>
  <c r="BG37" i="25" a="1"/>
  <c r="BA58" i="28" a="1"/>
  <c r="BG59" i="27" a="1"/>
  <c r="AC56" i="27" a="1"/>
  <c r="J60" i="25" a="1"/>
  <c r="AT56" i="27" a="1"/>
  <c r="AS59" i="28" a="1"/>
  <c r="AC50" i="24" a="1"/>
  <c r="AD43" i="27" a="1"/>
  <c r="BF44" i="28" a="1"/>
  <c r="P56" i="25" a="1"/>
  <c r="AI49" i="28" a="1"/>
  <c r="AQ51" i="25" a="1"/>
  <c r="AJ50" i="24" a="1"/>
  <c r="B60" i="27" a="1"/>
  <c r="AW43" i="27" a="1"/>
  <c r="AI44" i="26" a="1"/>
  <c r="AD39" i="26" a="1"/>
  <c r="BD54" i="26" a="1"/>
  <c r="BD38" i="25" a="1"/>
  <c r="BB34" i="14" a="1"/>
  <c r="I36" i="24" a="1"/>
  <c r="Z52" i="25" a="1"/>
  <c r="F57" i="25" a="1"/>
  <c r="AR43" i="24" a="1"/>
  <c r="BI38" i="14" a="1"/>
  <c r="AY43" i="27" a="1"/>
  <c r="AX38" i="27" a="1"/>
  <c r="AQ36" i="28" a="1"/>
  <c r="E48" i="27" a="1"/>
  <c r="AU57" i="27" a="1"/>
  <c r="AB54" i="26" a="1"/>
  <c r="Q34" i="24" a="1"/>
  <c r="AJ38" i="25" a="1"/>
  <c r="L51" i="26" a="1"/>
  <c r="AS45" i="14" a="1"/>
  <c r="BE33" i="28" a="1"/>
  <c r="AI52" i="26" a="1"/>
  <c r="M33" i="28" a="1"/>
  <c r="AN45" i="24" a="1"/>
  <c r="AM57" i="27" a="1"/>
  <c r="Q41" i="26" a="1"/>
  <c r="AD48" i="14" a="1"/>
  <c r="N42" i="25" a="1"/>
  <c r="AI34" i="26" a="1"/>
  <c r="BC60" i="14" a="1"/>
  <c r="AN57" i="28" a="1"/>
  <c r="AS46" i="25" a="1"/>
  <c r="AC44" i="14" a="1"/>
  <c r="AN59" i="26" a="1"/>
  <c r="R42" i="27" a="1"/>
  <c r="N57" i="27" a="1"/>
  <c r="H34" i="28" a="1"/>
  <c r="AI34" i="27" a="1"/>
  <c r="K58" i="24" a="1"/>
  <c r="BK58" i="27" a="1"/>
  <c r="BG51" i="26" a="1"/>
  <c r="BI41" i="28" a="1"/>
  <c r="BF34" i="27" a="1"/>
  <c r="AA52" i="25" a="1"/>
  <c r="G40" i="24" a="1"/>
  <c r="O42" i="26" a="1"/>
  <c r="AI59" i="25" a="1"/>
  <c r="AX60" i="28" a="1"/>
  <c r="AJ36" i="28" a="1"/>
  <c r="C44" i="27" a="1"/>
  <c r="X49" i="26" a="1"/>
  <c r="AZ39" i="28" a="1"/>
  <c r="AD55" i="24" a="1"/>
  <c r="AH50" i="26" a="1"/>
  <c r="K45" i="14" a="1"/>
  <c r="AY36" i="27" a="1"/>
  <c r="AL43" i="26" a="1"/>
  <c r="AI41" i="27" a="1"/>
  <c r="O45" i="14" a="1"/>
  <c r="BK40" i="27" a="1"/>
  <c r="AU41" i="24" a="1"/>
  <c r="BC51" i="28" a="1"/>
  <c r="AZ60" i="14" a="1"/>
  <c r="BJ50" i="24" a="1"/>
  <c r="B54" i="24" a="1"/>
  <c r="AP59" i="27" a="1"/>
  <c r="AP38" i="28" a="1"/>
  <c r="R42" i="28" a="1"/>
  <c r="AW52" i="25" a="1"/>
  <c r="M49" i="25" a="1"/>
  <c r="N34" i="24" a="1"/>
  <c r="AE39" i="14" a="1"/>
  <c r="AB45" i="27" a="1"/>
  <c r="C44" i="26" a="1"/>
  <c r="V45" i="14" a="1"/>
  <c r="BC50" i="24" a="1"/>
  <c r="BF52" i="26" a="1"/>
  <c r="S40" i="26" a="1"/>
  <c r="BF60" i="26" a="1"/>
  <c r="AI46" i="24" a="1"/>
  <c r="BE48" i="24" a="1"/>
  <c r="S48" i="14" a="1"/>
  <c r="AT49" i="27" a="1"/>
  <c r="BI45" i="25" a="1"/>
  <c r="BJ55" i="14" a="1"/>
  <c r="AV40" i="26" a="1"/>
  <c r="BH43" i="24" a="1"/>
  <c r="AC58" i="28" a="1"/>
  <c r="Z52" i="24" a="1"/>
  <c r="K55" i="24" a="1"/>
  <c r="AK57" i="28" a="1"/>
  <c r="BK39" i="24" a="1"/>
  <c r="AM58" i="14" a="1"/>
  <c r="R46" i="24" a="1"/>
  <c r="AC57" i="14" a="1"/>
  <c r="X47" i="27" a="1"/>
  <c r="AQ48" i="24" a="1"/>
  <c r="AH56" i="24" a="1"/>
  <c r="AB35" i="27" a="1"/>
  <c r="BC50" i="27" a="1"/>
  <c r="I35" i="14" a="1"/>
  <c r="BD35" i="26" a="1"/>
  <c r="AE53" i="24" a="1"/>
  <c r="S43" i="26" a="1"/>
  <c r="Y44" i="14" a="1"/>
  <c r="AS47" i="25" a="1"/>
  <c r="D41" i="27" a="1"/>
  <c r="AA33" i="27" a="1"/>
  <c r="X47" i="14" a="1"/>
  <c r="AI41" i="14" a="1"/>
  <c r="R47" i="28" a="1"/>
  <c r="P43" i="14" a="1"/>
  <c r="H51" i="24" a="1"/>
  <c r="S33" i="28" a="1"/>
  <c r="BK57" i="28" a="1"/>
  <c r="G59" i="14" a="1"/>
  <c r="BD53" i="27" a="1"/>
  <c r="BD34" i="24" a="1"/>
  <c r="G58" i="28" a="1"/>
  <c r="BG51" i="14" a="1"/>
  <c r="BC50" i="14" a="1"/>
  <c r="Y55" i="28" a="1"/>
  <c r="Y53" i="26" a="1"/>
  <c r="U42" i="24" a="1"/>
  <c r="AI48" i="26" a="1"/>
  <c r="AQ53" i="27" a="1"/>
  <c r="M43" i="14" a="1"/>
  <c r="C33" i="27" a="1"/>
  <c r="AB57" i="26" a="1"/>
  <c r="BC52" i="14" a="1"/>
  <c r="R40" i="27" a="1"/>
  <c r="AB53" i="27" a="1"/>
  <c r="Y58" i="24" a="1"/>
  <c r="AH51" i="26" a="1"/>
  <c r="V41" i="27" a="1"/>
  <c r="BF42" i="27" a="1"/>
  <c r="AE39" i="25" a="1"/>
  <c r="AZ52" i="26" a="1"/>
  <c r="D60" i="26" a="1"/>
  <c r="L52" i="28" a="1"/>
  <c r="Z50" i="27" a="1"/>
  <c r="X40" i="24" a="1"/>
  <c r="Y50" i="14" a="1"/>
  <c r="AG53" i="14" a="1"/>
  <c r="L46" i="26" a="1"/>
  <c r="AI37" i="28" a="1"/>
  <c r="AK54" i="24" a="1"/>
  <c r="AJ48" i="14" a="1"/>
  <c r="BG57" i="27" a="1"/>
  <c r="AV57" i="26" a="1"/>
  <c r="M58" i="25" a="1"/>
  <c r="G59" i="25" a="1"/>
  <c r="D56" i="27" a="1"/>
  <c r="AV57" i="28" a="1"/>
  <c r="AG40" i="25" a="1"/>
  <c r="BI60" i="27" a="1"/>
  <c r="AM46" i="26" a="1"/>
  <c r="BK52" i="25" a="1"/>
  <c r="AY51" i="24" a="1"/>
  <c r="AF39" i="26" a="1"/>
  <c r="I40" i="24" a="1"/>
  <c r="BA60" i="28" a="1"/>
  <c r="AG39" i="25" a="1"/>
  <c r="BB40" i="26" a="1"/>
  <c r="AK44" i="24" a="1"/>
  <c r="BG48" i="26" a="1"/>
  <c r="E48" i="26" a="1"/>
  <c r="AP53" i="28" a="1"/>
  <c r="C33" i="14" a="1"/>
  <c r="AV34" i="28" a="1"/>
  <c r="M36" i="28" a="1"/>
  <c r="D34" i="25" a="1"/>
  <c r="AT60" i="24" a="1"/>
  <c r="AN55" i="28" a="1"/>
  <c r="BK44" i="14" a="1"/>
  <c r="BI36" i="14" a="1"/>
  <c r="AV47" i="26" a="1"/>
  <c r="J35" i="25" a="1"/>
  <c r="K49" i="25" a="1"/>
  <c r="V57" i="24" a="1"/>
  <c r="BA55" i="28" a="1"/>
  <c r="W58" i="28" a="1"/>
  <c r="AH33" i="27" a="1"/>
  <c r="AG58" i="14" a="1"/>
  <c r="BK46" i="25" a="1"/>
  <c r="Q48" i="27" a="1"/>
  <c r="BB56" i="25" a="1"/>
  <c r="AG34" i="14" a="1"/>
  <c r="BF46" i="28" a="1"/>
  <c r="AL33" i="28" a="1"/>
  <c r="BB55" i="25" a="1"/>
  <c r="AS51" i="25" a="1"/>
  <c r="AU57" i="26" a="1"/>
  <c r="BI55" i="25" a="1"/>
  <c r="BA58" i="27" a="1"/>
  <c r="K50" i="27" a="1"/>
  <c r="H49" i="28" a="1"/>
  <c r="E38" i="28" a="1"/>
  <c r="AR47" i="24" a="1"/>
  <c r="AL42" i="28" a="1"/>
  <c r="AW59" i="27" a="1"/>
  <c r="AQ46" i="25" a="1"/>
  <c r="B43" i="26" a="1"/>
  <c r="V54" i="24" a="1"/>
  <c r="AA56" i="25" a="1"/>
  <c r="AL46" i="25" a="1"/>
  <c r="BD47" i="26" a="1"/>
  <c r="AV53" i="25" a="1"/>
  <c r="AJ44" i="28" a="1"/>
  <c r="BG56" i="26" a="1"/>
  <c r="V54" i="14" a="1"/>
  <c r="BH35" i="26" a="1"/>
  <c r="G50" i="27" a="1"/>
  <c r="AK47" i="14" a="1"/>
  <c r="P41" i="25" a="1"/>
  <c r="AR46" i="24" a="1"/>
  <c r="AZ40" i="26" a="1"/>
  <c r="AM38" i="24" a="1"/>
  <c r="M40" i="24" a="1"/>
  <c r="BG49" i="26" a="1"/>
  <c r="BH51" i="25" a="1"/>
  <c r="BK45" i="28" a="1"/>
  <c r="BF50" i="26" a="1"/>
  <c r="AM57" i="26" a="1"/>
  <c r="H59" i="24" a="1"/>
  <c r="U38" i="26" a="1"/>
  <c r="AJ55" i="28" a="1"/>
  <c r="BG47" i="14" a="1"/>
  <c r="S36" i="25" a="1"/>
  <c r="L45" i="25" a="1"/>
  <c r="F49" i="26" a="1"/>
  <c r="M52" i="25" a="1"/>
  <c r="AZ50" i="14" a="1"/>
  <c r="T57" i="25" a="1"/>
  <c r="AJ60" i="14" a="1"/>
  <c r="AM34" i="24" a="1"/>
  <c r="AI33" i="14" a="1"/>
  <c r="E54" i="24" a="1"/>
  <c r="AP35" i="28" a="1"/>
  <c r="AU37" i="27" a="1"/>
  <c r="C46" i="24" a="1"/>
  <c r="AL35" i="24" a="1"/>
  <c r="AW47" i="26" a="1"/>
  <c r="AV46" i="26" a="1"/>
  <c r="AH44" i="25" a="1"/>
  <c r="AE41" i="25" a="1"/>
  <c r="BJ42" i="24" a="1"/>
  <c r="AL40" i="24" a="1"/>
  <c r="AA55" i="14" a="1"/>
  <c r="BJ55" i="24" a="1"/>
  <c r="V42" i="25" a="1"/>
  <c r="AR34" i="28" a="1"/>
  <c r="AH38" i="28" a="1"/>
  <c r="AI40" i="26" a="1"/>
  <c r="AW33" i="25" a="1"/>
  <c r="F36" i="27" a="1"/>
  <c r="AH59" i="14" a="1"/>
  <c r="J50" i="28" a="1"/>
  <c r="BB52" i="24" a="1"/>
  <c r="X58" i="14" a="1"/>
  <c r="BE39" i="24" a="1"/>
  <c r="BF51" i="26" a="1"/>
  <c r="BF38" i="14" a="1"/>
  <c r="U57" i="28" a="1"/>
  <c r="K42" i="26" a="1"/>
  <c r="Y55" i="24" a="1"/>
  <c r="F41" i="28" a="1"/>
  <c r="R36" i="14" a="1"/>
  <c r="BE51" i="26" a="1"/>
  <c r="D52" i="24" a="1"/>
  <c r="E59" i="27" a="1"/>
  <c r="BF60" i="14" a="1"/>
  <c r="C41" i="24" a="1"/>
  <c r="AU54" i="27" a="1"/>
  <c r="AW48" i="26" a="1"/>
  <c r="AC41" i="24" a="1"/>
  <c r="BK36" i="24" a="1"/>
  <c r="B41" i="25" a="1"/>
  <c r="AS40" i="25" a="1"/>
  <c r="D54" i="28" a="1"/>
  <c r="F53" i="28" a="1"/>
  <c r="AO59" i="25" a="1"/>
  <c r="AD41" i="14" a="1"/>
  <c r="L50" i="24" a="1"/>
  <c r="AZ50" i="25" a="1"/>
  <c r="AR55" i="14" a="1"/>
  <c r="R55" i="26" a="1"/>
  <c r="AH53" i="28" a="1"/>
  <c r="AC49" i="25" a="1"/>
  <c r="BJ42" i="28" a="1"/>
  <c r="AU38" i="25" a="1"/>
  <c r="BB51" i="14" a="1"/>
  <c r="AY52" i="24" a="1"/>
  <c r="V56" i="26" a="1"/>
  <c r="AP58" i="28" a="1"/>
  <c r="AN56" i="28" a="1"/>
  <c r="Z52" i="14" a="1"/>
  <c r="AJ50" i="28" a="1"/>
  <c r="AB58" i="26" a="1"/>
  <c r="S59" i="14" a="1"/>
  <c r="O48" i="28" a="1"/>
  <c r="AW41" i="26" a="1"/>
  <c r="F52" i="25" a="1"/>
  <c r="U43" i="25" a="1"/>
  <c r="AT54" i="14" a="1"/>
  <c r="AY57" i="26" a="1"/>
  <c r="BH43" i="14" a="1"/>
  <c r="AO52" i="26" a="1"/>
  <c r="F59" i="24" a="1"/>
  <c r="Z44" i="27" a="1"/>
  <c r="E56" i="27" a="1"/>
  <c r="AV48" i="24" a="1"/>
  <c r="V49" i="28" a="1"/>
  <c r="AK55" i="14" a="1"/>
  <c r="H45" i="25" a="1"/>
  <c r="AU34" i="28" a="1"/>
  <c r="C47" i="24" a="1"/>
  <c r="U45" i="27" a="1"/>
  <c r="U35" i="28" a="1"/>
  <c r="AT46" i="28" a="1"/>
  <c r="AB44" i="14" a="1"/>
  <c r="BC33" i="28" a="1"/>
  <c r="J58" i="25" a="1"/>
  <c r="D46" i="14" a="1"/>
  <c r="P48" i="14" a="1"/>
  <c r="AG60" i="28" a="1"/>
  <c r="D60" i="27" a="1"/>
  <c r="AA56" i="14" a="1"/>
  <c r="AY54" i="27" a="1"/>
  <c r="M59" i="28" a="1"/>
  <c r="R37" i="25" a="1"/>
  <c r="AT36" i="24" a="1"/>
  <c r="T38" i="27" a="1"/>
  <c r="D34" i="26" a="1"/>
  <c r="AJ52" i="24" a="1"/>
  <c r="M33" i="24" a="1"/>
  <c r="AX39" i="25" a="1"/>
  <c r="AE42" i="28" a="1"/>
  <c r="B56" i="24" a="1"/>
  <c r="BK60" i="28" a="1"/>
  <c r="AR43" i="28" a="1"/>
  <c r="U58" i="14" a="1"/>
  <c r="T54" i="26" a="1"/>
  <c r="BC51" i="26" a="1"/>
  <c r="BI50" i="28" a="1"/>
  <c r="K40" i="25" a="1"/>
  <c r="BG49" i="25" a="1"/>
  <c r="AA45" i="14" a="1"/>
  <c r="AQ51" i="27" a="1"/>
  <c r="BJ55" i="27" a="1"/>
  <c r="P49" i="26" a="1"/>
  <c r="O39" i="28" a="1"/>
  <c r="Q39" i="28" a="1"/>
  <c r="Z57" i="25" a="1"/>
  <c r="AW35" i="25" a="1"/>
  <c r="I49" i="24" a="1"/>
  <c r="AT55" i="25" a="1"/>
  <c r="BI33" i="26" a="1"/>
  <c r="AR46" i="28" a="1"/>
  <c r="O58" i="26" a="1"/>
  <c r="AE42" i="26" a="1"/>
  <c r="AU40" i="27" a="1"/>
  <c r="AM35" i="28" a="1"/>
  <c r="AS34" i="28" a="1"/>
  <c r="AS37" i="24" a="1"/>
  <c r="Y46" i="25" a="1"/>
  <c r="K56" i="25" a="1"/>
  <c r="BD44" i="26" a="1"/>
  <c r="C45" i="24" a="1"/>
  <c r="AQ56" i="24" a="1"/>
  <c r="M48" i="25" a="1"/>
  <c r="AD58" i="25" a="1"/>
  <c r="X54" i="14" a="1"/>
  <c r="BE33" i="27" a="1"/>
  <c r="O47" i="27" a="1"/>
  <c r="S55" i="27" a="1"/>
  <c r="O60" i="24" a="1"/>
  <c r="AH49" i="24" a="1"/>
  <c r="J53" i="28" a="1"/>
  <c r="Q36" i="26" a="1"/>
  <c r="BD52" i="26" a="1"/>
  <c r="O55" i="26" a="1"/>
  <c r="BG48" i="25" a="1"/>
  <c r="AD44" i="26" a="1"/>
  <c r="B51" i="25" a="1"/>
  <c r="AZ43" i="25" a="1"/>
  <c r="AA44" i="26" a="1"/>
  <c r="AC59" i="24" a="1"/>
  <c r="AW60" i="24" a="1"/>
  <c r="B38" i="14" a="1"/>
  <c r="BA42" i="27" a="1"/>
  <c r="AF52" i="26" a="1"/>
  <c r="BD40" i="14" a="1"/>
  <c r="AG37" i="27" a="1"/>
  <c r="D46" i="27" a="1"/>
  <c r="AR37" i="25" a="1"/>
  <c r="BC60" i="27" a="1"/>
  <c r="AD49" i="28" a="1"/>
  <c r="BC59" i="24" a="1"/>
  <c r="AF34" i="28" a="1"/>
  <c r="AE46" i="24" a="1"/>
  <c r="BG50" i="28" a="1"/>
  <c r="BB53" i="14" a="1"/>
  <c r="AH41" i="26" a="1"/>
  <c r="AO52" i="27" a="1"/>
  <c r="AP47" i="26" a="1"/>
  <c r="V50" i="27" a="1"/>
  <c r="C57" i="26" a="1"/>
  <c r="O38" i="27" a="1"/>
  <c r="K59" i="27" a="1"/>
  <c r="G36" i="26" a="1"/>
  <c r="F52" i="14" a="1"/>
  <c r="AG56" i="14" a="1"/>
  <c r="K52" i="27" a="1"/>
  <c r="BF49" i="28" a="1"/>
  <c r="AN36" i="24" a="1"/>
  <c r="AR51" i="28" a="1"/>
  <c r="N40" i="14" a="1"/>
  <c r="BB52" i="14" a="1"/>
  <c r="AL51" i="24" a="1"/>
  <c r="AV53" i="26" a="1"/>
  <c r="AD36" i="14" a="1"/>
  <c r="AR47" i="14" a="1"/>
  <c r="AS43" i="26" a="1"/>
  <c r="BB38" i="14" a="1"/>
  <c r="I33" i="28" a="1"/>
  <c r="AS53" i="26" a="1"/>
  <c r="AX44" i="14" a="1"/>
  <c r="AF35" i="24" a="1"/>
  <c r="BD44" i="28" a="1"/>
  <c r="D44" i="14" a="1"/>
  <c r="N40" i="24" a="1"/>
  <c r="B46" i="25" a="1"/>
  <c r="AJ37" i="26" a="1"/>
  <c r="AL46" i="14" a="1"/>
  <c r="O36" i="24" a="1"/>
  <c r="BI46" i="25" a="1"/>
  <c r="AJ47" i="24" a="1"/>
  <c r="AH59" i="28" a="1"/>
  <c r="B37" i="28" a="1"/>
  <c r="Y51" i="28" a="1"/>
  <c r="AQ34" i="27" a="1"/>
  <c r="AH45" i="26" a="1"/>
  <c r="BA60" i="26" a="1"/>
  <c r="T50" i="28" a="1"/>
  <c r="L60" i="28" a="1"/>
  <c r="C39" i="27" a="1"/>
  <c r="P51" i="24" a="1"/>
  <c r="V54" i="25" a="1"/>
  <c r="BB43" i="28" a="1"/>
  <c r="BA37" i="26" a="1"/>
  <c r="AM49" i="26" a="1"/>
  <c r="D38" i="14" a="1"/>
  <c r="BI56" i="14" a="1"/>
  <c r="Y51" i="27" a="1"/>
  <c r="BE43" i="28" a="1"/>
  <c r="R33" i="28" a="1"/>
  <c r="AN41" i="28" a="1"/>
  <c r="AV40" i="27" a="1"/>
  <c r="AP45" i="27" a="1"/>
  <c r="AT58" i="24" a="1"/>
  <c r="AM33" i="25" a="1"/>
  <c r="AY40" i="14" a="1"/>
  <c r="AX56" i="25" a="1"/>
  <c r="AW47" i="27" a="1"/>
  <c r="P55" i="26" a="1"/>
  <c r="B45" i="14" a="1"/>
  <c r="AG51" i="28" a="1"/>
  <c r="BI46" i="24" a="1"/>
  <c r="BB59" i="25" a="1"/>
  <c r="P45" i="14" a="1"/>
  <c r="AP41" i="27" a="1"/>
  <c r="AF46" i="26" a="1"/>
  <c r="AF48" i="27" a="1"/>
  <c r="S57" i="27" a="1"/>
  <c r="BB40" i="28" a="1"/>
  <c r="AV44" i="14" a="1"/>
  <c r="AV58" i="25" a="1"/>
  <c r="N59" i="28" a="1"/>
  <c r="B45" i="25" a="1"/>
  <c r="BA34" i="14" a="1"/>
  <c r="BA49" i="14" a="1"/>
  <c r="AO43" i="14" a="1"/>
  <c r="D39" i="14" a="1"/>
  <c r="AE49" i="25" a="1"/>
  <c r="T51" i="24" a="1"/>
  <c r="AF46" i="14" a="1"/>
  <c r="AK57" i="26" a="1"/>
  <c r="AX47" i="27" a="1"/>
  <c r="B44" i="25" a="1"/>
  <c r="R41" i="14" a="1"/>
  <c r="T49" i="26" a="1"/>
  <c r="BJ47" i="27" a="1"/>
  <c r="BB33" i="28" a="1"/>
  <c r="T39" i="27" a="1"/>
  <c r="F40" i="26" a="1"/>
  <c r="AL35" i="14" a="1"/>
  <c r="AF59" i="27" a="1"/>
  <c r="AP33" i="28" a="1"/>
  <c r="BB38" i="28" a="1"/>
  <c r="AN55" i="24" a="1"/>
  <c r="BH48" i="14" a="1"/>
  <c r="T59" i="28" a="1"/>
  <c r="Q56" i="28" a="1"/>
  <c r="S51" i="14" a="1"/>
  <c r="BB41" i="14" a="1"/>
  <c r="AG45" i="28" a="1"/>
  <c r="AZ42" i="28" a="1"/>
  <c r="AJ39" i="26" a="1"/>
  <c r="AM52" i="27" a="1"/>
  <c r="B58" i="25" a="1"/>
  <c r="BJ42" i="27" a="1"/>
  <c r="AS53" i="28" a="1"/>
  <c r="T60" i="27" a="1"/>
  <c r="AM41" i="27" a="1"/>
  <c r="BG41" i="28" a="1"/>
  <c r="Z38" i="25" a="1"/>
  <c r="AI52" i="14" a="1"/>
  <c r="G34" i="28" a="1"/>
  <c r="C50" i="27" a="1"/>
  <c r="AP50" i="25" a="1"/>
  <c r="BA58" i="25" a="1"/>
  <c r="AG56" i="26" a="1"/>
  <c r="S34" i="24" a="1"/>
  <c r="BC49" i="24" a="1"/>
  <c r="BG53" i="27" a="1"/>
  <c r="S44" i="24" a="1"/>
  <c r="T37" i="28" a="1"/>
  <c r="AB47" i="25" a="1"/>
  <c r="C49" i="26" a="1"/>
  <c r="BE56" i="25" a="1"/>
  <c r="BJ50" i="27" a="1"/>
  <c r="AF53" i="25" a="1"/>
  <c r="Z39" i="28" a="1"/>
  <c r="BD55" i="26" a="1"/>
  <c r="AK46" i="24" a="1"/>
  <c r="H45" i="27" a="1"/>
  <c r="AZ49" i="14" a="1"/>
  <c r="AB38" i="27" a="1"/>
  <c r="AP60" i="28" a="1"/>
  <c r="AG53" i="26" a="1"/>
  <c r="BG45" i="25" a="1"/>
  <c r="AN34" i="26" a="1"/>
  <c r="AL55" i="24" a="1"/>
  <c r="B47" i="27" a="1"/>
  <c r="AI47" i="14" a="1"/>
  <c r="T46" i="25" a="1"/>
  <c r="AJ46" i="27" a="1"/>
  <c r="BI45" i="27" a="1"/>
  <c r="B60" i="26" a="1"/>
  <c r="AM36" i="24" a="1"/>
  <c r="AU50" i="24" a="1"/>
  <c r="N58" i="27" a="1"/>
  <c r="BF33" i="28" a="1"/>
  <c r="F41" i="24" a="1"/>
  <c r="BB58" i="14" a="1"/>
  <c r="AO57" i="25" a="1"/>
  <c r="BC34" i="26" a="1"/>
  <c r="O45" i="27" a="1"/>
  <c r="P36" i="26" a="1"/>
  <c r="D38" i="28" a="1"/>
  <c r="W46" i="27" a="1"/>
  <c r="W34" i="25" a="1"/>
  <c r="G54" i="14" a="1"/>
  <c r="AY42" i="27" a="1"/>
  <c r="H40" i="24" a="1"/>
  <c r="S47" i="14" a="1"/>
  <c r="G45" i="27" a="1"/>
  <c r="Q36" i="27" a="1"/>
  <c r="L48" i="28" a="1"/>
  <c r="BD47" i="24" a="1"/>
  <c r="O49" i="26" a="1"/>
  <c r="P37" i="24" a="1"/>
  <c r="Z53" i="28" a="1"/>
  <c r="AX49" i="24" a="1"/>
  <c r="AI54" i="24" a="1"/>
  <c r="BK51" i="24" a="1"/>
  <c r="E60" i="25" a="1"/>
  <c r="O55" i="27" a="1"/>
  <c r="BK41" i="14" a="1"/>
  <c r="BD35" i="27" a="1"/>
  <c r="BG50" i="27" a="1"/>
  <c r="U50" i="14" a="1"/>
  <c r="U50" i="28" a="1"/>
  <c r="AR49" i="25" a="1"/>
  <c r="AI37" i="25" a="1"/>
  <c r="AZ58" i="14" a="1"/>
  <c r="R38" i="28" a="1"/>
  <c r="Y45" i="25" a="1"/>
  <c r="Y42" i="28" a="1"/>
  <c r="O51" i="24" a="1"/>
  <c r="BK44" i="26" a="1"/>
  <c r="BH55" i="28" a="1"/>
  <c r="AJ54" i="14" a="1"/>
  <c r="BD46" i="25" a="1"/>
  <c r="AF44" i="27" a="1"/>
  <c r="AL34" i="14" a="1"/>
  <c r="AR58" i="28" a="1"/>
  <c r="AP47" i="24" a="1"/>
  <c r="AP49" i="24" a="1"/>
  <c r="AR45" i="14" a="1"/>
  <c r="BK46" i="28" a="1"/>
  <c r="E51" i="14" a="1"/>
  <c r="P41" i="27" a="1"/>
  <c r="Z37" i="26" a="1"/>
  <c r="BA45" i="14" a="1"/>
  <c r="BA40" i="25" a="1"/>
  <c r="AV35" i="28" a="1"/>
  <c r="AW40" i="25" a="1"/>
  <c r="BE33" i="24" a="1"/>
  <c r="AZ39" i="27" a="1"/>
  <c r="AM37" i="25" a="1"/>
  <c r="BE49" i="27" a="1"/>
  <c r="BH47" i="25" a="1"/>
  <c r="BI57" i="28" a="1"/>
  <c r="AO52" i="25" a="1"/>
  <c r="AW51" i="25" a="1"/>
  <c r="AA34" i="27" a="1"/>
  <c r="AO34" i="28" a="1"/>
  <c r="V45" i="27" a="1"/>
  <c r="AW54" i="28" a="1"/>
  <c r="AE51" i="25" a="1"/>
  <c r="M55" i="14" a="1"/>
  <c r="AC51" i="24" a="1"/>
  <c r="D51" i="24" a="1"/>
  <c r="X36" i="25" a="1"/>
  <c r="R40" i="14" a="1"/>
  <c r="BI57" i="14" a="1"/>
  <c r="AT58" i="26" a="1"/>
  <c r="AM33" i="24" a="1"/>
  <c r="K34" i="14" a="1"/>
  <c r="BC37" i="28" a="1"/>
  <c r="AR39" i="24" a="1"/>
  <c r="BH51" i="14" a="1"/>
  <c r="S48" i="28" a="1"/>
  <c r="AY47" i="14" a="1"/>
  <c r="AW60" i="14" a="1"/>
  <c r="AH42" i="24" a="1"/>
  <c r="BJ33" i="14" a="1"/>
  <c r="BB57" i="25" a="1"/>
  <c r="Y46" i="24" a="1"/>
  <c r="AK34" i="27" a="1"/>
  <c r="X46" i="28" a="1"/>
  <c r="AZ51" i="25" a="1"/>
  <c r="AA33" i="26" a="1"/>
  <c r="AJ45" i="26" a="1"/>
  <c r="H37" i="24" a="1"/>
  <c r="AS44" i="28" a="1"/>
  <c r="BC52" i="26" a="1"/>
  <c r="AC44" i="24" a="1"/>
  <c r="Z33" i="28" a="1"/>
  <c r="AC46" i="14" a="1"/>
  <c r="AM40" i="25" a="1"/>
  <c r="AO39" i="27" a="1"/>
  <c r="AI60" i="26" a="1"/>
  <c r="AD55" i="28" a="1"/>
  <c r="AA37" i="14" a="1"/>
  <c r="O55" i="14" a="1"/>
  <c r="AV58" i="14" a="1"/>
  <c r="F33" i="26" a="1"/>
  <c r="N45" i="25" a="1"/>
  <c r="J48" i="26" a="1"/>
  <c r="AS50" i="27" a="1"/>
  <c r="AQ37" i="26" a="1"/>
  <c r="AV38" i="28" a="1"/>
  <c r="Q55" i="28" a="1"/>
  <c r="AA46" i="25" a="1"/>
  <c r="C42" i="24" a="1"/>
  <c r="G41" i="14" a="1"/>
  <c r="BD41" i="25" a="1"/>
  <c r="E41" i="25" a="1"/>
  <c r="Z42" i="28" a="1"/>
  <c r="AI50" i="28" a="1"/>
  <c r="AD36" i="25" a="1"/>
  <c r="L56" i="25" a="1"/>
  <c r="AP37" i="25" a="1"/>
  <c r="T60" i="14" a="1"/>
  <c r="AM46" i="27" a="1"/>
  <c r="AL34" i="26" a="1"/>
  <c r="R39" i="26" a="1"/>
  <c r="F38" i="26" a="1"/>
  <c r="Y52" i="25" a="1"/>
  <c r="AQ58" i="26" a="1"/>
  <c r="W34" i="14" a="1"/>
  <c r="AI45" i="24" a="1"/>
  <c r="BH44" i="26" a="1"/>
  <c r="S52" i="26" a="1"/>
  <c r="L57" i="27" a="1"/>
  <c r="AX38" i="28" a="1"/>
  <c r="T34" i="28" a="1"/>
  <c r="BH59" i="14" a="1"/>
  <c r="AC42" i="24" a="1"/>
  <c r="R39" i="28" a="1"/>
  <c r="N46" i="14" a="1"/>
  <c r="I38" i="24" a="1"/>
  <c r="AF38" i="26" a="1"/>
  <c r="AJ50" i="27" a="1"/>
  <c r="Z55" i="14" a="1"/>
  <c r="AL41" i="14" a="1"/>
  <c r="AB36" i="26" a="1"/>
  <c r="BC40" i="27" a="1"/>
  <c r="BF42" i="28" a="1"/>
  <c r="O47" i="24" a="1"/>
  <c r="Y56" i="27" a="1"/>
  <c r="L54" i="26" a="1"/>
  <c r="U42" i="28" a="1"/>
  <c r="K39" i="27" a="1"/>
  <c r="BF43" i="25" a="1"/>
  <c r="P44" i="27" a="1"/>
  <c r="BB37" i="26" a="1"/>
  <c r="F35" i="24" a="1"/>
  <c r="AV44" i="26" a="1"/>
  <c r="AH50" i="27" a="1"/>
  <c r="BF37" i="14" a="1"/>
  <c r="AS40" i="28" a="1"/>
  <c r="AQ60" i="25" a="1"/>
  <c r="C34" i="26" a="1"/>
  <c r="C42" i="28" a="1"/>
  <c r="AX42" i="14" a="1"/>
  <c r="BG54" i="28" a="1"/>
  <c r="BB48" i="24" a="1"/>
  <c r="Q35" i="26" a="1"/>
  <c r="BA43" i="27" a="1"/>
  <c r="G47" i="27" a="1"/>
  <c r="E56" i="25" a="1"/>
  <c r="E36" i="24" a="1"/>
  <c r="I50" i="25" a="1"/>
  <c r="E56" i="28" a="1"/>
  <c r="AK37" i="24" a="1"/>
  <c r="AA43" i="26" a="1"/>
  <c r="AZ36" i="28" a="1"/>
  <c r="N37" i="28" a="1"/>
  <c r="AT47" i="24" a="1"/>
  <c r="AR50" i="24" a="1"/>
  <c r="D41" i="28" a="1"/>
  <c r="AR43" i="25" a="1"/>
  <c r="N48" i="26" a="1"/>
  <c r="BF50" i="14" a="1"/>
  <c r="C50" i="14" a="1"/>
  <c r="J53" i="24" a="1"/>
  <c r="AC59" i="25" a="1"/>
  <c r="AD48" i="25" a="1"/>
  <c r="O43" i="25" a="1"/>
  <c r="W38" i="25" a="1"/>
  <c r="AP55" i="26" a="1"/>
  <c r="S42" i="26" a="1"/>
  <c r="BD43" i="28" a="1"/>
  <c r="N50" i="25" a="1"/>
  <c r="AC54" i="27" a="1"/>
  <c r="AK40" i="27" a="1"/>
  <c r="BH33" i="24" a="1"/>
  <c r="F33" i="27" a="1"/>
  <c r="F45" i="24" a="1"/>
  <c r="H44" i="24" a="1"/>
  <c r="G51" i="14" a="1"/>
  <c r="G35" i="27" a="1"/>
  <c r="AU44" i="14" a="1"/>
  <c r="BJ59" i="28" a="1"/>
  <c r="AQ45" i="24" a="1"/>
  <c r="AR56" i="24" a="1"/>
  <c r="AG36" i="24" a="1"/>
  <c r="BC41" i="28" a="1"/>
  <c r="AV60" i="27" a="1"/>
  <c r="V57" i="27" a="1"/>
  <c r="BC53" i="26" a="1"/>
  <c r="AO49" i="14" a="1"/>
  <c r="AS48" i="28" a="1"/>
  <c r="BI59" i="27" a="1"/>
  <c r="BG58" i="25" a="1"/>
  <c r="BE57" i="14" a="1"/>
  <c r="T42" i="14" a="1"/>
  <c r="F58" i="27" a="1"/>
  <c r="AU42" i="24" a="1"/>
  <c r="AU42" i="27" a="1"/>
  <c r="U37" i="25" a="1"/>
  <c r="BD37" i="26" a="1"/>
  <c r="R35" i="26" a="1"/>
  <c r="AH50" i="25" a="1"/>
  <c r="F56" i="25" a="1"/>
  <c r="K51" i="25" a="1"/>
  <c r="P42" i="28" a="1"/>
  <c r="Z59" i="24" a="1"/>
  <c r="AO58" i="27" a="1"/>
  <c r="BC55" i="14" a="1"/>
  <c r="AP44" i="26" a="1"/>
  <c r="BA37" i="24" a="1"/>
  <c r="AA41" i="24" a="1"/>
  <c r="O55" i="24" a="1"/>
  <c r="AM48" i="27" a="1"/>
  <c r="Z55" i="26" a="1"/>
  <c r="T50" i="24" a="1"/>
  <c r="X42" i="24" a="1"/>
  <c r="AJ42" i="28" a="1"/>
  <c r="AR44" i="24" a="1"/>
  <c r="BG47" i="25" a="1"/>
  <c r="AN58" i="24" a="1"/>
  <c r="Y38" i="25" a="1"/>
  <c r="BH52" i="25" a="1"/>
  <c r="AG38" i="27" a="1"/>
  <c r="BA36" i="25" a="1"/>
  <c r="AH54" i="27" a="1"/>
  <c r="AL46" i="26" a="1"/>
  <c r="I56" i="27" a="1"/>
  <c r="W59" i="27" a="1"/>
  <c r="I34" i="24" a="1"/>
  <c r="I38" i="27" a="1"/>
  <c r="AT44" i="28" a="1"/>
  <c r="AX56" i="26" a="1"/>
  <c r="AW46" i="28" a="1"/>
  <c r="C43" i="14" a="1"/>
  <c r="BK35" i="27" a="1"/>
  <c r="AU40" i="25" a="1"/>
  <c r="S42" i="27" a="1"/>
  <c r="Z55" i="27" a="1"/>
  <c r="T33" i="24" a="1"/>
  <c r="T54" i="27" a="1"/>
  <c r="AQ42" i="27" a="1"/>
  <c r="AA43" i="27" a="1"/>
  <c r="U45" i="14" a="1"/>
  <c r="M50" i="24" a="1"/>
  <c r="B57" i="26" a="1"/>
  <c r="U57" i="24" a="1"/>
  <c r="AN56" i="27" a="1"/>
  <c r="T51" i="28" a="1"/>
  <c r="BF48" i="24" a="1"/>
  <c r="AY43" i="26" a="1"/>
  <c r="AJ44" i="27" a="1"/>
  <c r="U54" i="25" a="1"/>
  <c r="I50" i="24" a="1"/>
  <c r="BK58" i="26" a="1"/>
  <c r="BF54" i="24" a="1"/>
  <c r="BH35" i="28" a="1"/>
  <c r="AO47" i="26" a="1"/>
  <c r="G54" i="24" a="1"/>
  <c r="Y37" i="27" a="1"/>
  <c r="BE40" i="25" a="1"/>
  <c r="AT57" i="26" a="1"/>
  <c r="AN33" i="28" a="1"/>
  <c r="BJ40" i="26" a="1"/>
  <c r="X35" i="28" a="1"/>
  <c r="L35" i="27" a="1"/>
  <c r="X49" i="25" a="1"/>
  <c r="BD47" i="14" a="1"/>
  <c r="AQ60" i="27" a="1"/>
  <c r="AC60" i="28" a="1"/>
  <c r="F59" i="25" a="1"/>
  <c r="M53" i="14" a="1"/>
  <c r="AH43" i="26" a="1"/>
  <c r="AZ57" i="24" a="1"/>
  <c r="R43" i="25" a="1"/>
  <c r="AB57" i="14" a="1"/>
  <c r="X52" i="26" a="1"/>
  <c r="Y53" i="27" a="1"/>
  <c r="X60" i="24" a="1"/>
  <c r="AX54" i="26" a="1"/>
  <c r="AR38" i="24" a="1"/>
  <c r="G39" i="27" a="1"/>
  <c r="AX40" i="26" a="1"/>
  <c r="AC34" i="27" a="1"/>
  <c r="AO59" i="28" a="1"/>
  <c r="J44" i="25" a="1"/>
  <c r="AS38" i="27" a="1"/>
  <c r="AS39" i="26" a="1"/>
  <c r="O46" i="27" a="1"/>
  <c r="I57" i="27" a="1"/>
  <c r="AI34" i="14" a="1"/>
  <c r="T33" i="26" a="1"/>
  <c r="AV47" i="28" a="1"/>
  <c r="U55" i="14" a="1"/>
  <c r="G53" i="14" a="1"/>
  <c r="AC57" i="26" a="1"/>
  <c r="AV38" i="26" a="1"/>
  <c r="BK48" i="25" a="1"/>
  <c r="AW42" i="24" a="1"/>
  <c r="K55" i="25" a="1"/>
  <c r="U47" i="27" a="1"/>
  <c r="V40" i="28" a="1"/>
  <c r="AR40" i="24" a="1"/>
  <c r="Y34" i="27" a="1"/>
  <c r="BG33" i="26" a="1"/>
  <c r="O42" i="14" a="1"/>
  <c r="R60" i="28" a="1"/>
  <c r="R47" i="27" a="1"/>
  <c r="BC58" i="28" a="1"/>
  <c r="U58" i="24" a="1"/>
  <c r="J38" i="27" a="1"/>
  <c r="G40" i="25" a="1"/>
  <c r="AY59" i="26" a="1"/>
  <c r="AU52" i="26" a="1"/>
  <c r="Z39" i="24" a="1"/>
  <c r="B49" i="28" a="1"/>
  <c r="BG60" i="26" a="1"/>
  <c r="V58" i="14" a="1"/>
  <c r="BH47" i="14" a="1"/>
  <c r="G41" i="25" a="1"/>
  <c r="AL36" i="26" a="1"/>
  <c r="N34" i="26" a="1"/>
  <c r="AF46" i="24" a="1"/>
  <c r="AA47" i="24" a="1"/>
  <c r="AD49" i="14" a="1"/>
  <c r="AL60" i="25" a="1"/>
  <c r="AY60" i="26" a="1"/>
  <c r="L38" i="24" a="1"/>
  <c r="AE50" i="25" a="1"/>
  <c r="AP53" i="27" a="1"/>
  <c r="AN39" i="24" a="1"/>
  <c r="AM54" i="25" a="1"/>
  <c r="AM59" i="27" a="1"/>
  <c r="U53" i="14" a="1"/>
  <c r="AX51" i="24" a="1"/>
  <c r="B47" i="14" a="1"/>
  <c r="AD42" i="25" a="1"/>
  <c r="BB41" i="26" a="1"/>
  <c r="AB36" i="14" a="1"/>
  <c r="AM38" i="28" a="1"/>
  <c r="AY38" i="24" a="1"/>
  <c r="AY55" i="28" a="1"/>
  <c r="B37" i="24" a="1"/>
  <c r="O43" i="26" a="1"/>
  <c r="AX53" i="14" a="1"/>
  <c r="I46" i="25" a="1"/>
  <c r="T42" i="28" a="1"/>
  <c r="O44" i="25" a="1"/>
  <c r="K39" i="26" a="1"/>
  <c r="S37" i="25" a="1"/>
  <c r="BI40" i="28" a="1"/>
  <c r="AF48" i="25" a="1"/>
  <c r="BA47" i="24" a="1"/>
  <c r="AO37" i="28" a="1"/>
  <c r="BB52" i="27" a="1"/>
  <c r="BG60" i="14" a="1"/>
  <c r="AA41" i="28" a="1"/>
  <c r="AO47" i="27" a="1"/>
  <c r="Q54" i="14" a="1"/>
  <c r="R39" i="25" a="1"/>
  <c r="AK47" i="26" a="1"/>
  <c r="AH53" i="26" a="1"/>
  <c r="B46" i="24" a="1"/>
  <c r="AR41" i="26" a="1"/>
  <c r="H55" i="28" a="1"/>
  <c r="AZ53" i="26" a="1"/>
  <c r="AN41" i="14" a="1"/>
  <c r="W40" i="27" a="1"/>
  <c r="AX37" i="26" a="1"/>
  <c r="AM55" i="27" a="1"/>
  <c r="E42" i="25" a="1"/>
  <c r="B56" i="14" a="1"/>
  <c r="T53" i="14" a="1"/>
  <c r="S56" i="14" a="1"/>
  <c r="BF55" i="27" a="1"/>
  <c r="N33" i="24" a="1"/>
  <c r="AL34" i="25" a="1"/>
  <c r="H45" i="26" a="1"/>
  <c r="BE59" i="28" a="1"/>
  <c r="AZ37" i="24" a="1"/>
  <c r="N58" i="14" a="1"/>
  <c r="AA44" i="24" a="1"/>
  <c r="AA53" i="26" a="1"/>
  <c r="AF48" i="24" a="1"/>
  <c r="BE46" i="27" a="1"/>
  <c r="T56" i="25" a="1"/>
  <c r="AX35" i="24" a="1"/>
  <c r="AB53" i="25" a="1"/>
  <c r="BC59" i="25" a="1"/>
  <c r="BA56" i="27" a="1"/>
  <c r="AB49" i="26" a="1"/>
  <c r="AB59" i="24" a="1"/>
  <c r="AV35" i="14" a="1"/>
  <c r="AD53" i="14" a="1"/>
  <c r="H37" i="14" a="1"/>
  <c r="J37" i="14" a="1"/>
  <c r="AI45" i="25" a="1"/>
  <c r="C55" i="28" a="1"/>
  <c r="W60" i="24" a="1"/>
  <c r="BJ59" i="27" a="1"/>
  <c r="C47" i="25" a="1"/>
  <c r="BD59" i="28" a="1"/>
  <c r="AM45" i="27" a="1"/>
  <c r="BE58" i="28" a="1"/>
  <c r="BG42" i="24" a="1"/>
  <c r="AW51" i="14" a="1"/>
  <c r="AC56" i="14" a="1"/>
  <c r="AK49" i="25" a="1"/>
  <c r="AG41" i="26" a="1"/>
  <c r="AN38" i="27" a="1"/>
  <c r="AD36" i="27" a="1"/>
  <c r="E43" i="28" a="1"/>
  <c r="Z38" i="28" a="1"/>
  <c r="BA50" i="28" a="1"/>
  <c r="BE52" i="26" a="1"/>
  <c r="R44" i="28" a="1"/>
  <c r="N44" i="14" a="1"/>
  <c r="AU51" i="24" a="1"/>
  <c r="AK39" i="25" a="1"/>
  <c r="D44" i="24" a="1"/>
  <c r="AW41" i="14" a="1"/>
  <c r="AX41" i="26" a="1"/>
  <c r="D49" i="27" a="1"/>
  <c r="AH47" i="28" a="1"/>
  <c r="AB42" i="14" a="1"/>
  <c r="AE51" i="14" a="1"/>
  <c r="AP35" i="14" a="1"/>
  <c r="AE35" i="27" a="1"/>
  <c r="BK40" i="26" a="1"/>
  <c r="W48" i="24" a="1"/>
  <c r="AO38" i="25" a="1"/>
  <c r="AK33" i="25" a="1"/>
  <c r="BB42" i="27" a="1"/>
  <c r="F49" i="25" a="1"/>
  <c r="M45" i="14" a="1"/>
  <c r="AG46" i="27" a="1"/>
  <c r="B34" i="27" a="1"/>
  <c r="W56" i="14" a="1"/>
  <c r="K52" i="24" a="1"/>
  <c r="V55" i="26" a="1"/>
  <c r="AO38" i="27" a="1"/>
  <c r="AA46" i="28" a="1"/>
  <c r="Z34" i="26" a="1"/>
  <c r="C47" i="14" a="1"/>
  <c r="X45" i="25" a="1"/>
  <c r="AR46" i="26" a="1"/>
  <c r="BK54" i="25" a="1"/>
  <c r="T52" i="14" a="1"/>
  <c r="Z49" i="24" a="1"/>
  <c r="G58" i="14" a="1"/>
  <c r="AG37" i="14" a="1"/>
  <c r="AE36" i="28" a="1"/>
  <c r="E48" i="24" a="1"/>
  <c r="T36" i="26" a="1"/>
  <c r="J43" i="27" a="1"/>
  <c r="N39" i="28" a="1"/>
  <c r="Y39" i="26" a="1"/>
  <c r="AE35" i="24" a="1"/>
  <c r="B55" i="28" a="1"/>
  <c r="D59" i="27" a="1"/>
  <c r="L35" i="24" a="1"/>
  <c r="AU53" i="27" a="1"/>
  <c r="V33" i="25" a="1"/>
  <c r="AG57" i="14" a="1"/>
  <c r="AT35" i="25" a="1"/>
  <c r="I60" i="28" a="1"/>
  <c r="AZ52" i="24" a="1"/>
  <c r="K40" i="27" a="1"/>
  <c r="N47" i="26" a="1"/>
  <c r="I60" i="14" a="1"/>
  <c r="AV55" i="14" a="1"/>
  <c r="AT60" i="14" a="1"/>
  <c r="BJ39" i="25" a="1"/>
  <c r="Y52" i="27" a="1"/>
  <c r="G48" i="27" a="1"/>
  <c r="R36" i="27" a="1"/>
  <c r="L48" i="14" a="1"/>
  <c r="AS36" i="27" a="1"/>
  <c r="AV39" i="25" a="1"/>
  <c r="I43" i="25" a="1"/>
  <c r="AV48" i="26" a="1"/>
  <c r="AN33" i="24" a="1"/>
  <c r="P37" i="14" a="1"/>
  <c r="P55" i="28" a="1"/>
  <c r="C49" i="27" a="1"/>
  <c r="AO44" i="14" a="1"/>
  <c r="AB40" i="27" a="1"/>
  <c r="BB46" i="27" a="1"/>
  <c r="R60" i="27" a="1"/>
  <c r="AS56" i="25" a="1"/>
  <c r="E45" i="27" a="1"/>
  <c r="AJ41" i="25" a="1"/>
  <c r="W40" i="14" a="1"/>
  <c r="AW44" i="28" a="1"/>
  <c r="AE35" i="26" a="1"/>
  <c r="AB53" i="14" a="1"/>
  <c r="Z57" i="27" a="1"/>
  <c r="V53" i="26" a="1"/>
  <c r="BK59" i="28" a="1"/>
  <c r="C53" i="28" a="1"/>
  <c r="AN33" i="25" a="1"/>
  <c r="BA45" i="26" a="1"/>
  <c r="Z46" i="27" a="1"/>
  <c r="V47" i="27" a="1"/>
  <c r="BB35" i="14" a="1"/>
  <c r="BI51" i="26" a="1"/>
  <c r="AX47" i="25" a="1"/>
  <c r="N53" i="27" a="1"/>
  <c r="S42" i="25" a="1"/>
  <c r="O54" i="28" a="1"/>
  <c r="M56" i="27" a="1"/>
  <c r="AX58" i="26" a="1"/>
  <c r="AJ43" i="28" a="1"/>
  <c r="P38" i="28" a="1"/>
  <c r="BH41" i="28" a="1"/>
  <c r="AI48" i="28" a="1"/>
  <c r="V55" i="25" a="1"/>
  <c r="I51" i="28" a="1"/>
  <c r="V55" i="24" a="1"/>
  <c r="I54" i="27" a="1"/>
  <c r="AW42" i="14" a="1"/>
  <c r="J54" i="28" a="1"/>
  <c r="U51" i="24" a="1"/>
  <c r="AE47" i="27" a="1"/>
  <c r="AK56" i="26" a="1"/>
  <c r="AH56" i="25" a="1"/>
  <c r="BI37" i="25" a="1"/>
  <c r="AM58" i="28" a="1"/>
  <c r="AP41" i="14" a="1"/>
  <c r="AY36" i="14" a="1"/>
  <c r="AF36" i="24" a="1"/>
  <c r="AM43" i="24" a="1"/>
  <c r="AQ57" i="27" a="1"/>
  <c r="R54" i="14" a="1"/>
  <c r="BD52" i="27" a="1"/>
  <c r="W57" i="28" a="1"/>
  <c r="AL37" i="25" a="1"/>
  <c r="BH41" i="24" a="1"/>
  <c r="AZ33" i="28" a="1"/>
  <c r="AQ38" i="14" a="1"/>
  <c r="E33" i="24" a="1"/>
  <c r="O51" i="28" a="1"/>
  <c r="AR54" i="26" a="1"/>
  <c r="AS42" i="27" a="1"/>
  <c r="U48" i="24" a="1"/>
  <c r="U41" i="25" a="1"/>
  <c r="BH48" i="28" a="1"/>
  <c r="R50" i="25" a="1"/>
  <c r="BE57" i="25" a="1"/>
  <c r="AW50" i="24" a="1"/>
  <c r="G42" i="28" a="1"/>
  <c r="BG35" i="14" a="1"/>
  <c r="X60" i="27" a="1"/>
  <c r="F47" i="28" a="1"/>
  <c r="AS57" i="27" a="1"/>
  <c r="AP39" i="24" a="1"/>
  <c r="AD51" i="25" a="1"/>
  <c r="AV54" i="14" a="1"/>
  <c r="BI38" i="26" a="1"/>
  <c r="Q40" i="24" a="1"/>
  <c r="B44" i="28" a="1"/>
  <c r="AW53" i="28" a="1"/>
  <c r="BD51" i="25" a="1"/>
  <c r="S33" i="25" a="1"/>
  <c r="BF43" i="28" a="1"/>
  <c r="E55" i="28" a="1"/>
  <c r="AK42" i="14" a="1"/>
  <c r="N43" i="28" a="1"/>
  <c r="G44" i="14" a="1"/>
  <c r="F42" i="27" a="1"/>
  <c r="M46" i="24" a="1"/>
  <c r="M34" i="14" a="1"/>
  <c r="W48" i="28" a="1"/>
  <c r="T52" i="28" a="1"/>
  <c r="F39" i="14" a="1"/>
  <c r="AW40" i="26" a="1"/>
  <c r="AM45" i="14" a="1"/>
  <c r="R50" i="26" a="1"/>
  <c r="F58" i="28" a="1"/>
  <c r="AV52" i="26" a="1"/>
  <c r="AK51" i="27" a="1"/>
  <c r="AH35" i="28" a="1"/>
  <c r="BG53" i="14" a="1"/>
  <c r="T46" i="14" a="1"/>
  <c r="AN51" i="27" a="1"/>
  <c r="AF34" i="14" a="1"/>
  <c r="BC47" i="26" a="1"/>
  <c r="BJ57" i="27" a="1"/>
  <c r="U44" i="25" a="1"/>
  <c r="AX36" i="24" a="1"/>
  <c r="AZ41" i="26" a="1"/>
  <c r="Z54" i="28" a="1"/>
  <c r="N60" i="25" a="1"/>
  <c r="X35" i="24" a="1"/>
  <c r="J55" i="25" a="1"/>
  <c r="AI49" i="26" a="1"/>
  <c r="BC58" i="14" a="1"/>
  <c r="BI39" i="27" a="1"/>
  <c r="AN50" i="28" a="1"/>
  <c r="B58" i="28" a="1"/>
  <c r="T59" i="14" a="1"/>
  <c r="BH47" i="26" a="1"/>
  <c r="BE47" i="26" a="1"/>
  <c r="AZ42" i="24" a="1"/>
  <c r="AV50" i="27" a="1"/>
  <c r="W51" i="25" a="1"/>
  <c r="AI52" i="25" a="1"/>
  <c r="AA52" i="28" a="1"/>
  <c r="BB55" i="14" a="1"/>
  <c r="L46" i="14" a="1"/>
  <c r="AA42" i="14" a="1"/>
  <c r="AQ53" i="26" a="1"/>
  <c r="X49" i="14" a="1"/>
  <c r="AT41" i="14" a="1"/>
  <c r="BK58" i="14" a="1"/>
  <c r="F54" i="28" a="1"/>
  <c r="AB49" i="24" a="1"/>
  <c r="AZ47" i="26" a="1"/>
  <c r="AS42" i="28" a="1"/>
  <c r="AO58" i="14" a="1"/>
  <c r="V51" i="24" a="1"/>
  <c r="BF57" i="24" a="1"/>
  <c r="AL48" i="27" a="1"/>
  <c r="AR60" i="14" a="1"/>
  <c r="AS36" i="14" a="1"/>
  <c r="BC60" i="26" a="1"/>
  <c r="AY44" i="26" a="1"/>
  <c r="AZ37" i="26" a="1"/>
  <c r="BB49" i="24" a="1"/>
  <c r="BC39" i="26" a="1"/>
  <c r="B33" i="25" a="1"/>
  <c r="W45" i="28" a="1"/>
  <c r="BK40" i="24" a="1"/>
  <c r="BF44" i="27" a="1"/>
  <c r="AG33" i="28" a="1"/>
  <c r="T39" i="14" a="1"/>
  <c r="BJ45" i="26" a="1"/>
  <c r="AF33" i="24" a="1"/>
  <c r="AU54" i="24" a="1"/>
  <c r="R43" i="14" a="1"/>
  <c r="X59" i="27" a="1"/>
  <c r="N59" i="24" a="1"/>
  <c r="AE58" i="28" a="1"/>
  <c r="AI60" i="27" a="1"/>
  <c r="AU59" i="26" a="1"/>
  <c r="P47" i="14" a="1"/>
  <c r="J58" i="24" a="1"/>
  <c r="BD49" i="26" a="1"/>
  <c r="BH41" i="26" a="1"/>
  <c r="AA55" i="28" a="1"/>
  <c r="AZ45" i="28" a="1"/>
  <c r="G52" i="27" a="1"/>
  <c r="AG58" i="24" a="1"/>
  <c r="AV37" i="25" a="1"/>
  <c r="AM43" i="27" a="1"/>
  <c r="AY50" i="24" a="1"/>
  <c r="Q48" i="24" a="1"/>
  <c r="AK37" i="14" a="1"/>
  <c r="L42" i="28" a="1"/>
  <c r="BA44" i="26" a="1"/>
  <c r="N54" i="25" a="1"/>
  <c r="L54" i="27" a="1"/>
  <c r="AQ38" i="28" a="1"/>
  <c r="AJ57" i="14" a="1"/>
  <c r="AG51" i="24" a="1"/>
  <c r="BH50" i="28" a="1"/>
  <c r="L54" i="25" a="1"/>
  <c r="BC58" i="26" a="1"/>
  <c r="O47" i="26" a="1"/>
  <c r="BG46" i="26" a="1"/>
  <c r="O49" i="14" a="1"/>
  <c r="P37" i="27" a="1"/>
  <c r="S38" i="14" a="1"/>
  <c r="J42" i="28" a="1"/>
  <c r="BD57" i="26" a="1"/>
  <c r="X59" i="25" a="1"/>
  <c r="AU56" i="14" a="1"/>
  <c r="BI39" i="14" a="1"/>
  <c r="Y50" i="27" a="1"/>
  <c r="R52" i="24" a="1"/>
  <c r="S58" i="14" a="1"/>
  <c r="BK43" i="27" a="1"/>
  <c r="AB44" i="25" a="1"/>
  <c r="AL36" i="14" a="1"/>
  <c r="AG39" i="24" a="1"/>
  <c r="AS44" i="14" a="1"/>
  <c r="BD54" i="25" a="1"/>
  <c r="AG40" i="27" a="1"/>
  <c r="BI54" i="14" a="1"/>
  <c r="AX34" i="25" a="1"/>
  <c r="AX41" i="25" a="1"/>
  <c r="AR34" i="24" a="1"/>
  <c r="AE57" i="25" a="1"/>
  <c r="AT45" i="14" a="1"/>
  <c r="N51" i="26" a="1"/>
  <c r="BD53" i="14" a="1"/>
  <c r="AX60" i="25" a="1"/>
  <c r="B54" i="26" a="1"/>
  <c r="S54" i="25" a="1"/>
  <c r="AX33" i="14" a="1"/>
  <c r="AZ52" i="14" a="1"/>
  <c r="M60" i="25" a="1"/>
  <c r="Y36" i="26" a="1"/>
  <c r="BH58" i="25" a="1"/>
  <c r="J58" i="27" a="1"/>
  <c r="E54" i="28" a="1"/>
  <c r="AK53" i="28" a="1"/>
  <c r="AE42" i="14" a="1"/>
  <c r="E49" i="27" a="1"/>
  <c r="AJ51" i="24" a="1"/>
  <c r="AO53" i="26" a="1"/>
  <c r="L54" i="14" a="1"/>
  <c r="BH42" i="24" a="1"/>
  <c r="AU58" i="14" a="1"/>
  <c r="AK45" i="27" a="1"/>
  <c r="AY37" i="14" a="1"/>
  <c r="D48" i="25" a="1"/>
  <c r="G60" i="14" a="1"/>
  <c r="AR43" i="26" a="1"/>
  <c r="W42" i="27" a="1"/>
  <c r="AR46" i="25" a="1"/>
  <c r="T57" i="27" a="1"/>
  <c r="T44" i="14" a="1"/>
  <c r="AD40" i="26" a="1"/>
  <c r="AS50" i="24" a="1"/>
  <c r="AW34" i="27" a="1"/>
  <c r="K56" i="14" a="1"/>
  <c r="AD47" i="26" a="1"/>
  <c r="H46" i="28" a="1"/>
  <c r="H47" i="28" a="1"/>
  <c r="AR58" i="25" a="1"/>
  <c r="AI47" i="26" a="1"/>
  <c r="O42" i="24" a="1"/>
  <c r="BH34" i="27" a="1"/>
  <c r="AP58" i="14" a="1"/>
  <c r="AH43" i="25" a="1"/>
  <c r="O35" i="14" a="1"/>
  <c r="AW37" i="26" a="1"/>
  <c r="AR56" i="26" a="1"/>
  <c r="AB34" i="27" a="1"/>
  <c r="AM37" i="24" a="1"/>
  <c r="AU40" i="24" a="1"/>
  <c r="BE53" i="14" a="1"/>
  <c r="L52" i="26" a="1"/>
  <c r="F33" i="28" a="1"/>
  <c r="F50" i="24" a="1"/>
  <c r="AI59" i="27" a="1"/>
  <c r="M49" i="14" a="1"/>
  <c r="G52" i="28" a="1"/>
  <c r="BH48" i="26" a="1"/>
  <c r="AL42" i="24" a="1"/>
  <c r="AK53" i="26" a="1"/>
  <c r="E47" i="28" a="1"/>
  <c r="AC55" i="24" a="1"/>
  <c r="AE42" i="25" a="1"/>
  <c r="AF41" i="26" a="1"/>
  <c r="AX59" i="25" a="1"/>
  <c r="AP48" i="14" a="1"/>
  <c r="AT39" i="25" a="1"/>
  <c r="E34" i="25" a="1"/>
  <c r="T58" i="28" a="1"/>
  <c r="D59" i="24" a="1"/>
  <c r="AL58" i="25" a="1"/>
  <c r="AU45" i="27" a="1"/>
  <c r="AT37" i="27" a="1"/>
  <c r="AM58" i="27" a="1"/>
  <c r="AX47" i="14" a="1"/>
  <c r="AH52" i="28" a="1"/>
  <c r="BG49" i="14" a="1"/>
  <c r="AT50" i="25" a="1"/>
  <c r="AT40" i="24" a="1"/>
  <c r="BC39" i="27" a="1"/>
  <c r="I35" i="27" a="1"/>
  <c r="Z48" i="24" a="1"/>
  <c r="AE38" i="26" a="1"/>
  <c r="AD50" i="25" a="1"/>
  <c r="BI50" i="14" a="1"/>
  <c r="N55" i="27" a="1"/>
  <c r="AR33" i="26" a="1"/>
  <c r="AK35" i="24" a="1"/>
  <c r="V52" i="25" a="1"/>
  <c r="BD55" i="24" a="1"/>
  <c r="AE60" i="26" a="1"/>
  <c r="AO35" i="28" a="1"/>
  <c r="AS53" i="25" a="1"/>
  <c r="M59" i="24" a="1"/>
  <c r="AY44" i="28" a="1"/>
  <c r="BA57" i="28" a="1"/>
  <c r="W51" i="28" a="1"/>
  <c r="W57" i="14" a="1"/>
  <c r="AX60" i="27" a="1"/>
  <c r="H59" i="27" a="1"/>
  <c r="AP48" i="26" a="1"/>
  <c r="I56" i="25" a="1"/>
  <c r="AN34" i="14" a="1"/>
  <c r="AT48" i="26" a="1"/>
  <c r="AH55" i="25" a="1"/>
  <c r="AA43" i="25" a="1"/>
  <c r="Z58" i="26" a="1"/>
  <c r="M42" i="14" a="1"/>
  <c r="O33" i="25" a="1"/>
  <c r="W50" i="26" a="1"/>
  <c r="F37" i="27" a="1"/>
  <c r="V48" i="28" a="1"/>
  <c r="I53" i="25" a="1"/>
  <c r="AO59" i="27" a="1"/>
  <c r="AD47" i="27" a="1"/>
  <c r="AA47" i="14" a="1"/>
  <c r="BA39" i="24" a="1"/>
  <c r="W54" i="14" a="1"/>
  <c r="BA52" i="27" a="1"/>
  <c r="AD44" i="28" a="1"/>
  <c r="U49" i="26" a="1"/>
  <c r="J41" i="25" a="1"/>
  <c r="P51" i="25" a="1"/>
  <c r="H56" i="26" a="1"/>
  <c r="G50" i="28" a="1"/>
  <c r="BB46" i="14" a="1"/>
  <c r="BG54" i="26" a="1"/>
  <c r="AR49" i="24" a="1"/>
  <c r="C48" i="27" a="1"/>
  <c r="I40" i="27" a="1"/>
  <c r="J33" i="28" a="1"/>
  <c r="D57" i="28" a="1"/>
  <c r="AJ46" i="26" a="1"/>
  <c r="BA45" i="28" a="1"/>
  <c r="N35" i="25" a="1"/>
  <c r="AL42" i="26" a="1"/>
  <c r="Z51" i="14" a="1"/>
  <c r="AO56" i="25" a="1"/>
  <c r="AX45" i="26" a="1"/>
  <c r="AN48" i="14" a="1"/>
  <c r="W43" i="14" a="1"/>
  <c r="J60" i="26" a="1"/>
  <c r="AD53" i="26" a="1"/>
  <c r="V45" i="26" a="1"/>
  <c r="BH37" i="25" a="1"/>
  <c r="T41" i="24" a="1"/>
  <c r="I55" i="14" a="1"/>
  <c r="AJ58" i="26" a="1"/>
  <c r="AD37" i="28" a="1"/>
  <c r="D48" i="24" a="1"/>
  <c r="I41" i="25" a="1"/>
  <c r="BB60" i="26" a="1"/>
  <c r="F43" i="24" a="1"/>
  <c r="AZ49" i="27" a="1"/>
  <c r="AN53" i="24" a="1"/>
  <c r="K38" i="27" a="1"/>
  <c r="X33" i="27" a="1"/>
  <c r="AL35" i="26" a="1"/>
  <c r="AN38" i="25" a="1"/>
  <c r="G53" i="24" a="1"/>
  <c r="Q38" i="26" a="1"/>
  <c r="R41" i="24" a="1"/>
  <c r="BH45" i="27" a="1"/>
  <c r="F35" i="26" a="1"/>
  <c r="BI58" i="24" a="1"/>
  <c r="C52" i="26" a="1"/>
  <c r="U42" i="27" a="1"/>
  <c r="AJ39" i="27" a="1"/>
  <c r="BF47" i="28" a="1"/>
  <c r="AI51" i="14" a="1"/>
  <c r="AO53" i="27" a="1"/>
  <c r="C58" i="27" a="1"/>
  <c r="AJ35" i="14" a="1"/>
  <c r="BC35" i="25" a="1"/>
  <c r="R59" i="25" a="1"/>
  <c r="E40" i="26" a="1"/>
  <c r="X48" i="25" a="1"/>
  <c r="F38" i="27" a="1"/>
  <c r="K47" i="25" a="1"/>
  <c r="M53" i="26" a="1"/>
  <c r="BC50" i="28" a="1"/>
  <c r="U54" i="14" a="1"/>
  <c r="X60" i="25" a="1"/>
  <c r="Y44" i="28" a="1"/>
  <c r="AS60" i="25" a="1"/>
  <c r="AB33" i="14" a="1"/>
  <c r="AA53" i="27" a="1"/>
  <c r="AG41" i="24" a="1"/>
  <c r="AW49" i="25" a="1"/>
  <c r="AJ58" i="28" a="1"/>
  <c r="AX55" i="26" a="1"/>
  <c r="R45" i="14" a="1"/>
  <c r="C46" i="27" a="1"/>
  <c r="BB53" i="25" a="1"/>
  <c r="AK45" i="14" a="1"/>
  <c r="AY52" i="14" a="1"/>
  <c r="B45" i="28" a="1"/>
  <c r="T41" i="14" a="1"/>
  <c r="BJ35" i="26" a="1"/>
  <c r="AW37" i="28" a="1"/>
  <c r="M44" i="24" a="1"/>
  <c r="AI55" i="27" a="1"/>
  <c r="BI53" i="25" a="1"/>
  <c r="AP58" i="27" a="1"/>
  <c r="Q59" i="26" a="1"/>
  <c r="B43" i="27" a="1"/>
  <c r="AD36" i="28" a="1"/>
  <c r="AX42" i="25" a="1"/>
  <c r="T43" i="25" a="1"/>
  <c r="AL47" i="26" a="1"/>
  <c r="O36" i="28" a="1"/>
  <c r="BD36" i="14" a="1"/>
  <c r="AP56" i="26" a="1"/>
  <c r="AX53" i="27" a="1"/>
  <c r="K45" i="27" a="1"/>
  <c r="AM43" i="26" a="1"/>
  <c r="AQ34" i="26" a="1"/>
  <c r="AI35" i="26" a="1"/>
  <c r="J35" i="28" a="1"/>
  <c r="E59" i="25" a="1"/>
  <c r="L49" i="28" a="1"/>
  <c r="Z43" i="28" a="1"/>
  <c r="BC41" i="26" a="1"/>
  <c r="AM47" i="24" a="1"/>
  <c r="AB41" i="28" a="1"/>
  <c r="AK53" i="24" a="1"/>
  <c r="E59" i="28" a="1"/>
  <c r="C33" i="25" a="1"/>
  <c r="AD50" i="28" a="1"/>
  <c r="AF50" i="26" a="1"/>
  <c r="H58" i="14" a="1"/>
  <c r="BH38" i="14" a="1"/>
  <c r="AS58" i="24" a="1"/>
  <c r="BE42" i="27" a="1"/>
  <c r="H58" i="26" a="1"/>
  <c r="M39" i="28" a="1"/>
  <c r="AW59" i="28" a="1"/>
  <c r="AA52" i="26" a="1"/>
  <c r="AP51" i="24" a="1"/>
  <c r="T50" i="14" a="1"/>
  <c r="AD52" i="14" a="1"/>
  <c r="I43" i="24" a="1"/>
  <c r="AH58" i="14" a="1"/>
  <c r="AO45" i="26" a="1"/>
  <c r="I41" i="27" a="1"/>
  <c r="AY34" i="25" a="1"/>
  <c r="W53" i="24" a="1"/>
  <c r="BD50" i="28" a="1"/>
  <c r="AA38" i="14" a="1"/>
  <c r="AV47" i="25" a="1"/>
  <c r="AH51" i="28" a="1"/>
  <c r="AB38" i="25" a="1"/>
  <c r="BA48" i="27" a="1"/>
  <c r="R49" i="26" a="1"/>
  <c r="R45" i="28" a="1"/>
  <c r="AT39" i="26" a="1"/>
  <c r="BC53" i="14" a="1"/>
  <c r="S43" i="27" a="1"/>
  <c r="AY34" i="14" a="1"/>
  <c r="AJ40" i="24" a="1"/>
  <c r="S42" i="24" a="1"/>
  <c r="O40" i="28" a="1"/>
  <c r="K55" i="26" a="1"/>
  <c r="AN44" i="27" a="1"/>
  <c r="AP57" i="14" a="1"/>
  <c r="AD37" i="24" a="1"/>
  <c r="E43" i="14" a="1"/>
  <c r="AR41" i="24" a="1"/>
  <c r="AT50" i="26" a="1"/>
  <c r="U49" i="25" a="1"/>
  <c r="O50" i="27" a="1"/>
  <c r="BA40" i="27" a="1"/>
  <c r="AI41" i="25" a="1"/>
  <c r="AS39" i="25" a="1"/>
  <c r="AA41" i="27" a="1"/>
  <c r="AG52" i="24" a="1"/>
  <c r="AE49" i="28" a="1"/>
  <c r="AU47" i="28" a="1"/>
  <c r="AX53" i="28" a="1"/>
  <c r="BK52" i="26" a="1"/>
  <c r="AL36" i="27" a="1"/>
  <c r="E53" i="26" a="1"/>
  <c r="AS60" i="26" a="1"/>
  <c r="BF50" i="27" a="1"/>
  <c r="AI54" i="14" a="1"/>
  <c r="AR54" i="27" a="1"/>
  <c r="AO46" i="26" a="1"/>
  <c r="BG52" i="25" a="1"/>
  <c r="B41" i="24" a="1"/>
  <c r="L57" i="28" a="1"/>
  <c r="BJ57" i="26" a="1"/>
  <c r="C45" i="26" a="1"/>
  <c r="Q49" i="24" a="1"/>
  <c r="I44" i="26" a="1"/>
  <c r="BC52" i="24" a="1"/>
  <c r="AH39" i="25" a="1"/>
  <c r="V60" i="24" a="1"/>
  <c r="AO40" i="24" a="1"/>
  <c r="AD51" i="24" a="1"/>
  <c r="AH37" i="14" a="1"/>
  <c r="AN35" i="24" a="1"/>
  <c r="AH37" i="24" a="1"/>
  <c r="L56" i="24" a="1"/>
  <c r="V60" i="26" a="1"/>
  <c r="BJ59" i="24" a="1"/>
  <c r="AD33" i="24" a="1"/>
  <c r="BH46" i="24" a="1"/>
  <c r="AM54" i="27" a="1"/>
  <c r="AB48" i="27" a="1"/>
  <c r="F57" i="27" a="1"/>
  <c r="F44" i="26" a="1"/>
  <c r="AF42" i="14" a="1"/>
  <c r="F52" i="28" a="1"/>
  <c r="Q55" i="24" a="1"/>
  <c r="AA44" i="25" a="1"/>
  <c r="M53" i="24" a="1"/>
  <c r="S52" i="27" a="1"/>
  <c r="AX52" i="26" a="1"/>
  <c r="J50" i="26" a="1"/>
  <c r="V43" i="26" a="1"/>
  <c r="AB33" i="25" a="1"/>
  <c r="V58" i="24" a="1"/>
  <c r="BG59" i="14" a="1"/>
  <c r="AR58" i="26" a="1"/>
  <c r="R50" i="14" a="1"/>
  <c r="M60" i="26" a="1"/>
  <c r="AU50" i="27" a="1"/>
  <c r="AW40" i="24" a="1"/>
  <c r="AO43" i="27" a="1"/>
  <c r="Q39" i="24" a="1"/>
  <c r="V44" i="27" a="1"/>
  <c r="AU35" i="14" a="1"/>
  <c r="BA57" i="27" a="1"/>
  <c r="O56" i="28" a="1"/>
  <c r="BG60" i="24" a="1"/>
  <c r="BB51" i="26" a="1"/>
  <c r="Z57" i="26" a="1"/>
  <c r="M55" i="27" a="1"/>
  <c r="AP46" i="24" a="1"/>
  <c r="AK52" i="28" a="1"/>
  <c r="BH58" i="28" a="1"/>
  <c r="AB56" i="26" a="1"/>
  <c r="N42" i="14" a="1"/>
  <c r="BC33" i="24" a="1"/>
  <c r="AU35" i="28" a="1"/>
  <c r="L50" i="28" a="1"/>
  <c r="AG54" i="24" a="1"/>
  <c r="AJ59" i="25" a="1"/>
  <c r="AL38" i="27" a="1"/>
  <c r="BC43" i="27" a="1"/>
  <c r="BD60" i="25" a="1"/>
  <c r="M52" i="28" a="1"/>
  <c r="K50" i="14" a="1"/>
  <c r="BC48" i="27" a="1"/>
  <c r="R41" i="25" a="1"/>
  <c r="E47" i="14" a="1"/>
  <c r="BI59" i="26" a="1"/>
  <c r="AE35" i="25" a="1"/>
  <c r="AC51" i="27" a="1"/>
  <c r="AW38" i="25" a="1"/>
  <c r="AO58" i="24" a="1"/>
  <c r="AE57" i="27" a="1"/>
  <c r="Z40" i="14" a="1"/>
  <c r="AL55" i="14" a="1"/>
  <c r="K60" i="28" a="1"/>
  <c r="X59" i="14" a="1"/>
  <c r="AN58" i="27" a="1"/>
  <c r="AC42" i="27" a="1"/>
  <c r="BH36" i="26" a="1"/>
  <c r="S43" i="14" a="1"/>
  <c r="K49" i="28" a="1"/>
  <c r="BA36" i="24" a="1"/>
  <c r="AK48" i="27" a="1"/>
  <c r="BH44" i="14" a="1"/>
  <c r="AC46" i="26" a="1"/>
  <c r="C35" i="28" a="1"/>
  <c r="AR50" i="28" a="1"/>
  <c r="B45" i="24" a="1"/>
  <c r="T42" i="27" a="1"/>
  <c r="AO60" i="28" a="1"/>
  <c r="C44" i="28" a="1"/>
  <c r="BE42" i="28" a="1"/>
  <c r="AL51" i="27" a="1"/>
  <c r="AF46" i="27" a="1"/>
  <c r="BD38" i="28" a="1"/>
  <c r="BE56" i="28" a="1"/>
  <c r="AQ42" i="26" a="1"/>
  <c r="N55" i="25" a="1"/>
  <c r="AL56" i="24" a="1"/>
  <c r="D36" i="14" a="1"/>
  <c r="AQ46" i="27" a="1"/>
  <c r="U56" i="27" a="1"/>
  <c r="O38" i="25" a="1"/>
  <c r="BF53" i="27" a="1"/>
  <c r="D40" i="26" a="1"/>
  <c r="AZ51" i="14" a="1"/>
  <c r="N58" i="24" a="1"/>
  <c r="AK39" i="14" a="1"/>
  <c r="J60" i="28" a="1"/>
  <c r="BJ54" i="24" a="1"/>
  <c r="T46" i="28" a="1"/>
  <c r="AS55" i="14" a="1"/>
  <c r="AD38" i="14" a="1"/>
  <c r="BG39" i="27" a="1"/>
  <c r="BB47" i="26" a="1"/>
  <c r="AY48" i="25" a="1"/>
  <c r="G39" i="25" a="1"/>
  <c r="AP45" i="28" a="1"/>
  <c r="J40" i="14" a="1"/>
  <c r="J52" i="27" a="1"/>
  <c r="BH60" i="27" a="1"/>
  <c r="F56" i="14" a="1"/>
  <c r="AS55" i="26" a="1"/>
  <c r="AK52" i="14" a="1"/>
  <c r="L40" i="14" a="1"/>
  <c r="AC54" i="24" a="1"/>
  <c r="D56" i="25" a="1"/>
  <c r="AV34" i="27" a="1"/>
  <c r="AP46" i="28" a="1"/>
  <c r="BH33" i="26" a="1"/>
  <c r="S44" i="28" a="1"/>
  <c r="AE52" i="28" a="1"/>
  <c r="AU39" i="27" a="1"/>
  <c r="Z59" i="26" a="1"/>
  <c r="P53" i="28" a="1"/>
  <c r="Y35" i="28" a="1"/>
  <c r="AY53" i="25" a="1"/>
  <c r="BD42" i="27" a="1"/>
  <c r="AP51" i="25" a="1"/>
  <c r="H42" i="24" a="1"/>
  <c r="D58" i="26" a="1"/>
  <c r="AH55" i="14" a="1"/>
  <c r="N41" i="28" a="1"/>
  <c r="BK54" i="26" a="1"/>
  <c r="AH47" i="27" a="1"/>
  <c r="AE45" i="24" a="1"/>
  <c r="H35" i="25" a="1"/>
  <c r="T33" i="25" a="1"/>
  <c r="AY54" i="26" a="1"/>
  <c r="I37" i="14" a="1"/>
  <c r="K38" i="26" a="1"/>
  <c r="K54" i="26" a="1"/>
  <c r="BD44" i="24" a="1"/>
  <c r="AO48" i="25" a="1"/>
  <c r="R38" i="26" a="1"/>
  <c r="Y55" i="26" a="1"/>
  <c r="W39" i="26" a="1"/>
  <c r="Q43" i="24" a="1"/>
  <c r="Q33" i="26" a="1"/>
  <c r="BD44" i="27" a="1"/>
  <c r="AM57" i="28" a="1"/>
  <c r="AN60" i="28" a="1"/>
  <c r="BI60" i="28" a="1"/>
  <c r="AW41" i="28" a="1"/>
  <c r="BG42" i="28" a="1"/>
  <c r="Z49" i="27" a="1"/>
  <c r="AZ57" i="28" a="1"/>
  <c r="AV55" i="28" a="1"/>
  <c r="AW53" i="14" a="1"/>
  <c r="U41" i="14" a="1"/>
  <c r="Z37" i="25" a="1"/>
  <c r="BE42" i="25" a="1"/>
  <c r="J45" i="14" a="1"/>
  <c r="BF55" i="28" a="1"/>
  <c r="AO44" i="28" a="1"/>
  <c r="AH59" i="27" a="1"/>
  <c r="E51" i="24" a="1"/>
  <c r="L41" i="14" a="1"/>
  <c r="AG41" i="25" a="1"/>
  <c r="S38" i="24" a="1"/>
  <c r="F55" i="14" a="1"/>
  <c r="AH34" i="24" a="1"/>
  <c r="AY33" i="24" a="1"/>
  <c r="J56" i="14" a="1"/>
  <c r="BH56" i="27" a="1"/>
  <c r="AL44" i="14" a="1"/>
  <c r="AS51" i="14" a="1"/>
  <c r="AJ51" i="14" a="1"/>
  <c r="T51" i="26" a="1"/>
  <c r="AJ38" i="14" a="1"/>
  <c r="S51" i="25" a="1"/>
  <c r="AD34" i="14" a="1"/>
  <c r="AE54" i="27" a="1"/>
  <c r="R51" i="27" a="1"/>
  <c r="AR41" i="28" a="1"/>
  <c r="AP47" i="14" a="1"/>
  <c r="BA41" i="14" a="1"/>
  <c r="Y37" i="25" a="1"/>
  <c r="U39" i="26" a="1"/>
  <c r="AB46" i="24" a="1"/>
  <c r="H33" i="26" a="1"/>
  <c r="Q40" i="25" a="1"/>
  <c r="R43" i="24" a="1"/>
  <c r="BJ44" i="25" a="1"/>
  <c r="AD55" i="27" a="1"/>
  <c r="BF48" i="28" a="1"/>
  <c r="V35" i="24" a="1"/>
  <c r="AT45" i="25" a="1"/>
  <c r="AF41" i="14" a="1"/>
  <c r="C42" i="26" a="1"/>
  <c r="BE45" i="14" a="1"/>
  <c r="V51" i="14" a="1"/>
  <c r="AC59" i="14" a="1"/>
  <c r="V42" i="26" a="1"/>
  <c r="BI53" i="24" a="1"/>
  <c r="B58" i="24" a="1"/>
  <c r="E48" i="25" a="1"/>
  <c r="AY56" i="26" a="1"/>
  <c r="AB43" i="24" a="1"/>
  <c r="L40" i="27" a="1"/>
  <c r="AS43" i="24" a="1"/>
  <c r="AT52" i="26" a="1"/>
  <c r="H35" i="26" a="1"/>
  <c r="BE52" i="25" a="1"/>
  <c r="BK45" i="24" a="1"/>
  <c r="AP42" i="14" a="1"/>
  <c r="AG47" i="26" a="1"/>
  <c r="AL57" i="14" a="1"/>
  <c r="AF52" i="25" a="1"/>
  <c r="AE38" i="14" a="1"/>
  <c r="Y57" i="28" a="1"/>
  <c r="AY53" i="28" a="1"/>
  <c r="H55" i="27" a="1"/>
  <c r="P46" i="24" a="1"/>
  <c r="AW47" i="24" a="1"/>
  <c r="G40" i="14" a="1"/>
  <c r="X57" i="14" a="1"/>
  <c r="J58" i="28" a="1"/>
  <c r="G48" i="25" a="1"/>
  <c r="AT43" i="28" a="1"/>
  <c r="O34" i="14" a="1"/>
  <c r="L40" i="28" a="1"/>
  <c r="BI57" i="25" a="1"/>
  <c r="W33" i="28" a="1"/>
  <c r="B42" i="26" a="1"/>
  <c r="AB35" i="28" a="1"/>
  <c r="AY54" i="24" a="1"/>
  <c r="O56" i="14" a="1"/>
  <c r="BB59" i="14" a="1"/>
  <c r="AN54" i="27" a="1"/>
  <c r="C37" i="24" a="1"/>
  <c r="AS47" i="14" a="1"/>
  <c r="O49" i="25" a="1"/>
  <c r="BB39" i="28" a="1"/>
  <c r="H50" i="26" a="1"/>
  <c r="Z45" i="27" a="1"/>
  <c r="AR56" i="14" a="1"/>
  <c r="I43" i="26" a="1"/>
  <c r="BH54" i="24" a="1"/>
  <c r="BC49" i="14" a="1"/>
  <c r="E60" i="14" a="1"/>
  <c r="AD42" i="26" a="1"/>
  <c r="B34" i="25" a="1"/>
  <c r="Q40" i="26" a="1"/>
  <c r="AW44" i="26" a="1"/>
  <c r="AW45" i="28" a="1"/>
  <c r="AI41" i="28" a="1"/>
  <c r="AJ58" i="24" a="1"/>
  <c r="AN38" i="24" a="1"/>
  <c r="M37" i="26" a="1"/>
  <c r="AN54" i="25" a="1"/>
  <c r="V47" i="14" a="1"/>
  <c r="S51" i="28" a="1"/>
  <c r="AJ48" i="24" a="1"/>
  <c r="BE50" i="27" a="1"/>
  <c r="AM44" i="24" a="1"/>
  <c r="AH40" i="28" a="1"/>
  <c r="AO47" i="24" a="1"/>
  <c r="AH48" i="27" a="1"/>
  <c r="Z49" i="26" a="1"/>
  <c r="AR42" i="26" a="1"/>
  <c r="X60" i="28" a="1"/>
  <c r="W48" i="27" a="1"/>
  <c r="AF44" i="26" a="1"/>
  <c r="AC39" i="25" a="1"/>
  <c r="BH36" i="28" a="1"/>
  <c r="AI57" i="25" a="1"/>
  <c r="Q48" i="28" a="1"/>
  <c r="BB39" i="27" a="1"/>
  <c r="J39" i="27" a="1"/>
  <c r="AJ40" i="28" a="1"/>
  <c r="AZ46" i="28" a="1"/>
  <c r="AJ51" i="28" a="1"/>
  <c r="AO57" i="24" a="1"/>
  <c r="AZ41" i="28" a="1"/>
  <c r="AT44" i="14" a="1"/>
  <c r="AG48" i="25" a="1"/>
  <c r="K40" i="26" a="1"/>
  <c r="AJ45" i="24" a="1"/>
  <c r="K43" i="27" a="1"/>
  <c r="P56" i="27" a="1"/>
  <c r="AW51" i="28" a="1"/>
  <c r="K53" i="27" a="1"/>
  <c r="R51" i="24" a="1"/>
  <c r="J39" i="25" a="1"/>
  <c r="AA51" i="14" a="1"/>
  <c r="O40" i="25" a="1"/>
  <c r="T60" i="28" a="1"/>
  <c r="AU48" i="28" a="1"/>
  <c r="AR52" i="14" a="1"/>
  <c r="BD34" i="27" a="1"/>
  <c r="AV47" i="24" a="1"/>
  <c r="D49" i="24" a="1"/>
  <c r="AL60" i="26" a="1"/>
  <c r="AM53" i="25" a="1"/>
  <c r="BD36" i="28" a="1"/>
  <c r="BE38" i="26" a="1"/>
  <c r="D51" i="28" a="1"/>
  <c r="L57" i="25" a="1"/>
  <c r="AT33" i="25" a="1"/>
  <c r="BD35" i="24" a="1"/>
  <c r="AT55" i="24" a="1"/>
  <c r="AG59" i="24" a="1"/>
  <c r="E37" i="28" a="1"/>
  <c r="Q44" i="26" a="1"/>
  <c r="AG42" i="27" a="1"/>
  <c r="AE58" i="26" a="1"/>
  <c r="AD59" i="28" a="1"/>
  <c r="AP38" i="14" a="1"/>
  <c r="AH46" i="28" a="1"/>
  <c r="BC46" i="27" a="1"/>
  <c r="E50" i="26" a="1"/>
  <c r="BH56" i="24" a="1"/>
  <c r="W44" i="28" a="1"/>
  <c r="N46" i="27" a="1"/>
  <c r="I49" i="14" a="1"/>
  <c r="I52" i="14" a="1"/>
  <c r="P43" i="26" a="1"/>
  <c r="BA39" i="25" a="1"/>
  <c r="G60" i="25" a="1"/>
  <c r="E35" i="24" a="1"/>
  <c r="AZ58" i="25" a="1"/>
  <c r="AQ52" i="27" a="1"/>
  <c r="AY60" i="25" a="1"/>
  <c r="Y37" i="14" a="1"/>
  <c r="AX43" i="27" a="1"/>
  <c r="F43" i="14" a="1"/>
  <c r="B43" i="24" a="1"/>
  <c r="V44" i="26" a="1"/>
  <c r="C40" i="27" a="1"/>
  <c r="Q40" i="27" a="1"/>
  <c r="AE37" i="14" a="1"/>
  <c r="C51" i="14" a="1"/>
  <c r="BC37" i="14" a="1"/>
  <c r="BK47" i="28" a="1"/>
  <c r="AL38" i="14" a="1"/>
  <c r="BC50" i="25" a="1"/>
  <c r="U49" i="28" a="1"/>
  <c r="S55" i="28" a="1"/>
  <c r="AJ44" i="24" a="1"/>
  <c r="Y48" i="14" a="1"/>
  <c r="AT58" i="25" a="1"/>
  <c r="AI47" i="24" a="1"/>
  <c r="BB38" i="24" a="1"/>
  <c r="AQ59" i="28" a="1"/>
  <c r="L59" i="25" a="1"/>
  <c r="AM56" i="24" a="1"/>
  <c r="AT59" i="24" a="1"/>
  <c r="AO60" i="25" a="1"/>
  <c r="Q54" i="26" a="1"/>
  <c r="W36" i="26" a="1"/>
  <c r="E49" i="28" a="1"/>
  <c r="AE38" i="28" a="1"/>
  <c r="BA36" i="27" a="1"/>
  <c r="BE36" i="24" a="1"/>
  <c r="C37" i="14" a="1"/>
  <c r="C48" i="24" a="1"/>
  <c r="BG55" i="28" a="1"/>
  <c r="AJ52" i="28" a="1"/>
  <c r="T48" i="14" a="1"/>
  <c r="J41" i="28" a="1"/>
  <c r="AM60" i="14" a="1"/>
  <c r="Y49" i="25" a="1"/>
  <c r="AK47" i="25" a="1"/>
  <c r="AD43" i="24" a="1"/>
  <c r="M47" i="26" a="1"/>
  <c r="BF46" i="27" a="1"/>
  <c r="AD42" i="27" a="1"/>
  <c r="AB59" i="25" a="1"/>
  <c r="E55" i="24" a="1"/>
  <c r="K59" i="14" a="1"/>
  <c r="AI51" i="27" a="1"/>
  <c r="AG42" i="14" a="1"/>
  <c r="Y45" i="28" a="1"/>
  <c r="J47" i="28" a="1"/>
  <c r="J55" i="24" a="1"/>
  <c r="P55" i="27" a="1"/>
  <c r="AX54" i="27" a="1"/>
  <c r="V35" i="28" a="1"/>
  <c r="AG48" i="24" a="1"/>
  <c r="AJ39" i="14" a="1"/>
  <c r="B53" i="28" a="1"/>
  <c r="BK45" i="26" a="1"/>
  <c r="Q50" i="28" a="1"/>
  <c r="AZ57" i="27" a="1"/>
  <c r="AV39" i="28" a="1"/>
  <c r="AV51" i="26" a="1"/>
  <c r="Q53" i="27" a="1"/>
  <c r="BK47" i="25" a="1"/>
  <c r="S42" i="14" a="1"/>
  <c r="D51" i="25" a="1"/>
  <c r="AS38" i="14" a="1"/>
  <c r="J37" i="28" a="1"/>
  <c r="E34" i="28" a="1"/>
  <c r="O41" i="25" a="1"/>
  <c r="S43" i="28" a="1"/>
  <c r="BF38" i="27" a="1"/>
  <c r="X48" i="28" a="1"/>
  <c r="M52" i="24" a="1"/>
  <c r="E42" i="26" a="1"/>
  <c r="P59" i="26" a="1"/>
  <c r="U58" i="25" a="1"/>
  <c r="N33" i="26" a="1"/>
  <c r="U40" i="26" a="1"/>
  <c r="AQ35" i="27" a="1"/>
  <c r="X34" i="26" a="1"/>
  <c r="BI44" i="14" a="1"/>
  <c r="F50" i="27" a="1"/>
  <c r="AA34" i="24" a="1"/>
  <c r="AR36" i="25" a="1"/>
  <c r="F41" i="26" a="1"/>
  <c r="AM38" i="26" a="1"/>
  <c r="AF44" i="24" a="1"/>
  <c r="F34" i="14" a="1"/>
  <c r="AX52" i="14" a="1"/>
  <c r="P58" i="28" a="1"/>
  <c r="Q47" i="14" a="1"/>
  <c r="BG57" i="25" a="1"/>
  <c r="BC57" i="14" a="1"/>
  <c r="S58" i="28" a="1"/>
  <c r="AD51" i="14" a="1"/>
  <c r="AK40" i="24" a="1"/>
  <c r="AW40" i="14" a="1"/>
  <c r="AN47" i="28" a="1"/>
  <c r="O54" i="24" a="1"/>
  <c r="BK40" i="25" a="1"/>
  <c r="AP38" i="25" a="1"/>
  <c r="BK39" i="28" a="1"/>
  <c r="R42" i="25" a="1"/>
  <c r="BE60" i="24" a="1"/>
  <c r="AP40" i="25" a="1"/>
  <c r="BD38" i="14" a="1"/>
  <c r="X52" i="14" a="1"/>
  <c r="AM42" i="25" a="1"/>
  <c r="K36" i="14" a="1"/>
  <c r="U59" i="27" a="1"/>
  <c r="AB39" i="24" a="1"/>
  <c r="BC44" i="27" a="1"/>
  <c r="R37" i="24" a="1"/>
  <c r="AT34" i="14" a="1"/>
  <c r="O56" i="24" a="1"/>
  <c r="BA60" i="25" a="1"/>
  <c r="BG41" i="25" a="1"/>
  <c r="AP58" i="24" a="1"/>
  <c r="AV54" i="25" a="1"/>
  <c r="BF42" i="14" a="1"/>
  <c r="AD57" i="28" a="1"/>
  <c r="BD59" i="25" a="1"/>
  <c r="AT50" i="14" a="1"/>
  <c r="BA33" i="26" a="1"/>
  <c r="L49" i="14" a="1"/>
  <c r="AP33" i="25" a="1"/>
  <c r="L38" i="26" a="1"/>
  <c r="P39" i="26" a="1"/>
  <c r="AW58" i="28" a="1"/>
  <c r="BI34" i="28" a="1"/>
  <c r="BC37" i="25" a="1"/>
  <c r="AI59" i="26" a="1"/>
  <c r="AM34" i="27" a="1"/>
  <c r="BI52" i="14" a="1"/>
  <c r="AZ58" i="28" a="1"/>
  <c r="AT53" i="26" a="1"/>
  <c r="AQ53" i="14" a="1"/>
  <c r="I34" i="25" a="1"/>
  <c r="AU44" i="25" a="1"/>
  <c r="BB53" i="24" a="1"/>
  <c r="AS33" i="25" a="1"/>
  <c r="H33" i="14" a="1"/>
  <c r="S50" i="14" a="1"/>
  <c r="N40" i="26" a="1"/>
  <c r="B42" i="28" a="1"/>
  <c r="BH34" i="25" a="1"/>
  <c r="BJ52" i="27" a="1"/>
  <c r="W37" i="25" a="1"/>
  <c r="K37" i="28" a="1"/>
  <c r="AW46" i="25" a="1"/>
  <c r="R48" i="24" a="1"/>
  <c r="BI50" i="26" a="1"/>
  <c r="AY35" i="14" a="1"/>
  <c r="T50" i="27" a="1"/>
  <c r="BD36" i="24" a="1"/>
  <c r="BF46" i="14" a="1"/>
  <c r="AR56" i="25" a="1"/>
  <c r="AZ38" i="27" a="1"/>
  <c r="AV33" i="25" a="1"/>
  <c r="AQ58" i="24" a="1"/>
  <c r="AH38" i="27" a="1"/>
  <c r="AH39" i="26" a="1"/>
  <c r="BI39" i="28" a="1"/>
  <c r="AJ53" i="27" a="1"/>
  <c r="AG35" i="26" a="1"/>
  <c r="AF45" i="14" a="1"/>
  <c r="I42" i="27" a="1"/>
  <c r="Q43" i="25" a="1"/>
  <c r="L55" i="24" a="1"/>
  <c r="BB37" i="24" a="1"/>
  <c r="AD57" i="14" a="1"/>
  <c r="E39" i="26" a="1"/>
  <c r="BH53" i="24" a="1"/>
  <c r="AI46" i="14" a="1"/>
  <c r="AW55" i="27" a="1"/>
  <c r="B53" i="26" a="1"/>
  <c r="K49" i="24" a="1"/>
  <c r="BI37" i="26" a="1"/>
  <c r="BH39" i="28" a="1"/>
  <c r="AP41" i="28" a="1"/>
  <c r="K37" i="27" a="1"/>
  <c r="BI49" i="24" a="1"/>
  <c r="AM54" i="24" a="1"/>
  <c r="AQ35" i="14" a="1"/>
  <c r="C40" i="14" a="1"/>
  <c r="AC52" i="25" a="1"/>
  <c r="M53" i="27" a="1"/>
  <c r="N55" i="26" a="1"/>
  <c r="B56" i="26" a="1"/>
  <c r="T51" i="27" a="1"/>
  <c r="AM42" i="26" a="1"/>
  <c r="AZ36" i="25" a="1"/>
  <c r="AJ50" i="14" a="1"/>
  <c r="BD41" i="28" a="1"/>
  <c r="AO59" i="26" a="1"/>
  <c r="G33" i="28" a="1"/>
  <c r="J46" i="26" a="1"/>
  <c r="G57" i="14" a="1"/>
  <c r="BH38" i="27" a="1"/>
  <c r="AJ33" i="14" a="1"/>
  <c r="AE58" i="14" a="1"/>
  <c r="AO40" i="14" a="1"/>
  <c r="AF36" i="14" a="1"/>
  <c r="E49" i="14" a="1"/>
  <c r="AH36" i="14" a="1"/>
  <c r="AU54" i="14" a="1"/>
  <c r="AL49" i="26" a="1"/>
  <c r="N49" i="26" a="1"/>
  <c r="AE50" i="24" a="1"/>
  <c r="M56" i="24" a="1"/>
  <c r="S49" i="14" a="1"/>
  <c r="T37" i="25" a="1"/>
  <c r="K53" i="28" a="1"/>
  <c r="R50" i="27" a="1"/>
  <c r="V59" i="14" a="1"/>
  <c r="D47" i="27" a="1"/>
  <c r="F34" i="26" a="1"/>
  <c r="AE54" i="26" a="1"/>
  <c r="AZ48" i="24" a="1"/>
  <c r="BE35" i="26" a="1"/>
  <c r="V38" i="26" a="1"/>
  <c r="L47" i="14" a="1"/>
  <c r="I53" i="26" a="1"/>
  <c r="D53" i="26" a="1"/>
  <c r="BK46" i="26" a="1"/>
  <c r="AK57" i="25" a="1"/>
  <c r="BK46" i="27" a="1"/>
  <c r="AV44" i="27" a="1"/>
  <c r="F41" i="25" a="1"/>
  <c r="K48" i="26" a="1"/>
  <c r="O46" i="25" a="1"/>
  <c r="S44" i="27" a="1"/>
  <c r="B48" i="25" a="1"/>
  <c r="W46" i="24" a="1"/>
  <c r="BG48" i="14" a="1"/>
  <c r="D33" i="14" a="1"/>
  <c r="M37" i="24" a="1"/>
  <c r="AE40" i="26" a="1"/>
  <c r="BB45" i="24" a="1"/>
  <c r="S56" i="26" a="1"/>
  <c r="R36" i="28" a="1"/>
  <c r="I58" i="26" a="1"/>
  <c r="R56" i="26" a="1"/>
  <c r="AJ35" i="26" a="1"/>
  <c r="M59" i="14" a="1"/>
  <c r="AQ54" i="14" a="1"/>
  <c r="AJ56" i="26" a="1"/>
  <c r="BB54" i="24" a="1"/>
  <c r="AW49" i="28" a="1"/>
  <c r="AD47" i="14" a="1"/>
  <c r="I49" i="28" a="1"/>
  <c r="X55" i="14" a="1"/>
  <c r="BK57" i="26" a="1"/>
  <c r="X57" i="25" a="1"/>
  <c r="AM59" i="26" a="1"/>
  <c r="BF49" i="24" a="1"/>
  <c r="BA37" i="27" a="1"/>
  <c r="O60" i="26" a="1"/>
  <c r="W54" i="25" a="1"/>
  <c r="AM39" i="28" a="1"/>
  <c r="AN45" i="14" a="1"/>
  <c r="AT50" i="28" a="1"/>
  <c r="AS34" i="26" a="1"/>
  <c r="AL56" i="25" a="1"/>
  <c r="W47" i="26" a="1"/>
  <c r="AV59" i="14" a="1"/>
  <c r="Q39" i="26" a="1"/>
  <c r="S55" i="24" a="1"/>
  <c r="AC44" i="26" a="1"/>
  <c r="BB36" i="14" a="1"/>
  <c r="V49" i="14" a="1"/>
  <c r="J53" i="27" a="1"/>
  <c r="W34" i="27" a="1"/>
  <c r="Y59" i="24" a="1"/>
  <c r="H58" i="24" a="1"/>
  <c r="AW50" i="27" a="1"/>
  <c r="AC46" i="27" a="1"/>
  <c r="S58" i="24" a="1"/>
  <c r="AG57" i="24" a="1"/>
  <c r="AE55" i="25" a="1"/>
  <c r="M55" i="25" a="1"/>
  <c r="AS33" i="14" a="1"/>
  <c r="AI56" i="25" a="1"/>
  <c r="BK47" i="27" a="1"/>
  <c r="AN50" i="14" a="1"/>
  <c r="AI57" i="28" a="1"/>
  <c r="L46" i="24" a="1"/>
  <c r="AV56" i="27" a="1"/>
  <c r="E50" i="25" a="1"/>
  <c r="BE40" i="14" a="1"/>
  <c r="X46" i="26" a="1"/>
  <c r="AO36" i="26" a="1"/>
  <c r="AX40" i="28" a="1"/>
  <c r="S57" i="24" a="1"/>
  <c r="V57" i="14" a="1"/>
  <c r="Z45" i="14" a="1"/>
  <c r="AS60" i="27" a="1"/>
  <c r="BF37" i="24" a="1"/>
  <c r="I35" i="25" a="1"/>
  <c r="U35" i="26" a="1"/>
  <c r="D51" i="14" a="1"/>
  <c r="AU43" i="26" a="1"/>
  <c r="AK48" i="24" a="1"/>
  <c r="E47" i="26" a="1"/>
  <c r="BB44" i="26" a="1"/>
  <c r="AZ57" i="25" a="1"/>
  <c r="AE47" i="14" a="1"/>
  <c r="AT46" i="24" a="1"/>
  <c r="Z37" i="28" a="1"/>
  <c r="AX59" i="14" a="1"/>
  <c r="U36" i="27" a="1"/>
  <c r="L49" i="24" a="1"/>
  <c r="V57" i="28" a="1"/>
  <c r="D41" i="25" a="1"/>
  <c r="I56" i="14" a="1"/>
  <c r="Z55" i="28" a="1"/>
  <c r="AZ49" i="24" a="1"/>
  <c r="I43" i="27" a="1"/>
  <c r="X42" i="28" a="1"/>
  <c r="AD51" i="28" a="1"/>
  <c r="L59" i="26" a="1"/>
  <c r="T38" i="28" a="1"/>
  <c r="AD38" i="28" a="1"/>
  <c r="AY38" i="25" a="1"/>
  <c r="AD45" i="27" a="1"/>
  <c r="AN37" i="24" a="1"/>
  <c r="BJ38" i="28" a="1"/>
  <c r="Z54" i="26" a="1"/>
  <c r="C59" i="27" a="1"/>
  <c r="G43" i="26" a="1"/>
  <c r="Q56" i="24" a="1"/>
  <c r="Z45" i="24" a="1"/>
  <c r="AS41" i="24" a="1"/>
  <c r="AN53" i="28" a="1"/>
  <c r="AC46" i="28" a="1"/>
  <c r="BI42" i="24" a="1"/>
  <c r="AQ33" i="26" a="1"/>
  <c r="V51" i="26" a="1"/>
  <c r="BC44" i="26" a="1"/>
  <c r="S49" i="25" a="1"/>
  <c r="BI36" i="24" a="1"/>
  <c r="AH43" i="28" a="1"/>
  <c r="AP56" i="28" a="1"/>
  <c r="E33" i="28" a="1"/>
  <c r="H52" i="28" a="1"/>
  <c r="AH35" i="14" a="1"/>
  <c r="Q54" i="27" a="1"/>
  <c r="AB52" i="25" a="1"/>
  <c r="AH40" i="27" a="1"/>
  <c r="BI54" i="25" a="1"/>
  <c r="T49" i="27" a="1"/>
  <c r="AA49" i="26" a="1"/>
  <c r="I37" i="27" a="1"/>
  <c r="B50" i="25" a="1"/>
  <c r="AU59" i="28" a="1"/>
  <c r="AY37" i="28" a="1"/>
  <c r="W54" i="27" a="1"/>
  <c r="AM37" i="26" a="1"/>
  <c r="R57" i="25" a="1"/>
  <c r="J51" i="28" a="1"/>
  <c r="AI43" i="24" a="1"/>
  <c r="AP39" i="28" a="1"/>
  <c r="U59" i="28" a="1"/>
  <c r="T55" i="27" a="1"/>
  <c r="H38" i="14" a="1"/>
  <c r="AA39" i="27" a="1"/>
  <c r="AC60" i="14" a="1"/>
  <c r="AS46" i="27" a="1"/>
  <c r="BG59" i="25" a="1"/>
  <c r="AT53" i="27" a="1"/>
  <c r="BJ49" i="25" a="1"/>
  <c r="BA42" i="28" a="1"/>
  <c r="AW60" i="27" a="1"/>
  <c r="AQ40" i="26" a="1"/>
  <c r="K54" i="25" a="1"/>
  <c r="AA56" i="26" a="1"/>
  <c r="AB44" i="26" a="1"/>
  <c r="BF49" i="14" a="1"/>
  <c r="BJ54" i="27" a="1"/>
  <c r="AF45" i="27" a="1"/>
  <c r="AX57" i="28" a="1"/>
  <c r="BG34" i="25" a="1"/>
  <c r="BA54" i="26" a="1"/>
  <c r="O39" i="24" a="1"/>
  <c r="AK50" i="28" a="1"/>
  <c r="AM36" i="25" a="1"/>
  <c r="AU42" i="28" a="1"/>
  <c r="I59" i="28" a="1"/>
  <c r="H60" i="27" a="1"/>
  <c r="P49" i="14" a="1"/>
  <c r="AX55" i="24" a="1"/>
  <c r="AA38" i="25" a="1"/>
  <c r="F46" i="28" a="1"/>
  <c r="J44" i="28" a="1"/>
  <c r="Q44" i="14" a="1"/>
  <c r="AQ54" i="25" a="1"/>
  <c r="AR54" i="24" a="1"/>
  <c r="P59" i="24" a="1"/>
  <c r="E44" i="24" a="1"/>
  <c r="N42" i="27" a="1"/>
  <c r="V47" i="24" a="1"/>
  <c r="AC33" i="14" a="1"/>
  <c r="Z51" i="24" a="1"/>
  <c r="O33" i="27" a="1"/>
  <c r="BJ37" i="27" a="1"/>
  <c r="AB41" i="25" a="1"/>
  <c r="BG37" i="26" a="1"/>
  <c r="AB60" i="27" a="1"/>
  <c r="F50" i="28" a="1"/>
  <c r="E55" i="14" a="1"/>
  <c r="G52" i="14" a="1"/>
  <c r="AM55" i="24" a="1"/>
  <c r="AA33" i="25" a="1"/>
  <c r="S41" i="28" a="1"/>
  <c r="AM40" i="26" a="1"/>
  <c r="E47" i="25" a="1"/>
  <c r="AM58" i="26" a="1"/>
  <c r="R55" i="27" a="1"/>
  <c r="P49" i="24" a="1"/>
  <c r="AQ35" i="26" a="1"/>
  <c r="L59" i="28" a="1"/>
  <c r="H57" i="14" a="1"/>
  <c r="O59" i="25" a="1"/>
  <c r="H60" i="25" a="1"/>
  <c r="X51" i="25" a="1"/>
  <c r="AY36" i="25" a="1"/>
  <c r="C41" i="28" a="1"/>
  <c r="AA49" i="14" a="1"/>
  <c r="AB37" i="24" a="1"/>
  <c r="S36" i="14" a="1"/>
  <c r="O52" i="26" a="1"/>
  <c r="C52" i="28" a="1"/>
  <c r="S53" i="24" a="1"/>
  <c r="AB36" i="28" a="1"/>
  <c r="AI43" i="26" a="1"/>
  <c r="AJ59" i="14" a="1"/>
  <c r="BJ50" i="14" a="1"/>
  <c r="AA33" i="14" a="1"/>
  <c r="BF55" i="14" a="1"/>
  <c r="AO35" i="27" a="1"/>
  <c r="BB43" i="14" a="1"/>
  <c r="D54" i="27" a="1"/>
  <c r="U41" i="26" a="1"/>
  <c r="BH56" i="26" a="1"/>
  <c r="Y55" i="25" a="1"/>
  <c r="D52" i="28" a="1"/>
  <c r="I48" i="25" a="1"/>
  <c r="AF60" i="25" a="1"/>
  <c r="BH35" i="25" a="1"/>
  <c r="AK58" i="24" a="1"/>
  <c r="Q47" i="28" a="1"/>
  <c r="AI59" i="28" a="1"/>
  <c r="AN52" i="14" a="1"/>
  <c r="AP43" i="27" a="1"/>
  <c r="W37" i="26" a="1"/>
  <c r="AL48" i="25" a="1"/>
  <c r="E55" i="25" a="1"/>
  <c r="N50" i="24" a="1"/>
  <c r="BI52" i="27" a="1"/>
  <c r="E44" i="26" a="1"/>
  <c r="BG45" i="24" a="1"/>
  <c r="AT36" i="26" a="1"/>
  <c r="C34" i="25" a="1"/>
  <c r="AG35" i="24" a="1"/>
  <c r="O43" i="14" a="1"/>
  <c r="H40" i="26" a="1"/>
  <c r="AH56" i="28" a="1"/>
  <c r="BC41" i="27" a="1"/>
  <c r="AH48" i="28" a="1"/>
  <c r="AV38" i="14" a="1"/>
  <c r="R43" i="26" a="1"/>
  <c r="M58" i="28" a="1"/>
  <c r="BG51" i="27" a="1"/>
  <c r="AN42" i="26" a="1"/>
  <c r="AA36" i="28" a="1"/>
  <c r="AJ42" i="25" a="1"/>
  <c r="AO49" i="27" a="1"/>
  <c r="AM53" i="26" a="1"/>
  <c r="BE45" i="26" a="1"/>
  <c r="D43" i="25" a="1"/>
  <c r="O44" i="26" a="1"/>
  <c r="AL44" i="25" a="1"/>
  <c r="AL38" i="25" a="1"/>
  <c r="AN40" i="26" a="1"/>
  <c r="BF37" i="28" a="1"/>
  <c r="E36" i="26" a="1"/>
  <c r="O53" i="24" a="1"/>
  <c r="C45" i="25" a="1"/>
  <c r="AU44" i="27" a="1"/>
  <c r="E41" i="28" a="1"/>
  <c r="O36" i="26" a="1"/>
  <c r="BJ48" i="28" a="1"/>
  <c r="M54" i="24" a="1"/>
  <c r="I59" i="27" a="1"/>
  <c r="BC36" i="27" a="1"/>
  <c r="D53" i="14" a="1"/>
  <c r="H58" i="27" a="1"/>
  <c r="M44" i="14" a="1"/>
  <c r="Y35" i="14" a="1"/>
  <c r="AG41" i="27" a="1"/>
  <c r="AX50" i="28" a="1"/>
  <c r="E58" i="25" a="1"/>
  <c r="AN52" i="27" a="1"/>
  <c r="B58" i="14" a="1"/>
  <c r="AO36" i="27" a="1"/>
  <c r="AC58" i="26" a="1"/>
  <c r="AM54" i="26" a="1"/>
  <c r="BC35" i="14" a="1"/>
  <c r="AN54" i="26" a="1"/>
  <c r="I45" i="25" a="1"/>
  <c r="V46" i="27" a="1"/>
  <c r="AW40" i="27" a="1"/>
  <c r="AU46" i="24" a="1"/>
  <c r="G47" i="28" a="1"/>
  <c r="AZ36" i="24" a="1"/>
  <c r="AM45" i="26" a="1"/>
  <c r="T60" i="24" a="1"/>
  <c r="AF55" i="26" a="1"/>
  <c r="I44" i="14" a="1"/>
  <c r="AA38" i="24" a="1"/>
  <c r="AB51" i="27" a="1"/>
  <c r="AI48" i="14" a="1"/>
  <c r="E35" i="14" a="1"/>
  <c r="AX58" i="14" a="1"/>
  <c r="Y48" i="25" a="1"/>
  <c r="AG35" i="27" a="1"/>
  <c r="AJ38" i="24" a="1"/>
  <c r="BG42" i="26" a="1"/>
  <c r="E37" i="24" a="1"/>
  <c r="B39" i="25" a="1"/>
  <c r="AJ46" i="14" a="1"/>
  <c r="AH54" i="24" a="1"/>
  <c r="F56" i="24" a="1"/>
  <c r="BK37" i="24" a="1"/>
  <c r="AT36" i="25" a="1"/>
  <c r="AW43" i="14" a="1"/>
  <c r="AB47" i="27" a="1"/>
  <c r="AQ52" i="25" a="1"/>
  <c r="V39" i="27" a="1"/>
  <c r="AJ37" i="28" a="1"/>
  <c r="U33" i="25" a="1"/>
  <c r="AX53" i="24" a="1"/>
  <c r="D55" i="27" a="1"/>
  <c r="BC39" i="24" a="1"/>
  <c r="T59" i="25" a="1"/>
  <c r="V33" i="27" a="1"/>
  <c r="BD40" i="24" a="1"/>
  <c r="BB42" i="28" a="1"/>
  <c r="AW39" i="27" a="1"/>
  <c r="AS43" i="27" a="1"/>
  <c r="AU47" i="26" a="1"/>
  <c r="C57" i="28" a="1"/>
  <c r="AX51" i="27" a="1"/>
  <c r="BJ54" i="28" a="1"/>
  <c r="E46" i="25" a="1"/>
  <c r="C40" i="26" a="1"/>
  <c r="K39" i="14" a="1"/>
  <c r="AA37" i="25" a="1"/>
  <c r="L35" i="26" a="1"/>
  <c r="W40" i="25" a="1"/>
  <c r="AQ48" i="27" a="1"/>
  <c r="AI55" i="26" a="1"/>
  <c r="N52" i="27" a="1"/>
  <c r="AP42" i="28" a="1"/>
  <c r="AL51" i="14" a="1"/>
  <c r="AD47" i="25" a="1"/>
  <c r="AV52" i="24" a="1"/>
  <c r="AS45" i="28" a="1"/>
  <c r="BJ41" i="28" a="1"/>
  <c r="R58" i="27" a="1"/>
  <c r="BK33" i="25" a="1"/>
  <c r="T60" i="25" a="1"/>
  <c r="AC43" i="27" a="1"/>
  <c r="AU44" i="26" a="1"/>
  <c r="AA59" i="24" a="1"/>
  <c r="P58" i="25" a="1"/>
  <c r="U58" i="27" a="1"/>
  <c r="BH44" i="24" a="1"/>
  <c r="Z54" i="24" a="1"/>
  <c r="O39" i="26" a="1"/>
  <c r="AA53" i="14" a="1"/>
  <c r="AD46" i="14" a="1"/>
  <c r="T50" i="25" a="1"/>
  <c r="D36" i="24" a="1"/>
  <c r="N60" i="28" a="1"/>
  <c r="W58" i="24" a="1"/>
  <c r="T37" i="14" a="1"/>
  <c r="AP39" i="25" a="1"/>
  <c r="P51" i="27" a="1"/>
  <c r="AD40" i="28" a="1"/>
  <c r="AY51" i="28" a="1"/>
  <c r="BA41" i="28" a="1"/>
  <c r="BJ42" i="14" a="1"/>
  <c r="B50" i="27" a="1"/>
  <c r="AN43" i="14" a="1"/>
  <c r="AU45" i="25" a="1"/>
  <c r="AQ36" i="25" a="1"/>
  <c r="C51" i="27" a="1"/>
  <c r="F60" i="26" a="1"/>
  <c r="BF34" i="14" a="1"/>
  <c r="AJ59" i="27" a="1"/>
  <c r="BH42" i="27" a="1"/>
  <c r="AM47" i="26" a="1"/>
  <c r="Z43" i="26" a="1"/>
  <c r="AZ47" i="27" a="1"/>
  <c r="AA59" i="25" a="1"/>
  <c r="AI34" i="24" a="1"/>
  <c r="O40" i="14" a="1"/>
  <c r="AT42" i="26" a="1"/>
  <c r="Y44" i="27" a="1"/>
  <c r="AO46" i="24" a="1"/>
  <c r="AM51" i="24" a="1"/>
  <c r="BE38" i="14" a="1"/>
  <c r="T33" i="27" a="1"/>
  <c r="AI40" i="14" a="1"/>
  <c r="BK48" i="26" a="1"/>
  <c r="AU33" i="24" a="1"/>
  <c r="M38" i="14" a="1"/>
  <c r="BJ42" i="25" a="1"/>
  <c r="E43" i="25" a="1"/>
  <c r="AN55" i="14" a="1"/>
  <c r="AQ52" i="28" a="1"/>
  <c r="J47" i="25" a="1"/>
  <c r="BC56" i="28" a="1"/>
  <c r="AV49" i="26" a="1"/>
  <c r="V33" i="26" a="1"/>
  <c r="BJ49" i="14" a="1"/>
  <c r="AK42" i="26" a="1"/>
  <c r="AW52" i="14" a="1"/>
  <c r="AW39" i="14" a="1"/>
  <c r="AN47" i="25" a="1"/>
  <c r="I49" i="26" a="1"/>
  <c r="AG57" i="27" a="1"/>
  <c r="AB42" i="28" a="1"/>
  <c r="AS46" i="24" a="1"/>
  <c r="B45" i="26" a="1"/>
  <c r="AD38" i="25" a="1"/>
  <c r="BI55" i="14" a="1"/>
  <c r="W37" i="28" a="1"/>
  <c r="AM52" i="24" a="1"/>
  <c r="C59" i="14" a="1"/>
  <c r="AY39" i="24" a="1"/>
  <c r="O53" i="27" a="1"/>
  <c r="G48" i="28" a="1"/>
  <c r="AT42" i="27" a="1"/>
  <c r="BJ33" i="27" a="1"/>
  <c r="AE37" i="25" a="1"/>
  <c r="AB59" i="26" a="1"/>
  <c r="AP56" i="27" a="1"/>
  <c r="Q42" i="28" a="1"/>
  <c r="AO54" i="25" a="1"/>
  <c r="AU42" i="26" a="1"/>
  <c r="U56" i="24" a="1"/>
  <c r="AC55" i="14" a="1"/>
  <c r="AL35" i="28" a="1"/>
  <c r="W35" i="27" a="1"/>
  <c r="AB52" i="24" a="1"/>
  <c r="R60" i="26" a="1"/>
  <c r="AX42" i="27" a="1"/>
  <c r="Z38" i="24" a="1"/>
  <c r="AN48" i="25" a="1"/>
  <c r="BB36" i="28" a="1"/>
  <c r="B53" i="24" a="1"/>
  <c r="AY55" i="26" a="1"/>
  <c r="J42" i="14" a="1"/>
  <c r="Y45" i="26" a="1"/>
  <c r="BI36" i="28" a="1"/>
  <c r="G53" i="27" a="1"/>
  <c r="AE49" i="14" a="1"/>
  <c r="U38" i="24" a="1"/>
  <c r="AN36" i="25" a="1"/>
  <c r="BD43" i="27" a="1"/>
  <c r="BD39" i="26" a="1"/>
  <c r="AA39" i="26" a="1"/>
  <c r="AH34" i="27" a="1"/>
  <c r="U42" i="26" a="1"/>
  <c r="AE45" i="14" a="1"/>
  <c r="W51" i="26" a="1"/>
  <c r="U39" i="27" a="1"/>
  <c r="AT40" i="26" a="1"/>
  <c r="R45" i="24" a="1"/>
  <c r="AQ41" i="24" a="1"/>
  <c r="C56" i="24" a="1"/>
  <c r="BG44" i="14" a="1"/>
  <c r="BH46" i="27" a="1"/>
  <c r="AV55" i="25" a="1"/>
  <c r="BJ60" i="24" a="1"/>
  <c r="AE54" i="25" a="1"/>
  <c r="AC39" i="24" a="1"/>
  <c r="E46" i="14" a="1"/>
  <c r="BF36" i="14" a="1"/>
  <c r="R60" i="25" a="1"/>
  <c r="BA52" i="24" a="1"/>
  <c r="BC35" i="28" a="1"/>
  <c r="BC36" i="28" a="1"/>
  <c r="AH43" i="27" a="1"/>
  <c r="BD36" i="27" a="1"/>
  <c r="M40" i="27" a="1"/>
  <c r="BG44" i="26" a="1"/>
  <c r="AS40" i="26" a="1"/>
  <c r="AM56" i="26" a="1"/>
  <c r="X45" i="14" a="1"/>
  <c r="AL58" i="14" a="1"/>
  <c r="BG50" i="25" a="1"/>
  <c r="AC36" i="28" a="1"/>
  <c r="K34" i="27" a="1"/>
  <c r="AF37" i="24" a="1"/>
  <c r="AM55" i="25" a="1"/>
  <c r="BC38" i="28" a="1"/>
  <c r="AZ50" i="26" a="1"/>
  <c r="U35" i="24" a="1"/>
  <c r="BA51" i="24" a="1"/>
  <c r="BF45" i="27" a="1"/>
  <c r="O56" i="26" a="1"/>
  <c r="W35" i="25" a="1"/>
  <c r="B53" i="25" a="1"/>
  <c r="BJ44" i="26" a="1"/>
  <c r="U58" i="28" a="1"/>
  <c r="AI36" i="28" a="1"/>
  <c r="O47" i="28" a="1"/>
  <c r="Q53" i="14" a="1"/>
  <c r="AJ38" i="26" a="1"/>
  <c r="V34" i="28" a="1"/>
  <c r="BJ33" i="26" a="1"/>
  <c r="Q49" i="25" a="1"/>
  <c r="BK55" i="26" a="1"/>
  <c r="AS48" i="26" a="1"/>
  <c r="R37" i="14" a="1"/>
  <c r="BB45" i="14" a="1"/>
  <c r="AI37" i="26" a="1"/>
  <c r="AJ34" i="25" a="1"/>
  <c r="S49" i="28" a="1"/>
  <c r="B57" i="14" a="1"/>
  <c r="L43" i="27" a="1"/>
  <c r="BC59" i="14" a="1"/>
  <c r="V39" i="14" a="1"/>
  <c r="BK53" i="27" a="1"/>
  <c r="AI40" i="24" a="1"/>
  <c r="U54" i="28" a="1"/>
  <c r="E52" i="28" a="1"/>
  <c r="AX33" i="28" a="1"/>
  <c r="AT52" i="24" a="1"/>
  <c r="M47" i="24" a="1"/>
  <c r="AL55" i="27" a="1"/>
  <c r="AX46" i="14" a="1"/>
  <c r="AV43" i="28" a="1"/>
  <c r="BB45" i="28" a="1"/>
  <c r="AK41" i="28" a="1"/>
  <c r="BI56" i="27" a="1"/>
  <c r="AT48" i="25" a="1"/>
  <c r="BB60" i="25" a="1"/>
  <c r="AV42" i="24" a="1"/>
  <c r="AU33" i="28" a="1"/>
  <c r="H41" i="24" a="1"/>
  <c r="AT45" i="28" a="1"/>
  <c r="AZ38" i="14" a="1"/>
  <c r="BF48" i="27" a="1"/>
  <c r="AB51" i="26" a="1"/>
  <c r="BE37" i="28" a="1"/>
  <c r="AB53" i="24" a="1"/>
  <c r="J58" i="14" a="1"/>
  <c r="AD53" i="25" a="1"/>
  <c r="BH59" i="26" a="1"/>
  <c r="AW44" i="27" a="1"/>
  <c r="AT46" i="14" a="1"/>
  <c r="BJ57" i="28" a="1"/>
  <c r="C49" i="14" a="1"/>
  <c r="AX50" i="14" a="1"/>
  <c r="BF56" i="28" a="1"/>
  <c r="BD47" i="25" a="1"/>
  <c r="F46" i="24" a="1"/>
  <c r="Y38" i="24" a="1"/>
  <c r="AI38" i="25" a="1"/>
  <c r="BF52" i="25" a="1"/>
  <c r="J33" i="27" a="1"/>
  <c r="AC39" i="27" a="1"/>
  <c r="E56" i="26" a="1"/>
  <c r="L41" i="27" a="1"/>
  <c r="AK55" i="25" a="1"/>
  <c r="BG37" i="28" a="1"/>
  <c r="B46" i="27" a="1"/>
  <c r="BF42" i="25" a="1"/>
  <c r="BC34" i="14" a="1"/>
  <c r="AV41" i="26" a="1"/>
  <c r="Y45" i="24" a="1"/>
  <c r="AL44" i="28" a="1"/>
  <c r="BI48" i="28" a="1"/>
  <c r="BF33" i="25" a="1"/>
  <c r="AZ51" i="28" a="1"/>
  <c r="W34" i="24" a="1"/>
  <c r="BG52" i="26" a="1"/>
  <c r="BK60" i="24" a="1"/>
  <c r="BK43" i="14" a="1"/>
  <c r="AH44" i="14" a="1"/>
  <c r="AE36" i="25" a="1"/>
  <c r="AR34" i="26" a="1"/>
  <c r="AF43" i="26" a="1"/>
  <c r="O34" i="28" a="1"/>
  <c r="AS56" i="14" a="1"/>
  <c r="Z55" i="24" a="1"/>
  <c r="AF56" i="14" a="1"/>
  <c r="X38" i="26" a="1"/>
  <c r="AB45" i="28" a="1"/>
  <c r="D57" i="26" a="1"/>
  <c r="AP37" i="28" a="1"/>
  <c r="AM50" i="25" a="1"/>
  <c r="AJ55" i="14" a="1"/>
  <c r="T34" i="14" a="1"/>
  <c r="AA50" i="27" a="1"/>
  <c r="O50" i="28" a="1"/>
  <c r="L48" i="24" a="1"/>
  <c r="AJ47" i="28" a="1"/>
  <c r="T35" i="14" a="1"/>
  <c r="BJ40" i="24" a="1"/>
  <c r="AH47" i="26" a="1"/>
  <c r="AW48" i="25" a="1"/>
  <c r="E37" i="25" a="1"/>
  <c r="AQ47" i="26" a="1"/>
  <c r="BF47" i="24" a="1"/>
  <c r="AG52" i="14" a="1"/>
  <c r="V49" i="26" a="1"/>
  <c r="I42" i="28" a="1"/>
  <c r="S45" i="26" a="1"/>
  <c r="AH36" i="27" a="1"/>
  <c r="AR38" i="14" a="1"/>
  <c r="AK59" i="28" a="1"/>
  <c r="BC33" i="27" a="1"/>
  <c r="AG38" i="28" a="1"/>
  <c r="M55" i="24" a="1"/>
  <c r="AW55" i="25" a="1"/>
  <c r="BG43" i="14" a="1"/>
  <c r="C48" i="26" a="1"/>
  <c r="U33" i="24" a="1"/>
  <c r="AO39" i="28" a="1"/>
  <c r="AT53" i="14" a="1"/>
  <c r="AI46" i="27" a="1"/>
  <c r="M56" i="28" a="1"/>
  <c r="K45" i="28" a="1"/>
  <c r="H55" i="25" a="1"/>
  <c r="O38" i="24" a="1"/>
  <c r="L37" i="28" a="1"/>
  <c r="BH46" i="28" a="1"/>
  <c r="AB36" i="27" a="1"/>
  <c r="BG53" i="26" a="1"/>
  <c r="AV43" i="24" a="1"/>
  <c r="AW36" i="26" a="1"/>
  <c r="AP54" i="27" a="1"/>
  <c r="M35" i="27" a="1"/>
  <c r="X34" i="24" a="1"/>
  <c r="T47" i="24" a="1"/>
  <c r="G34" i="25" a="1"/>
  <c r="H54" i="24" a="1"/>
  <c r="BK54" i="14" a="1"/>
  <c r="BJ54" i="14" a="1"/>
  <c r="BJ44" i="27" a="1"/>
  <c r="AU46" i="27" a="1"/>
  <c r="E43" i="27" a="1"/>
  <c r="P41" i="24" a="1"/>
  <c r="X37" i="25" a="1"/>
  <c r="R49" i="25" a="1"/>
  <c r="AS34" i="27" a="1"/>
  <c r="U40" i="28" a="1"/>
  <c r="BD49" i="14" a="1"/>
  <c r="L44" i="26" a="1"/>
  <c r="G34" i="26" a="1"/>
  <c r="BI60" i="14" a="1"/>
  <c r="P53" i="14" a="1"/>
  <c r="AI48" i="24" a="1"/>
  <c r="AO47" i="14" a="1"/>
  <c r="AD45" i="28" a="1"/>
  <c r="D35" i="27" a="1"/>
  <c r="G38" i="24" a="1"/>
  <c r="AF59" i="26" a="1"/>
  <c r="AF48" i="14" a="1"/>
  <c r="AC43" i="25" a="1"/>
  <c r="AE34" i="26" a="1"/>
  <c r="BE34" i="14" a="1"/>
  <c r="G36" i="24" a="1"/>
  <c r="BG37" i="24" a="1"/>
  <c r="R55" i="14" a="1"/>
  <c r="BB46" i="28" a="1"/>
  <c r="S57" i="25" a="1"/>
  <c r="AQ38" i="24" a="1"/>
  <c r="BJ50" i="28" a="1"/>
  <c r="BC56" i="24" a="1"/>
  <c r="AG48" i="28" a="1"/>
  <c r="Y34" i="14" a="1"/>
  <c r="H50" i="25" a="1"/>
  <c r="H55" i="24" a="1"/>
  <c r="P53" i="25" a="1"/>
  <c r="AK59" i="27" a="1"/>
  <c r="O33" i="28" a="1"/>
  <c r="X39" i="25" a="1"/>
  <c r="V56" i="14" a="1"/>
  <c r="P34" i="27" a="1"/>
  <c r="BE53" i="28" a="1"/>
  <c r="P38" i="24" a="1"/>
  <c r="AH53" i="14" a="1"/>
  <c r="Z51" i="26" a="1"/>
  <c r="D40" i="27" a="1"/>
  <c r="AN40" i="24" a="1"/>
  <c r="K35" i="25" a="1"/>
  <c r="BI46" i="14" a="1"/>
  <c r="R56" i="24" a="1"/>
  <c r="AT58" i="28" a="1"/>
  <c r="AU51" i="27" a="1"/>
  <c r="BD53" i="26" a="1"/>
  <c r="AJ48" i="27" a="1"/>
  <c r="AZ60" i="24" a="1"/>
  <c r="AX55" i="27" a="1"/>
  <c r="J53" i="25" a="1"/>
  <c r="AD60" i="14" a="1"/>
  <c r="T53" i="27" a="1"/>
  <c r="AP50" i="14" a="1"/>
  <c r="BH36" i="14" a="1"/>
  <c r="AF35" i="26" a="1"/>
  <c r="AG47" i="24" a="1"/>
  <c r="AB55" i="25" a="1"/>
  <c r="AA58" i="24" a="1"/>
  <c r="AB34" i="24" a="1"/>
  <c r="AU38" i="27" a="1"/>
  <c r="K46" i="25" a="1"/>
  <c r="I55" i="26" a="1"/>
  <c r="BC48" i="14" a="1"/>
  <c r="AZ43" i="27" a="1"/>
  <c r="BE56" i="24" a="1"/>
  <c r="AP44" i="25" a="1"/>
  <c r="AC38" i="27" a="1"/>
  <c r="U44" i="28" a="1"/>
  <c r="V43" i="14" a="1"/>
  <c r="E39" i="28" a="1"/>
  <c r="F37" i="25" a="1"/>
  <c r="BF57" i="25" a="1"/>
  <c r="K42" i="25" a="1"/>
  <c r="AO48" i="14" a="1"/>
  <c r="BK42" i="14" a="1"/>
  <c r="U47" i="25" a="1"/>
  <c r="F53" i="27" a="1"/>
  <c r="M51" i="24" a="1"/>
  <c r="AB46" i="26" a="1"/>
  <c r="L42" i="14" a="1"/>
  <c r="AL39" i="27" a="1"/>
  <c r="AL37" i="14" a="1"/>
  <c r="K58" i="14" a="1"/>
  <c r="W46" i="26" a="1"/>
  <c r="L40" i="25" a="1"/>
  <c r="G51" i="24" a="1"/>
  <c r="AC34" i="24" a="1"/>
  <c r="X33" i="14" a="1"/>
  <c r="BE48" i="25" a="1"/>
  <c r="BH36" i="25" a="1"/>
  <c r="D54" i="24" a="1"/>
  <c r="AU50" i="14" a="1"/>
  <c r="BI51" i="27" a="1"/>
  <c r="AD57" i="25" a="1"/>
  <c r="BC59" i="28" a="1"/>
  <c r="V56" i="25" a="1"/>
  <c r="V45" i="24" a="1"/>
  <c r="AF48" i="26" a="1"/>
  <c r="AT38" i="27" a="1"/>
  <c r="AU55" i="27" a="1"/>
  <c r="Z46" i="25" a="1"/>
  <c r="BI56" i="25" a="1"/>
  <c r="AJ34" i="14" a="1"/>
  <c r="X34" i="28" a="1"/>
  <c r="J59" i="28" a="1"/>
  <c r="W39" i="27" a="1"/>
  <c r="BE35" i="24" a="1"/>
  <c r="BK55" i="24" a="1"/>
  <c r="AC51" i="25" a="1"/>
  <c r="AE37" i="27" a="1"/>
  <c r="L50" i="26" a="1"/>
  <c r="AT35" i="26" a="1"/>
  <c r="AM46" i="14" a="1"/>
  <c r="R53" i="24" a="1"/>
  <c r="O57" i="28" a="1"/>
  <c r="BD41" i="26" a="1"/>
  <c r="X43" i="28" a="1"/>
  <c r="BB51" i="28" a="1"/>
  <c r="AJ56" i="28" a="1"/>
  <c r="B59" i="25" a="1"/>
  <c r="AW33" i="27" a="1"/>
  <c r="AQ60" i="24" a="1"/>
  <c r="AV54" i="28" a="1"/>
  <c r="AP55" i="24" a="1"/>
  <c r="AT41" i="26" a="1"/>
  <c r="BD39" i="27" a="1"/>
  <c r="K38" i="24" a="1"/>
  <c r="G57" i="24" a="1"/>
  <c r="AL45" i="24" a="1"/>
  <c r="AI53" i="28" a="1"/>
  <c r="AG36" i="28" a="1"/>
  <c r="AS44" i="24" a="1"/>
  <c r="AH52" i="25" a="1"/>
  <c r="U51" i="28" a="1"/>
  <c r="AT50" i="24" a="1"/>
  <c r="BG36" i="25" a="1"/>
  <c r="U39" i="14" a="1"/>
  <c r="AZ60" i="26" a="1"/>
  <c r="AW43" i="26" a="1"/>
  <c r="BI48" i="27" a="1"/>
  <c r="Y39" i="24" a="1"/>
  <c r="BI53" i="27" a="1"/>
  <c r="Y43" i="24" a="1"/>
  <c r="AM51" i="14" a="1"/>
  <c r="AO54" i="28" a="1"/>
  <c r="AI39" i="25" a="1"/>
  <c r="O35" i="28" a="1"/>
  <c r="AE42" i="27" a="1"/>
  <c r="P56" i="26" a="1"/>
  <c r="AE54" i="14" a="1"/>
  <c r="AD41" i="25" a="1"/>
  <c r="BA46" i="25" a="1"/>
  <c r="AA51" i="25" a="1"/>
  <c r="M58" i="27" a="1"/>
  <c r="AC58" i="27" a="1"/>
  <c r="AZ55" i="27" a="1"/>
  <c r="L38" i="25" a="1"/>
  <c r="X48" i="24" a="1"/>
  <c r="H54" i="26" a="1"/>
  <c r="N44" i="28" a="1"/>
  <c r="F51" i="14" a="1"/>
  <c r="N46" i="28" a="1"/>
  <c r="BG47" i="27" a="1"/>
  <c r="BE34" i="26" a="1"/>
  <c r="AT56" i="25" a="1"/>
  <c r="AB57" i="24" a="1"/>
  <c r="AW37" i="24" a="1"/>
  <c r="AU45" i="24" a="1"/>
  <c r="M54" i="27" a="1"/>
  <c r="AN60" i="26" a="1"/>
  <c r="M41" i="25" a="1"/>
  <c r="D40" i="14" a="1"/>
  <c r="AJ57" i="28" a="1"/>
  <c r="M46" i="27" a="1"/>
  <c r="N54" i="14" a="1"/>
  <c r="AZ45" i="25" a="1"/>
  <c r="AC42" i="26" a="1"/>
  <c r="F52" i="26" a="1"/>
  <c r="AH46" i="25" a="1"/>
  <c r="BB45" i="27" a="1"/>
  <c r="AD40" i="25" a="1"/>
  <c r="O34" i="26" a="1"/>
  <c r="BC56" i="25" a="1"/>
  <c r="S57" i="28" a="1"/>
  <c r="AN34" i="25" a="1"/>
  <c r="Q49" i="27" a="1"/>
  <c r="P54" i="28" a="1"/>
  <c r="AI33" i="24" a="1"/>
  <c r="AE48" i="14" a="1"/>
  <c r="AP36" i="28" a="1"/>
  <c r="D56" i="24" a="1"/>
  <c r="BA43" i="25" a="1"/>
  <c r="E36" i="14" a="1"/>
  <c r="D56" i="26" a="1"/>
  <c r="AH42" i="28" a="1"/>
  <c r="AF57" i="14" a="1"/>
  <c r="AT39" i="28" a="1"/>
  <c r="BG33" i="27" a="1"/>
  <c r="AJ39" i="24" a="1"/>
  <c r="BB52" i="25" a="1"/>
  <c r="BF36" i="28" a="1"/>
  <c r="T40" i="25" a="1"/>
  <c r="P37" i="28" a="1"/>
  <c r="AZ44" i="25" a="1"/>
  <c r="BF38" i="28" a="1"/>
  <c r="BH46" i="25" a="1"/>
  <c r="F38" i="14" a="1"/>
  <c r="F48" i="25" a="1"/>
  <c r="BK56" i="26" a="1"/>
  <c r="R35" i="25" a="1"/>
  <c r="K58" i="28" a="1"/>
  <c r="P45" i="28" a="1"/>
  <c r="U53" i="26" a="1"/>
  <c r="Z33" i="27" a="1"/>
  <c r="BA59" i="26" a="1"/>
  <c r="X55" i="25" a="1"/>
  <c r="S35" i="25" a="1"/>
  <c r="BK54" i="28" a="1"/>
  <c r="Q34" i="14" a="1"/>
  <c r="AP52" i="28" a="1"/>
  <c r="P51" i="28" a="1"/>
  <c r="AV37" i="26" a="1"/>
  <c r="Q48" i="26" a="1"/>
  <c r="AF37" i="14" a="1"/>
  <c r="B54" i="28" a="1"/>
  <c r="I59" i="25" a="1"/>
  <c r="AG55" i="14" a="1"/>
  <c r="R55" i="24" a="1"/>
  <c r="W37" i="14" a="1"/>
  <c r="N36" i="27" a="1"/>
  <c r="AC35" i="24" a="1"/>
  <c r="S34" i="14" a="1"/>
  <c r="AO37" i="24" a="1"/>
  <c r="AE51" i="24" a="1"/>
  <c r="BK42" i="25" a="1"/>
  <c r="AR35" i="28" a="1"/>
  <c r="R36" i="26" a="1"/>
  <c r="BH51" i="24" a="1"/>
  <c r="X57" i="28" a="1"/>
  <c r="AU52" i="25" a="1"/>
  <c r="BK43" i="25" a="1"/>
  <c r="BE34" i="24" a="1"/>
  <c r="AP57" i="25" a="1"/>
  <c r="U33" i="27" a="1"/>
  <c r="BA56" i="25" a="1"/>
  <c r="AS57" i="24" a="1"/>
  <c r="S35" i="24" a="1"/>
  <c r="S40" i="28" a="1"/>
  <c r="N51" i="14" a="1"/>
  <c r="AB34" i="14" a="1"/>
  <c r="H43" i="26" a="1"/>
  <c r="AT39" i="27" a="1"/>
  <c r="C46" i="14" a="1"/>
  <c r="AN33" i="14" a="1"/>
  <c r="K58" i="27" a="1"/>
  <c r="B48" i="14" a="1"/>
  <c r="AN48" i="27" a="1"/>
  <c r="AP48" i="27" a="1"/>
  <c r="AG49" i="25" a="1"/>
  <c r="AR40" i="25" a="1"/>
  <c r="AZ41" i="27" a="1"/>
  <c r="AW38" i="24" a="1"/>
  <c r="K59" i="25" a="1"/>
  <c r="L57" i="14" a="1"/>
  <c r="BI38" i="24" a="1"/>
  <c r="BI34" i="14" a="1"/>
  <c r="BK45" i="25" a="1"/>
  <c r="AB47" i="26" a="1"/>
  <c r="U57" i="14" a="1"/>
  <c r="AG53" i="28" a="1"/>
  <c r="BG38" i="26" a="1"/>
  <c r="C49" i="25" a="1"/>
  <c r="M50" i="28" a="1"/>
  <c r="BB56" i="27" a="1"/>
  <c r="P52" i="24" a="1"/>
  <c r="BI45" i="24" a="1"/>
  <c r="V44" i="25" a="1"/>
  <c r="Y41" i="24" a="1"/>
  <c r="AY34" i="24" a="1"/>
  <c r="O37" i="24" a="1"/>
  <c r="AR45" i="28" a="1"/>
  <c r="K46" i="26" a="1"/>
  <c r="AZ33" i="14" a="1"/>
  <c r="F47" i="26" a="1"/>
  <c r="AN42" i="14" a="1"/>
  <c r="N47" i="28" a="1"/>
  <c r="Z46" i="24" a="1"/>
  <c r="G51" i="28" a="1"/>
  <c r="AQ49" i="28" a="1"/>
  <c r="D48" i="26" a="1"/>
  <c r="BF56" i="27" a="1"/>
  <c r="G40" i="26" a="1"/>
  <c r="BK37" i="28" a="1"/>
  <c r="V59" i="25" a="1"/>
  <c r="AU40" i="14" a="1"/>
  <c r="X44" i="27" a="1"/>
  <c r="BI35" i="26" a="1"/>
  <c r="BI45" i="26" a="1"/>
  <c r="AE50" i="14" a="1"/>
  <c r="AM52" i="25" a="1"/>
  <c r="AK46" i="14" a="1"/>
  <c r="BI41" i="24" a="1"/>
  <c r="AY58" i="27" a="1"/>
  <c r="U60" i="28" a="1"/>
  <c r="BI33" i="27" a="1"/>
  <c r="AH53" i="27" a="1"/>
  <c r="L50" i="14" a="1"/>
  <c r="AH40" i="24" a="1"/>
  <c r="BK34" i="28" a="1"/>
  <c r="AR44" i="27" a="1"/>
  <c r="AB38" i="28" a="1"/>
  <c r="Q53" i="24" a="1"/>
  <c r="AU33" i="25" a="1"/>
  <c r="O40" i="24" a="1"/>
  <c r="AO39" i="25" a="1"/>
  <c r="AB37" i="25" a="1"/>
  <c r="BG42" i="27" a="1"/>
  <c r="BC40" i="24" a="1"/>
  <c r="BF58" i="26" a="1"/>
  <c r="Z49" i="14" a="1"/>
  <c r="J44" i="24" a="1"/>
  <c r="AT45" i="27" a="1"/>
  <c r="AR53" i="25" a="1"/>
  <c r="BI43" i="14" a="1"/>
  <c r="AO48" i="27" a="1"/>
  <c r="L45" i="28" a="1"/>
  <c r="BE42" i="26" a="1"/>
  <c r="AY34" i="26" a="1"/>
  <c r="C35" i="14" a="1"/>
  <c r="Q44" i="27" a="1"/>
  <c r="BD35" i="25" a="1"/>
  <c r="AE44" i="28" a="1"/>
  <c r="AD57" i="26" a="1"/>
  <c r="AA44" i="27" a="1"/>
  <c r="AY56" i="28" a="1"/>
  <c r="BF47" i="25" a="1"/>
  <c r="BK50" i="27" a="1"/>
  <c r="AS49" i="28" a="1"/>
  <c r="BH40" i="28" a="1"/>
  <c r="AA59" i="26" a="1"/>
  <c r="AC40" i="14" a="1"/>
  <c r="R38" i="14" a="1"/>
  <c r="AI38" i="24" a="1"/>
  <c r="AQ54" i="28" a="1"/>
  <c r="BG58" i="26" a="1"/>
  <c r="J45" i="26" a="1"/>
  <c r="BG60" i="25" a="1"/>
  <c r="F37" i="26" a="1"/>
  <c r="BD34" i="26" a="1"/>
  <c r="AH55" i="26" a="1"/>
  <c r="T44" i="25" a="1"/>
  <c r="AE55" i="14" a="1"/>
  <c r="U38" i="25" a="1"/>
  <c r="N51" i="24" a="1"/>
  <c r="P36" i="28" a="1"/>
  <c r="N35" i="24" a="1"/>
  <c r="D47" i="24" a="1"/>
  <c r="F39" i="25" a="1"/>
  <c r="P57" i="28" a="1"/>
  <c r="AU53" i="25" a="1"/>
  <c r="BF58" i="27" a="1"/>
  <c r="Q55" i="26" a="1"/>
  <c r="I37" i="28" a="1"/>
  <c r="D54" i="14" a="1"/>
  <c r="P42" i="24" a="1"/>
  <c r="AQ38" i="25" a="1"/>
  <c r="I36" i="28" a="1"/>
  <c r="K38" i="28" a="1"/>
  <c r="AL60" i="28" a="1"/>
  <c r="BI46" i="26" a="1"/>
  <c r="E56" i="24" a="1"/>
  <c r="BK44" i="27" a="1"/>
  <c r="BD45" i="24" a="1"/>
  <c r="C43" i="28" a="1"/>
  <c r="U57" i="25" a="1"/>
  <c r="BJ53" i="14" a="1"/>
  <c r="S37" i="14" a="1"/>
  <c r="B51" i="27" a="1"/>
  <c r="BE44" i="28" a="1"/>
  <c r="BD48" i="27" a="1"/>
  <c r="K47" i="27" a="1"/>
  <c r="L57" i="24" a="1"/>
  <c r="AS53" i="14" a="1"/>
  <c r="AE58" i="25" a="1"/>
  <c r="AV43" i="27" a="1"/>
  <c r="BC43" i="24" a="1"/>
  <c r="BD42" i="24" a="1"/>
  <c r="H44" i="26" a="1"/>
  <c r="W49" i="24" a="1"/>
  <c r="AM40" i="14" a="1"/>
  <c r="AD56" i="28" a="1"/>
  <c r="L36" i="14" a="1"/>
  <c r="BH45" i="25" a="1"/>
  <c r="AD54" i="14" a="1"/>
  <c r="C48" i="25" a="1"/>
  <c r="AI48" i="25" a="1"/>
  <c r="AX37" i="25" a="1"/>
  <c r="AH60" i="14" a="1"/>
  <c r="BI60" i="26" a="1"/>
  <c r="AB47" i="24" a="1"/>
  <c r="AU38" i="26" a="1"/>
  <c r="W35" i="28" a="1"/>
  <c r="AQ48" i="28" a="1"/>
  <c r="AP42" i="26" a="1"/>
  <c r="AX38" i="14" a="1"/>
  <c r="AN59" i="24" a="1"/>
  <c r="AT54" i="26" a="1"/>
  <c r="AO35" i="26" a="1"/>
  <c r="H39" i="24" a="1"/>
  <c r="AJ33" i="25" a="1"/>
  <c r="AL47" i="14" a="1"/>
  <c r="AM53" i="28" a="1"/>
  <c r="J45" i="25" a="1"/>
  <c r="T42" i="26" a="1"/>
  <c r="AB33" i="27" a="1"/>
  <c r="AO50" i="24" a="1"/>
  <c r="E45" i="26" a="1"/>
  <c r="AD58" i="14" a="1"/>
  <c r="BB39" i="24" a="1"/>
  <c r="AY54" i="14" a="1"/>
  <c r="BG48" i="27" a="1"/>
  <c r="O46" i="24" a="1"/>
  <c r="AZ59" i="28" a="1"/>
  <c r="S45" i="24" a="1"/>
  <c r="X47" i="28" a="1"/>
  <c r="C54" i="24" a="1"/>
  <c r="Z53" i="25" a="1"/>
  <c r="BA49" i="26" a="1"/>
  <c r="BC43" i="14" a="1"/>
  <c r="H57" i="25" a="1"/>
  <c r="N37" i="27" a="1"/>
  <c r="AT46" i="27" a="1"/>
  <c r="M54" i="26" a="1"/>
  <c r="AT48" i="24" a="1"/>
  <c r="AQ43" i="26" a="1"/>
  <c r="BE50" i="24" a="1"/>
  <c r="BF40" i="26" a="1"/>
  <c r="AZ58" i="24" a="1"/>
  <c r="I35" i="24" a="1"/>
  <c r="Q58" i="25" a="1"/>
  <c r="BA34" i="24" a="1"/>
  <c r="AN51" i="24" a="1"/>
  <c r="I33" i="25" a="1"/>
  <c r="U51" i="27" a="1"/>
  <c r="BD43" i="24" a="1"/>
  <c r="BE34" i="27" a="1"/>
  <c r="BG38" i="27" a="1"/>
  <c r="R57" i="28" a="1"/>
  <c r="AO43" i="28" a="1"/>
  <c r="Y43" i="26" a="1"/>
  <c r="AF60" i="26" a="1"/>
  <c r="F49" i="27" a="1"/>
  <c r="V50" i="24" a="1"/>
  <c r="F36" i="28" a="1"/>
  <c r="AS57" i="26" a="1"/>
  <c r="Y36" i="27" a="1"/>
  <c r="Y40" i="24" a="1"/>
  <c r="P48" i="24" a="1"/>
  <c r="Y60" i="25" a="1"/>
  <c r="AV54" i="27" a="1"/>
  <c r="S40" i="24" a="1"/>
  <c r="O55" i="28" a="1"/>
  <c r="D60" i="28" a="1"/>
  <c r="AW52" i="28" a="1"/>
  <c r="X36" i="27" a="1"/>
  <c r="AN49" i="24" a="1"/>
  <c r="BC43" i="25" a="1"/>
  <c r="AY48" i="26" a="1"/>
  <c r="BF44" i="25" a="1"/>
  <c r="AL43" i="24" a="1"/>
  <c r="BH37" i="27" a="1"/>
  <c r="AV57" i="14" a="1"/>
  <c r="AX51" i="14" a="1"/>
  <c r="Z41" i="25" a="1"/>
  <c r="AQ60" i="26" a="1"/>
  <c r="X51" i="27" a="1"/>
  <c r="AO46" i="14" a="1"/>
  <c r="L54" i="24" a="1"/>
  <c r="AQ50" i="28" a="1"/>
  <c r="F41" i="27" a="1"/>
  <c r="AE39" i="24" a="1"/>
  <c r="BA51" i="28" a="1"/>
  <c r="AH58" i="24" a="1"/>
  <c r="BJ55" i="28" a="1"/>
  <c r="AR57" i="25" a="1"/>
  <c r="AA50" i="25" a="1"/>
  <c r="AG55" i="26" a="1"/>
  <c r="BA55" i="14" a="1"/>
  <c r="AW52" i="27" a="1"/>
  <c r="AC55" i="26" a="1"/>
  <c r="S50" i="27" a="1"/>
  <c r="AL54" i="24" a="1"/>
  <c r="AY60" i="28" a="1"/>
  <c r="AW35" i="14" a="1"/>
  <c r="R59" i="14" a="1"/>
  <c r="AG55" i="27" a="1"/>
  <c r="AP44" i="27" a="1"/>
  <c r="H34" i="25" a="1"/>
  <c r="H36" i="24" a="1"/>
  <c r="W48" i="14" a="1"/>
  <c r="AT54" i="27" a="1"/>
  <c r="AF55" i="24" a="1"/>
  <c r="AM52" i="26" a="1"/>
  <c r="H38" i="25" a="1"/>
  <c r="X46" i="14" a="1"/>
  <c r="K60" i="24" a="1"/>
  <c r="AW50" i="25" a="1"/>
  <c r="L56" i="26" a="1"/>
  <c r="AU34" i="24" a="1"/>
  <c r="V52" i="27" a="1"/>
  <c r="BF59" i="26" a="1"/>
  <c r="K36" i="24" a="1"/>
  <c r="AN53" i="26" a="1"/>
  <c r="G59" i="24" a="1"/>
  <c r="AN44" i="25" a="1"/>
  <c r="L40" i="24" a="1"/>
  <c r="BF37" i="27" a="1"/>
  <c r="T54" i="14" a="1"/>
  <c r="AM48" i="24" a="1"/>
  <c r="H43" i="24" a="1"/>
  <c r="BA36" i="28" a="1"/>
  <c r="O38" i="28" a="1"/>
  <c r="AE45" i="27" a="1"/>
  <c r="I35" i="26" a="1"/>
  <c r="BG46" i="28" a="1"/>
  <c r="G49" i="25" a="1"/>
  <c r="AX42" i="26" a="1"/>
  <c r="I56" i="28" a="1"/>
  <c r="AN50" i="25" a="1"/>
  <c r="AH36" i="26" a="1"/>
  <c r="AU51" i="26" a="1"/>
  <c r="R33" i="14" a="1"/>
  <c r="AE36" i="14" a="1"/>
  <c r="AF37" i="25" a="1"/>
  <c r="BF57" i="28" a="1"/>
  <c r="AL55" i="25" a="1"/>
  <c r="AL40" i="27" a="1"/>
  <c r="AL57" i="27" a="1"/>
  <c r="AO57" i="28" a="1"/>
  <c r="AQ54" i="24" a="1"/>
  <c r="AU47" i="27" a="1"/>
  <c r="D50" i="26" a="1"/>
  <c r="BE58" i="25" a="1"/>
  <c r="BE47" i="14" a="1"/>
  <c r="K57" i="25" a="1"/>
  <c r="AQ39" i="24" a="1"/>
  <c r="T58" i="14" a="1"/>
  <c r="BF38" i="26" a="1"/>
  <c r="O52" i="25" a="1"/>
  <c r="AM56" i="27" a="1"/>
  <c r="B40" i="27" a="1"/>
  <c r="BG55" i="14" a="1"/>
  <c r="K52" i="26" a="1"/>
  <c r="U59" i="24" a="1"/>
  <c r="T35" i="26" a="1"/>
  <c r="H34" i="27" a="1"/>
  <c r="BD50" i="25" a="1"/>
  <c r="E59" i="24" a="1"/>
  <c r="Z44" i="26" a="1"/>
  <c r="AS47" i="28" a="1"/>
  <c r="J51" i="24" a="1"/>
  <c r="BA48" i="26" a="1"/>
  <c r="AZ49" i="25" a="1"/>
  <c r="AJ45" i="25" a="1"/>
  <c r="AY51" i="25" a="1"/>
  <c r="AF37" i="27" a="1"/>
  <c r="BE43" i="26" a="1"/>
  <c r="BC57" i="27" a="1"/>
  <c r="AP56" i="24" a="1"/>
  <c r="BH57" i="28" a="1"/>
  <c r="Z50" i="26" a="1"/>
  <c r="BA49" i="27" a="1"/>
  <c r="AI48" i="27" a="1"/>
  <c r="P38" i="27" a="1"/>
  <c r="S54" i="28" a="1"/>
  <c r="G52" i="25" a="1"/>
  <c r="AD40" i="27" a="1"/>
  <c r="BB45" i="25" a="1"/>
  <c r="M60" i="24" a="1"/>
  <c r="H50" i="27" a="1"/>
  <c r="N56" i="25" a="1"/>
  <c r="Y38" i="26" a="1"/>
  <c r="BJ60" i="25" a="1"/>
  <c r="AC39" i="26" a="1"/>
  <c r="AZ40" i="27" a="1"/>
  <c r="AM48" i="14" a="1"/>
  <c r="AB37" i="26" a="1"/>
  <c r="BD58" i="26" a="1"/>
  <c r="AL39" i="28" a="1"/>
  <c r="L41" i="26" a="1"/>
  <c r="R44" i="24" a="1"/>
  <c r="E36" i="28" a="1"/>
  <c r="AH50" i="28" a="1"/>
  <c r="BC53" i="24" a="1"/>
  <c r="AC56" i="26" a="1"/>
  <c r="E35" i="25" a="1"/>
  <c r="AO51" i="26" a="1"/>
  <c r="AO34" i="26" a="1"/>
  <c r="S39" i="25" a="1"/>
  <c r="U37" i="26" a="1"/>
  <c r="AP43" i="24" a="1"/>
  <c r="S58" i="25" a="1"/>
  <c r="U40" i="24" a="1"/>
  <c r="BC34" i="24" a="1"/>
  <c r="R34" i="14" a="1"/>
  <c r="BD39" i="14" a="1"/>
  <c r="B51" i="24" a="1"/>
  <c r="BE53" i="26" a="1"/>
  <c r="BD33" i="14" a="1"/>
  <c r="AI49" i="25" a="1"/>
  <c r="AR55" i="27" a="1"/>
  <c r="AG60" i="26" a="1"/>
  <c r="AO57" i="26" a="1"/>
  <c r="AH58" i="26" a="1"/>
  <c r="AP45" i="25" a="1"/>
  <c r="Z53" i="27" a="1"/>
  <c r="AO45" i="24" a="1"/>
  <c r="AI34" i="28" a="1"/>
  <c r="BE51" i="25" a="1"/>
  <c r="AF55" i="27" a="1"/>
  <c r="E58" i="24" a="1"/>
  <c r="I52" i="25" a="1"/>
  <c r="AQ34" i="24" a="1"/>
  <c r="AO54" i="24" a="1"/>
  <c r="BG60" i="28" a="1"/>
  <c r="M37" i="14" a="1"/>
  <c r="Y51" i="14" a="1"/>
  <c r="E49" i="26" a="1"/>
  <c r="U40" i="27" a="1"/>
  <c r="AM37" i="27" a="1"/>
  <c r="T37" i="27" a="1"/>
  <c r="AX38" i="26" a="1"/>
  <c r="AU41" i="26" a="1"/>
  <c r="AG37" i="28" a="1"/>
  <c r="AY41" i="24" a="1"/>
  <c r="BE51" i="27" a="1"/>
  <c r="AK38" i="24" a="1"/>
  <c r="AV45" i="28" a="1"/>
  <c r="C50" i="26" a="1"/>
  <c r="N51" i="28" a="1"/>
  <c r="T53" i="28" a="1"/>
  <c r="L46" i="28" a="1"/>
  <c r="T39" i="25" a="1"/>
  <c r="AN52" i="25" a="1"/>
  <c r="AX52" i="27" a="1"/>
  <c r="AC39" i="28" a="1"/>
  <c r="AI40" i="27" a="1"/>
  <c r="S37" i="24" a="1"/>
  <c r="AY53" i="26" a="1"/>
  <c r="V37" i="24" a="1"/>
  <c r="AG37" i="24" a="1"/>
  <c r="AY45" i="14" a="1"/>
  <c r="AG46" i="24" a="1"/>
  <c r="AY58" i="24" a="1"/>
  <c r="P45" i="27" a="1"/>
  <c r="J34" i="14" a="1"/>
  <c r="BA37" i="28" a="1"/>
  <c r="J43" i="14" a="1"/>
  <c r="AZ44" i="28" a="1"/>
  <c r="L37" i="24" a="1"/>
  <c r="AX35" i="25" a="1"/>
  <c r="BJ53" i="26" a="1"/>
  <c r="AE43" i="28" a="1"/>
  <c r="G60" i="27" a="1"/>
  <c r="O39" i="14" a="1"/>
  <c r="P44" i="26" a="1"/>
  <c r="BB46" i="25" a="1"/>
  <c r="D41" i="14" a="1"/>
  <c r="BA34" i="26" a="1"/>
  <c r="G45" i="28" a="1"/>
  <c r="BE49" i="26" a="1"/>
  <c r="AY36" i="28" a="1"/>
  <c r="BI49" i="26" a="1"/>
  <c r="AF55" i="14" a="1"/>
  <c r="P38" i="26" a="1"/>
  <c r="E47" i="27" a="1"/>
  <c r="AR49" i="28" a="1"/>
  <c r="AF51" i="24" a="1"/>
  <c r="AW43" i="25" a="1"/>
  <c r="AQ36" i="14" a="1"/>
  <c r="U40" i="25" a="1"/>
  <c r="AM34" i="26" a="1"/>
  <c r="AR34" i="25" a="1"/>
  <c r="AP33" i="24" a="1"/>
  <c r="BE59" i="24" a="1"/>
  <c r="BE47" i="24" a="1"/>
  <c r="AW36" i="24" a="1"/>
  <c r="AN57" i="24" a="1"/>
  <c r="AR33" i="14" a="1"/>
  <c r="AT43" i="14" a="1"/>
  <c r="AX38" i="24" a="1"/>
  <c r="S41" i="27" a="1"/>
  <c r="BK48" i="24" a="1"/>
  <c r="BE59" i="27" a="1"/>
  <c r="P34" i="28" a="1"/>
  <c r="AC37" i="28" a="1"/>
  <c r="X39" i="27" a="1"/>
  <c r="R33" i="26" a="1"/>
  <c r="AI58" i="28" a="1"/>
  <c r="AQ38" i="26" a="1"/>
  <c r="BH50" i="24" a="1"/>
  <c r="AD36" i="26" a="1"/>
  <c r="BA35" i="26" a="1"/>
  <c r="BA54" i="28" a="1"/>
  <c r="AK55" i="26" a="1"/>
  <c r="AY55" i="14" a="1"/>
  <c r="AS54" i="14" a="1"/>
  <c r="AT55" i="26" a="1"/>
  <c r="BD53" i="25" a="1"/>
  <c r="L45" i="26" a="1"/>
  <c r="AC36" i="25" a="1"/>
  <c r="J52" i="26" a="1"/>
  <c r="R48" i="28" a="1"/>
  <c r="AY56" i="14" a="1"/>
  <c r="X43" i="27" a="1"/>
  <c r="AQ34" i="28" a="1"/>
  <c r="M42" i="24" a="1"/>
  <c r="V55" i="14" a="1"/>
  <c r="AD39" i="14" a="1"/>
  <c r="F51" i="25" a="1"/>
  <c r="Z45" i="25" a="1"/>
  <c r="C59" i="26" a="1"/>
  <c r="C36" i="24" a="1"/>
  <c r="V38" i="27" a="1"/>
  <c r="BF41" i="25" a="1"/>
  <c r="AI35" i="24" a="1"/>
  <c r="BD60" i="24" a="1"/>
  <c r="AE60" i="25" a="1"/>
  <c r="AO51" i="14" a="1"/>
  <c r="BK56" i="25" a="1"/>
  <c r="L44" i="24" a="1"/>
  <c r="V56" i="27" a="1"/>
  <c r="AH55" i="28" a="1"/>
  <c r="Z40" i="28" a="1"/>
  <c r="AD56" i="26" a="1"/>
  <c r="AZ48" i="14" a="1"/>
  <c r="P57" i="27" a="1"/>
  <c r="D45" i="28" a="1"/>
  <c r="I52" i="24" a="1"/>
  <c r="BF46" i="25" a="1"/>
  <c r="AH40" i="26" a="1"/>
  <c r="J56" i="26" a="1"/>
  <c r="Z52" i="27" a="1"/>
  <c r="AP60" i="25" a="1"/>
  <c r="AJ40" i="27" a="1"/>
  <c r="AT33" i="14" a="1"/>
  <c r="AC56" i="24" a="1"/>
  <c r="BA54" i="27" a="1"/>
  <c r="G37" i="25" a="1"/>
  <c r="BE57" i="27" a="1"/>
  <c r="P33" i="27" a="1"/>
  <c r="BD38" i="24" a="1"/>
  <c r="AD54" i="26" a="1"/>
  <c r="AK60" i="28" a="1"/>
  <c r="BI34" i="27" a="1"/>
  <c r="P54" i="26" a="1"/>
  <c r="AI57" i="14" a="1"/>
  <c r="BF52" i="14" a="1"/>
  <c r="AM40" i="28" a="1"/>
  <c r="BK44" i="24" a="1"/>
  <c r="C41" i="25" a="1"/>
  <c r="U45" i="26" a="1"/>
  <c r="D34" i="24" a="1"/>
  <c r="X50" i="26" a="1"/>
  <c r="BC47" i="14" a="1"/>
  <c r="V50" i="28" a="1"/>
  <c r="V60" i="25" a="1"/>
  <c r="BE54" i="25" a="1"/>
  <c r="AI52" i="27" a="1"/>
  <c r="AX37" i="28" a="1"/>
  <c r="BJ52" i="24" a="1"/>
  <c r="B34" i="26" a="1"/>
  <c r="S46" i="27" a="1"/>
  <c r="AF47" i="14" a="1"/>
  <c r="Y39" i="25" a="1"/>
  <c r="P33" i="14" a="1"/>
  <c r="AT51" i="24" a="1"/>
  <c r="L44" i="28" a="1"/>
  <c r="L41" i="28" a="1"/>
  <c r="BG53" i="24" a="1"/>
  <c r="I34" i="26" a="1"/>
  <c r="G39" i="14" a="1"/>
  <c r="AS51" i="24" a="1"/>
  <c r="Y40" i="28" a="1"/>
  <c r="I48" i="27" a="1"/>
  <c r="D42" i="25" a="1"/>
  <c r="AR42" i="24" a="1"/>
  <c r="AU49" i="25" a="1"/>
  <c r="AF52" i="24" a="1"/>
  <c r="J57" i="27" a="1"/>
  <c r="AC49" i="14" a="1"/>
  <c r="AC51" i="14" a="1"/>
  <c r="R36" i="25" a="1"/>
  <c r="BE41" i="28" a="1"/>
  <c r="BC40" i="26" a="1"/>
  <c r="BE55" i="24" a="1"/>
  <c r="AI46" i="25" a="1"/>
  <c r="K57" i="24" a="1"/>
  <c r="AG36" i="14" a="1"/>
  <c r="AI53" i="14" a="1"/>
  <c r="Q34" i="28" a="1"/>
  <c r="AX34" i="28" a="1"/>
  <c r="AX56" i="24" a="1"/>
  <c r="BK46" i="14" a="1"/>
  <c r="AK35" i="28" a="1"/>
  <c r="AI35" i="14" a="1"/>
  <c r="AT59" i="27" a="1"/>
  <c r="D35" i="24" a="1"/>
  <c r="AE40" i="14" a="1"/>
  <c r="BE41" i="14" a="1"/>
  <c r="AR53" i="27" a="1"/>
  <c r="F34" i="25" a="1"/>
  <c r="I46" i="24" a="1"/>
  <c r="Y44" i="24" a="1"/>
  <c r="AP46" i="14" a="1"/>
  <c r="AE43" i="24" a="1"/>
  <c r="BI54" i="28" a="1"/>
  <c r="K55" i="28" a="1"/>
  <c r="AU33" i="27" a="1"/>
  <c r="AW34" i="26" a="1"/>
  <c r="AZ54" i="14" a="1"/>
  <c r="BC46" i="25" a="1"/>
  <c r="AG49" i="14" a="1"/>
  <c r="R47" i="26" a="1"/>
  <c r="BJ38" i="14" a="1"/>
  <c r="D43" i="24" a="1"/>
  <c r="L59" i="27" a="1"/>
  <c r="BD37" i="27" a="1"/>
  <c r="AY35" i="27" a="1"/>
  <c r="AV59" i="28" a="1"/>
  <c r="AY40" i="26" a="1"/>
  <c r="BF59" i="27" a="1"/>
  <c r="F43" i="26" a="1"/>
  <c r="J47" i="26" a="1"/>
  <c r="AY39" i="28" a="1"/>
  <c r="D52" i="25" a="1"/>
  <c r="AS57" i="14" a="1"/>
  <c r="AY56" i="27" a="1"/>
  <c r="D35" i="14" a="1"/>
  <c r="N34" i="27" a="1"/>
  <c r="K44" i="26" a="1"/>
  <c r="AX52" i="28" a="1"/>
  <c r="B49" i="24" a="1"/>
  <c r="K35" i="27" a="1"/>
  <c r="BB50" i="26" a="1"/>
  <c r="L43" i="14" a="1"/>
  <c r="Q48" i="25" a="1"/>
  <c r="E58" i="26" a="1"/>
  <c r="AE41" i="27" a="1"/>
  <c r="AB56" i="27" a="1"/>
  <c r="AJ37" i="25" a="1"/>
  <c r="AW33" i="26" a="1"/>
  <c r="AT57" i="14" a="1"/>
  <c r="AD54" i="28" a="1"/>
  <c r="AP45" i="24" a="1"/>
  <c r="AL35" i="27" a="1"/>
  <c r="AQ56" i="14" a="1"/>
  <c r="AC49" i="24" a="1"/>
  <c r="BA45" i="25" a="1"/>
  <c r="BA57" i="24" a="1"/>
  <c r="BC38" i="27" a="1"/>
  <c r="L37" i="14" a="1"/>
  <c r="BF53" i="14" a="1"/>
  <c r="BI57" i="26" a="1"/>
  <c r="AD46" i="25" a="1"/>
  <c r="L58" i="14" a="1"/>
  <c r="E37" i="14" a="1"/>
  <c r="AJ43" i="25" a="1"/>
  <c r="AW42" i="25" a="1"/>
  <c r="W60" i="14" a="1"/>
  <c r="I39" i="25" a="1"/>
  <c r="AF45" i="26" a="1"/>
  <c r="BH49" i="24" a="1"/>
  <c r="AM60" i="28" a="1"/>
  <c r="AK36" i="24" a="1"/>
  <c r="N37" i="24" a="1"/>
  <c r="BD51" i="14" a="1"/>
  <c r="Q58" i="24" a="1"/>
  <c r="BA55" i="24" a="1"/>
  <c r="U48" i="25" a="1"/>
  <c r="C37" i="26" a="1"/>
  <c r="AW55" i="14" a="1"/>
  <c r="AV60" i="25" a="1"/>
  <c r="D42" i="14" a="1"/>
  <c r="M38" i="27" a="1"/>
  <c r="BG42" i="25" a="1"/>
  <c r="E60" i="24" a="1"/>
  <c r="M33" i="26" a="1"/>
  <c r="M34" i="25" a="1"/>
  <c r="D52" i="27" a="1"/>
  <c r="Q42" i="27" a="1"/>
  <c r="AZ57" i="26" a="1"/>
  <c r="BI40" i="27" a="1"/>
  <c r="H43" i="25" a="1"/>
  <c r="V52" i="24" a="1"/>
  <c r="AO59" i="14" a="1"/>
  <c r="AY44" i="25" a="1"/>
  <c r="BJ41" i="26" a="1"/>
  <c r="F56" i="28" a="1"/>
  <c r="Q38" i="25" a="1"/>
  <c r="G38" i="14" a="1"/>
  <c r="P55" i="25" a="1"/>
  <c r="AE41" i="14" a="1"/>
  <c r="AL38" i="28" a="1"/>
  <c r="AK48" i="28" a="1"/>
  <c r="F42" i="26" a="1"/>
  <c r="S45" i="28" a="1"/>
  <c r="F38" i="28" a="1"/>
  <c r="AE41" i="28" a="1"/>
  <c r="V44" i="14" a="1"/>
  <c r="P54" i="24" a="1"/>
  <c r="AD46" i="24" a="1"/>
  <c r="BA35" i="25" a="1"/>
  <c r="N35" i="27" a="1"/>
  <c r="AY36" i="24" a="1"/>
  <c r="AD53" i="28" a="1"/>
  <c r="AI44" i="28" a="1"/>
  <c r="AI50" i="25" a="1"/>
  <c r="AX59" i="26" a="1"/>
  <c r="BG38" i="14" a="1"/>
  <c r="K51" i="26" a="1"/>
  <c r="AN57" i="27" a="1"/>
  <c r="AS34" i="14" a="1"/>
  <c r="AK36" i="25" a="1"/>
  <c r="C45" i="27" a="1"/>
  <c r="AN47" i="26" a="1"/>
  <c r="D40" i="25" a="1"/>
  <c r="BH44" i="27" a="1"/>
  <c r="BK57" i="14" a="1"/>
  <c r="AB60" i="26" a="1"/>
  <c r="AL60" i="24" a="1"/>
  <c r="X51" i="26" a="1"/>
  <c r="AL53" i="24" a="1"/>
  <c r="AU34" i="26" a="1"/>
  <c r="AN49" i="25" a="1"/>
  <c r="BC45" i="26" a="1"/>
  <c r="V50" i="14" a="1"/>
  <c r="BK51" i="14" a="1"/>
  <c r="AQ50" i="14" a="1"/>
  <c r="AJ35" i="27" a="1"/>
  <c r="AN39" i="25" a="1"/>
  <c r="O35" i="24" a="1"/>
  <c r="S48" i="27" a="1"/>
  <c r="AF45" i="25" a="1"/>
  <c r="F42" i="25" a="1"/>
  <c r="X52" i="28" a="1"/>
  <c r="AW57" i="26" a="1"/>
  <c r="U34" i="25" a="1"/>
  <c r="AI53" i="24" a="1"/>
  <c r="AD59" i="25" a="1"/>
  <c r="AQ55" i="25" a="1"/>
  <c r="M49" i="24" a="1"/>
  <c r="AF47" i="24" a="1"/>
  <c r="U49" i="24" a="1"/>
  <c r="AV39" i="26" a="1"/>
  <c r="BJ41" i="14" a="1"/>
  <c r="AF59" i="24" a="1"/>
  <c r="N35" i="14" a="1"/>
  <c r="AX49" i="27" a="1"/>
  <c r="BI45" i="28" a="1"/>
  <c r="AI37" i="24" a="1"/>
  <c r="BJ58" i="28" a="1"/>
  <c r="AE33" i="14" a="1"/>
  <c r="C51" i="24" a="1"/>
  <c r="U33" i="14" a="1"/>
  <c r="AY53" i="27" a="1"/>
  <c r="N57" i="24" a="1"/>
  <c r="BE49" i="25" a="1"/>
  <c r="BE39" i="27" a="1"/>
  <c r="V59" i="24" a="1"/>
  <c r="Y36" i="25" a="1"/>
  <c r="BI43" i="25" a="1"/>
  <c r="AK48" i="14" a="1"/>
  <c r="J59" i="14" a="1"/>
  <c r="AS51" i="27" a="1"/>
  <c r="F49" i="14" a="1"/>
  <c r="AJ33" i="27" a="1"/>
  <c r="BG45" i="27" a="1"/>
  <c r="D34" i="28" a="1"/>
  <c r="AU57" i="28" a="1"/>
  <c r="W58" i="25" a="1"/>
  <c r="AS41" i="27" a="1"/>
  <c r="BH41" i="14" a="1"/>
  <c r="AI50" i="24" a="1"/>
  <c r="AU53" i="26" a="1"/>
  <c r="AV49" i="24" a="1"/>
  <c r="BB60" i="28" a="1"/>
  <c r="AF58" i="27" a="1"/>
  <c r="AB35" i="26" a="1"/>
  <c r="N49" i="14" a="1"/>
  <c r="AG55" i="25" a="1"/>
  <c r="R35" i="28" a="1"/>
  <c r="AR55" i="25" a="1"/>
  <c r="L50" i="27" a="1"/>
  <c r="P46" i="14" a="1"/>
  <c r="AV36" i="24" a="1"/>
  <c r="AE56" i="24" a="1"/>
  <c r="AV48" i="14" a="1"/>
  <c r="B41" i="28" a="1"/>
  <c r="G49" i="14" a="1"/>
  <c r="O50" i="14" a="1"/>
  <c r="P33" i="25" a="1"/>
  <c r="BI47" i="14" a="1"/>
  <c r="S52" i="14" a="1"/>
  <c r="BG50" i="26" a="1"/>
  <c r="T57" i="26" a="1"/>
  <c r="BF51" i="14" a="1"/>
  <c r="AD57" i="27" a="1"/>
  <c r="U55" i="24" a="1"/>
  <c r="AA52" i="14" a="1"/>
  <c r="BH60" i="24" a="1"/>
  <c r="AD45" i="14" a="1"/>
  <c r="BI51" i="25" a="1"/>
  <c r="AX50" i="27" a="1"/>
  <c r="AH34" i="25" a="1"/>
  <c r="M57" i="14" a="1"/>
  <c r="N58" i="26" a="1"/>
  <c r="BE46" i="25" a="1"/>
  <c r="AC40" i="25" a="1"/>
  <c r="AF49" i="24" a="1"/>
  <c r="AC41" i="14" a="1"/>
  <c r="AX45" i="24" a="1"/>
  <c r="AF39" i="27" a="1"/>
  <c r="AH45" i="27" a="1"/>
  <c r="BD55" i="27" a="1"/>
  <c r="H60" i="28" a="1"/>
  <c r="AO52" i="24" a="1"/>
  <c r="H51" i="28" a="1"/>
  <c r="BE34" i="25" a="1"/>
  <c r="BJ52" i="14" a="1"/>
  <c r="BD52" i="14" a="1"/>
  <c r="K43" i="24" a="1"/>
  <c r="BA35" i="14" a="1"/>
  <c r="W60" i="28" a="1"/>
  <c r="AA36" i="25" a="1"/>
  <c r="BA59" i="14" a="1"/>
  <c r="B51" i="14" a="1"/>
  <c r="AH34" i="14" a="1"/>
  <c r="AE52" i="14" a="1"/>
  <c r="F39" i="27" a="1"/>
  <c r="U52" i="24" a="1"/>
  <c r="BC52" i="25" a="1"/>
  <c r="W39" i="28" a="1"/>
  <c r="M44" i="26" a="1"/>
  <c r="K57" i="28" a="1"/>
  <c r="J60" i="14" a="1"/>
  <c r="AZ36" i="26" a="1"/>
  <c r="Q51" i="27" a="1"/>
  <c r="BG56" i="24" a="1"/>
  <c r="AO42" i="25" a="1"/>
  <c r="AT53" i="28" a="1"/>
  <c r="BF55" i="25" a="1"/>
  <c r="J56" i="25" a="1"/>
  <c r="R54" i="28" a="1"/>
  <c r="I50" i="14" a="1"/>
  <c r="BD45" i="25" a="1"/>
  <c r="AX35" i="14" a="1"/>
  <c r="BD54" i="24" a="1"/>
  <c r="AZ49" i="26" a="1"/>
  <c r="G36" i="28" a="1"/>
  <c r="AL52" i="25" a="1"/>
  <c r="AQ37" i="28" a="1"/>
  <c r="AW49" i="14" a="1"/>
  <c r="AT42" i="28" a="1"/>
  <c r="N47" i="14" a="1"/>
  <c r="I45" i="28" a="1"/>
  <c r="U34" i="28" a="1"/>
  <c r="BC58" i="27" a="1"/>
  <c r="I54" i="28" a="1"/>
  <c r="I34" i="14" a="1"/>
  <c r="AL45" i="14" a="1"/>
  <c r="B56" i="25" a="1"/>
  <c r="L55" i="27" a="1"/>
  <c r="AT42" i="24" a="1"/>
  <c r="BF39" i="14" a="1"/>
  <c r="BA35" i="27" a="1"/>
  <c r="AU33" i="14" a="1"/>
  <c r="AE46" i="27" a="1"/>
  <c r="AC34" i="25" a="1"/>
  <c r="AQ55" i="14" a="1"/>
  <c r="AT44" i="24" a="1"/>
  <c r="AR56" i="27" a="1"/>
  <c r="K51" i="24" a="1"/>
  <c r="BB56" i="24" a="1"/>
  <c r="AI40" i="25" a="1"/>
  <c r="Y37" i="26" a="1"/>
  <c r="AL54" i="14" a="1"/>
  <c r="AB51" i="14" a="1"/>
  <c r="BF56" i="25" a="1"/>
  <c r="AE38" i="25" a="1"/>
  <c r="BE47" i="27" a="1"/>
  <c r="AR51" i="25" a="1"/>
  <c r="C46" i="28" a="1"/>
  <c r="AQ43" i="28" a="1"/>
  <c r="BB36" i="24" a="1"/>
  <c r="AS59" i="24" a="1"/>
  <c r="AL33" i="26" a="1"/>
  <c r="AN47" i="14" a="1"/>
  <c r="V38" i="14" a="1"/>
  <c r="L59" i="14" a="1"/>
  <c r="BA51" i="26" a="1"/>
  <c r="F43" i="25" a="1"/>
  <c r="AS45" i="26" a="1"/>
  <c r="AT52" i="25" a="1"/>
  <c r="Y52" i="24" a="1"/>
  <c r="AW50" i="14" a="1"/>
  <c r="T36" i="24" a="1"/>
  <c r="W44" i="24" a="1"/>
  <c r="AJ41" i="26" a="1"/>
  <c r="AW33" i="28" a="1"/>
  <c r="U37" i="24" a="1"/>
  <c r="AC58" i="24" a="1"/>
  <c r="AK50" i="26" a="1"/>
  <c r="W60" i="25" a="1"/>
  <c r="AB33" i="24" a="1"/>
  <c r="AZ55" i="25" a="1"/>
  <c r="O52" i="28" a="1"/>
  <c r="X53" i="27" a="1"/>
  <c r="AY55" i="25" a="1"/>
  <c r="AQ37" i="27" a="1"/>
  <c r="AB33" i="26" a="1"/>
  <c r="AM58" i="24" a="1"/>
  <c r="AG50" i="28" a="1"/>
  <c r="X36" i="28" a="1"/>
  <c r="AG47" i="25" a="1"/>
  <c r="P45" i="24" a="1"/>
  <c r="BE54" i="28" a="1"/>
  <c r="AJ46" i="25" a="1"/>
  <c r="AR52" i="28" a="1"/>
  <c r="M58" i="24" a="1"/>
  <c r="AE41" i="26" a="1"/>
  <c r="W43" i="27" a="1"/>
  <c r="O55" i="25" a="1"/>
  <c r="U38" i="14" a="1"/>
  <c r="AI43" i="27" a="1"/>
  <c r="P52" i="25" a="1"/>
  <c r="I55" i="28" a="1"/>
  <c r="BB51" i="24" a="1"/>
  <c r="AH33" i="24" a="1"/>
  <c r="BI60" i="25" a="1"/>
  <c r="AD48" i="26" a="1"/>
  <c r="O52" i="14" a="1"/>
  <c r="BI43" i="27" a="1"/>
  <c r="AB49" i="25" a="1"/>
  <c r="AE52" i="25" a="1"/>
  <c r="BG41" i="24" a="1"/>
  <c r="Q56" i="14" a="1"/>
  <c r="Y50" i="26" a="1"/>
  <c r="W52" i="24" a="1"/>
  <c r="AP41" i="26" a="1"/>
  <c r="BD37" i="14" a="1"/>
  <c r="B44" i="24" a="1"/>
  <c r="T58" i="27" a="1"/>
  <c r="AD55" i="25" a="1"/>
  <c r="AR42" i="28" a="1"/>
  <c r="Z45" i="26" a="1"/>
  <c r="BK41" i="24" a="1"/>
  <c r="Q54" i="24" a="1"/>
  <c r="AN33" i="26" a="1"/>
  <c r="AF40" i="28" a="1"/>
  <c r="E37" i="26" a="1"/>
  <c r="BA58" i="14" a="1"/>
  <c r="AM59" i="25" a="1"/>
  <c r="C41" i="27" a="1"/>
  <c r="K60" i="25" a="1"/>
  <c r="Q52" i="28" a="1"/>
  <c r="I46" i="14" a="1"/>
  <c r="G54" i="27" a="1"/>
  <c r="P58" i="24" a="1"/>
  <c r="BD47" i="28" a="1"/>
  <c r="L50" i="25" a="1"/>
  <c r="BK59" i="14" a="1"/>
  <c r="AI42" i="25" a="1"/>
  <c r="Y39" i="27" a="1"/>
  <c r="BB47" i="27" a="1"/>
  <c r="BK42" i="27" a="1"/>
  <c r="G42" i="27" a="1"/>
  <c r="B59" i="24" a="1"/>
  <c r="BF53" i="24" a="1"/>
  <c r="R54" i="25" a="1"/>
  <c r="I44" i="25" a="1"/>
  <c r="AN39" i="14" a="1"/>
  <c r="BH49" i="26" a="1"/>
  <c r="AW59" i="26" a="1"/>
  <c r="AY40" i="24" a="1"/>
  <c r="AF39" i="25" a="1"/>
  <c r="K40" i="24" a="1"/>
  <c r="O60" i="28" a="1"/>
  <c r="AY47" i="24" a="1"/>
  <c r="AS34" i="25" a="1"/>
  <c r="AP49" i="27" a="1"/>
  <c r="F48" i="14" a="1"/>
  <c r="C43" i="25" a="1"/>
  <c r="AB42" i="25" a="1"/>
  <c r="AU59" i="27" a="1"/>
  <c r="AL53" i="14" a="1"/>
  <c r="AE34" i="28" a="1"/>
  <c r="BA58" i="24" a="1"/>
  <c r="P54" i="25" a="1"/>
  <c r="S36" i="24" a="1"/>
  <c r="D48" i="28" a="1"/>
  <c r="K44" i="14" a="1"/>
  <c r="AP34" i="24" a="1"/>
  <c r="BB57" i="26" a="1"/>
  <c r="J51" i="27" a="1"/>
  <c r="N45" i="27" a="1"/>
  <c r="W47" i="14" a="1"/>
  <c r="BG52" i="28" a="1"/>
  <c r="D53" i="24" a="1"/>
  <c r="Z58" i="27" a="1"/>
  <c r="I53" i="14" a="1"/>
  <c r="AM41" i="14" a="1"/>
  <c r="AE39" i="26" a="1"/>
  <c r="AR39" i="26" a="1"/>
  <c r="Z43" i="27" a="1"/>
  <c r="BE45" i="28" a="1"/>
  <c r="Q52" i="24" a="1"/>
  <c r="S55" i="25" a="1"/>
  <c r="H36" i="26" a="1"/>
  <c r="T34" i="27" a="1"/>
  <c r="AV38" i="24" a="1"/>
  <c r="AQ59" i="24" a="1"/>
  <c r="AT51" i="25" a="1"/>
  <c r="BD41" i="14" a="1"/>
  <c r="BJ37" i="28" a="1"/>
  <c r="P59" i="28" a="1"/>
  <c r="N39" i="26" a="1"/>
  <c r="BG34" i="26" a="1"/>
  <c r="BB47" i="24" a="1"/>
  <c r="M55" i="26" a="1"/>
  <c r="AY54" i="25" a="1"/>
  <c r="K54" i="14" a="1"/>
  <c r="N57" i="25" a="1"/>
  <c r="BB50" i="14" a="1"/>
  <c r="P44" i="25" a="1"/>
  <c r="N48" i="24" a="1"/>
  <c r="X41" i="24" a="1"/>
  <c r="AH45" i="25" a="1"/>
  <c r="S48" i="26" a="1"/>
  <c r="F45" i="28" a="1"/>
  <c r="AX36" i="25" a="1"/>
  <c r="BB38" i="26" a="1"/>
  <c r="Y46" i="26" a="1"/>
  <c r="F37" i="28" a="1"/>
  <c r="AK56" i="27" a="1"/>
  <c r="Z51" i="28" a="1"/>
  <c r="AZ38" i="25" a="1"/>
  <c r="AZ52" i="28" a="1"/>
  <c r="W33" i="25" a="1"/>
  <c r="AN36" i="28" a="1"/>
  <c r="B35" i="28" a="1"/>
  <c r="I45" i="26" a="1"/>
  <c r="AW54" i="27" a="1"/>
  <c r="AS46" i="28" a="1"/>
  <c r="X52" i="25" a="1"/>
  <c r="AX43" i="26" a="1"/>
  <c r="K54" i="28" a="1"/>
  <c r="V45" i="28" a="1"/>
  <c r="AK35" i="14" a="1"/>
  <c r="P59" i="27" a="1"/>
  <c r="BH40" i="24" a="1"/>
  <c r="AI56" i="26" a="1"/>
  <c r="AE56" i="26" a="1"/>
  <c r="AI40" i="28" a="1"/>
  <c r="V38" i="24" a="1"/>
  <c r="AP36" i="26" a="1"/>
  <c r="O40" i="26" a="1"/>
  <c r="AC55" i="28" a="1"/>
  <c r="I48" i="14" a="1"/>
  <c r="B36" i="25" a="1"/>
  <c r="AY38" i="26" a="1"/>
  <c r="AO55" i="27" a="1"/>
  <c r="T55" i="25" a="1"/>
  <c r="Y48" i="26" a="1"/>
  <c r="Z47" i="28" a="1"/>
  <c r="N40" i="25" a="1"/>
  <c r="AI51" i="24" a="1"/>
  <c r="V42" i="14" a="1"/>
  <c r="BD49" i="25" a="1"/>
  <c r="AA58" i="27" a="1"/>
  <c r="AK54" i="25" a="1"/>
  <c r="AQ43" i="27" a="1"/>
  <c r="BG43" i="27" a="1"/>
  <c r="BC35" i="27" a="1"/>
  <c r="Y38" i="14" a="1"/>
  <c r="U53" i="25" a="1"/>
  <c r="AD60" i="26" a="1"/>
  <c r="BD59" i="27" a="1"/>
  <c r="Z48" i="28" a="1"/>
  <c r="AL38" i="26" a="1"/>
  <c r="Z51" i="27" a="1"/>
  <c r="BK34" i="26" a="1"/>
  <c r="AQ33" i="14" a="1"/>
  <c r="D37" i="24" a="1"/>
  <c r="R57" i="14" a="1"/>
  <c r="P39" i="24" a="1"/>
  <c r="AY37" i="24" a="1"/>
  <c r="BJ44" i="24" a="1"/>
  <c r="BC47" i="24" a="1"/>
  <c r="BJ56" i="25" a="1"/>
  <c r="AG49" i="28" a="1"/>
  <c r="N43" i="25" a="1"/>
  <c r="BC41" i="24" a="1"/>
  <c r="BB52" i="28" a="1"/>
  <c r="J35" i="27" a="1"/>
  <c r="AR57" i="24" a="1"/>
  <c r="AQ33" i="27" a="1"/>
  <c r="M39" i="26" a="1"/>
  <c r="C33" i="28" a="1"/>
  <c r="AX35" i="28" a="1"/>
  <c r="AV57" i="24" a="1"/>
  <c r="K50" i="25" a="1"/>
  <c r="U60" i="14" a="1"/>
  <c r="AD47" i="28" a="1"/>
  <c r="J54" i="25" a="1"/>
  <c r="O48" i="24" a="1"/>
  <c r="AT36" i="28" a="1"/>
  <c r="R58" i="14" a="1"/>
  <c r="AZ54" i="26" a="1"/>
  <c r="BD40" i="27" a="1"/>
  <c r="AQ53" i="24" a="1"/>
  <c r="AD54" i="24" a="1"/>
  <c r="BB41" i="25" a="1"/>
  <c r="BB40" i="27" a="1"/>
  <c r="B55" i="14" a="1"/>
  <c r="AD39" i="28" a="1"/>
  <c r="B51" i="26" a="1"/>
  <c r="H42" i="27" a="1"/>
  <c r="AZ38" i="28" a="1"/>
  <c r="V40" i="24" a="1"/>
  <c r="BF33" i="24" a="1"/>
  <c r="BA42" i="14" a="1"/>
  <c r="AV44" i="25" a="1"/>
  <c r="AD58" i="28" a="1"/>
  <c r="AR60" i="24" a="1"/>
  <c r="L33" i="14" a="1"/>
  <c r="AT33" i="28" a="1"/>
  <c r="Y57" i="24" a="1"/>
  <c r="AL47" i="27" a="1"/>
  <c r="AA48" i="24" a="1"/>
  <c r="BB36" i="27" a="1"/>
  <c r="BC44" i="25" a="1"/>
  <c r="M48" i="26" a="1"/>
  <c r="BB44" i="24" a="1"/>
  <c r="AY51" i="26" a="1"/>
  <c r="BF56" i="24" a="1"/>
  <c r="AR36" i="28" a="1"/>
  <c r="AV60" i="14" a="1"/>
  <c r="Y38" i="28" a="1"/>
  <c r="X51" i="24" a="1"/>
  <c r="Q49" i="14" a="1"/>
  <c r="AB59" i="27" a="1"/>
  <c r="BI40" i="14" a="1"/>
  <c r="BJ43" i="25" a="1"/>
  <c r="AX56" i="27" a="1"/>
  <c r="BJ40" i="27" a="1"/>
  <c r="D33" i="26" a="1"/>
  <c r="BD39" i="25" a="1"/>
  <c r="AP54" i="24" a="1"/>
  <c r="Q39" i="14" a="1"/>
  <c r="Y42" i="24" a="1"/>
  <c r="BK33" i="28" a="1"/>
  <c r="C36" i="25" a="1"/>
  <c r="AZ56" i="25" a="1"/>
  <c r="AM35" i="24" a="1"/>
  <c r="Z48" i="27" a="1"/>
  <c r="S52" i="25" a="1"/>
  <c r="AB40" i="14" a="1"/>
  <c r="AZ40" i="24" a="1"/>
  <c r="AL43" i="14" a="1"/>
  <c r="BB33" i="26" a="1"/>
  <c r="N56" i="28" a="1"/>
  <c r="AE53" i="27" a="1"/>
  <c r="AG54" i="25" a="1"/>
  <c r="AK42" i="24" a="1"/>
  <c r="I41" i="24" a="1"/>
  <c r="S37" i="28" a="1"/>
  <c r="AZ42" i="27" a="1"/>
  <c r="W46" i="14" a="1"/>
  <c r="I33" i="26" a="1"/>
  <c r="AZ47" i="25" a="1"/>
  <c r="AY60" i="27" a="1"/>
  <c r="BD51" i="28" a="1"/>
  <c r="BH54" i="27" a="1"/>
  <c r="AX38" i="25" a="1"/>
  <c r="AZ39" i="26" a="1"/>
  <c r="AN48" i="24" a="1"/>
  <c r="BB43" i="27" a="1"/>
  <c r="G37" i="27" a="1"/>
  <c r="T56" i="24" a="1"/>
  <c r="BC48" i="25" a="1"/>
  <c r="BJ45" i="28" a="1"/>
  <c r="X36" i="24" a="1"/>
  <c r="AF42" i="25" a="1"/>
  <c r="AU33" i="26" a="1"/>
  <c r="BH50" i="14" a="1"/>
  <c r="S55" i="14" a="1"/>
  <c r="AQ42" i="28" a="1"/>
  <c r="AN59" i="27" a="1"/>
  <c r="AL59" i="24" a="1"/>
  <c r="BJ45" i="25" a="1"/>
  <c r="X44" i="24" a="1"/>
  <c r="I51" i="14" a="1"/>
  <c r="AK44" i="28" a="1"/>
  <c r="AV42" i="25" a="1"/>
  <c r="AI58" i="14" a="1"/>
  <c r="BA39" i="27" a="1"/>
  <c r="BI37" i="28" a="1"/>
  <c r="G48" i="14" a="1"/>
  <c r="BE40" i="24" a="1"/>
  <c r="AW57" i="14" a="1"/>
  <c r="AT49" i="14" a="1"/>
  <c r="AY59" i="27" a="1"/>
  <c r="X43" i="26" a="1"/>
  <c r="AC50" i="14" a="1"/>
  <c r="F35" i="28" a="1"/>
  <c r="B60" i="24" a="1"/>
  <c r="AS43" i="14" a="1"/>
  <c r="R54" i="24" a="1"/>
  <c r="AV49" i="28" a="1"/>
  <c r="AD34" i="27" a="1"/>
  <c r="Z39" i="14" a="1"/>
  <c r="BH41" i="25" a="1"/>
  <c r="BI58" i="14" a="1"/>
  <c r="H49" i="14" a="1"/>
  <c r="BC48" i="26" a="1"/>
  <c r="S45" i="27" a="1"/>
  <c r="P36" i="27" a="1"/>
  <c r="H51" i="26" a="1"/>
  <c r="AG33" i="14" a="1"/>
  <c r="I54" i="14" a="1"/>
  <c r="AL52" i="27" a="1"/>
  <c r="AV56" i="26" a="1"/>
  <c r="BJ47" i="28" a="1"/>
  <c r="AJ47" i="14" a="1"/>
  <c r="C56" i="27" a="1"/>
  <c r="Y54" i="14" a="1"/>
  <c r="X44" i="26" a="1"/>
  <c r="BC40" i="28" a="1"/>
  <c r="M40" i="28" a="1"/>
  <c r="D42" i="24" a="1"/>
  <c r="H56" i="25" a="1"/>
  <c r="BA49" i="24" a="1"/>
  <c r="T37" i="24" a="1"/>
  <c r="Y46" i="14" a="1"/>
  <c r="AU34" i="25" a="1"/>
  <c r="BK39" i="27" a="1"/>
  <c r="I42" i="14" a="1"/>
  <c r="N41" i="27" a="1"/>
  <c r="BC58" i="24" a="1"/>
  <c r="AV41" i="27" a="1"/>
  <c r="AC38" i="24" a="1"/>
  <c r="Y33" i="14" a="1"/>
  <c r="AU36" i="26" a="1"/>
  <c r="Z50" i="14" a="1"/>
  <c r="AI58" i="26" a="1"/>
  <c r="AD39" i="25" a="1"/>
  <c r="AW37" i="25" a="1"/>
  <c r="G59" i="26" a="1"/>
  <c r="V38" i="28" a="1"/>
  <c r="BH60" i="28" a="1"/>
  <c r="F44" i="28" a="1"/>
  <c r="BC46" i="26" a="1"/>
  <c r="AW53" i="24" a="1"/>
  <c r="AT34" i="25" a="1"/>
  <c r="Q60" i="27" a="1"/>
  <c r="I53" i="28" a="1"/>
  <c r="AR40" i="14" a="1"/>
  <c r="AT35" i="24" a="1"/>
  <c r="AZ60" i="25" a="1"/>
  <c r="F35" i="27" a="1"/>
  <c r="L45" i="24" a="1"/>
  <c r="G51" i="26" a="1"/>
  <c r="AW55" i="26" a="1"/>
  <c r="BE47" i="25" a="1"/>
  <c r="BE41" i="24" a="1"/>
  <c r="L36" i="28" a="1"/>
  <c r="AL42" i="14" a="1"/>
  <c r="AG38" i="14" a="1"/>
  <c r="C44" i="25" a="1"/>
  <c r="AB34" i="28" a="1"/>
  <c r="V39" i="25" a="1"/>
  <c r="AE55" i="28" a="1"/>
  <c r="AV39" i="27" a="1"/>
  <c r="AS48" i="14" a="1"/>
  <c r="AH42" i="26" a="1"/>
  <c r="E54" i="14" a="1"/>
  <c r="M41" i="14" a="1"/>
  <c r="AV41" i="24" a="1"/>
  <c r="W52" i="25" a="1"/>
  <c r="AN42" i="24" a="1"/>
  <c r="I58" i="14" a="1"/>
  <c r="K41" i="28" a="1"/>
  <c r="BI35" i="24" a="1"/>
  <c r="AZ37" i="28" a="1"/>
  <c r="AV35" i="24" a="1"/>
  <c r="S34" i="28" a="1"/>
  <c r="E50" i="14" a="1"/>
  <c r="AD58" i="24" a="1"/>
  <c r="Q57" i="28" a="1"/>
  <c r="AL59" i="25" a="1"/>
  <c r="Z33" i="25" a="1"/>
  <c r="AC34" i="26" a="1"/>
  <c r="BC60" i="24" a="1"/>
  <c r="BA36" i="26" a="1"/>
  <c r="K43" i="14" a="1"/>
  <c r="AM39" i="25" a="1"/>
  <c r="AM60" i="26" a="1"/>
  <c r="O57" i="27" a="1"/>
  <c r="L42" i="26" a="1"/>
  <c r="R51" i="25" a="1"/>
  <c r="BF59" i="25" a="1"/>
  <c r="AC53" i="27" a="1"/>
  <c r="O58" i="25" a="1"/>
  <c r="U57" i="27" a="1"/>
  <c r="BH35" i="24" a="1"/>
  <c r="AT57" i="27" a="1"/>
  <c r="Q46" i="28" a="1"/>
  <c r="K41" i="25" a="1"/>
  <c r="X43" i="24" a="1"/>
  <c r="AD49" i="27" a="1"/>
  <c r="AM48" i="28" a="1"/>
  <c r="BF45" i="28" a="1"/>
  <c r="Y34" i="24" a="1"/>
  <c r="F58" i="26" a="1"/>
  <c r="AB60" i="25" a="1"/>
  <c r="G45" i="14" a="1"/>
  <c r="X40" i="27" a="1"/>
  <c r="AC50" i="27" a="1"/>
  <c r="AI38" i="27" a="1"/>
  <c r="AE34" i="27" a="1"/>
  <c r="AP44" i="24" a="1"/>
  <c r="AK45" i="24" a="1"/>
  <c r="AG44" i="28" a="1"/>
  <c r="I38" i="25" a="1"/>
  <c r="AD35" i="24" a="1"/>
  <c r="N49" i="28" a="1"/>
  <c r="AQ44" i="24" a="1"/>
  <c r="B38" i="25" a="1"/>
  <c r="R56" i="27" a="1"/>
  <c r="J57" i="26" a="1"/>
  <c r="E41" i="26" a="1"/>
  <c r="Z44" i="14" a="1"/>
  <c r="AP52" i="14" a="1"/>
  <c r="BJ52" i="26" a="1"/>
  <c r="AS38" i="25" a="1"/>
  <c r="J38" i="25" a="1"/>
  <c r="V43" i="24" a="1"/>
  <c r="BA39" i="26" a="1"/>
  <c r="N47" i="27" a="1"/>
  <c r="AG40" i="26" a="1"/>
  <c r="B59" i="27" a="1"/>
  <c r="AX49" i="14" a="1"/>
  <c r="BH49" i="28" a="1"/>
  <c r="AP48" i="28" a="1"/>
  <c r="AV45" i="14" a="1"/>
  <c r="AM47" i="28" a="1"/>
  <c r="G36" i="14" a="1"/>
  <c r="AA58" i="26" a="1"/>
  <c r="AB51" i="25" a="1"/>
  <c r="BK38" i="14" a="1"/>
  <c r="AP38" i="24" a="1"/>
  <c r="AA59" i="27" a="1"/>
  <c r="Q45" i="26" a="1"/>
  <c r="J48" i="14" a="1"/>
  <c r="G37" i="26" a="1"/>
  <c r="P44" i="14" a="1"/>
  <c r="B40" i="25" a="1"/>
  <c r="AA57" i="28" a="1"/>
  <c r="AM35" i="26" a="1"/>
  <c r="K37" i="14" a="1"/>
  <c r="AP59" i="25" a="1"/>
  <c r="K45" i="25" a="1"/>
  <c r="AU59" i="24" a="1"/>
  <c r="AZ53" i="28" a="1"/>
  <c r="BF35" i="27" a="1"/>
  <c r="Y52" i="14" a="1"/>
  <c r="P54" i="27" a="1"/>
  <c r="X42" i="26" a="1"/>
  <c r="B60" i="28" a="1"/>
  <c r="AY47" i="26" a="1"/>
  <c r="AE59" i="28" a="1"/>
  <c r="AQ59" i="27" a="1"/>
  <c r="AD38" i="24" a="1"/>
  <c r="Q49" i="28" a="1"/>
  <c r="U46" i="24" a="1"/>
  <c r="AM34" i="28" a="1"/>
  <c r="G57" i="26" a="1"/>
  <c r="Q33" i="14" a="1"/>
  <c r="D45" i="24" a="1"/>
  <c r="C35" i="26" a="1"/>
  <c r="W55" i="26" a="1"/>
  <c r="AZ50" i="28" a="1"/>
  <c r="R58" i="26" a="1"/>
  <c r="AZ48" i="28" a="1"/>
  <c r="AN40" i="27" a="1"/>
  <c r="AU49" i="26" a="1"/>
  <c r="AU53" i="14" a="1"/>
  <c r="AB54" i="27" a="1"/>
  <c r="C59" i="28" a="1"/>
  <c r="AN38" i="14" a="1"/>
  <c r="AP35" i="27" a="1"/>
  <c r="X57" i="26" a="1"/>
  <c r="BF42" i="24" a="1"/>
  <c r="S39" i="26" a="1"/>
  <c r="AV58" i="27" a="1"/>
  <c r="AF44" i="14" a="1"/>
  <c r="AB39" i="14" a="1"/>
  <c r="AQ41" i="26" a="1"/>
  <c r="AA53" i="28" a="1"/>
  <c r="BB37" i="14" a="1"/>
  <c r="M36" i="24" a="1"/>
  <c r="AT56" i="24" a="1"/>
  <c r="BE57" i="24" a="1"/>
  <c r="Z40" i="25" a="1"/>
  <c r="O48" i="25" a="1"/>
  <c r="B42" i="24" a="1"/>
  <c r="C43" i="27" a="1"/>
  <c r="Y57" i="26" a="1"/>
  <c r="Q33" i="27" a="1"/>
  <c r="O45" i="28" a="1"/>
  <c r="Q47" i="25" a="1"/>
  <c r="F44" i="14" a="1"/>
  <c r="AR47" i="25" a="1"/>
  <c r="BH48" i="25" a="1"/>
  <c r="J40" i="24" a="1"/>
  <c r="H46" i="14" a="1"/>
  <c r="AH59" i="25" a="1"/>
  <c r="H41" i="25" a="1"/>
  <c r="AP34" i="25" a="1"/>
  <c r="O59" i="24" a="1"/>
  <c r="AN50" i="24" a="1"/>
  <c r="O48" i="26" a="1"/>
  <c r="AH46" i="14" a="1"/>
  <c r="AW59" i="25" a="1"/>
  <c r="Z36" i="26" a="1"/>
  <c r="J58" i="26" a="1"/>
  <c r="AO60" i="27" a="1"/>
  <c r="D48" i="27" a="1"/>
  <c r="BG53" i="25" a="1"/>
  <c r="AN51" i="28" a="1"/>
  <c r="M54" i="28" a="1"/>
  <c r="E43" i="26" a="1"/>
  <c r="BA42" i="24" a="1"/>
  <c r="AC47" i="14" a="1"/>
  <c r="B36" i="27" a="1"/>
  <c r="R34" i="27" a="1"/>
  <c r="L43" i="25" a="1"/>
  <c r="BI52" i="26" a="1"/>
  <c r="Q35" i="24" a="1"/>
  <c r="AT43" i="25" a="1"/>
  <c r="AM59" i="14" a="1"/>
  <c r="BF34" i="24" a="1"/>
  <c r="BA47" i="25" a="1"/>
  <c r="K34" i="26" a="1"/>
  <c r="D45" i="26" a="1"/>
  <c r="AZ47" i="14" a="1"/>
  <c r="AF58" i="24" a="1"/>
  <c r="L55" i="25" a="1"/>
  <c r="BG48" i="24" a="1"/>
  <c r="AN47" i="24" a="1"/>
  <c r="AX45" i="27" a="1"/>
  <c r="AK52" i="26" a="1"/>
  <c r="AG34" i="24" a="1"/>
  <c r="K48" i="14" a="1"/>
  <c r="BJ51" i="28" a="1"/>
  <c r="Z34" i="14" a="1"/>
  <c r="U35" i="14" a="1"/>
  <c r="C36" i="26" a="1"/>
  <c r="AY49" i="25" a="1"/>
  <c r="BB34" i="24" a="1"/>
  <c r="AZ33" i="25" a="1"/>
  <c r="T35" i="28" a="1"/>
  <c r="V56" i="28" a="1"/>
  <c r="M45" i="28" a="1"/>
  <c r="BF38" i="24" a="1"/>
  <c r="I41" i="26" a="1"/>
  <c r="BB56" i="14" a="1"/>
  <c r="AV46" i="14" a="1"/>
  <c r="AK34" i="25" a="1"/>
  <c r="AQ60" i="14" a="1"/>
  <c r="Z36" i="14" a="1"/>
  <c r="BB40" i="14" a="1"/>
  <c r="N57" i="14" a="1"/>
  <c r="BI55" i="27" a="1"/>
  <c r="V46" i="28" a="1"/>
  <c r="AS44" i="25" a="1"/>
  <c r="H56" i="14" a="1"/>
  <c r="AR35" i="24" a="1"/>
  <c r="AE49" i="27" a="1"/>
  <c r="X54" i="26" a="1"/>
  <c r="AK43" i="24" a="1"/>
  <c r="E40" i="28" a="1"/>
  <c r="AE56" i="25" a="1"/>
  <c r="J57" i="14" a="1"/>
  <c r="O37" i="28" a="1"/>
  <c r="G46" i="25" a="1"/>
  <c r="AX45" i="28" a="1"/>
  <c r="BJ52" i="25" a="1"/>
  <c r="AE51" i="28" a="1"/>
  <c r="BJ49" i="28" a="1"/>
  <c r="N43" i="26" a="1"/>
  <c r="E36" i="25" a="1"/>
  <c r="X50" i="14" a="1"/>
  <c r="S51" i="27" a="1"/>
  <c r="Y35" i="27" a="1"/>
  <c r="BI56" i="26" a="1"/>
  <c r="BI58" i="25" a="1"/>
  <c r="L41" i="25" a="1"/>
  <c r="AR35" i="27" a="1"/>
  <c r="AP49" i="25" a="1"/>
  <c r="AC52" i="27" a="1"/>
  <c r="Y59" i="26" a="1"/>
  <c r="BE38" i="28" a="1"/>
  <c r="BF48" i="26" a="1"/>
  <c r="R58" i="24" a="1"/>
  <c r="BG35" i="24" a="1"/>
  <c r="R39" i="24" a="1"/>
  <c r="AK56" i="24" a="1"/>
  <c r="X56" i="27" a="1"/>
  <c r="B38" i="28" a="1"/>
  <c r="S48" i="24" a="1"/>
  <c r="AE46" i="25" a="1"/>
  <c r="AU41" i="27" a="1"/>
  <c r="AF40" i="26" a="1"/>
  <c r="Z33" i="14" a="1"/>
  <c r="K33" i="25" a="1"/>
  <c r="AO60" i="24" a="1"/>
  <c r="AG57" i="28" a="1"/>
  <c r="AQ54" i="27" a="1"/>
  <c r="BH58" i="26" a="1"/>
  <c r="AS41" i="26" a="1"/>
  <c r="BF43" i="27" a="1"/>
  <c r="T43" i="24" a="1"/>
  <c r="AF38" i="25" a="1"/>
  <c r="Y42" i="14" a="1"/>
  <c r="AR40" i="27" a="1"/>
  <c r="BK60" i="14" a="1"/>
  <c r="M37" i="27" a="1"/>
  <c r="AK36" i="14" a="1"/>
  <c r="O59" i="28" a="1"/>
  <c r="Y59" i="14" a="1"/>
  <c r="V51" i="25" a="1"/>
  <c r="BK36" i="14" a="1"/>
  <c r="B55" i="25" a="1"/>
  <c r="BF45" i="24" a="1"/>
  <c r="AJ57" i="27" a="1"/>
  <c r="AO33" i="24" a="1"/>
  <c r="AO50" i="27" a="1"/>
  <c r="AI44" i="27" a="1"/>
  <c r="AC52" i="24" a="1"/>
  <c r="AH48" i="25" a="1"/>
  <c r="X44" i="14" a="1"/>
  <c r="F55" i="26" a="1"/>
  <c r="K45" i="26" a="1"/>
  <c r="AU60" i="25" a="1"/>
  <c r="G58" i="25" a="1"/>
  <c r="BH58" i="14" a="1"/>
  <c r="AQ50" i="27" a="1"/>
  <c r="N50" i="14" a="1"/>
  <c r="L34" i="26" a="1"/>
  <c r="AO58" i="26" a="1"/>
  <c r="AD44" i="14" a="1"/>
  <c r="BK53" i="14" a="1"/>
  <c r="T56" i="26" a="1"/>
  <c r="P56" i="28" a="1"/>
  <c r="AZ59" i="25" a="1"/>
  <c r="AW46" i="27" a="1"/>
  <c r="BC51" i="27" a="1"/>
  <c r="BH37" i="24" a="1"/>
  <c r="H47" i="26" a="1"/>
  <c r="AB55" i="26" a="1"/>
  <c r="BD45" i="28" a="1"/>
  <c r="Z48" i="26" a="1"/>
  <c r="AB50" i="24" a="1"/>
  <c r="AA60" i="24" a="1"/>
  <c r="AG40" i="24" a="1"/>
  <c r="M50" i="27" a="1"/>
  <c r="H39" i="26" a="1"/>
  <c r="BB43" i="26" a="1"/>
  <c r="AW34" i="25" a="1"/>
  <c r="AU50" i="26" a="1"/>
  <c r="S34" i="26" a="1"/>
  <c r="AV48" i="25" a="1"/>
  <c r="AX57" i="14" a="1"/>
  <c r="AM36" i="26" a="1"/>
  <c r="V40" i="27" a="1"/>
  <c r="BG44" i="24" a="1"/>
  <c r="B36" i="24" a="1"/>
  <c r="AQ50" i="25" a="1"/>
  <c r="AR57" i="26" a="1"/>
  <c r="V41" i="26" a="1"/>
  <c r="H40" i="25" a="1"/>
  <c r="S48" i="25" a="1"/>
  <c r="AR42" i="27" a="1"/>
  <c r="BE48" i="26" a="1"/>
  <c r="AC41" i="27" a="1"/>
  <c r="U59" i="14" a="1"/>
  <c r="BE53" i="27" a="1"/>
  <c r="AY52" i="26" a="1"/>
  <c r="T48" i="25" a="1"/>
  <c r="S50" i="24" a="1"/>
  <c r="AS54" i="27" a="1"/>
  <c r="BD34" i="14" a="1"/>
  <c r="BJ43" i="27" a="1"/>
  <c r="D57" i="25" a="1"/>
  <c r="T49" i="24" a="1"/>
  <c r="BI47" i="25" a="1"/>
  <c r="AN41" i="25" a="1"/>
  <c r="Q45" i="28" a="1"/>
  <c r="L47" i="26" a="1"/>
  <c r="AJ45" i="14" a="1"/>
  <c r="M43" i="28" a="1"/>
  <c r="AF60" i="28" a="1"/>
  <c r="L34" i="28" a="1"/>
  <c r="AJ56" i="27" a="1"/>
  <c r="AO44" i="27" a="1"/>
  <c r="C55" i="24" a="1"/>
  <c r="BB59" i="26" a="1"/>
  <c r="AJ34" i="28" a="1"/>
  <c r="G44" i="25" a="1"/>
  <c r="F47" i="25" a="1"/>
  <c r="E33" i="14" a="1"/>
  <c r="AS44" i="27" a="1"/>
  <c r="AU56" i="28" a="1"/>
  <c r="AM50" i="14" a="1"/>
  <c r="AL58" i="26" a="1"/>
  <c r="AK38" i="26" a="1"/>
  <c r="W35" i="24" a="1"/>
  <c r="W45" i="27" a="1"/>
  <c r="E51" i="25" a="1"/>
  <c r="AH35" i="26" a="1"/>
  <c r="BG58" i="28" a="1"/>
  <c r="AC60" i="25" a="1"/>
  <c r="T58" i="26" a="1"/>
  <c r="AF34" i="24" a="1"/>
  <c r="E57" i="24" a="1"/>
  <c r="AZ45" i="24" a="1"/>
  <c r="Y59" i="28" a="1"/>
  <c r="O35" i="26" a="1"/>
  <c r="W43" i="28" a="1"/>
  <c r="BA60" i="14" a="1"/>
  <c r="AH33" i="26" a="1"/>
  <c r="AL41" i="27" a="1"/>
  <c r="AB44" i="27" a="1"/>
  <c r="U51" i="25" a="1"/>
  <c r="BJ34" i="14" a="1"/>
  <c r="AB52" i="26" a="1"/>
  <c r="AV51" i="14" a="1"/>
  <c r="AQ46" i="14" a="1"/>
  <c r="V37" i="26" a="1"/>
  <c r="H57" i="26" a="1"/>
  <c r="X54" i="25" a="1"/>
  <c r="BA57" i="14" a="1"/>
  <c r="O37" i="25" a="1"/>
  <c r="X52" i="27" a="1"/>
  <c r="AG37" i="26" a="1"/>
  <c r="AM49" i="14" a="1"/>
  <c r="AJ54" i="28" a="1"/>
  <c r="AV50" i="28" a="1"/>
  <c r="AZ36" i="27" a="1"/>
  <c r="BI43" i="26" a="1"/>
  <c r="Q43" i="14" a="1"/>
  <c r="Y43" i="25" a="1"/>
  <c r="E41" i="14" a="1"/>
  <c r="AQ41" i="28" a="1"/>
  <c r="M44" i="27" a="1"/>
  <c r="U41" i="27" a="1"/>
  <c r="H53" i="25" a="1"/>
  <c r="V42" i="27" a="1"/>
  <c r="AZ41" i="24" a="1"/>
  <c r="AZ41" i="24" l="1"/>
  <c r="V42" i="27"/>
  <c r="H53" i="25"/>
  <c r="U41" i="27"/>
  <c r="M44" i="27"/>
  <c r="AQ41" i="28"/>
  <c r="E41" i="14"/>
  <c r="Y43" i="25"/>
  <c r="Q43" i="14"/>
  <c r="BI43" i="26"/>
  <c r="AZ36" i="27"/>
  <c r="AV50" i="28"/>
  <c r="AJ54" i="28"/>
  <c r="AM49" i="14"/>
  <c r="AG37" i="26"/>
  <c r="X52" i="27"/>
  <c r="O37" i="25"/>
  <c r="BA57" i="14"/>
  <c r="X54" i="25"/>
  <c r="H57" i="26"/>
  <c r="V37" i="26"/>
  <c r="AQ46" i="14"/>
  <c r="AV51" i="14"/>
  <c r="AB52" i="26"/>
  <c r="BJ34" i="14"/>
  <c r="U51" i="25"/>
  <c r="AB44" i="27"/>
  <c r="AL41" i="27"/>
  <c r="AH33" i="26"/>
  <c r="BA60" i="14"/>
  <c r="W43" i="28"/>
  <c r="O35" i="26"/>
  <c r="Y59" i="28"/>
  <c r="AZ45" i="24"/>
  <c r="E57" i="24"/>
  <c r="AF34" i="24"/>
  <c r="T58" i="26"/>
  <c r="AC60" i="25"/>
  <c r="BG58" i="28"/>
  <c r="AH35" i="26"/>
  <c r="E51" i="25"/>
  <c r="W45" i="27"/>
  <c r="W35" i="24"/>
  <c r="AK38" i="26"/>
  <c r="AL58" i="26"/>
  <c r="AM50" i="14"/>
  <c r="AU56" i="28"/>
  <c r="AS44" i="27"/>
  <c r="E33" i="14"/>
  <c r="F47" i="25"/>
  <c r="G44" i="25"/>
  <c r="AJ34" i="28"/>
  <c r="BB59" i="26"/>
  <c r="C55" i="24"/>
  <c r="AO44" i="27"/>
  <c r="AJ56" i="27"/>
  <c r="L34" i="28"/>
  <c r="AF60" i="28"/>
  <c r="M43" i="28"/>
  <c r="AJ45" i="14"/>
  <c r="L47" i="26"/>
  <c r="Q45" i="28"/>
  <c r="AN41" i="25"/>
  <c r="BI47" i="25"/>
  <c r="T49" i="24"/>
  <c r="D57" i="25"/>
  <c r="BJ43" i="27"/>
  <c r="BD34" i="14"/>
  <c r="AS54" i="27"/>
  <c r="S50" i="24"/>
  <c r="T48" i="25"/>
  <c r="AY52" i="26"/>
  <c r="BE53" i="27"/>
  <c r="U59" i="14"/>
  <c r="AC41" i="27"/>
  <c r="BE48" i="26"/>
  <c r="AR42" i="27"/>
  <c r="S48" i="25"/>
  <c r="H40" i="25"/>
  <c r="V41" i="26"/>
  <c r="AR57" i="26"/>
  <c r="AQ50" i="25"/>
  <c r="B36" i="24"/>
  <c r="BG44" i="24"/>
  <c r="V40" i="27"/>
  <c r="AM36" i="26"/>
  <c r="AX57" i="14"/>
  <c r="AV48" i="25"/>
  <c r="S34" i="26"/>
  <c r="AU50" i="26"/>
  <c r="AW34" i="25"/>
  <c r="BB43" i="26"/>
  <c r="H39" i="26"/>
  <c r="M50" i="27"/>
  <c r="AG40" i="24"/>
  <c r="AA60" i="24"/>
  <c r="AB50" i="24"/>
  <c r="Z48" i="26"/>
  <c r="BD45" i="28"/>
  <c r="AB55" i="26"/>
  <c r="H47" i="26"/>
  <c r="BH37" i="24"/>
  <c r="BC51" i="27"/>
  <c r="AW46" i="27"/>
  <c r="AZ59" i="25"/>
  <c r="P56" i="28"/>
  <c r="T56" i="26"/>
  <c r="BK53" i="14"/>
  <c r="AD44" i="14"/>
  <c r="AO58" i="26"/>
  <c r="L34" i="26"/>
  <c r="N50" i="14"/>
  <c r="AQ50" i="27"/>
  <c r="BH58" i="14"/>
  <c r="G58" i="25"/>
  <c r="AU60" i="25"/>
  <c r="K45" i="26"/>
  <c r="F55" i="26"/>
  <c r="X44" i="14"/>
  <c r="AH48" i="25"/>
  <c r="AC52" i="24"/>
  <c r="AI44" i="27"/>
  <c r="AO50" i="27"/>
  <c r="AO33" i="24"/>
  <c r="AJ57" i="27"/>
  <c r="BF45" i="24"/>
  <c r="B55" i="25"/>
  <c r="BK36" i="14"/>
  <c r="V51" i="25"/>
  <c r="Y59" i="14"/>
  <c r="O59" i="28"/>
  <c r="AK36" i="14"/>
  <c r="M37" i="27"/>
  <c r="BK60" i="14"/>
  <c r="AR40" i="27"/>
  <c r="Y42" i="14"/>
  <c r="AF38" i="25"/>
  <c r="T43" i="24"/>
  <c r="BF43" i="27"/>
  <c r="AS41" i="26"/>
  <c r="BH58" i="26"/>
  <c r="AQ54" i="27"/>
  <c r="AG57" i="28"/>
  <c r="AO60" i="24"/>
  <c r="K33" i="25"/>
  <c r="Z33" i="14"/>
  <c r="AF40" i="26"/>
  <c r="AU41" i="27"/>
  <c r="AE46" i="25"/>
  <c r="S48" i="24"/>
  <c r="B38" i="28"/>
  <c r="X56" i="27"/>
  <c r="AK56" i="24"/>
  <c r="R39" i="24"/>
  <c r="BG35" i="24"/>
  <c r="R58" i="24"/>
  <c r="BF48" i="26"/>
  <c r="BE38" i="28"/>
  <c r="Y59" i="26"/>
  <c r="AC52" i="27"/>
  <c r="AP49" i="25"/>
  <c r="AR35" i="27"/>
  <c r="L41" i="25"/>
  <c r="BI58" i="25"/>
  <c r="BI56" i="26"/>
  <c r="Y35" i="27"/>
  <c r="S51" i="27"/>
  <c r="X50" i="14"/>
  <c r="E36" i="25"/>
  <c r="N43" i="26"/>
  <c r="BJ49" i="28"/>
  <c r="AE51" i="28"/>
  <c r="BJ52" i="25"/>
  <c r="AX45" i="28"/>
  <c r="G46" i="25"/>
  <c r="O37" i="28"/>
  <c r="J57" i="14"/>
  <c r="AE56" i="25"/>
  <c r="E40" i="28"/>
  <c r="AK43" i="24"/>
  <c r="X54" i="26"/>
  <c r="AE49" i="27"/>
  <c r="AR35" i="24"/>
  <c r="H56" i="14"/>
  <c r="AS44" i="25"/>
  <c r="V46" i="28"/>
  <c r="BI55" i="27"/>
  <c r="N57" i="14"/>
  <c r="BB40" i="14"/>
  <c r="Z36" i="14"/>
  <c r="AQ60" i="14"/>
  <c r="AK34" i="25"/>
  <c r="AV46" i="14"/>
  <c r="BB56" i="14"/>
  <c r="I41" i="26"/>
  <c r="BF38" i="24"/>
  <c r="M45" i="28"/>
  <c r="V56" i="28"/>
  <c r="T35" i="28"/>
  <c r="AZ33" i="25"/>
  <c r="BB34" i="24"/>
  <c r="AY49" i="25"/>
  <c r="C36" i="26"/>
  <c r="U35" i="14"/>
  <c r="Z34" i="14"/>
  <c r="BJ51" i="28"/>
  <c r="K48" i="14"/>
  <c r="AG34" i="24"/>
  <c r="AK52" i="26"/>
  <c r="AX45" i="27"/>
  <c r="AN47" i="24"/>
  <c r="BG48" i="24"/>
  <c r="L55" i="25"/>
  <c r="AF58" i="24"/>
  <c r="AZ47" i="14"/>
  <c r="D45" i="26"/>
  <c r="K34" i="26"/>
  <c r="BA47" i="25"/>
  <c r="BF34" i="24"/>
  <c r="AM59" i="14"/>
  <c r="AT43" i="25"/>
  <c r="Q35" i="24"/>
  <c r="BI52" i="26"/>
  <c r="L43" i="25"/>
  <c r="R34" i="27"/>
  <c r="B36" i="27"/>
  <c r="AC47" i="14"/>
  <c r="BA42" i="24"/>
  <c r="E43" i="26"/>
  <c r="M54" i="28"/>
  <c r="AN51" i="28"/>
  <c r="BG53" i="25"/>
  <c r="D48" i="27"/>
  <c r="AO60" i="27"/>
  <c r="J58" i="26"/>
  <c r="Z36" i="26"/>
  <c r="AW59" i="25"/>
  <c r="AH46" i="14"/>
  <c r="O48" i="26"/>
  <c r="AN50" i="24"/>
  <c r="O59" i="24"/>
  <c r="AP34" i="25"/>
  <c r="H41" i="25"/>
  <c r="AH59" i="25"/>
  <c r="H46" i="14"/>
  <c r="J40" i="24"/>
  <c r="BH48" i="25"/>
  <c r="AR47" i="25"/>
  <c r="F44" i="14"/>
  <c r="Q47" i="25"/>
  <c r="O45" i="28"/>
  <c r="Q33" i="27"/>
  <c r="Y57" i="26"/>
  <c r="C43" i="27"/>
  <c r="B42" i="24"/>
  <c r="O48" i="25"/>
  <c r="Z40" i="25"/>
  <c r="BE57" i="24"/>
  <c r="AT56" i="24"/>
  <c r="M36" i="24"/>
  <c r="BB37" i="14"/>
  <c r="AA53" i="28"/>
  <c r="AQ41" i="26"/>
  <c r="AB39" i="14"/>
  <c r="AF44" i="14"/>
  <c r="AV58" i="27"/>
  <c r="S39" i="26"/>
  <c r="BF42" i="24"/>
  <c r="X57" i="26"/>
  <c r="AP35" i="27"/>
  <c r="AN38" i="14"/>
  <c r="C59" i="28"/>
  <c r="AB54" i="27"/>
  <c r="AU53" i="14"/>
  <c r="AU49" i="26"/>
  <c r="AN40" i="27"/>
  <c r="AZ48" i="28"/>
  <c r="R58" i="26"/>
  <c r="AZ50" i="28"/>
  <c r="W55" i="26"/>
  <c r="C35" i="26"/>
  <c r="D45" i="24"/>
  <c r="Q33" i="14"/>
  <c r="G57" i="26"/>
  <c r="AM34" i="28"/>
  <c r="U46" i="24"/>
  <c r="Q49" i="28"/>
  <c r="AD38" i="24"/>
  <c r="AQ59" i="27"/>
  <c r="AE59" i="28"/>
  <c r="AY47" i="26"/>
  <c r="B60" i="28"/>
  <c r="X42" i="26"/>
  <c r="P54" i="27"/>
  <c r="Y52" i="14"/>
  <c r="BF35" i="27"/>
  <c r="AZ53" i="28"/>
  <c r="AU59" i="24"/>
  <c r="K45" i="25"/>
  <c r="AP59" i="25"/>
  <c r="K37" i="14"/>
  <c r="AM35" i="26"/>
  <c r="AA57" i="28"/>
  <c r="B40" i="25"/>
  <c r="P44" i="14"/>
  <c r="G37" i="26"/>
  <c r="J48" i="14"/>
  <c r="Q45" i="26"/>
  <c r="AA59" i="27"/>
  <c r="AP38" i="24"/>
  <c r="BK38" i="14"/>
  <c r="AB51" i="25"/>
  <c r="AA58" i="26"/>
  <c r="G36" i="14"/>
  <c r="AM47" i="28"/>
  <c r="AV45" i="14"/>
  <c r="AP48" i="28"/>
  <c r="BH49" i="28"/>
  <c r="AX49" i="14"/>
  <c r="B59" i="27"/>
  <c r="AG40" i="26"/>
  <c r="N47" i="27"/>
  <c r="BA39" i="26"/>
  <c r="V43" i="24"/>
  <c r="J38" i="25"/>
  <c r="AS38" i="25"/>
  <c r="BJ52" i="26"/>
  <c r="AP52" i="14"/>
  <c r="Z44" i="14"/>
  <c r="E41" i="26"/>
  <c r="J57" i="26"/>
  <c r="R56" i="27"/>
  <c r="B38" i="25"/>
  <c r="AQ44" i="24"/>
  <c r="N49" i="28"/>
  <c r="AD35" i="24"/>
  <c r="I38" i="25"/>
  <c r="AG44" i="28"/>
  <c r="AK45" i="24"/>
  <c r="AP44" i="24"/>
  <c r="AE34" i="27"/>
  <c r="AI38" i="27"/>
  <c r="AC50" i="27"/>
  <c r="X40" i="27"/>
  <c r="G45" i="14"/>
  <c r="AB60" i="25"/>
  <c r="F58" i="26"/>
  <c r="Y34" i="24"/>
  <c r="BF45" i="28"/>
  <c r="AM48" i="28"/>
  <c r="AD49" i="27"/>
  <c r="X43" i="24"/>
  <c r="K41" i="25"/>
  <c r="Q46" i="28"/>
  <c r="AT57" i="27"/>
  <c r="BH35" i="24"/>
  <c r="U57" i="27"/>
  <c r="O58" i="25"/>
  <c r="AC53" i="27"/>
  <c r="BF59" i="25"/>
  <c r="R51" i="25"/>
  <c r="L42" i="26"/>
  <c r="O57" i="27"/>
  <c r="AM60" i="26"/>
  <c r="AM39" i="25"/>
  <c r="K43" i="14"/>
  <c r="BA36" i="26"/>
  <c r="BC60" i="24"/>
  <c r="AC34" i="26"/>
  <c r="Z33" i="25"/>
  <c r="AL59" i="25"/>
  <c r="Q57" i="28"/>
  <c r="AD58" i="24"/>
  <c r="E50" i="14"/>
  <c r="S34" i="28"/>
  <c r="AV35" i="24"/>
  <c r="AZ37" i="28"/>
  <c r="BI35" i="24"/>
  <c r="K41" i="28"/>
  <c r="I58" i="14"/>
  <c r="AN42" i="24"/>
  <c r="W52" i="25"/>
  <c r="AV41" i="24"/>
  <c r="M41" i="14"/>
  <c r="E54" i="14"/>
  <c r="AH42" i="26"/>
  <c r="AS48" i="14"/>
  <c r="AV39" i="27"/>
  <c r="AE55" i="28"/>
  <c r="V39" i="25"/>
  <c r="AB34" i="28"/>
  <c r="C44" i="25"/>
  <c r="AG38" i="14"/>
  <c r="AL42" i="14"/>
  <c r="L36" i="28"/>
  <c r="BE41" i="24"/>
  <c r="BE47" i="25"/>
  <c r="AW55" i="26"/>
  <c r="G51" i="26"/>
  <c r="L45" i="24"/>
  <c r="F35" i="27"/>
  <c r="AZ60" i="25"/>
  <c r="AT35" i="24"/>
  <c r="AR40" i="14"/>
  <c r="I53" i="28"/>
  <c r="Q60" i="27"/>
  <c r="AT34" i="25"/>
  <c r="AW53" i="24"/>
  <c r="BC46" i="26"/>
  <c r="F44" i="28"/>
  <c r="BH60" i="28"/>
  <c r="V38" i="28"/>
  <c r="G59" i="26"/>
  <c r="AW37" i="25"/>
  <c r="AD39" i="25"/>
  <c r="AI58" i="26"/>
  <c r="Z50" i="14"/>
  <c r="AU36" i="26"/>
  <c r="Y33" i="14"/>
  <c r="AC38" i="24"/>
  <c r="AV41" i="27"/>
  <c r="BC58" i="24"/>
  <c r="N41" i="27"/>
  <c r="I42" i="14"/>
  <c r="BK39" i="27"/>
  <c r="AU34" i="25"/>
  <c r="Y46" i="14"/>
  <c r="T37" i="24"/>
  <c r="BA49" i="24"/>
  <c r="H56" i="25"/>
  <c r="D42" i="24"/>
  <c r="M40" i="28"/>
  <c r="BC40" i="28"/>
  <c r="X44" i="26"/>
  <c r="Y54" i="14"/>
  <c r="C56" i="27"/>
  <c r="AJ47" i="14"/>
  <c r="BJ47" i="28"/>
  <c r="AV56" i="26"/>
  <c r="AL52" i="27"/>
  <c r="I54" i="14"/>
  <c r="AG33" i="14"/>
  <c r="H51" i="26"/>
  <c r="P36" i="27"/>
  <c r="S45" i="27"/>
  <c r="BC48" i="26"/>
  <c r="H49" i="14"/>
  <c r="BI58" i="14"/>
  <c r="BH41" i="25"/>
  <c r="Z39" i="14"/>
  <c r="AD34" i="27"/>
  <c r="AV49" i="28"/>
  <c r="R54" i="24"/>
  <c r="AS43" i="14"/>
  <c r="B60" i="24"/>
  <c r="F35" i="28"/>
  <c r="AC50" i="14"/>
  <c r="X43" i="26"/>
  <c r="AY59" i="27"/>
  <c r="AT49" i="14"/>
  <c r="AW57" i="14"/>
  <c r="BE40" i="24"/>
  <c r="G48" i="14"/>
  <c r="BI37" i="28"/>
  <c r="BA39" i="27"/>
  <c r="AI58" i="14"/>
  <c r="AV42" i="25"/>
  <c r="AK44" i="28"/>
  <c r="I51" i="14"/>
  <c r="X44" i="24"/>
  <c r="BJ45" i="25"/>
  <c r="AL59" i="24"/>
  <c r="AN59" i="27"/>
  <c r="AQ42" i="28"/>
  <c r="S55" i="14"/>
  <c r="BH50" i="14"/>
  <c r="AU33" i="26"/>
  <c r="AF42" i="25"/>
  <c r="X36" i="24"/>
  <c r="BJ45" i="28"/>
  <c r="BC48" i="25"/>
  <c r="T56" i="24"/>
  <c r="G37" i="27"/>
  <c r="BB43" i="27"/>
  <c r="AN48" i="24"/>
  <c r="AZ39" i="26"/>
  <c r="AX38" i="25"/>
  <c r="BH54" i="27"/>
  <c r="BD51" i="28"/>
  <c r="AY60" i="27"/>
  <c r="AZ47" i="25"/>
  <c r="I33" i="26"/>
  <c r="W46" i="14"/>
  <c r="AZ42" i="27"/>
  <c r="S37" i="28"/>
  <c r="I41" i="24"/>
  <c r="AK42" i="24"/>
  <c r="AG54" i="25"/>
  <c r="AE53" i="27"/>
  <c r="N56" i="28"/>
  <c r="BB33" i="26"/>
  <c r="AL43" i="14"/>
  <c r="AZ40" i="24"/>
  <c r="AB40" i="14"/>
  <c r="S52" i="25"/>
  <c r="Z48" i="27"/>
  <c r="AM35" i="24"/>
  <c r="AZ56" i="25"/>
  <c r="C36" i="25"/>
  <c r="BK33" i="28"/>
  <c r="Y42" i="24"/>
  <c r="Q39" i="14"/>
  <c r="AP54" i="24"/>
  <c r="BD39" i="25"/>
  <c r="D33" i="26"/>
  <c r="BJ40" i="27"/>
  <c r="AX56" i="27"/>
  <c r="BJ43" i="25"/>
  <c r="BI40" i="14"/>
  <c r="AB59" i="27"/>
  <c r="Q49" i="14"/>
  <c r="X51" i="24"/>
  <c r="Y38" i="28"/>
  <c r="AV60" i="14"/>
  <c r="AR36" i="28"/>
  <c r="BF56" i="24"/>
  <c r="AY51" i="26"/>
  <c r="BB44" i="24"/>
  <c r="M48" i="26"/>
  <c r="BC44" i="25"/>
  <c r="BB36" i="27"/>
  <c r="AA48" i="24"/>
  <c r="AL47" i="27"/>
  <c r="Y57" i="24"/>
  <c r="AT33" i="28"/>
  <c r="L33" i="14"/>
  <c r="AR60" i="24"/>
  <c r="AD58" i="28"/>
  <c r="AV44" i="25"/>
  <c r="BA42" i="14"/>
  <c r="BF33" i="24"/>
  <c r="V40" i="24"/>
  <c r="AZ38" i="28"/>
  <c r="H42" i="27"/>
  <c r="B51" i="26"/>
  <c r="AD39" i="28"/>
  <c r="B55" i="14"/>
  <c r="BB40" i="27"/>
  <c r="BB41" i="25"/>
  <c r="AD54" i="24"/>
  <c r="AQ53" i="24"/>
  <c r="BD40" i="27"/>
  <c r="AZ54" i="26"/>
  <c r="R58" i="14"/>
  <c r="AT36" i="28"/>
  <c r="O48" i="24"/>
  <c r="J54" i="25"/>
  <c r="AD47" i="28"/>
  <c r="U60" i="14"/>
  <c r="K50" i="25"/>
  <c r="AV57" i="24"/>
  <c r="AX35" i="28"/>
  <c r="C33" i="28"/>
  <c r="M39" i="26"/>
  <c r="AQ33" i="27"/>
  <c r="AR57" i="24"/>
  <c r="J35" i="27"/>
  <c r="BB52" i="28"/>
  <c r="BC41" i="24"/>
  <c r="N43" i="25"/>
  <c r="AG49" i="28"/>
  <c r="BJ56" i="25"/>
  <c r="BC47" i="24"/>
  <c r="BJ44" i="24"/>
  <c r="AY37" i="24"/>
  <c r="P39" i="24"/>
  <c r="R57" i="14"/>
  <c r="D37" i="24"/>
  <c r="AQ33" i="14"/>
  <c r="BK34" i="26"/>
  <c r="Z51" i="27"/>
  <c r="AL38" i="26"/>
  <c r="Z48" i="28"/>
  <c r="BD59" i="27"/>
  <c r="AD60" i="26"/>
  <c r="U53" i="25"/>
  <c r="Y38" i="14"/>
  <c r="BC35" i="27"/>
  <c r="BG43" i="27"/>
  <c r="AQ43" i="27"/>
  <c r="AK54" i="25"/>
  <c r="AA58" i="27"/>
  <c r="BD49" i="25"/>
  <c r="V42" i="14"/>
  <c r="AI51" i="24"/>
  <c r="N40" i="25"/>
  <c r="Z47" i="28"/>
  <c r="Y48" i="26"/>
  <c r="T55" i="25"/>
  <c r="AO55" i="27"/>
  <c r="AY38" i="26"/>
  <c r="B36" i="25"/>
  <c r="I48" i="14"/>
  <c r="AC55" i="28"/>
  <c r="O40" i="26"/>
  <c r="AP36" i="26"/>
  <c r="V38" i="24"/>
  <c r="AI40" i="28"/>
  <c r="AE56" i="26"/>
  <c r="AI56" i="26"/>
  <c r="BH40" i="24"/>
  <c r="P59" i="27"/>
  <c r="AK35" i="14"/>
  <c r="V45" i="28"/>
  <c r="K54" i="28"/>
  <c r="AX43" i="26"/>
  <c r="X52" i="25"/>
  <c r="AS46" i="28"/>
  <c r="AW54" i="27"/>
  <c r="I45" i="26"/>
  <c r="B35" i="28"/>
  <c r="AN36" i="28"/>
  <c r="W33" i="25"/>
  <c r="AZ52" i="28"/>
  <c r="AZ38" i="25"/>
  <c r="Z51" i="28"/>
  <c r="AK56" i="27"/>
  <c r="F37" i="28"/>
  <c r="Y46" i="26"/>
  <c r="BB38" i="26"/>
  <c r="AX36" i="25"/>
  <c r="F45" i="28"/>
  <c r="S48" i="26"/>
  <c r="AH45" i="25"/>
  <c r="X41" i="24"/>
  <c r="N48" i="24"/>
  <c r="P44" i="25"/>
  <c r="BB50" i="14"/>
  <c r="N57" i="25"/>
  <c r="K54" i="14"/>
  <c r="AY54" i="25"/>
  <c r="M55" i="26"/>
  <c r="BB47" i="24"/>
  <c r="BG34" i="26"/>
  <c r="N39" i="26"/>
  <c r="P59" i="28"/>
  <c r="BJ37" i="28"/>
  <c r="BD41" i="14"/>
  <c r="AT51" i="25"/>
  <c r="AQ59" i="24"/>
  <c r="AV38" i="24"/>
  <c r="T34" i="27"/>
  <c r="H36" i="26"/>
  <c r="S55" i="25"/>
  <c r="Q52" i="24"/>
  <c r="BE45" i="28"/>
  <c r="Z43" i="27"/>
  <c r="AR39" i="26"/>
  <c r="AE39" i="26"/>
  <c r="AM41" i="14"/>
  <c r="I53" i="14"/>
  <c r="Z58" i="27"/>
  <c r="D53" i="24"/>
  <c r="BG52" i="28"/>
  <c r="W47" i="14"/>
  <c r="N45" i="27"/>
  <c r="J51" i="27"/>
  <c r="BB57" i="26"/>
  <c r="AP34" i="24"/>
  <c r="K44" i="14"/>
  <c r="D48" i="28"/>
  <c r="S36" i="24"/>
  <c r="P54" i="25"/>
  <c r="BA58" i="24"/>
  <c r="AE34" i="28"/>
  <c r="AL53" i="14"/>
  <c r="AU59" i="27"/>
  <c r="AB42" i="25"/>
  <c r="C43" i="25"/>
  <c r="F48" i="14"/>
  <c r="AP49" i="27"/>
  <c r="AS34" i="25"/>
  <c r="AY47" i="24"/>
  <c r="O60" i="28"/>
  <c r="K40" i="24"/>
  <c r="AF39" i="25"/>
  <c r="AY40" i="24"/>
  <c r="AW59" i="26"/>
  <c r="BH49" i="26"/>
  <c r="AN39" i="14"/>
  <c r="I44" i="25"/>
  <c r="R54" i="25"/>
  <c r="BF53" i="24"/>
  <c r="B59" i="24"/>
  <c r="G42" i="27"/>
  <c r="BK42" i="27"/>
  <c r="BB47" i="27"/>
  <c r="Y39" i="27"/>
  <c r="AI42" i="25"/>
  <c r="BK59" i="14"/>
  <c r="L50" i="25"/>
  <c r="BD47" i="28"/>
  <c r="P58" i="24"/>
  <c r="G54" i="27"/>
  <c r="I46" i="14"/>
  <c r="Q52" i="28"/>
  <c r="K60" i="25"/>
  <c r="C41" i="27"/>
  <c r="AM59" i="25"/>
  <c r="BA58" i="14"/>
  <c r="E37" i="26"/>
  <c r="AF40" i="28"/>
  <c r="AN33" i="26"/>
  <c r="Q54" i="24"/>
  <c r="BK41" i="24"/>
  <c r="Z45" i="26"/>
  <c r="AR42" i="28"/>
  <c r="AD55" i="25"/>
  <c r="T58" i="27"/>
  <c r="B44" i="24"/>
  <c r="BD37" i="14"/>
  <c r="AP41" i="26"/>
  <c r="W52" i="24"/>
  <c r="Y50" i="26"/>
  <c r="Q56" i="14"/>
  <c r="BG41" i="24"/>
  <c r="AE52" i="25"/>
  <c r="AB49" i="25"/>
  <c r="BI43" i="27"/>
  <c r="O52" i="14"/>
  <c r="AD48" i="26"/>
  <c r="BI60" i="25"/>
  <c r="AH33" i="24"/>
  <c r="BB51" i="24"/>
  <c r="I55" i="28"/>
  <c r="P52" i="25"/>
  <c r="AI43" i="27"/>
  <c r="U38" i="14"/>
  <c r="O55" i="25"/>
  <c r="W43" i="27"/>
  <c r="AE41" i="26"/>
  <c r="M58" i="24"/>
  <c r="AR52" i="28"/>
  <c r="AJ46" i="25"/>
  <c r="BE54" i="28"/>
  <c r="P45" i="24"/>
  <c r="AG47" i="25"/>
  <c r="X36" i="28"/>
  <c r="AG50" i="28"/>
  <c r="AM58" i="24"/>
  <c r="AB33" i="26"/>
  <c r="AQ37" i="27"/>
  <c r="AY55" i="25"/>
  <c r="X53" i="27"/>
  <c r="O52" i="28"/>
  <c r="AZ55" i="25"/>
  <c r="AB33" i="24"/>
  <c r="W60" i="25"/>
  <c r="AK50" i="26"/>
  <c r="AC58" i="24"/>
  <c r="U37" i="24"/>
  <c r="AW33" i="28"/>
  <c r="AJ41" i="26"/>
  <c r="W44" i="24"/>
  <c r="T36" i="24"/>
  <c r="AW50" i="14"/>
  <c r="Y52" i="24"/>
  <c r="AT52" i="25"/>
  <c r="AS45" i="26"/>
  <c r="F43" i="25"/>
  <c r="BA51" i="26"/>
  <c r="L59" i="14"/>
  <c r="V38" i="14"/>
  <c r="AN47" i="14"/>
  <c r="AL33" i="26"/>
  <c r="AS59" i="24"/>
  <c r="BB36" i="24"/>
  <c r="AQ43" i="28"/>
  <c r="C46" i="28"/>
  <c r="AR51" i="25"/>
  <c r="BE47" i="27"/>
  <c r="AE38" i="25"/>
  <c r="BF56" i="25"/>
  <c r="AB51" i="14"/>
  <c r="AL54" i="14"/>
  <c r="Y37" i="26"/>
  <c r="AI40" i="25"/>
  <c r="BB56" i="24"/>
  <c r="K51" i="24"/>
  <c r="AR56" i="27"/>
  <c r="AT44" i="24"/>
  <c r="AQ55" i="14"/>
  <c r="AC34" i="25"/>
  <c r="AE46" i="27"/>
  <c r="AU33" i="14"/>
  <c r="BA35" i="27"/>
  <c r="BF39" i="14"/>
  <c r="AT42" i="24"/>
  <c r="L55" i="27"/>
  <c r="B56" i="25"/>
  <c r="AL45" i="14"/>
  <c r="I34" i="14"/>
  <c r="I54" i="28"/>
  <c r="BC58" i="27"/>
  <c r="U34" i="28"/>
  <c r="I45" i="28"/>
  <c r="N47" i="14"/>
  <c r="AT42" i="28"/>
  <c r="AW49" i="14"/>
  <c r="AQ37" i="28"/>
  <c r="AL52" i="25"/>
  <c r="G36" i="28"/>
  <c r="AZ49" i="26"/>
  <c r="BD54" i="24"/>
  <c r="AX35" i="14"/>
  <c r="BD45" i="25"/>
  <c r="I50" i="14"/>
  <c r="R54" i="28"/>
  <c r="J56" i="25"/>
  <c r="BF55" i="25"/>
  <c r="AT53" i="28"/>
  <c r="AO42" i="25"/>
  <c r="BG56" i="24"/>
  <c r="Q51" i="27"/>
  <c r="AZ36" i="26"/>
  <c r="J60" i="14"/>
  <c r="K57" i="28"/>
  <c r="M44" i="26"/>
  <c r="W39" i="28"/>
  <c r="BC52" i="25"/>
  <c r="U52" i="24"/>
  <c r="F39" i="27"/>
  <c r="AE52" i="14"/>
  <c r="AH34" i="14"/>
  <c r="B51" i="14"/>
  <c r="BA59" i="14"/>
  <c r="AA36" i="25"/>
  <c r="W60" i="28"/>
  <c r="BA35" i="14"/>
  <c r="K43" i="24"/>
  <c r="BD52" i="14"/>
  <c r="BJ52" i="14"/>
  <c r="BE34" i="25"/>
  <c r="H51" i="28"/>
  <c r="AO52" i="24"/>
  <c r="H60" i="28"/>
  <c r="BD55" i="27"/>
  <c r="AH45" i="27"/>
  <c r="AF39" i="27"/>
  <c r="AX45" i="24"/>
  <c r="AC41" i="14"/>
  <c r="AF49" i="24"/>
  <c r="AC40" i="25"/>
  <c r="BE46" i="25"/>
  <c r="N58" i="26"/>
  <c r="M57" i="14"/>
  <c r="AH34" i="25"/>
  <c r="AX50" i="27"/>
  <c r="BI51" i="25"/>
  <c r="AD45" i="14"/>
  <c r="BH60" i="24"/>
  <c r="AA52" i="14"/>
  <c r="U55" i="24"/>
  <c r="AD57" i="27"/>
  <c r="BF51" i="14"/>
  <c r="T57" i="26"/>
  <c r="BG50" i="26"/>
  <c r="S52" i="14"/>
  <c r="BI47" i="14"/>
  <c r="P33" i="25"/>
  <c r="O50" i="14"/>
  <c r="G49" i="14"/>
  <c r="B41" i="28"/>
  <c r="AV48" i="14"/>
  <c r="AE56" i="24"/>
  <c r="AV36" i="24"/>
  <c r="P46" i="14"/>
  <c r="L50" i="27"/>
  <c r="AR55" i="25"/>
  <c r="R35" i="28"/>
  <c r="AG55" i="25"/>
  <c r="N49" i="14"/>
  <c r="AB35" i="26"/>
  <c r="AF58" i="27"/>
  <c r="BB60" i="28"/>
  <c r="AV49" i="24"/>
  <c r="AU53" i="26"/>
  <c r="AI50" i="24"/>
  <c r="BH41" i="14"/>
  <c r="AS41" i="27"/>
  <c r="W58" i="25"/>
  <c r="AU57" i="28"/>
  <c r="D34" i="28"/>
  <c r="BG45" i="27"/>
  <c r="AJ33" i="27"/>
  <c r="F49" i="14"/>
  <c r="AS51" i="27"/>
  <c r="J59" i="14"/>
  <c r="AK48" i="14"/>
  <c r="BI43" i="25"/>
  <c r="Y36" i="25"/>
  <c r="V59" i="24"/>
  <c r="BE39" i="27"/>
  <c r="BE49" i="25"/>
  <c r="N57" i="24"/>
  <c r="AY53" i="27"/>
  <c r="U33" i="14"/>
  <c r="C51" i="24"/>
  <c r="AE33" i="14"/>
  <c r="BJ58" i="28"/>
  <c r="AI37" i="24"/>
  <c r="BI45" i="28"/>
  <c r="AX49" i="27"/>
  <c r="N35" i="14"/>
  <c r="AF59" i="24"/>
  <c r="BJ41" i="14"/>
  <c r="AV39" i="26"/>
  <c r="U49" i="24"/>
  <c r="AF47" i="24"/>
  <c r="M49" i="24"/>
  <c r="AQ55" i="25"/>
  <c r="AD59" i="25"/>
  <c r="AI53" i="24"/>
  <c r="U34" i="25"/>
  <c r="AW57" i="26"/>
  <c r="X52" i="28"/>
  <c r="F42" i="25"/>
  <c r="AF45" i="25"/>
  <c r="S48" i="27"/>
  <c r="O35" i="24"/>
  <c r="AN39" i="25"/>
  <c r="AJ35" i="27"/>
  <c r="AQ50" i="14"/>
  <c r="BK51" i="14"/>
  <c r="V50" i="14"/>
  <c r="BC45" i="26"/>
  <c r="AN49" i="25"/>
  <c r="AU34" i="26"/>
  <c r="AL53" i="24"/>
  <c r="X51" i="26"/>
  <c r="AL60" i="24"/>
  <c r="AB60" i="26"/>
  <c r="BK57" i="14"/>
  <c r="BH44" i="27"/>
  <c r="D40" i="25"/>
  <c r="AN47" i="26"/>
  <c r="C45" i="27"/>
  <c r="AK36" i="25"/>
  <c r="AS34" i="14"/>
  <c r="AN57" i="27"/>
  <c r="K51" i="26"/>
  <c r="BG38" i="14"/>
  <c r="AX59" i="26"/>
  <c r="AI50" i="25"/>
  <c r="AI44" i="28"/>
  <c r="AD53" i="28"/>
  <c r="AY36" i="24"/>
  <c r="N35" i="27"/>
  <c r="BA35" i="25"/>
  <c r="AD46" i="24"/>
  <c r="P54" i="24"/>
  <c r="V44" i="14"/>
  <c r="AE41" i="28"/>
  <c r="F38" i="28"/>
  <c r="S45" i="28"/>
  <c r="F42" i="26"/>
  <c r="AK48" i="28"/>
  <c r="AL38" i="28"/>
  <c r="AE41" i="14"/>
  <c r="P55" i="25"/>
  <c r="G38" i="14"/>
  <c r="Q38" i="25"/>
  <c r="F56" i="28"/>
  <c r="BJ41" i="26"/>
  <c r="AY44" i="25"/>
  <c r="AO59" i="14"/>
  <c r="V52" i="24"/>
  <c r="H43" i="25"/>
  <c r="BI40" i="27"/>
  <c r="AZ57" i="26"/>
  <c r="Q42" i="27"/>
  <c r="D52" i="27"/>
  <c r="M34" i="25"/>
  <c r="M33" i="26"/>
  <c r="E60" i="24"/>
  <c r="BG42" i="25"/>
  <c r="M38" i="27"/>
  <c r="D42" i="14"/>
  <c r="AV60" i="25"/>
  <c r="AW55" i="14"/>
  <c r="C37" i="26"/>
  <c r="U48" i="25"/>
  <c r="BA55" i="24"/>
  <c r="Q58" i="24"/>
  <c r="BD51" i="14"/>
  <c r="N37" i="24"/>
  <c r="AK36" i="24"/>
  <c r="AM60" i="28"/>
  <c r="BH49" i="24"/>
  <c r="AF45" i="26"/>
  <c r="I39" i="25"/>
  <c r="W60" i="14"/>
  <c r="AW42" i="25"/>
  <c r="AJ43" i="25"/>
  <c r="E37" i="14"/>
  <c r="L58" i="14"/>
  <c r="AD46" i="25"/>
  <c r="BI57" i="26"/>
  <c r="BF53" i="14"/>
  <c r="L37" i="14"/>
  <c r="BC38" i="27"/>
  <c r="BA57" i="24"/>
  <c r="BA45" i="25"/>
  <c r="AC49" i="24"/>
  <c r="AQ56" i="14"/>
  <c r="AL35" i="27"/>
  <c r="AP45" i="24"/>
  <c r="AD54" i="28"/>
  <c r="AT57" i="14"/>
  <c r="AW33" i="26"/>
  <c r="AJ37" i="25"/>
  <c r="AB56" i="27"/>
  <c r="AE41" i="27"/>
  <c r="E58" i="26"/>
  <c r="Q48" i="25"/>
  <c r="L43" i="14"/>
  <c r="BB50" i="26"/>
  <c r="K35" i="27"/>
  <c r="B49" i="24"/>
  <c r="AX52" i="28"/>
  <c r="K44" i="26"/>
  <c r="N34" i="27"/>
  <c r="D35" i="14"/>
  <c r="AY56" i="27"/>
  <c r="AS57" i="14"/>
  <c r="D52" i="25"/>
  <c r="AY39" i="28"/>
  <c r="J47" i="26"/>
  <c r="F43" i="26"/>
  <c r="BF59" i="27"/>
  <c r="AY40" i="26"/>
  <c r="AV59" i="28"/>
  <c r="AY35" i="27"/>
  <c r="BD37" i="27"/>
  <c r="L59" i="27"/>
  <c r="D43" i="24"/>
  <c r="BJ38" i="14"/>
  <c r="R47" i="26"/>
  <c r="AG49" i="14"/>
  <c r="BC46" i="25"/>
  <c r="AZ54" i="14"/>
  <c r="AW34" i="26"/>
  <c r="AU33" i="27"/>
  <c r="K55" i="28"/>
  <c r="BI54" i="28"/>
  <c r="AE43" i="24"/>
  <c r="AP46" i="14"/>
  <c r="Y44" i="24"/>
  <c r="I46" i="24"/>
  <c r="F34" i="25"/>
  <c r="AR53" i="27"/>
  <c r="BE41" i="14"/>
  <c r="AE40" i="14"/>
  <c r="D35" i="24"/>
  <c r="AT59" i="27"/>
  <c r="AI35" i="14"/>
  <c r="AK35" i="28"/>
  <c r="BK46" i="14"/>
  <c r="AX56" i="24"/>
  <c r="AX34" i="28"/>
  <c r="Q34" i="28"/>
  <c r="AI53" i="14"/>
  <c r="AG36" i="14"/>
  <c r="K57" i="24"/>
  <c r="AI46" i="25"/>
  <c r="BE55" i="24"/>
  <c r="BC40" i="26"/>
  <c r="BE41" i="28"/>
  <c r="R36" i="25"/>
  <c r="AC51" i="14"/>
  <c r="AC49" i="14"/>
  <c r="J57" i="27"/>
  <c r="AF52" i="24"/>
  <c r="AU49" i="25"/>
  <c r="AR42" i="24"/>
  <c r="D42" i="25"/>
  <c r="I48" i="27"/>
  <c r="Y40" i="28"/>
  <c r="AS51" i="24"/>
  <c r="G39" i="14"/>
  <c r="I34" i="26"/>
  <c r="BG53" i="24"/>
  <c r="L41" i="28"/>
  <c r="L44" i="28"/>
  <c r="AT51" i="24"/>
  <c r="P33" i="14"/>
  <c r="Y39" i="25"/>
  <c r="AF47" i="14"/>
  <c r="S46" i="27"/>
  <c r="B34" i="26"/>
  <c r="BJ52" i="24"/>
  <c r="AX37" i="28"/>
  <c r="AI52" i="27"/>
  <c r="BE54" i="25"/>
  <c r="V60" i="25"/>
  <c r="V50" i="28"/>
  <c r="BC47" i="14"/>
  <c r="X50" i="26"/>
  <c r="D34" i="24"/>
  <c r="U45" i="26"/>
  <c r="C41" i="25"/>
  <c r="BK44" i="24"/>
  <c r="AM40" i="28"/>
  <c r="BF52" i="14"/>
  <c r="AI57" i="14"/>
  <c r="P54" i="26"/>
  <c r="BI34" i="27"/>
  <c r="AK60" i="28"/>
  <c r="AD54" i="26"/>
  <c r="BD38" i="24"/>
  <c r="P33" i="27"/>
  <c r="BE57" i="27"/>
  <c r="G37" i="25"/>
  <c r="BA54" i="27"/>
  <c r="AC56" i="24"/>
  <c r="AT33" i="14"/>
  <c r="AJ40" i="27"/>
  <c r="AP60" i="25"/>
  <c r="Z52" i="27"/>
  <c r="J56" i="26"/>
  <c r="AH40" i="26"/>
  <c r="BF46" i="25"/>
  <c r="I52" i="24"/>
  <c r="D45" i="28"/>
  <c r="P57" i="27"/>
  <c r="AZ48" i="14"/>
  <c r="AD56" i="26"/>
  <c r="Z40" i="28"/>
  <c r="AH55" i="28"/>
  <c r="V56" i="27"/>
  <c r="L44" i="24"/>
  <c r="BK56" i="25"/>
  <c r="AO51" i="14"/>
  <c r="AE60" i="25"/>
  <c r="BD60" i="24"/>
  <c r="AI35" i="24"/>
  <c r="BF41" i="25"/>
  <c r="V38" i="27"/>
  <c r="C36" i="24"/>
  <c r="C59" i="26"/>
  <c r="Z45" i="25"/>
  <c r="F51" i="25"/>
  <c r="AD39" i="14"/>
  <c r="V55" i="14"/>
  <c r="M42" i="24"/>
  <c r="AQ34" i="28"/>
  <c r="X43" i="27"/>
  <c r="AY56" i="14"/>
  <c r="R48" i="28"/>
  <c r="J52" i="26"/>
  <c r="AC36" i="25"/>
  <c r="L45" i="26"/>
  <c r="BD53" i="25"/>
  <c r="AT55" i="26"/>
  <c r="AS54" i="14"/>
  <c r="AY55" i="14"/>
  <c r="AK55" i="26"/>
  <c r="BA54" i="28"/>
  <c r="BA35" i="26"/>
  <c r="AD36" i="26"/>
  <c r="BH50" i="24"/>
  <c r="AQ38" i="26"/>
  <c r="AI58" i="28"/>
  <c r="R33" i="26"/>
  <c r="X39" i="27"/>
  <c r="AC37" i="28"/>
  <c r="P34" i="28"/>
  <c r="BE59" i="27"/>
  <c r="BK48" i="24"/>
  <c r="S41" i="27"/>
  <c r="AX38" i="24"/>
  <c r="AT43" i="14"/>
  <c r="AR33" i="14"/>
  <c r="AN57" i="24"/>
  <c r="AW36" i="24"/>
  <c r="BE47" i="24"/>
  <c r="BE59" i="24"/>
  <c r="AP33" i="24"/>
  <c r="AR34" i="25"/>
  <c r="AM34" i="26"/>
  <c r="U40" i="25"/>
  <c r="AQ36" i="14"/>
  <c r="AW43" i="25"/>
  <c r="AF51" i="24"/>
  <c r="AR49" i="28"/>
  <c r="E47" i="27"/>
  <c r="P38" i="26"/>
  <c r="AF55" i="14"/>
  <c r="BI49" i="26"/>
  <c r="AY36" i="28"/>
  <c r="BE49" i="26"/>
  <c r="G45" i="28"/>
  <c r="BA34" i="26"/>
  <c r="D41" i="14"/>
  <c r="BB46" i="25"/>
  <c r="P44" i="26"/>
  <c r="O39" i="14"/>
  <c r="G60" i="27"/>
  <c r="AE43" i="28"/>
  <c r="BJ53" i="26"/>
  <c r="AX35" i="25"/>
  <c r="L37" i="24"/>
  <c r="AZ44" i="28"/>
  <c r="J43" i="14"/>
  <c r="BA37" i="28"/>
  <c r="J34" i="14"/>
  <c r="P45" i="27"/>
  <c r="AY58" i="24"/>
  <c r="AG46" i="24"/>
  <c r="AY45" i="14"/>
  <c r="AG37" i="24"/>
  <c r="V37" i="24"/>
  <c r="AY53" i="26"/>
  <c r="S37" i="24"/>
  <c r="AI40" i="27"/>
  <c r="AC39" i="28"/>
  <c r="AX52" i="27"/>
  <c r="AN52" i="25"/>
  <c r="T39" i="25"/>
  <c r="L46" i="28"/>
  <c r="T53" i="28"/>
  <c r="N51" i="28"/>
  <c r="C50" i="26"/>
  <c r="AV45" i="28"/>
  <c r="AK38" i="24"/>
  <c r="BE51" i="27"/>
  <c r="AY41" i="24"/>
  <c r="AG37" i="28"/>
  <c r="AU41" i="26"/>
  <c r="AX38" i="26"/>
  <c r="T37" i="27"/>
  <c r="AM37" i="27"/>
  <c r="U40" i="27"/>
  <c r="E49" i="26"/>
  <c r="Y51" i="14"/>
  <c r="M37" i="14"/>
  <c r="BG60" i="28"/>
  <c r="AO54" i="24"/>
  <c r="AQ34" i="24"/>
  <c r="I52" i="25"/>
  <c r="E58" i="24"/>
  <c r="AF55" i="27"/>
  <c r="BE51" i="25"/>
  <c r="AI34" i="28"/>
  <c r="AO45" i="24"/>
  <c r="Z53" i="27"/>
  <c r="AP45" i="25"/>
  <c r="AH58" i="26"/>
  <c r="AO57" i="26"/>
  <c r="AG60" i="26"/>
  <c r="AR55" i="27"/>
  <c r="AI49" i="25"/>
  <c r="BD33" i="14"/>
  <c r="BE53" i="26"/>
  <c r="B51" i="24"/>
  <c r="BD39" i="14"/>
  <c r="R34" i="14"/>
  <c r="BC34" i="24"/>
  <c r="U40" i="24"/>
  <c r="S58" i="25"/>
  <c r="AP43" i="24"/>
  <c r="U37" i="26"/>
  <c r="S39" i="25"/>
  <c r="AO34" i="26"/>
  <c r="AO51" i="26"/>
  <c r="E35" i="25"/>
  <c r="AC56" i="26"/>
  <c r="BC53" i="24"/>
  <c r="AH50" i="28"/>
  <c r="E36" i="28"/>
  <c r="R44" i="24"/>
  <c r="L41" i="26"/>
  <c r="AL39" i="28"/>
  <c r="BD58" i="26"/>
  <c r="AB37" i="26"/>
  <c r="AM48" i="14"/>
  <c r="AZ40" i="27"/>
  <c r="AC39" i="26"/>
  <c r="BJ60" i="25"/>
  <c r="Y38" i="26"/>
  <c r="N56" i="25"/>
  <c r="H50" i="27"/>
  <c r="M60" i="24"/>
  <c r="BB45" i="25"/>
  <c r="AD40" i="27"/>
  <c r="G52" i="25"/>
  <c r="S54" i="28"/>
  <c r="P38" i="27"/>
  <c r="AI48" i="27"/>
  <c r="BA49" i="27"/>
  <c r="Z50" i="26"/>
  <c r="BH57" i="28"/>
  <c r="AP56" i="24"/>
  <c r="BC57" i="27"/>
  <c r="BE43" i="26"/>
  <c r="AF37" i="27"/>
  <c r="AY51" i="25"/>
  <c r="AJ45" i="25"/>
  <c r="AZ49" i="25"/>
  <c r="BA48" i="26"/>
  <c r="J51" i="24"/>
  <c r="AS47" i="28"/>
  <c r="Z44" i="26"/>
  <c r="E59" i="24"/>
  <c r="BD50" i="25"/>
  <c r="H34" i="27"/>
  <c r="T35" i="26"/>
  <c r="U59" i="24"/>
  <c r="K52" i="26"/>
  <c r="BG55" i="14"/>
  <c r="B40" i="27"/>
  <c r="AM56" i="27"/>
  <c r="O52" i="25"/>
  <c r="BF38" i="26"/>
  <c r="T58" i="14"/>
  <c r="AQ39" i="24"/>
  <c r="K57" i="25"/>
  <c r="BE47" i="14"/>
  <c r="BE58" i="25"/>
  <c r="D50" i="26"/>
  <c r="AU47" i="27"/>
  <c r="AQ54" i="24"/>
  <c r="AO57" i="28"/>
  <c r="AL57" i="27"/>
  <c r="AL40" i="27"/>
  <c r="AL55" i="25"/>
  <c r="BF57" i="28"/>
  <c r="AF37" i="25"/>
  <c r="AE36" i="14"/>
  <c r="R33" i="14"/>
  <c r="AU51" i="26"/>
  <c r="AH36" i="26"/>
  <c r="AN50" i="25"/>
  <c r="I56" i="28"/>
  <c r="AX42" i="26"/>
  <c r="G49" i="25"/>
  <c r="BG46" i="28"/>
  <c r="I35" i="26"/>
  <c r="AE45" i="27"/>
  <c r="O38" i="28"/>
  <c r="BA36" i="28"/>
  <c r="H43" i="24"/>
  <c r="AM48" i="24"/>
  <c r="T54" i="14"/>
  <c r="BF37" i="27"/>
  <c r="L40" i="24"/>
  <c r="AN44" i="25"/>
  <c r="G59" i="24"/>
  <c r="AN53" i="26"/>
  <c r="K36" i="24"/>
  <c r="BF59" i="26"/>
  <c r="V52" i="27"/>
  <c r="AU34" i="24"/>
  <c r="L56" i="26"/>
  <c r="AW50" i="25"/>
  <c r="K60" i="24"/>
  <c r="X46" i="14"/>
  <c r="H38" i="25"/>
  <c r="AM52" i="26"/>
  <c r="AF55" i="24"/>
  <c r="AT54" i="27"/>
  <c r="W48" i="14"/>
  <c r="H36" i="24"/>
  <c r="H34" i="25"/>
  <c r="AP44" i="27"/>
  <c r="AG55" i="27"/>
  <c r="R59" i="14"/>
  <c r="AW35" i="14"/>
  <c r="AY60" i="28"/>
  <c r="AL54" i="24"/>
  <c r="S50" i="27"/>
  <c r="AC55" i="26"/>
  <c r="AW52" i="27"/>
  <c r="BA55" i="14"/>
  <c r="AG55" i="26"/>
  <c r="AA50" i="25"/>
  <c r="AR57" i="25"/>
  <c r="BJ55" i="28"/>
  <c r="AH58" i="24"/>
  <c r="BA51" i="28"/>
  <c r="AE39" i="24"/>
  <c r="F41" i="27"/>
  <c r="AQ50" i="28"/>
  <c r="L54" i="24"/>
  <c r="AO46" i="14"/>
  <c r="X51" i="27"/>
  <c r="AQ60" i="26"/>
  <c r="Z41" i="25"/>
  <c r="AX51" i="14"/>
  <c r="AV57" i="14"/>
  <c r="BH37" i="27"/>
  <c r="AL43" i="24"/>
  <c r="BF44" i="25"/>
  <c r="AY48" i="26"/>
  <c r="BC43" i="25"/>
  <c r="AN49" i="24"/>
  <c r="X36" i="27"/>
  <c r="AW52" i="28"/>
  <c r="D60" i="28"/>
  <c r="O55" i="28"/>
  <c r="S40" i="24"/>
  <c r="AV54" i="27"/>
  <c r="Y60" i="25"/>
  <c r="P48" i="24"/>
  <c r="Y40" i="24"/>
  <c r="Y36" i="27"/>
  <c r="AS57" i="26"/>
  <c r="F36" i="28"/>
  <c r="V50" i="24"/>
  <c r="F49" i="27"/>
  <c r="AF60" i="26"/>
  <c r="Y43" i="26"/>
  <c r="AO43" i="28"/>
  <c r="R57" i="28"/>
  <c r="BG38" i="27"/>
  <c r="BE34" i="27"/>
  <c r="BD43" i="24"/>
  <c r="U51" i="27"/>
  <c r="I33" i="25"/>
  <c r="AN51" i="24"/>
  <c r="BA34" i="24"/>
  <c r="Q58" i="25"/>
  <c r="I35" i="24"/>
  <c r="AZ58" i="24"/>
  <c r="BF40" i="26"/>
  <c r="BE50" i="24"/>
  <c r="AQ43" i="26"/>
  <c r="AT48" i="24"/>
  <c r="M54" i="26"/>
  <c r="AT46" i="27"/>
  <c r="N37" i="27"/>
  <c r="H57" i="25"/>
  <c r="BC43" i="14"/>
  <c r="BA49" i="26"/>
  <c r="Z53" i="25"/>
  <c r="C54" i="24"/>
  <c r="X47" i="28"/>
  <c r="S45" i="24"/>
  <c r="AZ59" i="28"/>
  <c r="O46" i="24"/>
  <c r="BG48" i="27"/>
  <c r="AY54" i="14"/>
  <c r="BB39" i="24"/>
  <c r="AD58" i="14"/>
  <c r="E45" i="26"/>
  <c r="AO50" i="24"/>
  <c r="AB33" i="27"/>
  <c r="T42" i="26"/>
  <c r="J45" i="25"/>
  <c r="AM53" i="28"/>
  <c r="AL47" i="14"/>
  <c r="AJ33" i="25"/>
  <c r="H39" i="24"/>
  <c r="AO35" i="26"/>
  <c r="AT54" i="26"/>
  <c r="AN59" i="24"/>
  <c r="AX38" i="14"/>
  <c r="AP42" i="26"/>
  <c r="AQ48" i="28"/>
  <c r="W35" i="28"/>
  <c r="AU38" i="26"/>
  <c r="AB47" i="24"/>
  <c r="BI60" i="26"/>
  <c r="AH60" i="14"/>
  <c r="AX37" i="25"/>
  <c r="AI48" i="25"/>
  <c r="C48" i="25"/>
  <c r="AD54" i="14"/>
  <c r="BH45" i="25"/>
  <c r="L36" i="14"/>
  <c r="AD56" i="28"/>
  <c r="AM40" i="14"/>
  <c r="W49" i="24"/>
  <c r="H44" i="26"/>
  <c r="BD42" i="24"/>
  <c r="BC43" i="24"/>
  <c r="AV43" i="27"/>
  <c r="AE58" i="25"/>
  <c r="AS53" i="14"/>
  <c r="L57" i="24"/>
  <c r="K47" i="27"/>
  <c r="BD48" i="27"/>
  <c r="BE44" i="28"/>
  <c r="B51" i="27"/>
  <c r="S37" i="14"/>
  <c r="BJ53" i="14"/>
  <c r="U57" i="25"/>
  <c r="C43" i="28"/>
  <c r="BD45" i="24"/>
  <c r="BK44" i="27"/>
  <c r="E56" i="24"/>
  <c r="BI46" i="26"/>
  <c r="AL60" i="28"/>
  <c r="K38" i="28"/>
  <c r="I36" i="28"/>
  <c r="AQ38" i="25"/>
  <c r="P42" i="24"/>
  <c r="D54" i="14"/>
  <c r="I37" i="28"/>
  <c r="Q55" i="26"/>
  <c r="BF58" i="27"/>
  <c r="AU53" i="25"/>
  <c r="P57" i="28"/>
  <c r="F39" i="25"/>
  <c r="D47" i="24"/>
  <c r="N35" i="24"/>
  <c r="P36" i="28"/>
  <c r="N51" i="24"/>
  <c r="U38" i="25"/>
  <c r="AE55" i="14"/>
  <c r="T44" i="25"/>
  <c r="AH55" i="26"/>
  <c r="BD34" i="26"/>
  <c r="F37" i="26"/>
  <c r="BG60" i="25"/>
  <c r="J45" i="26"/>
  <c r="BG58" i="26"/>
  <c r="AQ54" i="28"/>
  <c r="AI38" i="24"/>
  <c r="R38" i="14"/>
  <c r="AC40" i="14"/>
  <c r="AA59" i="26"/>
  <c r="BH40" i="28"/>
  <c r="AS49" i="28"/>
  <c r="BK50" i="27"/>
  <c r="BF47" i="25"/>
  <c r="AY56" i="28"/>
  <c r="AA44" i="27"/>
  <c r="AD57" i="26"/>
  <c r="AE44" i="28"/>
  <c r="BD35" i="25"/>
  <c r="Q44" i="27"/>
  <c r="C35" i="14"/>
  <c r="AY34" i="26"/>
  <c r="BE42" i="26"/>
  <c r="L45" i="28"/>
  <c r="AO48" i="27"/>
  <c r="BI43" i="14"/>
  <c r="AR53" i="25"/>
  <c r="AT45" i="27"/>
  <c r="J44" i="24"/>
  <c r="Z49" i="14"/>
  <c r="BF58" i="26"/>
  <c r="BC40" i="24"/>
  <c r="BG42" i="27"/>
  <c r="AB37" i="25"/>
  <c r="AO39" i="25"/>
  <c r="O40" i="24"/>
  <c r="AU33" i="25"/>
  <c r="Q53" i="24"/>
  <c r="AB38" i="28"/>
  <c r="AR44" i="27"/>
  <c r="BK34" i="28"/>
  <c r="AH40" i="24"/>
  <c r="L50" i="14"/>
  <c r="AH53" i="27"/>
  <c r="BI33" i="27"/>
  <c r="U60" i="28"/>
  <c r="AY58" i="27"/>
  <c r="BI41" i="24"/>
  <c r="AK46" i="14"/>
  <c r="AM52" i="25"/>
  <c r="AE50" i="14"/>
  <c r="BI45" i="26"/>
  <c r="BI35" i="26"/>
  <c r="X44" i="27"/>
  <c r="AU40" i="14"/>
  <c r="V59" i="25"/>
  <c r="BK37" i="28"/>
  <c r="G40" i="26"/>
  <c r="BF56" i="27"/>
  <c r="D48" i="26"/>
  <c r="AQ49" i="28"/>
  <c r="G51" i="28"/>
  <c r="Z46" i="24"/>
  <c r="N47" i="28"/>
  <c r="AN42" i="14"/>
  <c r="F47" i="26"/>
  <c r="AZ33" i="14"/>
  <c r="K46" i="26"/>
  <c r="AR45" i="28"/>
  <c r="O37" i="24"/>
  <c r="AY34" i="24"/>
  <c r="Y41" i="24"/>
  <c r="V44" i="25"/>
  <c r="BI45" i="24"/>
  <c r="P52" i="24"/>
  <c r="BB56" i="27"/>
  <c r="M50" i="28"/>
  <c r="C49" i="25"/>
  <c r="BG38" i="26"/>
  <c r="AG53" i="28"/>
  <c r="U57" i="14"/>
  <c r="AB47" i="26"/>
  <c r="BK45" i="25"/>
  <c r="BI34" i="14"/>
  <c r="BI38" i="24"/>
  <c r="L57" i="14"/>
  <c r="K59" i="25"/>
  <c r="AW38" i="24"/>
  <c r="AZ41" i="27"/>
  <c r="AR40" i="25"/>
  <c r="AG49" i="25"/>
  <c r="AP48" i="27"/>
  <c r="AN48" i="27"/>
  <c r="B48" i="14"/>
  <c r="K58" i="27"/>
  <c r="AN33" i="14"/>
  <c r="C46" i="14"/>
  <c r="AT39" i="27"/>
  <c r="H43" i="26"/>
  <c r="AB34" i="14"/>
  <c r="N51" i="14"/>
  <c r="S40" i="28"/>
  <c r="S35" i="24"/>
  <c r="AS57" i="24"/>
  <c r="BA56" i="25"/>
  <c r="U33" i="27"/>
  <c r="AP57" i="25"/>
  <c r="BE34" i="24"/>
  <c r="BK43" i="25"/>
  <c r="AU52" i="25"/>
  <c r="X57" i="28"/>
  <c r="BH51" i="24"/>
  <c r="R36" i="26"/>
  <c r="AR35" i="28"/>
  <c r="BK42" i="25"/>
  <c r="AE51" i="24"/>
  <c r="AO37" i="24"/>
  <c r="S34" i="14"/>
  <c r="AC35" i="24"/>
  <c r="N36" i="27"/>
  <c r="W37" i="14"/>
  <c r="R55" i="24"/>
  <c r="AG55" i="14"/>
  <c r="I59" i="25"/>
  <c r="B54" i="28"/>
  <c r="AF37" i="14"/>
  <c r="Q48" i="26"/>
  <c r="AV37" i="26"/>
  <c r="P51" i="28"/>
  <c r="AP52" i="28"/>
  <c r="Q34" i="14"/>
  <c r="BK54" i="28"/>
  <c r="S35" i="25"/>
  <c r="X55" i="25"/>
  <c r="BA59" i="26"/>
  <c r="Z33" i="27"/>
  <c r="U53" i="26"/>
  <c r="P45" i="28"/>
  <c r="K58" i="28"/>
  <c r="R35" i="25"/>
  <c r="BK56" i="26"/>
  <c r="F48" i="25"/>
  <c r="F38" i="14"/>
  <c r="BH46" i="25"/>
  <c r="BF38" i="28"/>
  <c r="AZ44" i="25"/>
  <c r="P37" i="28"/>
  <c r="T40" i="25"/>
  <c r="BF36" i="28"/>
  <c r="BB52" i="25"/>
  <c r="AJ39" i="24"/>
  <c r="BG33" i="27"/>
  <c r="AT39" i="28"/>
  <c r="AF57" i="14"/>
  <c r="AH42" i="28"/>
  <c r="D56" i="26"/>
  <c r="E36" i="14"/>
  <c r="BA43" i="25"/>
  <c r="D56" i="24"/>
  <c r="AP36" i="28"/>
  <c r="AE48" i="14"/>
  <c r="AI33" i="24"/>
  <c r="P54" i="28"/>
  <c r="Q49" i="27"/>
  <c r="AN34" i="25"/>
  <c r="S57" i="28"/>
  <c r="BC56" i="25"/>
  <c r="O34" i="26"/>
  <c r="AD40" i="25"/>
  <c r="BB45" i="27"/>
  <c r="AH46" i="25"/>
  <c r="F52" i="26"/>
  <c r="AC42" i="26"/>
  <c r="AZ45" i="25"/>
  <c r="N54" i="14"/>
  <c r="M46" i="27"/>
  <c r="AJ57" i="28"/>
  <c r="D40" i="14"/>
  <c r="M41" i="25"/>
  <c r="AN60" i="26"/>
  <c r="M54" i="27"/>
  <c r="AU45" i="24"/>
  <c r="AW37" i="24"/>
  <c r="AB57" i="24"/>
  <c r="AT56" i="25"/>
  <c r="BE34" i="26"/>
  <c r="BG47" i="27"/>
  <c r="N46" i="28"/>
  <c r="F51" i="14"/>
  <c r="N44" i="28"/>
  <c r="H54" i="26"/>
  <c r="X48" i="24"/>
  <c r="L38" i="25"/>
  <c r="AZ55" i="27"/>
  <c r="AC58" i="27"/>
  <c r="M58" i="27"/>
  <c r="AA51" i="25"/>
  <c r="BA46" i="25"/>
  <c r="AD41" i="25"/>
  <c r="AE54" i="14"/>
  <c r="P56" i="26"/>
  <c r="AE42" i="27"/>
  <c r="O35" i="28"/>
  <c r="AI39" i="25"/>
  <c r="AO54" i="28"/>
  <c r="AM51" i="14"/>
  <c r="Y43" i="24"/>
  <c r="BI53" i="27"/>
  <c r="Y39" i="24"/>
  <c r="BI48" i="27"/>
  <c r="AW43" i="26"/>
  <c r="AZ60" i="26"/>
  <c r="U39" i="14"/>
  <c r="BG36" i="25"/>
  <c r="AT50" i="24"/>
  <c r="U51" i="28"/>
  <c r="AH52" i="25"/>
  <c r="AS44" i="24"/>
  <c r="AG36" i="28"/>
  <c r="AI53" i="28"/>
  <c r="AL45" i="24"/>
  <c r="G57" i="24"/>
  <c r="K38" i="24"/>
  <c r="BD39" i="27"/>
  <c r="AT41" i="26"/>
  <c r="AP55" i="24"/>
  <c r="AV54" i="28"/>
  <c r="AQ60" i="24"/>
  <c r="AW33" i="27"/>
  <c r="B59" i="25"/>
  <c r="AJ56" i="28"/>
  <c r="BB51" i="28"/>
  <c r="X43" i="28"/>
  <c r="BD41" i="26"/>
  <c r="O57" i="28"/>
  <c r="R53" i="24"/>
  <c r="AM46" i="14"/>
  <c r="AT35" i="26"/>
  <c r="L50" i="26"/>
  <c r="AE37" i="27"/>
  <c r="AC51" i="25"/>
  <c r="BK55" i="24"/>
  <c r="BE35" i="24"/>
  <c r="W39" i="27"/>
  <c r="J59" i="28"/>
  <c r="X34" i="28"/>
  <c r="AJ34" i="14"/>
  <c r="BI56" i="25"/>
  <c r="Z46" i="25"/>
  <c r="AU55" i="27"/>
  <c r="AT38" i="27"/>
  <c r="AF48" i="26"/>
  <c r="V45" i="24"/>
  <c r="V56" i="25"/>
  <c r="BC59" i="28"/>
  <c r="AD57" i="25"/>
  <c r="BI51" i="27"/>
  <c r="AU50" i="14"/>
  <c r="D54" i="24"/>
  <c r="BH36" i="25"/>
  <c r="BE48" i="25"/>
  <c r="X33" i="14"/>
  <c r="AC34" i="24"/>
  <c r="G51" i="24"/>
  <c r="L40" i="25"/>
  <c r="W46" i="26"/>
  <c r="K58" i="14"/>
  <c r="AL37" i="14"/>
  <c r="AL39" i="27"/>
  <c r="L42" i="14"/>
  <c r="AB46" i="26"/>
  <c r="M51" i="24"/>
  <c r="F53" i="27"/>
  <c r="U47" i="25"/>
  <c r="BK42" i="14"/>
  <c r="AO48" i="14"/>
  <c r="K42" i="25"/>
  <c r="BF57" i="25"/>
  <c r="F37" i="25"/>
  <c r="E39" i="28"/>
  <c r="V43" i="14"/>
  <c r="U44" i="28"/>
  <c r="AC38" i="27"/>
  <c r="AP44" i="25"/>
  <c r="BE56" i="24"/>
  <c r="AZ43" i="27"/>
  <c r="BC48" i="14"/>
  <c r="I55" i="26"/>
  <c r="K46" i="25"/>
  <c r="AU38" i="27"/>
  <c r="AB34" i="24"/>
  <c r="AA58" i="24"/>
  <c r="AB55" i="25"/>
  <c r="AG47" i="24"/>
  <c r="AF35" i="26"/>
  <c r="BH36" i="14"/>
  <c r="AP50" i="14"/>
  <c r="T53" i="27"/>
  <c r="AD60" i="14"/>
  <c r="J53" i="25"/>
  <c r="AX55" i="27"/>
  <c r="AZ60" i="24"/>
  <c r="AJ48" i="27"/>
  <c r="BD53" i="26"/>
  <c r="AU51" i="27"/>
  <c r="AT58" i="28"/>
  <c r="R56" i="24"/>
  <c r="BI46" i="14"/>
  <c r="K35" i="25"/>
  <c r="AN40" i="24"/>
  <c r="D40" i="27"/>
  <c r="Z51" i="26"/>
  <c r="AH53" i="14"/>
  <c r="P38" i="24"/>
  <c r="BE53" i="28"/>
  <c r="P34" i="27"/>
  <c r="V56" i="14"/>
  <c r="X39" i="25"/>
  <c r="O33" i="28"/>
  <c r="AK59" i="27"/>
  <c r="P53" i="25"/>
  <c r="H55" i="24"/>
  <c r="H50" i="25"/>
  <c r="Y34" i="14"/>
  <c r="AG48" i="28"/>
  <c r="BC56" i="24"/>
  <c r="BJ50" i="28"/>
  <c r="AQ38" i="24"/>
  <c r="S57" i="25"/>
  <c r="BB46" i="28"/>
  <c r="R55" i="14"/>
  <c r="BG37" i="24"/>
  <c r="G36" i="24"/>
  <c r="BE34" i="14"/>
  <c r="AE34" i="26"/>
  <c r="AC43" i="25"/>
  <c r="AF48" i="14"/>
  <c r="AF59" i="26"/>
  <c r="G38" i="24"/>
  <c r="D35" i="27"/>
  <c r="AD45" i="28"/>
  <c r="AO47" i="14"/>
  <c r="AI48" i="24"/>
  <c r="P53" i="14"/>
  <c r="BI60" i="14"/>
  <c r="G34" i="26"/>
  <c r="L44" i="26"/>
  <c r="BD49" i="14"/>
  <c r="U40" i="28"/>
  <c r="AS34" i="27"/>
  <c r="R49" i="25"/>
  <c r="X37" i="25"/>
  <c r="P41" i="24"/>
  <c r="E43" i="27"/>
  <c r="AU46" i="27"/>
  <c r="BJ44" i="27"/>
  <c r="BJ54" i="14"/>
  <c r="BK54" i="14"/>
  <c r="H54" i="24"/>
  <c r="G34" i="25"/>
  <c r="T47" i="24"/>
  <c r="X34" i="24"/>
  <c r="M35" i="27"/>
  <c r="AP54" i="27"/>
  <c r="AW36" i="26"/>
  <c r="AV43" i="24"/>
  <c r="BG53" i="26"/>
  <c r="AB36" i="27"/>
  <c r="BH46" i="28"/>
  <c r="L37" i="28"/>
  <c r="O38" i="24"/>
  <c r="H55" i="25"/>
  <c r="K45" i="28"/>
  <c r="M56" i="28"/>
  <c r="AI46" i="27"/>
  <c r="AT53" i="14"/>
  <c r="AO39" i="28"/>
  <c r="U33" i="24"/>
  <c r="C48" i="26"/>
  <c r="BG43" i="14"/>
  <c r="AW55" i="25"/>
  <c r="M55" i="24"/>
  <c r="AG38" i="28"/>
  <c r="BC33" i="27"/>
  <c r="AK59" i="28"/>
  <c r="AR38" i="14"/>
  <c r="AH36" i="27"/>
  <c r="S45" i="26"/>
  <c r="I42" i="28"/>
  <c r="V49" i="26"/>
  <c r="AG52" i="14"/>
  <c r="BF47" i="24"/>
  <c r="AQ47" i="26"/>
  <c r="E37" i="25"/>
  <c r="AW48" i="25"/>
  <c r="AH47" i="26"/>
  <c r="BJ40" i="24"/>
  <c r="T35" i="14"/>
  <c r="AJ47" i="28"/>
  <c r="L48" i="24"/>
  <c r="O50" i="28"/>
  <c r="AA50" i="27"/>
  <c r="T34" i="14"/>
  <c r="AJ55" i="14"/>
  <c r="AM50" i="25"/>
  <c r="AP37" i="28"/>
  <c r="D57" i="26"/>
  <c r="AB45" i="28"/>
  <c r="X38" i="26"/>
  <c r="AF56" i="14"/>
  <c r="Z55" i="24"/>
  <c r="AS56" i="14"/>
  <c r="O34" i="28"/>
  <c r="AF43" i="26"/>
  <c r="AR34" i="26"/>
  <c r="AE36" i="25"/>
  <c r="AH44" i="14"/>
  <c r="BK43" i="14"/>
  <c r="BK60" i="24"/>
  <c r="BG52" i="26"/>
  <c r="W34" i="24"/>
  <c r="AZ51" i="28"/>
  <c r="BF33" i="25"/>
  <c r="BI48" i="28"/>
  <c r="AL44" i="28"/>
  <c r="Y45" i="24"/>
  <c r="AV41" i="26"/>
  <c r="BC34" i="14"/>
  <c r="BF42" i="25"/>
  <c r="B46" i="27"/>
  <c r="BG37" i="28"/>
  <c r="AK55" i="25"/>
  <c r="L41" i="27"/>
  <c r="E56" i="26"/>
  <c r="AC39" i="27"/>
  <c r="J33" i="27"/>
  <c r="BF52" i="25"/>
  <c r="AI38" i="25"/>
  <c r="Y38" i="24"/>
  <c r="F46" i="24"/>
  <c r="BD47" i="25"/>
  <c r="BF56" i="28"/>
  <c r="AX50" i="14"/>
  <c r="C49" i="14"/>
  <c r="BJ57" i="28"/>
  <c r="AT46" i="14"/>
  <c r="AW44" i="27"/>
  <c r="BH59" i="26"/>
  <c r="AD53" i="25"/>
  <c r="J58" i="14"/>
  <c r="AB53" i="24"/>
  <c r="BE37" i="28"/>
  <c r="AB51" i="26"/>
  <c r="BF48" i="27"/>
  <c r="AZ38" i="14"/>
  <c r="AT45" i="28"/>
  <c r="H41" i="24"/>
  <c r="AU33" i="28"/>
  <c r="AV42" i="24"/>
  <c r="BB60" i="25"/>
  <c r="AT48" i="25"/>
  <c r="BI56" i="27"/>
  <c r="AK41" i="28"/>
  <c r="BB45" i="28"/>
  <c r="AV43" i="28"/>
  <c r="AX46" i="14"/>
  <c r="AL55" i="27"/>
  <c r="M47" i="24"/>
  <c r="AT52" i="24"/>
  <c r="AX33" i="28"/>
  <c r="E52" i="28"/>
  <c r="U54" i="28"/>
  <c r="AI40" i="24"/>
  <c r="BK53" i="27"/>
  <c r="V39" i="14"/>
  <c r="BC59" i="14"/>
  <c r="L43" i="27"/>
  <c r="B57" i="14"/>
  <c r="S49" i="28"/>
  <c r="AJ34" i="25"/>
  <c r="AI37" i="26"/>
  <c r="BB45" i="14"/>
  <c r="R37" i="14"/>
  <c r="AS48" i="26"/>
  <c r="BK55" i="26"/>
  <c r="Q49" i="25"/>
  <c r="BJ33" i="26"/>
  <c r="V34" i="28"/>
  <c r="AJ38" i="26"/>
  <c r="Q53" i="14"/>
  <c r="O47" i="28"/>
  <c r="AI36" i="28"/>
  <c r="U58" i="28"/>
  <c r="BJ44" i="26"/>
  <c r="B53" i="25"/>
  <c r="W35" i="25"/>
  <c r="O56" i="26"/>
  <c r="BF45" i="27"/>
  <c r="BA51" i="24"/>
  <c r="U35" i="24"/>
  <c r="AZ50" i="26"/>
  <c r="BC38" i="28"/>
  <c r="AM55" i="25"/>
  <c r="AF37" i="24"/>
  <c r="K34" i="27"/>
  <c r="AC36" i="28"/>
  <c r="BG50" i="25"/>
  <c r="AL58" i="14"/>
  <c r="X45" i="14"/>
  <c r="AM56" i="26"/>
  <c r="AS40" i="26"/>
  <c r="BG44" i="26"/>
  <c r="M40" i="27"/>
  <c r="BD36" i="27"/>
  <c r="AH43" i="27"/>
  <c r="BC36" i="28"/>
  <c r="BC35" i="28"/>
  <c r="BA52" i="24"/>
  <c r="R60" i="25"/>
  <c r="BF36" i="14"/>
  <c r="E46" i="14"/>
  <c r="AC39" i="24"/>
  <c r="AE54" i="25"/>
  <c r="BJ60" i="24"/>
  <c r="AV55" i="25"/>
  <c r="BH46" i="27"/>
  <c r="BG44" i="14"/>
  <c r="C56" i="24"/>
  <c r="AQ41" i="24"/>
  <c r="R45" i="24"/>
  <c r="AT40" i="26"/>
  <c r="U39" i="27"/>
  <c r="W51" i="26"/>
  <c r="AE45" i="14"/>
  <c r="U42" i="26"/>
  <c r="AH34" i="27"/>
  <c r="AA39" i="26"/>
  <c r="BD39" i="26"/>
  <c r="BD43" i="27"/>
  <c r="AN36" i="25"/>
  <c r="U38" i="24"/>
  <c r="AE49" i="14"/>
  <c r="G53" i="27"/>
  <c r="BI36" i="28"/>
  <c r="Y45" i="26"/>
  <c r="J42" i="14"/>
  <c r="AY55" i="26"/>
  <c r="B53" i="24"/>
  <c r="BB36" i="28"/>
  <c r="AN48" i="25"/>
  <c r="Z38" i="24"/>
  <c r="AX42" i="27"/>
  <c r="R60" i="26"/>
  <c r="AB52" i="24"/>
  <c r="W35" i="27"/>
  <c r="AL35" i="28"/>
  <c r="AC55" i="14"/>
  <c r="U56" i="24"/>
  <c r="AU42" i="26"/>
  <c r="AO54" i="25"/>
  <c r="Q42" i="28"/>
  <c r="AP56" i="27"/>
  <c r="AB59" i="26"/>
  <c r="AE37" i="25"/>
  <c r="BJ33" i="27"/>
  <c r="AT42" i="27"/>
  <c r="G48" i="28"/>
  <c r="O53" i="27"/>
  <c r="AY39" i="24"/>
  <c r="C59" i="14"/>
  <c r="AM52" i="24"/>
  <c r="W37" i="28"/>
  <c r="BI55" i="14"/>
  <c r="AD38" i="25"/>
  <c r="B45" i="26"/>
  <c r="AS46" i="24"/>
  <c r="AB42" i="28"/>
  <c r="AG57" i="27"/>
  <c r="I49" i="26"/>
  <c r="AN47" i="25"/>
  <c r="AW39" i="14"/>
  <c r="AW52" i="14"/>
  <c r="AK42" i="26"/>
  <c r="BJ49" i="14"/>
  <c r="V33" i="26"/>
  <c r="AV49" i="26"/>
  <c r="BC56" i="28"/>
  <c r="J47" i="25"/>
  <c r="AQ52" i="28"/>
  <c r="AN55" i="14"/>
  <c r="E43" i="25"/>
  <c r="BJ42" i="25"/>
  <c r="M38" i="14"/>
  <c r="AU33" i="24"/>
  <c r="BK48" i="26"/>
  <c r="AI40" i="14"/>
  <c r="T33" i="27"/>
  <c r="BE38" i="14"/>
  <c r="AM51" i="24"/>
  <c r="AO46" i="24"/>
  <c r="Y44" i="27"/>
  <c r="AT42" i="26"/>
  <c r="O40" i="14"/>
  <c r="AI34" i="24"/>
  <c r="AA59" i="25"/>
  <c r="AZ47" i="27"/>
  <c r="Z43" i="26"/>
  <c r="AM47" i="26"/>
  <c r="BH42" i="27"/>
  <c r="AJ59" i="27"/>
  <c r="BF34" i="14"/>
  <c r="F60" i="26"/>
  <c r="C51" i="27"/>
  <c r="AQ36" i="25"/>
  <c r="AU45" i="25"/>
  <c r="AN43" i="14"/>
  <c r="B50" i="27"/>
  <c r="BJ42" i="14"/>
  <c r="BA41" i="28"/>
  <c r="AY51" i="28"/>
  <c r="AD40" i="28"/>
  <c r="P51" i="27"/>
  <c r="AP39" i="25"/>
  <c r="T37" i="14"/>
  <c r="W58" i="24"/>
  <c r="N60" i="28"/>
  <c r="D36" i="24"/>
  <c r="T50" i="25"/>
  <c r="AD46" i="14"/>
  <c r="AA53" i="14"/>
  <c r="O39" i="26"/>
  <c r="Z54" i="24"/>
  <c r="BH44" i="24"/>
  <c r="U58" i="27"/>
  <c r="P58" i="25"/>
  <c r="AA59" i="24"/>
  <c r="AU44" i="26"/>
  <c r="AC43" i="27"/>
  <c r="T60" i="25"/>
  <c r="BK33" i="25"/>
  <c r="R58" i="27"/>
  <c r="BJ41" i="28"/>
  <c r="AS45" i="28"/>
  <c r="AV52" i="24"/>
  <c r="AD47" i="25"/>
  <c r="AL51" i="14"/>
  <c r="AP42" i="28"/>
  <c r="N52" i="27"/>
  <c r="AI55" i="26"/>
  <c r="AQ48" i="27"/>
  <c r="W40" i="25"/>
  <c r="L35" i="26"/>
  <c r="AA37" i="25"/>
  <c r="K39" i="14"/>
  <c r="C40" i="26"/>
  <c r="E46" i="25"/>
  <c r="BJ54" i="28"/>
  <c r="AX51" i="27"/>
  <c r="C57" i="28"/>
  <c r="AU47" i="26"/>
  <c r="AS43" i="27"/>
  <c r="AW39" i="27"/>
  <c r="BB42" i="28"/>
  <c r="BD40" i="24"/>
  <c r="V33" i="27"/>
  <c r="T59" i="25"/>
  <c r="BC39" i="24"/>
  <c r="D55" i="27"/>
  <c r="AX53" i="24"/>
  <c r="U33" i="25"/>
  <c r="AJ37" i="28"/>
  <c r="V39" i="27"/>
  <c r="AQ52" i="25"/>
  <c r="AB47" i="27"/>
  <c r="AW43" i="14"/>
  <c r="AT36" i="25"/>
  <c r="BK37" i="24"/>
  <c r="F56" i="24"/>
  <c r="AH54" i="24"/>
  <c r="AJ46" i="14"/>
  <c r="B39" i="25"/>
  <c r="E37" i="24"/>
  <c r="BG42" i="26"/>
  <c r="AJ38" i="24"/>
  <c r="AG35" i="27"/>
  <c r="Y48" i="25"/>
  <c r="AX58" i="14"/>
  <c r="E35" i="14"/>
  <c r="AI48" i="14"/>
  <c r="AB51" i="27"/>
  <c r="AA38" i="24"/>
  <c r="I44" i="14"/>
  <c r="AF55" i="26"/>
  <c r="T60" i="24"/>
  <c r="AM45" i="26"/>
  <c r="AZ36" i="24"/>
  <c r="G47" i="28"/>
  <c r="AU46" i="24"/>
  <c r="AW40" i="27"/>
  <c r="V46" i="27"/>
  <c r="I45" i="25"/>
  <c r="AN54" i="26"/>
  <c r="BC35" i="14"/>
  <c r="AM54" i="26"/>
  <c r="AC58" i="26"/>
  <c r="AO36" i="27"/>
  <c r="B58" i="14"/>
  <c r="AN52" i="27"/>
  <c r="E58" i="25"/>
  <c r="AX50" i="28"/>
  <c r="AG41" i="27"/>
  <c r="Y35" i="14"/>
  <c r="M44" i="14"/>
  <c r="H58" i="27"/>
  <c r="D53" i="14"/>
  <c r="BC36" i="27"/>
  <c r="I59" i="27"/>
  <c r="M54" i="24"/>
  <c r="BJ48" i="28"/>
  <c r="O36" i="26"/>
  <c r="E41" i="28"/>
  <c r="AU44" i="27"/>
  <c r="C45" i="25"/>
  <c r="O53" i="24"/>
  <c r="E36" i="26"/>
  <c r="BF37" i="28"/>
  <c r="AN40" i="26"/>
  <c r="AL38" i="25"/>
  <c r="AL44" i="25"/>
  <c r="O44" i="26"/>
  <c r="D43" i="25"/>
  <c r="BE45" i="26"/>
  <c r="AM53" i="26"/>
  <c r="AO49" i="27"/>
  <c r="AJ42" i="25"/>
  <c r="AA36" i="28"/>
  <c r="AN42" i="26"/>
  <c r="BG51" i="27"/>
  <c r="M58" i="28"/>
  <c r="R43" i="26"/>
  <c r="AV38" i="14"/>
  <c r="AH48" i="28"/>
  <c r="BC41" i="27"/>
  <c r="AH56" i="28"/>
  <c r="H40" i="26"/>
  <c r="O43" i="14"/>
  <c r="AG35" i="24"/>
  <c r="C34" i="25"/>
  <c r="AT36" i="26"/>
  <c r="BG45" i="24"/>
  <c r="E44" i="26"/>
  <c r="BI52" i="27"/>
  <c r="N50" i="24"/>
  <c r="E55" i="25"/>
  <c r="AL48" i="25"/>
  <c r="W37" i="26"/>
  <c r="AP43" i="27"/>
  <c r="AN52" i="14"/>
  <c r="AI59" i="28"/>
  <c r="Q47" i="28"/>
  <c r="AK58" i="24"/>
  <c r="BH35" i="25"/>
  <c r="AF60" i="25"/>
  <c r="I48" i="25"/>
  <c r="D52" i="28"/>
  <c r="Y55" i="25"/>
  <c r="BH56" i="26"/>
  <c r="U41" i="26"/>
  <c r="D54" i="27"/>
  <c r="BB43" i="14"/>
  <c r="AO35" i="27"/>
  <c r="BF55" i="14"/>
  <c r="AA33" i="14"/>
  <c r="BJ50" i="14"/>
  <c r="AJ59" i="14"/>
  <c r="AI43" i="26"/>
  <c r="AB36" i="28"/>
  <c r="S53" i="24"/>
  <c r="C52" i="28"/>
  <c r="O52" i="26"/>
  <c r="S36" i="14"/>
  <c r="AB37" i="24"/>
  <c r="AA49" i="14"/>
  <c r="C41" i="28"/>
  <c r="AY36" i="25"/>
  <c r="X51" i="25"/>
  <c r="H60" i="25"/>
  <c r="O59" i="25"/>
  <c r="H57" i="14"/>
  <c r="L59" i="28"/>
  <c r="AQ35" i="26"/>
  <c r="P49" i="24"/>
  <c r="R55" i="27"/>
  <c r="AM58" i="26"/>
  <c r="E47" i="25"/>
  <c r="AM40" i="26"/>
  <c r="S41" i="28"/>
  <c r="AA33" i="25"/>
  <c r="AM55" i="24"/>
  <c r="G52" i="14"/>
  <c r="E55" i="14"/>
  <c r="F50" i="28"/>
  <c r="AB60" i="27"/>
  <c r="BG37" i="26"/>
  <c r="AB41" i="25"/>
  <c r="BJ37" i="27"/>
  <c r="O33" i="27"/>
  <c r="Z51" i="24"/>
  <c r="AC33" i="14"/>
  <c r="V47" i="24"/>
  <c r="N42" i="27"/>
  <c r="E44" i="24"/>
  <c r="P59" i="24"/>
  <c r="AR54" i="24"/>
  <c r="AQ54" i="25"/>
  <c r="Q44" i="14"/>
  <c r="J44" i="28"/>
  <c r="F46" i="28"/>
  <c r="AA38" i="25"/>
  <c r="AX55" i="24"/>
  <c r="P49" i="14"/>
  <c r="H60" i="27"/>
  <c r="I59" i="28"/>
  <c r="AU42" i="28"/>
  <c r="AM36" i="25"/>
  <c r="AK50" i="28"/>
  <c r="O39" i="24"/>
  <c r="BA54" i="26"/>
  <c r="BG34" i="25"/>
  <c r="AX57" i="28"/>
  <c r="AF45" i="27"/>
  <c r="BJ54" i="27"/>
  <c r="BF49" i="14"/>
  <c r="AB44" i="26"/>
  <c r="AA56" i="26"/>
  <c r="K54" i="25"/>
  <c r="AQ40" i="26"/>
  <c r="AW60" i="27"/>
  <c r="BA42" i="28"/>
  <c r="BJ49" i="25"/>
  <c r="AT53" i="27"/>
  <c r="BG59" i="25"/>
  <c r="AS46" i="27"/>
  <c r="AC60" i="14"/>
  <c r="AA39" i="27"/>
  <c r="H38" i="14"/>
  <c r="T55" i="27"/>
  <c r="U59" i="28"/>
  <c r="AP39" i="28"/>
  <c r="AI43" i="24"/>
  <c r="J51" i="28"/>
  <c r="R57" i="25"/>
  <c r="AM37" i="26"/>
  <c r="W54" i="27"/>
  <c r="AY37" i="28"/>
  <c r="AU59" i="28"/>
  <c r="B50" i="25"/>
  <c r="I37" i="27"/>
  <c r="AA49" i="26"/>
  <c r="T49" i="27"/>
  <c r="BI54" i="25"/>
  <c r="AH40" i="27"/>
  <c r="AB52" i="25"/>
  <c r="Q54" i="27"/>
  <c r="AH35" i="14"/>
  <c r="H52" i="28"/>
  <c r="E33" i="28"/>
  <c r="AP56" i="28"/>
  <c r="AH43" i="28"/>
  <c r="BI36" i="24"/>
  <c r="S49" i="25"/>
  <c r="BC44" i="26"/>
  <c r="V51" i="26"/>
  <c r="AQ33" i="26"/>
  <c r="BI42" i="24"/>
  <c r="AC46" i="28"/>
  <c r="AN53" i="28"/>
  <c r="AS41" i="24"/>
  <c r="Z45" i="24"/>
  <c r="Q56" i="24"/>
  <c r="G43" i="26"/>
  <c r="C59" i="27"/>
  <c r="Z54" i="26"/>
  <c r="BJ38" i="28"/>
  <c r="AN37" i="24"/>
  <c r="AD45" i="27"/>
  <c r="AY38" i="25"/>
  <c r="AD38" i="28"/>
  <c r="T38" i="28"/>
  <c r="L59" i="26"/>
  <c r="AD51" i="28"/>
  <c r="X42" i="28"/>
  <c r="I43" i="27"/>
  <c r="AZ49" i="24"/>
  <c r="Z55" i="28"/>
  <c r="I56" i="14"/>
  <c r="D41" i="25"/>
  <c r="V57" i="28"/>
  <c r="L49" i="24"/>
  <c r="U36" i="27"/>
  <c r="AX59" i="14"/>
  <c r="Z37" i="28"/>
  <c r="AT46" i="24"/>
  <c r="AE47" i="14"/>
  <c r="AZ57" i="25"/>
  <c r="BB44" i="26"/>
  <c r="E47" i="26"/>
  <c r="AK48" i="24"/>
  <c r="AU43" i="26"/>
  <c r="D51" i="14"/>
  <c r="U35" i="26"/>
  <c r="I35" i="25"/>
  <c r="BF37" i="24"/>
  <c r="AS60" i="27"/>
  <c r="Z45" i="14"/>
  <c r="V57" i="14"/>
  <c r="S57" i="24"/>
  <c r="AX40" i="28"/>
  <c r="AO36" i="26"/>
  <c r="X46" i="26"/>
  <c r="BE40" i="14"/>
  <c r="E50" i="25"/>
  <c r="AV56" i="27"/>
  <c r="L46" i="24"/>
  <c r="AI57" i="28"/>
  <c r="AN50" i="14"/>
  <c r="BK47" i="27"/>
  <c r="AI56" i="25"/>
  <c r="AS33" i="14"/>
  <c r="M55" i="25"/>
  <c r="AE55" i="25"/>
  <c r="AG57" i="24"/>
  <c r="S58" i="24"/>
  <c r="AC46" i="27"/>
  <c r="AW50" i="27"/>
  <c r="H58" i="24"/>
  <c r="Y59" i="24"/>
  <c r="W34" i="27"/>
  <c r="J53" i="27"/>
  <c r="V49" i="14"/>
  <c r="BB36" i="14"/>
  <c r="AC44" i="26"/>
  <c r="S55" i="24"/>
  <c r="Q39" i="26"/>
  <c r="AV59" i="14"/>
  <c r="W47" i="26"/>
  <c r="AL56" i="25"/>
  <c r="AS34" i="26"/>
  <c r="AT50" i="28"/>
  <c r="AN45" i="14"/>
  <c r="AM39" i="28"/>
  <c r="W54" i="25"/>
  <c r="O60" i="26"/>
  <c r="BA37" i="27"/>
  <c r="BF49" i="24"/>
  <c r="AM59" i="26"/>
  <c r="X57" i="25"/>
  <c r="BK57" i="26"/>
  <c r="X55" i="14"/>
  <c r="I49" i="28"/>
  <c r="AD47" i="14"/>
  <c r="AW49" i="28"/>
  <c r="BB54" i="24"/>
  <c r="AJ56" i="26"/>
  <c r="AQ54" i="14"/>
  <c r="M59" i="14"/>
  <c r="AJ35" i="26"/>
  <c r="R56" i="26"/>
  <c r="I58" i="26"/>
  <c r="R36" i="28"/>
  <c r="S56" i="26"/>
  <c r="BB45" i="24"/>
  <c r="AE40" i="26"/>
  <c r="M37" i="24"/>
  <c r="D33" i="14"/>
  <c r="BG48" i="14"/>
  <c r="W46" i="24"/>
  <c r="B48" i="25"/>
  <c r="S44" i="27"/>
  <c r="O46" i="25"/>
  <c r="K48" i="26"/>
  <c r="F41" i="25"/>
  <c r="AV44" i="27"/>
  <c r="BK46" i="27"/>
  <c r="AK57" i="25"/>
  <c r="BK46" i="26"/>
  <c r="D53" i="26"/>
  <c r="I53" i="26"/>
  <c r="L47" i="14"/>
  <c r="V38" i="26"/>
  <c r="BE35" i="26"/>
  <c r="AZ48" i="24"/>
  <c r="AE54" i="26"/>
  <c r="F34" i="26"/>
  <c r="D47" i="27"/>
  <c r="V59" i="14"/>
  <c r="R50" i="27"/>
  <c r="K53" i="28"/>
  <c r="T37" i="25"/>
  <c r="S49" i="14"/>
  <c r="M56" i="24"/>
  <c r="AE50" i="24"/>
  <c r="N49" i="26"/>
  <c r="AL49" i="26"/>
  <c r="AU54" i="14"/>
  <c r="AH36" i="14"/>
  <c r="E49" i="14"/>
  <c r="AF36" i="14"/>
  <c r="AO40" i="14"/>
  <c r="AE58" i="14"/>
  <c r="AJ33" i="14"/>
  <c r="BH38" i="27"/>
  <c r="G57" i="14"/>
  <c r="J46" i="26"/>
  <c r="G33" i="28"/>
  <c r="AO59" i="26"/>
  <c r="BD41" i="28"/>
  <c r="AJ50" i="14"/>
  <c r="AZ36" i="25"/>
  <c r="AM42" i="26"/>
  <c r="T51" i="27"/>
  <c r="B56" i="26"/>
  <c r="N55" i="26"/>
  <c r="M53" i="27"/>
  <c r="AC52" i="25"/>
  <c r="C40" i="14"/>
  <c r="AQ35" i="14"/>
  <c r="AM54" i="24"/>
  <c r="BI49" i="24"/>
  <c r="K37" i="27"/>
  <c r="AP41" i="28"/>
  <c r="BH39" i="28"/>
  <c r="BI37" i="26"/>
  <c r="K49" i="24"/>
  <c r="B53" i="26"/>
  <c r="AW55" i="27"/>
  <c r="AI46" i="14"/>
  <c r="BH53" i="24"/>
  <c r="E39" i="26"/>
  <c r="AD57" i="14"/>
  <c r="BB37" i="24"/>
  <c r="L55" i="24"/>
  <c r="Q43" i="25"/>
  <c r="I42" i="27"/>
  <c r="AF45" i="14"/>
  <c r="AG35" i="26"/>
  <c r="AJ53" i="27"/>
  <c r="BI39" i="28"/>
  <c r="AH39" i="26"/>
  <c r="AH38" i="27"/>
  <c r="AQ58" i="24"/>
  <c r="AV33" i="25"/>
  <c r="AZ38" i="27"/>
  <c r="AR56" i="25"/>
  <c r="BF46" i="14"/>
  <c r="BD36" i="24"/>
  <c r="T50" i="27"/>
  <c r="AY35" i="14"/>
  <c r="BI50" i="26"/>
  <c r="R48" i="24"/>
  <c r="AW46" i="25"/>
  <c r="K37" i="28"/>
  <c r="W37" i="25"/>
  <c r="BJ52" i="27"/>
  <c r="BH34" i="25"/>
  <c r="B42" i="28"/>
  <c r="N40" i="26"/>
  <c r="S50" i="14"/>
  <c r="H33" i="14"/>
  <c r="AS33" i="25"/>
  <c r="BB53" i="24"/>
  <c r="AU44" i="25"/>
  <c r="I34" i="25"/>
  <c r="AQ53" i="14"/>
  <c r="AT53" i="26"/>
  <c r="AZ58" i="28"/>
  <c r="BI52" i="14"/>
  <c r="AM34" i="27"/>
  <c r="AI59" i="26"/>
  <c r="BC37" i="25"/>
  <c r="BI34" i="28"/>
  <c r="AW58" i="28"/>
  <c r="P39" i="26"/>
  <c r="L38" i="26"/>
  <c r="AP33" i="25"/>
  <c r="L49" i="14"/>
  <c r="BA33" i="26"/>
  <c r="AT50" i="14"/>
  <c r="BD59" i="25"/>
  <c r="AD57" i="28"/>
  <c r="BF42" i="14"/>
  <c r="AV54" i="25"/>
  <c r="AP58" i="24"/>
  <c r="BG41" i="25"/>
  <c r="BA60" i="25"/>
  <c r="O56" i="24"/>
  <c r="AT34" i="14"/>
  <c r="R37" i="24"/>
  <c r="BC44" i="27"/>
  <c r="AB39" i="24"/>
  <c r="U59" i="27"/>
  <c r="K36" i="14"/>
  <c r="AM42" i="25"/>
  <c r="X52" i="14"/>
  <c r="BD38" i="14"/>
  <c r="AP40" i="25"/>
  <c r="BE60" i="24"/>
  <c r="R42" i="25"/>
  <c r="BK39" i="28"/>
  <c r="AP38" i="25"/>
  <c r="BK40" i="25"/>
  <c r="O54" i="24"/>
  <c r="AN47" i="28"/>
  <c r="AW40" i="14"/>
  <c r="AK40" i="24"/>
  <c r="AD51" i="14"/>
  <c r="S58" i="28"/>
  <c r="BC57" i="14"/>
  <c r="BG57" i="25"/>
  <c r="Q47" i="14"/>
  <c r="P58" i="28"/>
  <c r="AX52" i="14"/>
  <c r="F34" i="14"/>
  <c r="AF44" i="24"/>
  <c r="AM38" i="26"/>
  <c r="F41" i="26"/>
  <c r="AR36" i="25"/>
  <c r="AA34" i="24"/>
  <c r="F50" i="27"/>
  <c r="BI44" i="14"/>
  <c r="X34" i="26"/>
  <c r="AQ35" i="27"/>
  <c r="U40" i="26"/>
  <c r="N33" i="26"/>
  <c r="U58" i="25"/>
  <c r="P59" i="26"/>
  <c r="E42" i="26"/>
  <c r="M52" i="24"/>
  <c r="X48" i="28"/>
  <c r="BF38" i="27"/>
  <c r="S43" i="28"/>
  <c r="O41" i="25"/>
  <c r="E34" i="28"/>
  <c r="J37" i="28"/>
  <c r="AS38" i="14"/>
  <c r="D51" i="25"/>
  <c r="S42" i="14"/>
  <c r="BK47" i="25"/>
  <c r="Q53" i="27"/>
  <c r="AV51" i="26"/>
  <c r="AV39" i="28"/>
  <c r="AZ57" i="27"/>
  <c r="Q50" i="28"/>
  <c r="BK45" i="26"/>
  <c r="B53" i="28"/>
  <c r="AJ39" i="14"/>
  <c r="AG48" i="24"/>
  <c r="V35" i="28"/>
  <c r="AX54" i="27"/>
  <c r="P55" i="27"/>
  <c r="J55" i="24"/>
  <c r="J47" i="28"/>
  <c r="Y45" i="28"/>
  <c r="AG42" i="14"/>
  <c r="AI51" i="27"/>
  <c r="K59" i="14"/>
  <c r="E55" i="24"/>
  <c r="AB59" i="25"/>
  <c r="AD42" i="27"/>
  <c r="BF46" i="27"/>
  <c r="M47" i="26"/>
  <c r="AD43" i="24"/>
  <c r="AK47" i="25"/>
  <c r="Y49" i="25"/>
  <c r="AM60" i="14"/>
  <c r="J41" i="28"/>
  <c r="T48" i="14"/>
  <c r="AJ52" i="28"/>
  <c r="BG55" i="28"/>
  <c r="C48" i="24"/>
  <c r="C37" i="14"/>
  <c r="BE36" i="24"/>
  <c r="BA36" i="27"/>
  <c r="AE38" i="28"/>
  <c r="E49" i="28"/>
  <c r="W36" i="26"/>
  <c r="Q54" i="26"/>
  <c r="AO60" i="25"/>
  <c r="AT59" i="24"/>
  <c r="AM56" i="24"/>
  <c r="L59" i="25"/>
  <c r="AQ59" i="28"/>
  <c r="BB38" i="24"/>
  <c r="AI47" i="24"/>
  <c r="AT58" i="25"/>
  <c r="Y48" i="14"/>
  <c r="AJ44" i="24"/>
  <c r="S55" i="28"/>
  <c r="U49" i="28"/>
  <c r="BC50" i="25"/>
  <c r="AL38" i="14"/>
  <c r="BK47" i="28"/>
  <c r="BC37" i="14"/>
  <c r="C51" i="14"/>
  <c r="AE37" i="14"/>
  <c r="Q40" i="27"/>
  <c r="C40" i="27"/>
  <c r="V44" i="26"/>
  <c r="B43" i="24"/>
  <c r="F43" i="14"/>
  <c r="AX43" i="27"/>
  <c r="Y37" i="14"/>
  <c r="AY60" i="25"/>
  <c r="AQ52" i="27"/>
  <c r="AZ58" i="25"/>
  <c r="E35" i="24"/>
  <c r="G60" i="25"/>
  <c r="BA39" i="25"/>
  <c r="P43" i="26"/>
  <c r="I52" i="14"/>
  <c r="I49" i="14"/>
  <c r="N46" i="27"/>
  <c r="W44" i="28"/>
  <c r="BH56" i="24"/>
  <c r="E50" i="26"/>
  <c r="BC46" i="27"/>
  <c r="AH46" i="28"/>
  <c r="AP38" i="14"/>
  <c r="AD59" i="28"/>
  <c r="AE58" i="26"/>
  <c r="AG42" i="27"/>
  <c r="Q44" i="26"/>
  <c r="E37" i="28"/>
  <c r="AG59" i="24"/>
  <c r="AT55" i="24"/>
  <c r="BD35" i="24"/>
  <c r="AT33" i="25"/>
  <c r="L57" i="25"/>
  <c r="D51" i="28"/>
  <c r="BE38" i="26"/>
  <c r="BD36" i="28"/>
  <c r="AM53" i="25"/>
  <c r="AL60" i="26"/>
  <c r="D49" i="24"/>
  <c r="AV47" i="24"/>
  <c r="BD34" i="27"/>
  <c r="AR52" i="14"/>
  <c r="AU48" i="28"/>
  <c r="T60" i="28"/>
  <c r="O40" i="25"/>
  <c r="AA51" i="14"/>
  <c r="J39" i="25"/>
  <c r="R51" i="24"/>
  <c r="K53" i="27"/>
  <c r="AW51" i="28"/>
  <c r="P56" i="27"/>
  <c r="K43" i="27"/>
  <c r="AJ45" i="24"/>
  <c r="K40" i="26"/>
  <c r="AG48" i="25"/>
  <c r="AT44" i="14"/>
  <c r="AZ41" i="28"/>
  <c r="AO57" i="24"/>
  <c r="AJ51" i="28"/>
  <c r="AZ46" i="28"/>
  <c r="AJ40" i="28"/>
  <c r="J39" i="27"/>
  <c r="BB39" i="27"/>
  <c r="Q48" i="28"/>
  <c r="AI57" i="25"/>
  <c r="BH36" i="28"/>
  <c r="AC39" i="25"/>
  <c r="AF44" i="26"/>
  <c r="W48" i="27"/>
  <c r="X60" i="28"/>
  <c r="AR42" i="26"/>
  <c r="Z49" i="26"/>
  <c r="AH48" i="27"/>
  <c r="AO47" i="24"/>
  <c r="AH40" i="28"/>
  <c r="AM44" i="24"/>
  <c r="BE50" i="27"/>
  <c r="AJ48" i="24"/>
  <c r="S51" i="28"/>
  <c r="V47" i="14"/>
  <c r="AN54" i="25"/>
  <c r="M37" i="26"/>
  <c r="AN38" i="24"/>
  <c r="AJ58" i="24"/>
  <c r="AI41" i="28"/>
  <c r="AW45" i="28"/>
  <c r="AW44" i="26"/>
  <c r="Q40" i="26"/>
  <c r="B34" i="25"/>
  <c r="AD42" i="26"/>
  <c r="E60" i="14"/>
  <c r="BC49" i="14"/>
  <c r="BH54" i="24"/>
  <c r="I43" i="26"/>
  <c r="AR56" i="14"/>
  <c r="Z45" i="27"/>
  <c r="H50" i="26"/>
  <c r="BB39" i="28"/>
  <c r="O49" i="25"/>
  <c r="AS47" i="14"/>
  <c r="C37" i="24"/>
  <c r="AN54" i="27"/>
  <c r="BB59" i="14"/>
  <c r="O56" i="14"/>
  <c r="AY54" i="24"/>
  <c r="AB35" i="28"/>
  <c r="B42" i="26"/>
  <c r="W33" i="28"/>
  <c r="BI57" i="25"/>
  <c r="L40" i="28"/>
  <c r="O34" i="14"/>
  <c r="AT43" i="28"/>
  <c r="G48" i="25"/>
  <c r="J58" i="28"/>
  <c r="X57" i="14"/>
  <c r="G40" i="14"/>
  <c r="AW47" i="24"/>
  <c r="P46" i="24"/>
  <c r="H55" i="27"/>
  <c r="AY53" i="28"/>
  <c r="Y57" i="28"/>
  <c r="AE38" i="14"/>
  <c r="AF52" i="25"/>
  <c r="AL57" i="14"/>
  <c r="AG47" i="26"/>
  <c r="AP42" i="14"/>
  <c r="BK45" i="24"/>
  <c r="BE52" i="25"/>
  <c r="H35" i="26"/>
  <c r="AT52" i="26"/>
  <c r="AS43" i="24"/>
  <c r="L40" i="27"/>
  <c r="AB43" i="24"/>
  <c r="AY56" i="26"/>
  <c r="E48" i="25"/>
  <c r="B58" i="24"/>
  <c r="BI53" i="24"/>
  <c r="V42" i="26"/>
  <c r="AC59" i="14"/>
  <c r="V51" i="14"/>
  <c r="BE45" i="14"/>
  <c r="C42" i="26"/>
  <c r="AF41" i="14"/>
  <c r="AT45" i="25"/>
  <c r="V35" i="24"/>
  <c r="BF48" i="28"/>
  <c r="AD55" i="27"/>
  <c r="BJ44" i="25"/>
  <c r="R43" i="24"/>
  <c r="Q40" i="25"/>
  <c r="H33" i="26"/>
  <c r="AB46" i="24"/>
  <c r="U39" i="26"/>
  <c r="Y37" i="25"/>
  <c r="BA41" i="14"/>
  <c r="AP47" i="14"/>
  <c r="AR41" i="28"/>
  <c r="R51" i="27"/>
  <c r="AE54" i="27"/>
  <c r="AD34" i="14"/>
  <c r="S51" i="25"/>
  <c r="AJ38" i="14"/>
  <c r="T51" i="26"/>
  <c r="AJ51" i="14"/>
  <c r="AS51" i="14"/>
  <c r="AL44" i="14"/>
  <c r="BH56" i="27"/>
  <c r="J56" i="14"/>
  <c r="AY33" i="24"/>
  <c r="AH34" i="24"/>
  <c r="F55" i="14"/>
  <c r="S38" i="24"/>
  <c r="AG41" i="25"/>
  <c r="L41" i="14"/>
  <c r="E51" i="24"/>
  <c r="AH59" i="27"/>
  <c r="AO44" i="28"/>
  <c r="BF55" i="28"/>
  <c r="J45" i="14"/>
  <c r="BE42" i="25"/>
  <c r="Z37" i="25"/>
  <c r="U41" i="14"/>
  <c r="AW53" i="14"/>
  <c r="AV55" i="28"/>
  <c r="AZ57" i="28"/>
  <c r="Z49" i="27"/>
  <c r="BG42" i="28"/>
  <c r="AW41" i="28"/>
  <c r="BI60" i="28"/>
  <c r="AN60" i="28"/>
  <c r="AM57" i="28"/>
  <c r="BD44" i="27"/>
  <c r="Q33" i="26"/>
  <c r="Q43" i="24"/>
  <c r="W39" i="26"/>
  <c r="Y55" i="26"/>
  <c r="R38" i="26"/>
  <c r="AO48" i="25"/>
  <c r="BD44" i="24"/>
  <c r="K54" i="26"/>
  <c r="K38" i="26"/>
  <c r="I37" i="14"/>
  <c r="AY54" i="26"/>
  <c r="T33" i="25"/>
  <c r="H35" i="25"/>
  <c r="AE45" i="24"/>
  <c r="AH47" i="27"/>
  <c r="BK54" i="26"/>
  <c r="N41" i="28"/>
  <c r="AH55" i="14"/>
  <c r="D58" i="26"/>
  <c r="H42" i="24"/>
  <c r="AP51" i="25"/>
  <c r="BD42" i="27"/>
  <c r="AY53" i="25"/>
  <c r="Y35" i="28"/>
  <c r="P53" i="28"/>
  <c r="Z59" i="26"/>
  <c r="AU39" i="27"/>
  <c r="AE52" i="28"/>
  <c r="S44" i="28"/>
  <c r="BH33" i="26"/>
  <c r="AP46" i="28"/>
  <c r="AV34" i="27"/>
  <c r="D56" i="25"/>
  <c r="AC54" i="24"/>
  <c r="L40" i="14"/>
  <c r="AK52" i="14"/>
  <c r="AS55" i="26"/>
  <c r="F56" i="14"/>
  <c r="BH60" i="27"/>
  <c r="J52" i="27"/>
  <c r="J40" i="14"/>
  <c r="AP45" i="28"/>
  <c r="G39" i="25"/>
  <c r="AY48" i="25"/>
  <c r="BB47" i="26"/>
  <c r="BG39" i="27"/>
  <c r="AD38" i="14"/>
  <c r="AS55" i="14"/>
  <c r="T46" i="28"/>
  <c r="BJ54" i="24"/>
  <c r="J60" i="28"/>
  <c r="AK39" i="14"/>
  <c r="N58" i="24"/>
  <c r="AZ51" i="14"/>
  <c r="D40" i="26"/>
  <c r="BF53" i="27"/>
  <c r="O38" i="25"/>
  <c r="U56" i="27"/>
  <c r="AQ46" i="27"/>
  <c r="D36" i="14"/>
  <c r="AL56" i="24"/>
  <c r="N55" i="25"/>
  <c r="AQ42" i="26"/>
  <c r="BE56" i="28"/>
  <c r="BD38" i="28"/>
  <c r="AF46" i="27"/>
  <c r="AL51" i="27"/>
  <c r="BE42" i="28"/>
  <c r="C44" i="28"/>
  <c r="AO60" i="28"/>
  <c r="T42" i="27"/>
  <c r="B45" i="24"/>
  <c r="AR50" i="28"/>
  <c r="C35" i="28"/>
  <c r="AC46" i="26"/>
  <c r="BH44" i="14"/>
  <c r="AK48" i="27"/>
  <c r="BA36" i="24"/>
  <c r="K49" i="28"/>
  <c r="S43" i="14"/>
  <c r="BH36" i="26"/>
  <c r="AC42" i="27"/>
  <c r="AN58" i="27"/>
  <c r="X59" i="14"/>
  <c r="K60" i="28"/>
  <c r="AL55" i="14"/>
  <c r="Z40" i="14"/>
  <c r="AE57" i="27"/>
  <c r="AO58" i="24"/>
  <c r="AW38" i="25"/>
  <c r="AC51" i="27"/>
  <c r="AE35" i="25"/>
  <c r="BI59" i="26"/>
  <c r="E47" i="14"/>
  <c r="R41" i="25"/>
  <c r="BC48" i="27"/>
  <c r="K50" i="14"/>
  <c r="M52" i="28"/>
  <c r="BD60" i="25"/>
  <c r="BC43" i="27"/>
  <c r="AL38" i="27"/>
  <c r="AJ59" i="25"/>
  <c r="AG54" i="24"/>
  <c r="L50" i="28"/>
  <c r="AU35" i="28"/>
  <c r="BC33" i="24"/>
  <c r="N42" i="14"/>
  <c r="AB56" i="26"/>
  <c r="BH58" i="28"/>
  <c r="AK52" i="28"/>
  <c r="AP46" i="24"/>
  <c r="M55" i="27"/>
  <c r="Z57" i="26"/>
  <c r="BB51" i="26"/>
  <c r="BG60" i="24"/>
  <c r="O56" i="28"/>
  <c r="BA57" i="27"/>
  <c r="AU35" i="14"/>
  <c r="V44" i="27"/>
  <c r="Q39" i="24"/>
  <c r="AO43" i="27"/>
  <c r="AW40" i="24"/>
  <c r="AU50" i="27"/>
  <c r="M60" i="26"/>
  <c r="R50" i="14"/>
  <c r="AR58" i="26"/>
  <c r="BG59" i="14"/>
  <c r="V58" i="24"/>
  <c r="AB33" i="25"/>
  <c r="V43" i="26"/>
  <c r="J50" i="26"/>
  <c r="AX52" i="26"/>
  <c r="S52" i="27"/>
  <c r="M53" i="24"/>
  <c r="AA44" i="25"/>
  <c r="Q55" i="24"/>
  <c r="F52" i="28"/>
  <c r="AF42" i="14"/>
  <c r="F44" i="26"/>
  <c r="F57" i="27"/>
  <c r="AB48" i="27"/>
  <c r="AM54" i="27"/>
  <c r="BH46" i="24"/>
  <c r="AD33" i="24"/>
  <c r="BJ59" i="24"/>
  <c r="V60" i="26"/>
  <c r="L56" i="24"/>
  <c r="AH37" i="24"/>
  <c r="AN35" i="24"/>
  <c r="AH37" i="14"/>
  <c r="AD51" i="24"/>
  <c r="AO40" i="24"/>
  <c r="V60" i="24"/>
  <c r="AH39" i="25"/>
  <c r="BC52" i="24"/>
  <c r="I44" i="26"/>
  <c r="Q49" i="24"/>
  <c r="C45" i="26"/>
  <c r="BJ57" i="26"/>
  <c r="L57" i="28"/>
  <c r="B41" i="24"/>
  <c r="BG52" i="25"/>
  <c r="AO46" i="26"/>
  <c r="AR54" i="27"/>
  <c r="AI54" i="14"/>
  <c r="BF50" i="27"/>
  <c r="AS60" i="26"/>
  <c r="E53" i="26"/>
  <c r="AL36" i="27"/>
  <c r="BK52" i="26"/>
  <c r="AX53" i="28"/>
  <c r="AU47" i="28"/>
  <c r="AE49" i="28"/>
  <c r="AG52" i="24"/>
  <c r="AA41" i="27"/>
  <c r="AS39" i="25"/>
  <c r="AI41" i="25"/>
  <c r="BA40" i="27"/>
  <c r="O50" i="27"/>
  <c r="U49" i="25"/>
  <c r="AT50" i="26"/>
  <c r="AR41" i="24"/>
  <c r="E43" i="14"/>
  <c r="AD37" i="24"/>
  <c r="AP57" i="14"/>
  <c r="AN44" i="27"/>
  <c r="K55" i="26"/>
  <c r="O40" i="28"/>
  <c r="S42" i="24"/>
  <c r="AJ40" i="24"/>
  <c r="AY34" i="14"/>
  <c r="S43" i="27"/>
  <c r="BC53" i="14"/>
  <c r="AT39" i="26"/>
  <c r="R45" i="28"/>
  <c r="R49" i="26"/>
  <c r="BA48" i="27"/>
  <c r="AB38" i="25"/>
  <c r="AH51" i="28"/>
  <c r="AV47" i="25"/>
  <c r="AA38" i="14"/>
  <c r="BD50" i="28"/>
  <c r="W53" i="24"/>
  <c r="AY34" i="25"/>
  <c r="I41" i="27"/>
  <c r="AO45" i="26"/>
  <c r="AH58" i="14"/>
  <c r="I43" i="24"/>
  <c r="AD52" i="14"/>
  <c r="T50" i="14"/>
  <c r="AP51" i="24"/>
  <c r="AA52" i="26"/>
  <c r="AW59" i="28"/>
  <c r="M39" i="28"/>
  <c r="H58" i="26"/>
  <c r="BE42" i="27"/>
  <c r="AS58" i="24"/>
  <c r="BH38" i="14"/>
  <c r="H58" i="14"/>
  <c r="AF50" i="26"/>
  <c r="AD50" i="28"/>
  <c r="C33" i="25"/>
  <c r="E59" i="28"/>
  <c r="AK53" i="24"/>
  <c r="AB41" i="28"/>
  <c r="AM47" i="24"/>
  <c r="BC41" i="26"/>
  <c r="Z43" i="28"/>
  <c r="L49" i="28"/>
  <c r="E59" i="25"/>
  <c r="J35" i="28"/>
  <c r="AI35" i="26"/>
  <c r="AQ34" i="26"/>
  <c r="AM43" i="26"/>
  <c r="K45" i="27"/>
  <c r="AX53" i="27"/>
  <c r="AP56" i="26"/>
  <c r="BD36" i="14"/>
  <c r="O36" i="28"/>
  <c r="AL47" i="26"/>
  <c r="T43" i="25"/>
  <c r="AX42" i="25"/>
  <c r="AD36" i="28"/>
  <c r="B43" i="27"/>
  <c r="Q59" i="26"/>
  <c r="AP58" i="27"/>
  <c r="BI53" i="25"/>
  <c r="AI55" i="27"/>
  <c r="M44" i="24"/>
  <c r="AW37" i="28"/>
  <c r="BJ35" i="26"/>
  <c r="T41" i="14"/>
  <c r="B45" i="28"/>
  <c r="AY52" i="14"/>
  <c r="AK45" i="14"/>
  <c r="BB53" i="25"/>
  <c r="C46" i="27"/>
  <c r="R45" i="14"/>
  <c r="AX55" i="26"/>
  <c r="AJ58" i="28"/>
  <c r="AW49" i="25"/>
  <c r="AG41" i="24"/>
  <c r="AA53" i="27"/>
  <c r="AB33" i="14"/>
  <c r="AS60" i="25"/>
  <c r="Y44" i="28"/>
  <c r="X60" i="25"/>
  <c r="U54" i="14"/>
  <c r="BC50" i="28"/>
  <c r="M53" i="26"/>
  <c r="K47" i="25"/>
  <c r="F38" i="27"/>
  <c r="X48" i="25"/>
  <c r="E40" i="26"/>
  <c r="R59" i="25"/>
  <c r="BC35" i="25"/>
  <c r="AJ35" i="14"/>
  <c r="C58" i="27"/>
  <c r="AO53" i="27"/>
  <c r="AI51" i="14"/>
  <c r="BF47" i="28"/>
  <c r="AJ39" i="27"/>
  <c r="U42" i="27"/>
  <c r="C52" i="26"/>
  <c r="BI58" i="24"/>
  <c r="F35" i="26"/>
  <c r="BH45" i="27"/>
  <c r="R41" i="24"/>
  <c r="Q38" i="26"/>
  <c r="G53" i="24"/>
  <c r="AN38" i="25"/>
  <c r="AL35" i="26"/>
  <c r="X33" i="27"/>
  <c r="K38" i="27"/>
  <c r="AN53" i="24"/>
  <c r="AZ49" i="27"/>
  <c r="F43" i="24"/>
  <c r="BB60" i="26"/>
  <c r="I41" i="25"/>
  <c r="D48" i="24"/>
  <c r="AD37" i="28"/>
  <c r="AJ58" i="26"/>
  <c r="I55" i="14"/>
  <c r="T41" i="24"/>
  <c r="BH37" i="25"/>
  <c r="V45" i="26"/>
  <c r="AD53" i="26"/>
  <c r="J60" i="26"/>
  <c r="W43" i="14"/>
  <c r="AN48" i="14"/>
  <c r="AX45" i="26"/>
  <c r="AO56" i="25"/>
  <c r="Z51" i="14"/>
  <c r="AL42" i="26"/>
  <c r="N35" i="25"/>
  <c r="BA45" i="28"/>
  <c r="AJ46" i="26"/>
  <c r="D57" i="28"/>
  <c r="J33" i="28"/>
  <c r="I40" i="27"/>
  <c r="C48" i="27"/>
  <c r="AR49" i="24"/>
  <c r="BG54" i="26"/>
  <c r="BB46" i="14"/>
  <c r="G50" i="28"/>
  <c r="H56" i="26"/>
  <c r="P51" i="25"/>
  <c r="J41" i="25"/>
  <c r="U49" i="26"/>
  <c r="AD44" i="28"/>
  <c r="BA52" i="27"/>
  <c r="W54" i="14"/>
  <c r="BA39" i="24"/>
  <c r="AA47" i="14"/>
  <c r="AD47" i="27"/>
  <c r="AO59" i="27"/>
  <c r="I53" i="25"/>
  <c r="V48" i="28"/>
  <c r="F37" i="27"/>
  <c r="W50" i="26"/>
  <c r="O33" i="25"/>
  <c r="M42" i="14"/>
  <c r="Z58" i="26"/>
  <c r="AA43" i="25"/>
  <c r="AH55" i="25"/>
  <c r="AT48" i="26"/>
  <c r="AN34" i="14"/>
  <c r="I56" i="25"/>
  <c r="AP48" i="26"/>
  <c r="H59" i="27"/>
  <c r="AX60" i="27"/>
  <c r="W57" i="14"/>
  <c r="W51" i="28"/>
  <c r="BA57" i="28"/>
  <c r="AY44" i="28"/>
  <c r="M59" i="24"/>
  <c r="AS53" i="25"/>
  <c r="AO35" i="28"/>
  <c r="AE60" i="26"/>
  <c r="BD55" i="24"/>
  <c r="V52" i="25"/>
  <c r="AK35" i="24"/>
  <c r="AR33" i="26"/>
  <c r="N55" i="27"/>
  <c r="BI50" i="14"/>
  <c r="AD50" i="25"/>
  <c r="AE38" i="26"/>
  <c r="Z48" i="24"/>
  <c r="I35" i="27"/>
  <c r="BC39" i="27"/>
  <c r="AT40" i="24"/>
  <c r="AT50" i="25"/>
  <c r="BG49" i="14"/>
  <c r="AH52" i="28"/>
  <c r="AX47" i="14"/>
  <c r="AM58" i="27"/>
  <c r="AT37" i="27"/>
  <c r="AU45" i="27"/>
  <c r="AL58" i="25"/>
  <c r="D59" i="24"/>
  <c r="T58" i="28"/>
  <c r="E34" i="25"/>
  <c r="AT39" i="25"/>
  <c r="AP48" i="14"/>
  <c r="AX59" i="25"/>
  <c r="AF41" i="26"/>
  <c r="AE42" i="25"/>
  <c r="AC55" i="24"/>
  <c r="E47" i="28"/>
  <c r="AK53" i="26"/>
  <c r="AL42" i="24"/>
  <c r="BH48" i="26"/>
  <c r="G52" i="28"/>
  <c r="M49" i="14"/>
  <c r="AI59" i="27"/>
  <c r="F50" i="24"/>
  <c r="F33" i="28"/>
  <c r="L52" i="26"/>
  <c r="BE53" i="14"/>
  <c r="AU40" i="24"/>
  <c r="AM37" i="24"/>
  <c r="AB34" i="27"/>
  <c r="AR56" i="26"/>
  <c r="AW37" i="26"/>
  <c r="O35" i="14"/>
  <c r="AH43" i="25"/>
  <c r="AP58" i="14"/>
  <c r="BH34" i="27"/>
  <c r="O42" i="24"/>
  <c r="AI47" i="26"/>
  <c r="AR58" i="25"/>
  <c r="H47" i="28"/>
  <c r="H46" i="28"/>
  <c r="AD47" i="26"/>
  <c r="K56" i="14"/>
  <c r="AW34" i="27"/>
  <c r="AS50" i="24"/>
  <c r="AD40" i="26"/>
  <c r="T44" i="14"/>
  <c r="T57" i="27"/>
  <c r="AR46" i="25"/>
  <c r="W42" i="27"/>
  <c r="AR43" i="26"/>
  <c r="G60" i="14"/>
  <c r="D48" i="25"/>
  <c r="AY37" i="14"/>
  <c r="AK45" i="27"/>
  <c r="AU58" i="14"/>
  <c r="BH42" i="24"/>
  <c r="L54" i="14"/>
  <c r="AO53" i="26"/>
  <c r="AJ51" i="24"/>
  <c r="E49" i="27"/>
  <c r="AE42" i="14"/>
  <c r="AK53" i="28"/>
  <c r="E54" i="28"/>
  <c r="J58" i="27"/>
  <c r="BH58" i="25"/>
  <c r="Y36" i="26"/>
  <c r="M60" i="25"/>
  <c r="AZ52" i="14"/>
  <c r="AX33" i="14"/>
  <c r="S54" i="25"/>
  <c r="B54" i="26"/>
  <c r="AX60" i="25"/>
  <c r="BD53" i="14"/>
  <c r="N51" i="26"/>
  <c r="AT45" i="14"/>
  <c r="AE57" i="25"/>
  <c r="AR34" i="24"/>
  <c r="AX41" i="25"/>
  <c r="AX34" i="25"/>
  <c r="BI54" i="14"/>
  <c r="AG40" i="27"/>
  <c r="BD54" i="25"/>
  <c r="AS44" i="14"/>
  <c r="AG39" i="24"/>
  <c r="AL36" i="14"/>
  <c r="AB44" i="25"/>
  <c r="BK43" i="27"/>
  <c r="S58" i="14"/>
  <c r="R52" i="24"/>
  <c r="Y50" i="27"/>
  <c r="BI39" i="14"/>
  <c r="AU56" i="14"/>
  <c r="X59" i="25"/>
  <c r="BD57" i="26"/>
  <c r="J42" i="28"/>
  <c r="S38" i="14"/>
  <c r="P37" i="27"/>
  <c r="O49" i="14"/>
  <c r="BG46" i="26"/>
  <c r="O47" i="26"/>
  <c r="BC58" i="26"/>
  <c r="L54" i="25"/>
  <c r="BH50" i="28"/>
  <c r="AG51" i="24"/>
  <c r="AJ57" i="14"/>
  <c r="AQ38" i="28"/>
  <c r="L54" i="27"/>
  <c r="N54" i="25"/>
  <c r="BA44" i="26"/>
  <c r="L42" i="28"/>
  <c r="AK37" i="14"/>
  <c r="Q48" i="24"/>
  <c r="AY50" i="24"/>
  <c r="AM43" i="27"/>
  <c r="AV37" i="25"/>
  <c r="AG58" i="24"/>
  <c r="G52" i="27"/>
  <c r="AZ45" i="28"/>
  <c r="AA55" i="28"/>
  <c r="BH41" i="26"/>
  <c r="BD49" i="26"/>
  <c r="J58" i="24"/>
  <c r="P47" i="14"/>
  <c r="AU59" i="26"/>
  <c r="AI60" i="27"/>
  <c r="AE58" i="28"/>
  <c r="N59" i="24"/>
  <c r="X59" i="27"/>
  <c r="R43" i="14"/>
  <c r="AU54" i="24"/>
  <c r="AF33" i="24"/>
  <c r="BJ45" i="26"/>
  <c r="T39" i="14"/>
  <c r="AG33" i="28"/>
  <c r="BF44" i="27"/>
  <c r="BK40" i="24"/>
  <c r="W45" i="28"/>
  <c r="B33" i="25"/>
  <c r="BC39" i="26"/>
  <c r="BB49" i="24"/>
  <c r="AZ37" i="26"/>
  <c r="AY44" i="26"/>
  <c r="BC60" i="26"/>
  <c r="AS36" i="14"/>
  <c r="AR60" i="14"/>
  <c r="AL48" i="27"/>
  <c r="BF57" i="24"/>
  <c r="V51" i="24"/>
  <c r="AO58" i="14"/>
  <c r="AS42" i="28"/>
  <c r="AZ47" i="26"/>
  <c r="AB49" i="24"/>
  <c r="F54" i="28"/>
  <c r="BK58" i="14"/>
  <c r="AT41" i="14"/>
  <c r="X49" i="14"/>
  <c r="AQ53" i="26"/>
  <c r="AA42" i="14"/>
  <c r="L46" i="14"/>
  <c r="BB55" i="14"/>
  <c r="AA52" i="28"/>
  <c r="AI52" i="25"/>
  <c r="W51" i="25"/>
  <c r="AV50" i="27"/>
  <c r="AZ42" i="24"/>
  <c r="BE47" i="26"/>
  <c r="BH47" i="26"/>
  <c r="T59" i="14"/>
  <c r="B58" i="28"/>
  <c r="AN50" i="28"/>
  <c r="BI39" i="27"/>
  <c r="BC58" i="14"/>
  <c r="AI49" i="26"/>
  <c r="J55" i="25"/>
  <c r="X35" i="24"/>
  <c r="N60" i="25"/>
  <c r="Z54" i="28"/>
  <c r="AZ41" i="26"/>
  <c r="AX36" i="24"/>
  <c r="U44" i="25"/>
  <c r="BJ57" i="27"/>
  <c r="BC47" i="26"/>
  <c r="AF34" i="14"/>
  <c r="AN51" i="27"/>
  <c r="T46" i="14"/>
  <c r="BG53" i="14"/>
  <c r="AH35" i="28"/>
  <c r="AK51" i="27"/>
  <c r="AV52" i="26"/>
  <c r="F58" i="28"/>
  <c r="R50" i="26"/>
  <c r="AM45" i="14"/>
  <c r="AW40" i="26"/>
  <c r="F39" i="14"/>
  <c r="T52" i="28"/>
  <c r="W48" i="28"/>
  <c r="M34" i="14"/>
  <c r="M46" i="24"/>
  <c r="F42" i="27"/>
  <c r="G44" i="14"/>
  <c r="N43" i="28"/>
  <c r="AK42" i="14"/>
  <c r="E55" i="28"/>
  <c r="BF43" i="28"/>
  <c r="S33" i="25"/>
  <c r="BD51" i="25"/>
  <c r="AW53" i="28"/>
  <c r="B44" i="28"/>
  <c r="Q40" i="24"/>
  <c r="BI38" i="26"/>
  <c r="AV54" i="14"/>
  <c r="AD51" i="25"/>
  <c r="AP39" i="24"/>
  <c r="AS57" i="27"/>
  <c r="F47" i="28"/>
  <c r="X60" i="27"/>
  <c r="BG35" i="14"/>
  <c r="G42" i="28"/>
  <c r="AW50" i="24"/>
  <c r="BE57" i="25"/>
  <c r="R50" i="25"/>
  <c r="BH48" i="28"/>
  <c r="U41" i="25"/>
  <c r="U48" i="24"/>
  <c r="AS42" i="27"/>
  <c r="AR54" i="26"/>
  <c r="O51" i="28"/>
  <c r="E33" i="24"/>
  <c r="AQ38" i="14"/>
  <c r="AZ33" i="28"/>
  <c r="BH41" i="24"/>
  <c r="AL37" i="25"/>
  <c r="W57" i="28"/>
  <c r="BD52" i="27"/>
  <c r="R54" i="14"/>
  <c r="AQ57" i="27"/>
  <c r="AM43" i="24"/>
  <c r="AF36" i="24"/>
  <c r="AY36" i="14"/>
  <c r="AP41" i="14"/>
  <c r="AM58" i="28"/>
  <c r="BI37" i="25"/>
  <c r="AH56" i="25"/>
  <c r="AK56" i="26"/>
  <c r="AE47" i="27"/>
  <c r="U51" i="24"/>
  <c r="J54" i="28"/>
  <c r="AW42" i="14"/>
  <c r="I54" i="27"/>
  <c r="V55" i="24"/>
  <c r="I51" i="28"/>
  <c r="V55" i="25"/>
  <c r="AI48" i="28"/>
  <c r="BH41" i="28"/>
  <c r="P38" i="28"/>
  <c r="AJ43" i="28"/>
  <c r="AX58" i="26"/>
  <c r="M56" i="27"/>
  <c r="O54" i="28"/>
  <c r="S42" i="25"/>
  <c r="N53" i="27"/>
  <c r="AX47" i="25"/>
  <c r="BI51" i="26"/>
  <c r="BB35" i="14"/>
  <c r="V47" i="27"/>
  <c r="Z46" i="27"/>
  <c r="BA45" i="26"/>
  <c r="AN33" i="25"/>
  <c r="C53" i="28"/>
  <c r="BK59" i="28"/>
  <c r="V53" i="26"/>
  <c r="Z57" i="27"/>
  <c r="AB53" i="14"/>
  <c r="AE35" i="26"/>
  <c r="AW44" i="28"/>
  <c r="W40" i="14"/>
  <c r="AJ41" i="25"/>
  <c r="E45" i="27"/>
  <c r="AS56" i="25"/>
  <c r="R60" i="27"/>
  <c r="BB46" i="27"/>
  <c r="AB40" i="27"/>
  <c r="AO44" i="14"/>
  <c r="C49" i="27"/>
  <c r="P55" i="28"/>
  <c r="P37" i="14"/>
  <c r="AN33" i="24"/>
  <c r="AV48" i="26"/>
  <c r="I43" i="25"/>
  <c r="AV39" i="25"/>
  <c r="AS36" i="27"/>
  <c r="L48" i="14"/>
  <c r="R36" i="27"/>
  <c r="G48" i="27"/>
  <c r="Y52" i="27"/>
  <c r="BJ39" i="25"/>
  <c r="AT60" i="14"/>
  <c r="AV55" i="14"/>
  <c r="I60" i="14"/>
  <c r="N47" i="26"/>
  <c r="K40" i="27"/>
  <c r="AZ52" i="24"/>
  <c r="I60" i="28"/>
  <c r="AT35" i="25"/>
  <c r="AG57" i="14"/>
  <c r="V33" i="25"/>
  <c r="AU53" i="27"/>
  <c r="L35" i="24"/>
  <c r="D59" i="27"/>
  <c r="B55" i="28"/>
  <c r="AE35" i="24"/>
  <c r="Y39" i="26"/>
  <c r="N39" i="28"/>
  <c r="J43" i="27"/>
  <c r="T36" i="26"/>
  <c r="E48" i="24"/>
  <c r="AE36" i="28"/>
  <c r="AG37" i="14"/>
  <c r="G58" i="14"/>
  <c r="Z49" i="24"/>
  <c r="T52" i="14"/>
  <c r="BK54" i="25"/>
  <c r="AR46" i="26"/>
  <c r="X45" i="25"/>
  <c r="C47" i="14"/>
  <c r="Z34" i="26"/>
  <c r="AA46" i="28"/>
  <c r="AO38" i="27"/>
  <c r="V55" i="26"/>
  <c r="K52" i="24"/>
  <c r="W56" i="14"/>
  <c r="B34" i="27"/>
  <c r="AG46" i="27"/>
  <c r="M45" i="14"/>
  <c r="F49" i="25"/>
  <c r="BB42" i="27"/>
  <c r="AK33" i="25"/>
  <c r="AO38" i="25"/>
  <c r="W48" i="24"/>
  <c r="BK40" i="26"/>
  <c r="AE35" i="27"/>
  <c r="AP35" i="14"/>
  <c r="AE51" i="14"/>
  <c r="AB42" i="14"/>
  <c r="AH47" i="28"/>
  <c r="D49" i="27"/>
  <c r="AX41" i="26"/>
  <c r="AW41" i="14"/>
  <c r="D44" i="24"/>
  <c r="AK39" i="25"/>
  <c r="AU51" i="24"/>
  <c r="N44" i="14"/>
  <c r="R44" i="28"/>
  <c r="BE52" i="26"/>
  <c r="BA50" i="28"/>
  <c r="Z38" i="28"/>
  <c r="E43" i="28"/>
  <c r="AD36" i="27"/>
  <c r="AN38" i="27"/>
  <c r="AG41" i="26"/>
  <c r="AK49" i="25"/>
  <c r="AC56" i="14"/>
  <c r="AW51" i="14"/>
  <c r="BG42" i="24"/>
  <c r="BE58" i="28"/>
  <c r="AM45" i="27"/>
  <c r="BD59" i="28"/>
  <c r="C47" i="25"/>
  <c r="BJ59" i="27"/>
  <c r="W60" i="24"/>
  <c r="C55" i="28"/>
  <c r="AI45" i="25"/>
  <c r="J37" i="14"/>
  <c r="H37" i="14"/>
  <c r="AD53" i="14"/>
  <c r="AV35" i="14"/>
  <c r="AB59" i="24"/>
  <c r="AB49" i="26"/>
  <c r="BA56" i="27"/>
  <c r="BC59" i="25"/>
  <c r="AB53" i="25"/>
  <c r="AX35" i="24"/>
  <c r="T56" i="25"/>
  <c r="BE46" i="27"/>
  <c r="AF48" i="24"/>
  <c r="AA53" i="26"/>
  <c r="AA44" i="24"/>
  <c r="N58" i="14"/>
  <c r="AZ37" i="24"/>
  <c r="BE59" i="28"/>
  <c r="H45" i="26"/>
  <c r="AL34" i="25"/>
  <c r="N33" i="24"/>
  <c r="BF55" i="27"/>
  <c r="S56" i="14"/>
  <c r="T53" i="14"/>
  <c r="B56" i="14"/>
  <c r="E42" i="25"/>
  <c r="AM55" i="27"/>
  <c r="AX37" i="26"/>
  <c r="W40" i="27"/>
  <c r="AN41" i="14"/>
  <c r="AZ53" i="26"/>
  <c r="H55" i="28"/>
  <c r="AR41" i="26"/>
  <c r="B46" i="24"/>
  <c r="AH53" i="26"/>
  <c r="AK47" i="26"/>
  <c r="R39" i="25"/>
  <c r="Q54" i="14"/>
  <c r="AO47" i="27"/>
  <c r="AA41" i="28"/>
  <c r="BG60" i="14"/>
  <c r="BB52" i="27"/>
  <c r="AO37" i="28"/>
  <c r="BA47" i="24"/>
  <c r="AF48" i="25"/>
  <c r="BI40" i="28"/>
  <c r="S37" i="25"/>
  <c r="K39" i="26"/>
  <c r="O44" i="25"/>
  <c r="T42" i="28"/>
  <c r="I46" i="25"/>
  <c r="AX53" i="14"/>
  <c r="O43" i="26"/>
  <c r="B37" i="24"/>
  <c r="AY55" i="28"/>
  <c r="AY38" i="24"/>
  <c r="AM38" i="28"/>
  <c r="AB36" i="14"/>
  <c r="BB41" i="26"/>
  <c r="AD42" i="25"/>
  <c r="B47" i="14"/>
  <c r="AX51" i="24"/>
  <c r="U53" i="14"/>
  <c r="AM59" i="27"/>
  <c r="AM54" i="25"/>
  <c r="AN39" i="24"/>
  <c r="AP53" i="27"/>
  <c r="AE50" i="25"/>
  <c r="L38" i="24"/>
  <c r="AY60" i="26"/>
  <c r="AL60" i="25"/>
  <c r="AD49" i="14"/>
  <c r="AA47" i="24"/>
  <c r="AF46" i="24"/>
  <c r="N34" i="26"/>
  <c r="AL36" i="26"/>
  <c r="G41" i="25"/>
  <c r="BH47" i="14"/>
  <c r="V58" i="14"/>
  <c r="BG60" i="26"/>
  <c r="B49" i="28"/>
  <c r="Z39" i="24"/>
  <c r="AU52" i="26"/>
  <c r="AY59" i="26"/>
  <c r="G40" i="25"/>
  <c r="J38" i="27"/>
  <c r="U58" i="24"/>
  <c r="BC58" i="28"/>
  <c r="R47" i="27"/>
  <c r="R60" i="28"/>
  <c r="O42" i="14"/>
  <c r="BG33" i="26"/>
  <c r="Y34" i="27"/>
  <c r="AR40" i="24"/>
  <c r="V40" i="28"/>
  <c r="U47" i="27"/>
  <c r="K55" i="25"/>
  <c r="AW42" i="24"/>
  <c r="BK48" i="25"/>
  <c r="AV38" i="26"/>
  <c r="AC57" i="26"/>
  <c r="G53" i="14"/>
  <c r="U55" i="14"/>
  <c r="AV47" i="28"/>
  <c r="T33" i="26"/>
  <c r="AI34" i="14"/>
  <c r="I57" i="27"/>
  <c r="O46" i="27"/>
  <c r="AS39" i="26"/>
  <c r="AS38" i="27"/>
  <c r="J44" i="25"/>
  <c r="AO59" i="28"/>
  <c r="AC34" i="27"/>
  <c r="AX40" i="26"/>
  <c r="G39" i="27"/>
  <c r="AR38" i="24"/>
  <c r="AX54" i="26"/>
  <c r="X60" i="24"/>
  <c r="Y53" i="27"/>
  <c r="X52" i="26"/>
  <c r="AB57" i="14"/>
  <c r="R43" i="25"/>
  <c r="AZ57" i="24"/>
  <c r="AH43" i="26"/>
  <c r="M53" i="14"/>
  <c r="F59" i="25"/>
  <c r="AC60" i="28"/>
  <c r="AQ60" i="27"/>
  <c r="BD47" i="14"/>
  <c r="X49" i="25"/>
  <c r="L35" i="27"/>
  <c r="X35" i="28"/>
  <c r="BJ40" i="26"/>
  <c r="AN33" i="28"/>
  <c r="AT57" i="26"/>
  <c r="BE40" i="25"/>
  <c r="Y37" i="27"/>
  <c r="G54" i="24"/>
  <c r="AO47" i="26"/>
  <c r="BH35" i="28"/>
  <c r="BF54" i="24"/>
  <c r="BK58" i="26"/>
  <c r="I50" i="24"/>
  <c r="U54" i="25"/>
  <c r="AJ44" i="27"/>
  <c r="AY43" i="26"/>
  <c r="BF48" i="24"/>
  <c r="T51" i="28"/>
  <c r="AN56" i="27"/>
  <c r="U57" i="24"/>
  <c r="B57" i="26"/>
  <c r="M50" i="24"/>
  <c r="U45" i="14"/>
  <c r="AA43" i="27"/>
  <c r="AQ42" i="27"/>
  <c r="T54" i="27"/>
  <c r="T33" i="24"/>
  <c r="Z55" i="27"/>
  <c r="S42" i="27"/>
  <c r="AU40" i="25"/>
  <c r="BK35" i="27"/>
  <c r="C43" i="14"/>
  <c r="AW46" i="28"/>
  <c r="AX56" i="26"/>
  <c r="AT44" i="28"/>
  <c r="I38" i="27"/>
  <c r="I34" i="24"/>
  <c r="W59" i="27"/>
  <c r="I56" i="27"/>
  <c r="AL46" i="26"/>
  <c r="AH54" i="27"/>
  <c r="BA36" i="25"/>
  <c r="AG38" i="27"/>
  <c r="BH52" i="25"/>
  <c r="Y38" i="25"/>
  <c r="AN58" i="24"/>
  <c r="BG47" i="25"/>
  <c r="AR44" i="24"/>
  <c r="AJ42" i="28"/>
  <c r="X42" i="24"/>
  <c r="T50" i="24"/>
  <c r="Z55" i="26"/>
  <c r="AM48" i="27"/>
  <c r="O55" i="24"/>
  <c r="AA41" i="24"/>
  <c r="BA37" i="24"/>
  <c r="AP44" i="26"/>
  <c r="BC55" i="14"/>
  <c r="AO58" i="27"/>
  <c r="Z59" i="24"/>
  <c r="P42" i="28"/>
  <c r="K51" i="25"/>
  <c r="F56" i="25"/>
  <c r="AH50" i="25"/>
  <c r="R35" i="26"/>
  <c r="BD37" i="26"/>
  <c r="U37" i="25"/>
  <c r="AU42" i="27"/>
  <c r="AU42" i="24"/>
  <c r="F58" i="27"/>
  <c r="T42" i="14"/>
  <c r="BE57" i="14"/>
  <c r="BG58" i="25"/>
  <c r="BI59" i="27"/>
  <c r="AS48" i="28"/>
  <c r="AO49" i="14"/>
  <c r="BC53" i="26"/>
  <c r="V57" i="27"/>
  <c r="AV60" i="27"/>
  <c r="BC41" i="28"/>
  <c r="AG36" i="24"/>
  <c r="AR56" i="24"/>
  <c r="AQ45" i="24"/>
  <c r="BJ59" i="28"/>
  <c r="AU44" i="14"/>
  <c r="G35" i="27"/>
  <c r="G51" i="14"/>
  <c r="H44" i="24"/>
  <c r="F45" i="24"/>
  <c r="F33" i="27"/>
  <c r="BH33" i="24"/>
  <c r="AK40" i="27"/>
  <c r="AC54" i="27"/>
  <c r="N50" i="25"/>
  <c r="BD43" i="28"/>
  <c r="S42" i="26"/>
  <c r="AP55" i="26"/>
  <c r="W38" i="25"/>
  <c r="O43" i="25"/>
  <c r="AD48" i="25"/>
  <c r="AC59" i="25"/>
  <c r="J53" i="24"/>
  <c r="C50" i="14"/>
  <c r="BF50" i="14"/>
  <c r="N48" i="26"/>
  <c r="AR43" i="25"/>
  <c r="D41" i="28"/>
  <c r="AR50" i="24"/>
  <c r="AT47" i="24"/>
  <c r="N37" i="28"/>
  <c r="AZ36" i="28"/>
  <c r="AA43" i="26"/>
  <c r="AK37" i="24"/>
  <c r="E56" i="28"/>
  <c r="I50" i="25"/>
  <c r="E36" i="24"/>
  <c r="E56" i="25"/>
  <c r="G47" i="27"/>
  <c r="BA43" i="27"/>
  <c r="Q35" i="26"/>
  <c r="BB48" i="24"/>
  <c r="BG54" i="28"/>
  <c r="AX42" i="14"/>
  <c r="C42" i="28"/>
  <c r="C34" i="26"/>
  <c r="AQ60" i="25"/>
  <c r="AS40" i="28"/>
  <c r="BF37" i="14"/>
  <c r="AH50" i="27"/>
  <c r="AV44" i="26"/>
  <c r="F35" i="24"/>
  <c r="BB37" i="26"/>
  <c r="P44" i="27"/>
  <c r="BF43" i="25"/>
  <c r="K39" i="27"/>
  <c r="U42" i="28"/>
  <c r="L54" i="26"/>
  <c r="Y56" i="27"/>
  <c r="O47" i="24"/>
  <c r="BF42" i="28"/>
  <c r="BC40" i="27"/>
  <c r="AB36" i="26"/>
  <c r="AL41" i="14"/>
  <c r="Z55" i="14"/>
  <c r="AJ50" i="27"/>
  <c r="AF38" i="26"/>
  <c r="I38" i="24"/>
  <c r="N46" i="14"/>
  <c r="R39" i="28"/>
  <c r="AC42" i="24"/>
  <c r="BH59" i="14"/>
  <c r="T34" i="28"/>
  <c r="AX38" i="28"/>
  <c r="L57" i="27"/>
  <c r="S52" i="26"/>
  <c r="BH44" i="26"/>
  <c r="AI45" i="24"/>
  <c r="W34" i="14"/>
  <c r="AQ58" i="26"/>
  <c r="Y52" i="25"/>
  <c r="F38" i="26"/>
  <c r="R39" i="26"/>
  <c r="AL34" i="26"/>
  <c r="AM46" i="27"/>
  <c r="T60" i="14"/>
  <c r="AP37" i="25"/>
  <c r="L56" i="25"/>
  <c r="AD36" i="25"/>
  <c r="AI50" i="28"/>
  <c r="Z42" i="28"/>
  <c r="E41" i="25"/>
  <c r="BD41" i="25"/>
  <c r="G41" i="14"/>
  <c r="C42" i="24"/>
  <c r="AA46" i="25"/>
  <c r="Q55" i="28"/>
  <c r="AV38" i="28"/>
  <c r="AQ37" i="26"/>
  <c r="AS50" i="27"/>
  <c r="J48" i="26"/>
  <c r="N45" i="25"/>
  <c r="F33" i="26"/>
  <c r="AV58" i="14"/>
  <c r="O55" i="14"/>
  <c r="AA37" i="14"/>
  <c r="AD55" i="28"/>
  <c r="AI60" i="26"/>
  <c r="AO39" i="27"/>
  <c r="AM40" i="25"/>
  <c r="AC46" i="14"/>
  <c r="Z33" i="28"/>
  <c r="AC44" i="24"/>
  <c r="BC52" i="26"/>
  <c r="AS44" i="28"/>
  <c r="H37" i="24"/>
  <c r="AJ45" i="26"/>
  <c r="AA33" i="26"/>
  <c r="AZ51" i="25"/>
  <c r="X46" i="28"/>
  <c r="AK34" i="27"/>
  <c r="Y46" i="24"/>
  <c r="BB57" i="25"/>
  <c r="BJ33" i="14"/>
  <c r="AH42" i="24"/>
  <c r="AW60" i="14"/>
  <c r="AY47" i="14"/>
  <c r="S48" i="28"/>
  <c r="BH51" i="14"/>
  <c r="AR39" i="24"/>
  <c r="BC37" i="28"/>
  <c r="K34" i="14"/>
  <c r="AM33" i="24"/>
  <c r="AT58" i="26"/>
  <c r="BI57" i="14"/>
  <c r="R40" i="14"/>
  <c r="X36" i="25"/>
  <c r="D51" i="24"/>
  <c r="AC51" i="24"/>
  <c r="M55" i="14"/>
  <c r="AE51" i="25"/>
  <c r="AW54" i="28"/>
  <c r="V45" i="27"/>
  <c r="AO34" i="28"/>
  <c r="AA34" i="27"/>
  <c r="AW51" i="25"/>
  <c r="AO52" i="25"/>
  <c r="BI57" i="28"/>
  <c r="BH47" i="25"/>
  <c r="BE49" i="27"/>
  <c r="AM37" i="25"/>
  <c r="AZ39" i="27"/>
  <c r="BE33" i="24"/>
  <c r="AW40" i="25"/>
  <c r="AV35" i="28"/>
  <c r="BA40" i="25"/>
  <c r="BA45" i="14"/>
  <c r="Z37" i="26"/>
  <c r="P41" i="27"/>
  <c r="E51" i="14"/>
  <c r="BK46" i="28"/>
  <c r="AR45" i="14"/>
  <c r="AP49" i="24"/>
  <c r="AP47" i="24"/>
  <c r="AR58" i="28"/>
  <c r="AL34" i="14"/>
  <c r="AF44" i="27"/>
  <c r="BD46" i="25"/>
  <c r="AJ54" i="14"/>
  <c r="BH55" i="28"/>
  <c r="BK44" i="26"/>
  <c r="O51" i="24"/>
  <c r="Y42" i="28"/>
  <c r="Y45" i="25"/>
  <c r="R38" i="28"/>
  <c r="AZ58" i="14"/>
  <c r="AI37" i="25"/>
  <c r="AR49" i="25"/>
  <c r="U50" i="28"/>
  <c r="U50" i="14"/>
  <c r="BG50" i="27"/>
  <c r="BD35" i="27"/>
  <c r="BK41" i="14"/>
  <c r="O55" i="27"/>
  <c r="E60" i="25"/>
  <c r="BK51" i="24"/>
  <c r="AI54" i="24"/>
  <c r="AX49" i="24"/>
  <c r="Z53" i="28"/>
  <c r="P37" i="24"/>
  <c r="O49" i="26"/>
  <c r="BD47" i="24"/>
  <c r="L48" i="28"/>
  <c r="Q36" i="27"/>
  <c r="G45" i="27"/>
  <c r="S47" i="14"/>
  <c r="H40" i="24"/>
  <c r="AY42" i="27"/>
  <c r="G54" i="14"/>
  <c r="W34" i="25"/>
  <c r="W46" i="27"/>
  <c r="D38" i="28"/>
  <c r="P36" i="26"/>
  <c r="O45" i="27"/>
  <c r="BC34" i="26"/>
  <c r="AO57" i="25"/>
  <c r="BB58" i="14"/>
  <c r="F41" i="24"/>
  <c r="BF33" i="28"/>
  <c r="N58" i="27"/>
  <c r="AU50" i="24"/>
  <c r="AM36" i="24"/>
  <c r="B60" i="26"/>
  <c r="BI45" i="27"/>
  <c r="AJ46" i="27"/>
  <c r="T46" i="25"/>
  <c r="AI47" i="14"/>
  <c r="B47" i="27"/>
  <c r="AL55" i="24"/>
  <c r="AN34" i="26"/>
  <c r="BG45" i="25"/>
  <c r="AG53" i="26"/>
  <c r="AP60" i="28"/>
  <c r="AB38" i="27"/>
  <c r="AZ49" i="14"/>
  <c r="H45" i="27"/>
  <c r="AK46" i="24"/>
  <c r="BD55" i="26"/>
  <c r="Z39" i="28"/>
  <c r="AF53" i="25"/>
  <c r="BJ50" i="27"/>
  <c r="BE56" i="25"/>
  <c r="C49" i="26"/>
  <c r="AB47" i="25"/>
  <c r="T37" i="28"/>
  <c r="S44" i="24"/>
  <c r="BG53" i="27"/>
  <c r="BC49" i="24"/>
  <c r="S34" i="24"/>
  <c r="AG56" i="26"/>
  <c r="BA58" i="25"/>
  <c r="AP50" i="25"/>
  <c r="C50" i="27"/>
  <c r="G34" i="28"/>
  <c r="AI52" i="14"/>
  <c r="Z38" i="25"/>
  <c r="BG41" i="28"/>
  <c r="AM41" i="27"/>
  <c r="T60" i="27"/>
  <c r="AS53" i="28"/>
  <c r="BJ42" i="27"/>
  <c r="B58" i="25"/>
  <c r="AM52" i="27"/>
  <c r="AJ39" i="26"/>
  <c r="AZ42" i="28"/>
  <c r="AG45" i="28"/>
  <c r="BB41" i="14"/>
  <c r="S51" i="14"/>
  <c r="Q56" i="28"/>
  <c r="T59" i="28"/>
  <c r="BH48" i="14"/>
  <c r="AN55" i="24"/>
  <c r="BB38" i="28"/>
  <c r="AP33" i="28"/>
  <c r="AF59" i="27"/>
  <c r="AL35" i="14"/>
  <c r="F40" i="26"/>
  <c r="T39" i="27"/>
  <c r="BB33" i="28"/>
  <c r="BJ47" i="27"/>
  <c r="T49" i="26"/>
  <c r="R41" i="14"/>
  <c r="B44" i="25"/>
  <c r="AX47" i="27"/>
  <c r="AK57" i="26"/>
  <c r="AF46" i="14"/>
  <c r="T51" i="24"/>
  <c r="AE49" i="25"/>
  <c r="D39" i="14"/>
  <c r="AO43" i="14"/>
  <c r="BA49" i="14"/>
  <c r="BA34" i="14"/>
  <c r="B45" i="25"/>
  <c r="N59" i="28"/>
  <c r="AV58" i="25"/>
  <c r="AV44" i="14"/>
  <c r="BB40" i="28"/>
  <c r="S57" i="27"/>
  <c r="AF48" i="27"/>
  <c r="AF46" i="26"/>
  <c r="AP41" i="27"/>
  <c r="P45" i="14"/>
  <c r="BB59" i="25"/>
  <c r="BI46" i="24"/>
  <c r="AG51" i="28"/>
  <c r="B45" i="14"/>
  <c r="P55" i="26"/>
  <c r="AW47" i="27"/>
  <c r="AX56" i="25"/>
  <c r="AY40" i="14"/>
  <c r="AM33" i="25"/>
  <c r="AT58" i="24"/>
  <c r="AP45" i="27"/>
  <c r="AV40" i="27"/>
  <c r="AN41" i="28"/>
  <c r="R33" i="28"/>
  <c r="BE43" i="28"/>
  <c r="Y51" i="27"/>
  <c r="BI56" i="14"/>
  <c r="D38" i="14"/>
  <c r="AM49" i="26"/>
  <c r="BA37" i="26"/>
  <c r="BB43" i="28"/>
  <c r="V54" i="25"/>
  <c r="P51" i="24"/>
  <c r="C39" i="27"/>
  <c r="L60" i="28"/>
  <c r="T50" i="28"/>
  <c r="BA60" i="26"/>
  <c r="AH45" i="26"/>
  <c r="AQ34" i="27"/>
  <c r="Y51" i="28"/>
  <c r="B37" i="28"/>
  <c r="AH59" i="28"/>
  <c r="AJ47" i="24"/>
  <c r="BI46" i="25"/>
  <c r="O36" i="24"/>
  <c r="AL46" i="14"/>
  <c r="AJ37" i="26"/>
  <c r="B46" i="25"/>
  <c r="N40" i="24"/>
  <c r="D44" i="14"/>
  <c r="BD44" i="28"/>
  <c r="AF35" i="24"/>
  <c r="AX44" i="14"/>
  <c r="AS53" i="26"/>
  <c r="I33" i="28"/>
  <c r="BB38" i="14"/>
  <c r="AS43" i="26"/>
  <c r="AR47" i="14"/>
  <c r="AD36" i="14"/>
  <c r="AV53" i="26"/>
  <c r="AL51" i="24"/>
  <c r="BB52" i="14"/>
  <c r="N40" i="14"/>
  <c r="AR51" i="28"/>
  <c r="AN36" i="24"/>
  <c r="BF49" i="28"/>
  <c r="K52" i="27"/>
  <c r="AG56" i="14"/>
  <c r="F52" i="14"/>
  <c r="G36" i="26"/>
  <c r="K59" i="27"/>
  <c r="O38" i="27"/>
  <c r="C57" i="26"/>
  <c r="V50" i="27"/>
  <c r="AP47" i="26"/>
  <c r="AO52" i="27"/>
  <c r="AH41" i="26"/>
  <c r="BB53" i="14"/>
  <c r="BG50" i="28"/>
  <c r="AE46" i="24"/>
  <c r="AF34" i="28"/>
  <c r="BC59" i="24"/>
  <c r="AD49" i="28"/>
  <c r="BC60" i="27"/>
  <c r="AR37" i="25"/>
  <c r="D46" i="27"/>
  <c r="AG37" i="27"/>
  <c r="BD40" i="14"/>
  <c r="AF52" i="26"/>
  <c r="BA42" i="27"/>
  <c r="B38" i="14"/>
  <c r="AW60" i="24"/>
  <c r="AC59" i="24"/>
  <c r="AA44" i="26"/>
  <c r="AZ43" i="25"/>
  <c r="B51" i="25"/>
  <c r="AD44" i="26"/>
  <c r="BG48" i="25"/>
  <c r="O55" i="26"/>
  <c r="BD52" i="26"/>
  <c r="Q36" i="26"/>
  <c r="J53" i="28"/>
  <c r="AH49" i="24"/>
  <c r="O60" i="24"/>
  <c r="S55" i="27"/>
  <c r="O47" i="27"/>
  <c r="BE33" i="27"/>
  <c r="X54" i="14"/>
  <c r="AD58" i="25"/>
  <c r="M48" i="25"/>
  <c r="AQ56" i="24"/>
  <c r="C45" i="24"/>
  <c r="BD44" i="26"/>
  <c r="K56" i="25"/>
  <c r="Y46" i="25"/>
  <c r="AS37" i="24"/>
  <c r="AS34" i="28"/>
  <c r="AM35" i="28"/>
  <c r="AU40" i="27"/>
  <c r="AE42" i="26"/>
  <c r="O58" i="26"/>
  <c r="AR46" i="28"/>
  <c r="BI33" i="26"/>
  <c r="AT55" i="25"/>
  <c r="I49" i="24"/>
  <c r="AW35" i="25"/>
  <c r="Z57" i="25"/>
  <c r="Q39" i="28"/>
  <c r="O39" i="28"/>
  <c r="P49" i="26"/>
  <c r="BJ55" i="27"/>
  <c r="AQ51" i="27"/>
  <c r="AA45" i="14"/>
  <c r="BG49" i="25"/>
  <c r="K40" i="25"/>
  <c r="BI50" i="28"/>
  <c r="BC51" i="26"/>
  <c r="T54" i="26"/>
  <c r="U58" i="14"/>
  <c r="AR43" i="28"/>
  <c r="BK60" i="28"/>
  <c r="B56" i="24"/>
  <c r="AE42" i="28"/>
  <c r="AX39" i="25"/>
  <c r="M33" i="24"/>
  <c r="AJ52" i="24"/>
  <c r="D34" i="26"/>
  <c r="T38" i="27"/>
  <c r="AT36" i="24"/>
  <c r="R37" i="25"/>
  <c r="M59" i="28"/>
  <c r="AY54" i="27"/>
  <c r="AA56" i="14"/>
  <c r="D60" i="27"/>
  <c r="AG60" i="28"/>
  <c r="P48" i="14"/>
  <c r="D46" i="14"/>
  <c r="J58" i="25"/>
  <c r="BC33" i="28"/>
  <c r="AB44" i="14"/>
  <c r="AT46" i="28"/>
  <c r="U35" i="28"/>
  <c r="U45" i="27"/>
  <c r="C47" i="24"/>
  <c r="AU34" i="28"/>
  <c r="H45" i="25"/>
  <c r="AK55" i="14"/>
  <c r="V49" i="28"/>
  <c r="AV48" i="24"/>
  <c r="E56" i="27"/>
  <c r="Z44" i="27"/>
  <c r="F59" i="24"/>
  <c r="AO52" i="26"/>
  <c r="BH43" i="14"/>
  <c r="AY57" i="26"/>
  <c r="AT54" i="14"/>
  <c r="U43" i="25"/>
  <c r="F52" i="25"/>
  <c r="AW41" i="26"/>
  <c r="O48" i="28"/>
  <c r="S59" i="14"/>
  <c r="AB58" i="26"/>
  <c r="AJ50" i="28"/>
  <c r="Z52" i="14"/>
  <c r="AN56" i="28"/>
  <c r="AP58" i="28"/>
  <c r="V56" i="26"/>
  <c r="AY52" i="24"/>
  <c r="BB51" i="14"/>
  <c r="AU38" i="25"/>
  <c r="BJ42" i="28"/>
  <c r="AC49" i="25"/>
  <c r="AH53" i="28"/>
  <c r="R55" i="26"/>
  <c r="AR55" i="14"/>
  <c r="AZ50" i="25"/>
  <c r="L50" i="24"/>
  <c r="AD41" i="14"/>
  <c r="AO59" i="25"/>
  <c r="F53" i="28"/>
  <c r="D54" i="28"/>
  <c r="AS40" i="25"/>
  <c r="B41" i="25"/>
  <c r="BK36" i="24"/>
  <c r="AC41" i="24"/>
  <c r="AW48" i="26"/>
  <c r="AU54" i="27"/>
  <c r="C41" i="24"/>
  <c r="BF60" i="14"/>
  <c r="E59" i="27"/>
  <c r="D52" i="24"/>
  <c r="BE51" i="26"/>
  <c r="R36" i="14"/>
  <c r="F41" i="28"/>
  <c r="Y55" i="24"/>
  <c r="K42" i="26"/>
  <c r="U57" i="28"/>
  <c r="BF38" i="14"/>
  <c r="BF51" i="26"/>
  <c r="BE39" i="24"/>
  <c r="X58" i="14"/>
  <c r="BB52" i="24"/>
  <c r="J50" i="28"/>
  <c r="AH59" i="14"/>
  <c r="F36" i="27"/>
  <c r="AW33" i="25"/>
  <c r="AI40" i="26"/>
  <c r="AH38" i="28"/>
  <c r="AR34" i="28"/>
  <c r="V42" i="25"/>
  <c r="BJ55" i="24"/>
  <c r="AA55" i="14"/>
  <c r="AL40" i="24"/>
  <c r="BJ42" i="24"/>
  <c r="AE41" i="25"/>
  <c r="AH44" i="25"/>
  <c r="AV46" i="26"/>
  <c r="AW47" i="26"/>
  <c r="AL35" i="24"/>
  <c r="C46" i="24"/>
  <c r="AU37" i="27"/>
  <c r="AP35" i="28"/>
  <c r="E54" i="24"/>
  <c r="AI33" i="14"/>
  <c r="AM34" i="24"/>
  <c r="AJ60" i="14"/>
  <c r="T57" i="25"/>
  <c r="AZ50" i="14"/>
  <c r="M52" i="25"/>
  <c r="F49" i="26"/>
  <c r="L45" i="25"/>
  <c r="S36" i="25"/>
  <c r="BG47" i="14"/>
  <c r="AJ55" i="28"/>
  <c r="U38" i="26"/>
  <c r="H59" i="24"/>
  <c r="AM57" i="26"/>
  <c r="BF50" i="26"/>
  <c r="BK45" i="28"/>
  <c r="BH51" i="25"/>
  <c r="BG49" i="26"/>
  <c r="M40" i="24"/>
  <c r="AM38" i="24"/>
  <c r="AZ40" i="26"/>
  <c r="AR46" i="24"/>
  <c r="P41" i="25"/>
  <c r="AK47" i="14"/>
  <c r="G50" i="27"/>
  <c r="BH35" i="26"/>
  <c r="V54" i="14"/>
  <c r="BG56" i="26"/>
  <c r="AJ44" i="28"/>
  <c r="AV53" i="25"/>
  <c r="BD47" i="26"/>
  <c r="AL46" i="25"/>
  <c r="AA56" i="25"/>
  <c r="V54" i="24"/>
  <c r="B43" i="26"/>
  <c r="AQ46" i="25"/>
  <c r="AW59" i="27"/>
  <c r="AL42" i="28"/>
  <c r="AR47" i="24"/>
  <c r="E38" i="28"/>
  <c r="H49" i="28"/>
  <c r="K50" i="27"/>
  <c r="BA58" i="27"/>
  <c r="BI55" i="25"/>
  <c r="AU57" i="26"/>
  <c r="AS51" i="25"/>
  <c r="BB55" i="25"/>
  <c r="AL33" i="28"/>
  <c r="BF46" i="28"/>
  <c r="AG34" i="14"/>
  <c r="BB56" i="25"/>
  <c r="Q48" i="27"/>
  <c r="BK46" i="25"/>
  <c r="AG58" i="14"/>
  <c r="AH33" i="27"/>
  <c r="W58" i="28"/>
  <c r="BA55" i="28"/>
  <c r="V57" i="24"/>
  <c r="K49" i="25"/>
  <c r="J35" i="25"/>
  <c r="AV47" i="26"/>
  <c r="BI36" i="14"/>
  <c r="BK44" i="14"/>
  <c r="AN55" i="28"/>
  <c r="AT60" i="24"/>
  <c r="D34" i="25"/>
  <c r="M36" i="28"/>
  <c r="AV34" i="28"/>
  <c r="C33" i="14"/>
  <c r="AP53" i="28"/>
  <c r="E48" i="26"/>
  <c r="BG48" i="26"/>
  <c r="AK44" i="24"/>
  <c r="BB40" i="26"/>
  <c r="AG39" i="25"/>
  <c r="BA60" i="28"/>
  <c r="I40" i="24"/>
  <c r="AF39" i="26"/>
  <c r="AY51" i="24"/>
  <c r="BK52" i="25"/>
  <c r="AM46" i="26"/>
  <c r="BI60" i="27"/>
  <c r="AG40" i="25"/>
  <c r="AV57" i="28"/>
  <c r="D56" i="27"/>
  <c r="G59" i="25"/>
  <c r="M58" i="25"/>
  <c r="AV57" i="26"/>
  <c r="BG57" i="27"/>
  <c r="AJ48" i="14"/>
  <c r="AK54" i="24"/>
  <c r="AI37" i="28"/>
  <c r="L46" i="26"/>
  <c r="AG53" i="14"/>
  <c r="Y50" i="14"/>
  <c r="X40" i="24"/>
  <c r="Z50" i="27"/>
  <c r="L52" i="28"/>
  <c r="D60" i="26"/>
  <c r="AZ52" i="26"/>
  <c r="AE39" i="25"/>
  <c r="BF42" i="27"/>
  <c r="V41" i="27"/>
  <c r="AH51" i="26"/>
  <c r="Y58" i="24"/>
  <c r="AB53" i="27"/>
  <c r="R40" i="27"/>
  <c r="BC52" i="14"/>
  <c r="AB57" i="26"/>
  <c r="C33" i="27"/>
  <c r="M43" i="14"/>
  <c r="AQ53" i="27"/>
  <c r="AI48" i="26"/>
  <c r="U42" i="24"/>
  <c r="Y53" i="26"/>
  <c r="Y55" i="28"/>
  <c r="BC50" i="14"/>
  <c r="BG51" i="14"/>
  <c r="G58" i="28"/>
  <c r="BD34" i="24"/>
  <c r="BD53" i="27"/>
  <c r="G59" i="14"/>
  <c r="BK57" i="28"/>
  <c r="S33" i="28"/>
  <c r="H51" i="24"/>
  <c r="P43" i="14"/>
  <c r="R47" i="28"/>
  <c r="AI41" i="14"/>
  <c r="X47" i="14"/>
  <c r="AA33" i="27"/>
  <c r="D41" i="27"/>
  <c r="AS47" i="25"/>
  <c r="Y44" i="14"/>
  <c r="S43" i="26"/>
  <c r="AE53" i="24"/>
  <c r="BD35" i="26"/>
  <c r="I35" i="14"/>
  <c r="BC50" i="27"/>
  <c r="AB35" i="27"/>
  <c r="AH56" i="24"/>
  <c r="AQ48" i="24"/>
  <c r="X47" i="27"/>
  <c r="AC57" i="14"/>
  <c r="R46" i="24"/>
  <c r="AM58" i="14"/>
  <c r="BK39" i="24"/>
  <c r="AK57" i="28"/>
  <c r="K55" i="24"/>
  <c r="Z52" i="24"/>
  <c r="AC58" i="28"/>
  <c r="BH43" i="24"/>
  <c r="AV40" i="26"/>
  <c r="BJ55" i="14"/>
  <c r="BI45" i="25"/>
  <c r="AT49" i="27"/>
  <c r="S48" i="14"/>
  <c r="BE48" i="24"/>
  <c r="AI46" i="24"/>
  <c r="BF60" i="26"/>
  <c r="S40" i="26"/>
  <c r="BF52" i="26"/>
  <c r="BC50" i="24"/>
  <c r="V45" i="14"/>
  <c r="C44" i="26"/>
  <c r="AB45" i="27"/>
  <c r="AE39" i="14"/>
  <c r="N34" i="24"/>
  <c r="M49" i="25"/>
  <c r="AW52" i="25"/>
  <c r="R42" i="28"/>
  <c r="AP38" i="28"/>
  <c r="AP59" i="27"/>
  <c r="B54" i="24"/>
  <c r="BJ50" i="24"/>
  <c r="AZ60" i="14"/>
  <c r="BC51" i="28"/>
  <c r="AU41" i="24"/>
  <c r="BK40" i="27"/>
  <c r="O45" i="14"/>
  <c r="AI41" i="27"/>
  <c r="AL43" i="26"/>
  <c r="AY36" i="27"/>
  <c r="K45" i="14"/>
  <c r="AH50" i="26"/>
  <c r="AD55" i="24"/>
  <c r="AZ39" i="28"/>
  <c r="X49" i="26"/>
  <c r="C44" i="27"/>
  <c r="AJ36" i="28"/>
  <c r="AX60" i="28"/>
  <c r="AI59" i="25"/>
  <c r="O42" i="26"/>
  <c r="G40" i="24"/>
  <c r="AA52" i="25"/>
  <c r="BF34" i="27"/>
  <c r="BI41" i="28"/>
  <c r="BG51" i="26"/>
  <c r="BK58" i="27"/>
  <c r="K58" i="24"/>
  <c r="AI34" i="27"/>
  <c r="H34" i="28"/>
  <c r="N57" i="27"/>
  <c r="R42" i="27"/>
  <c r="AN59" i="26"/>
  <c r="AC44" i="14"/>
  <c r="AS46" i="25"/>
  <c r="AN57" i="28"/>
  <c r="BC60" i="14"/>
  <c r="AI34" i="26"/>
  <c r="N42" i="25"/>
  <c r="AD48" i="14"/>
  <c r="Q41" i="26"/>
  <c r="AM57" i="27"/>
  <c r="AN45" i="24"/>
  <c r="M33" i="28"/>
  <c r="AI52" i="26"/>
  <c r="BE33" i="28"/>
  <c r="AS45" i="14"/>
  <c r="L51" i="26"/>
  <c r="AJ38" i="25"/>
  <c r="Q34" i="24"/>
  <c r="AB54" i="26"/>
  <c r="AU57" i="27"/>
  <c r="E48" i="27"/>
  <c r="AQ36" i="28"/>
  <c r="AX38" i="27"/>
  <c r="AY43" i="27"/>
  <c r="BI38" i="14"/>
  <c r="AR43" i="24"/>
  <c r="F57" i="25"/>
  <c r="Z52" i="25"/>
  <c r="I36" i="24"/>
  <c r="BB34" i="14"/>
  <c r="BD38" i="25"/>
  <c r="BD54" i="26"/>
  <c r="AD39" i="26"/>
  <c r="AI44" i="26"/>
  <c r="AW43" i="27"/>
  <c r="B60" i="27"/>
  <c r="AJ50" i="24"/>
  <c r="AQ51" i="25"/>
  <c r="AI49" i="28"/>
  <c r="P56" i="25"/>
  <c r="BF44" i="28"/>
  <c r="AD43" i="27"/>
  <c r="AC50" i="24"/>
  <c r="AS59" i="28"/>
  <c r="AT56" i="27"/>
  <c r="J60" i="25"/>
  <c r="AC56" i="27"/>
  <c r="BG59" i="27"/>
  <c r="BA58" i="28"/>
  <c r="BG37" i="25"/>
  <c r="AS34" i="24"/>
  <c r="AG39" i="26"/>
  <c r="BH57" i="14"/>
  <c r="AP47" i="28"/>
  <c r="AY39" i="27"/>
  <c r="B35" i="26"/>
  <c r="AY42" i="24"/>
  <c r="BA38" i="27"/>
  <c r="AV36" i="25"/>
  <c r="BC53" i="27"/>
  <c r="BC51" i="14"/>
  <c r="T55" i="24"/>
  <c r="AP52" i="25"/>
  <c r="G55" i="26"/>
  <c r="BA59" i="27"/>
  <c r="C34" i="24"/>
  <c r="AX45" i="14"/>
  <c r="R57" i="26"/>
  <c r="BB52" i="26"/>
  <c r="AH56" i="26"/>
  <c r="K56" i="24"/>
  <c r="V52" i="26"/>
  <c r="AW45" i="24"/>
  <c r="AK54" i="14"/>
  <c r="K47" i="26"/>
  <c r="AY40" i="28"/>
  <c r="AI47" i="27"/>
  <c r="AW60" i="25"/>
  <c r="BB53" i="28"/>
  <c r="AN35" i="27"/>
  <c r="X54" i="28"/>
  <c r="AM53" i="24"/>
  <c r="AZ35" i="24"/>
  <c r="BA44" i="24"/>
  <c r="Q41" i="14"/>
  <c r="BK54" i="27"/>
  <c r="BB56" i="26"/>
  <c r="AI47" i="25"/>
  <c r="AU52" i="14"/>
  <c r="J51" i="14"/>
  <c r="Y56" i="24"/>
  <c r="AZ38" i="24"/>
  <c r="AS55" i="25"/>
  <c r="BF47" i="27"/>
  <c r="AL48" i="26"/>
  <c r="W60" i="27"/>
  <c r="S36" i="28"/>
  <c r="AG60" i="25"/>
  <c r="AL34" i="24"/>
  <c r="AJ59" i="28"/>
  <c r="AQ54" i="26"/>
  <c r="I57" i="25"/>
  <c r="C44" i="14"/>
  <c r="BI33" i="14"/>
  <c r="B48" i="27"/>
  <c r="Z35" i="26"/>
  <c r="R56" i="14"/>
  <c r="AU35" i="25"/>
  <c r="AI55" i="25"/>
  <c r="AC33" i="26"/>
  <c r="AV43" i="25"/>
  <c r="E33" i="27"/>
  <c r="BB38" i="27"/>
  <c r="BC39" i="28"/>
  <c r="AN36" i="14"/>
  <c r="R47" i="14"/>
  <c r="AR48" i="28"/>
  <c r="M51" i="14"/>
  <c r="BF43" i="14"/>
  <c r="AS41" i="28"/>
  <c r="AO38" i="24"/>
  <c r="AK54" i="28"/>
  <c r="AA53" i="25"/>
  <c r="G48" i="24"/>
  <c r="BC38" i="26"/>
  <c r="AD50" i="27"/>
  <c r="AC35" i="28"/>
  <c r="BK40" i="14"/>
  <c r="AT47" i="28"/>
  <c r="AT59" i="26"/>
  <c r="T59" i="27"/>
  <c r="AF52" i="28"/>
  <c r="R33" i="27"/>
  <c r="O53" i="14"/>
  <c r="V42" i="28"/>
  <c r="S47" i="26"/>
  <c r="AB42" i="26"/>
  <c r="BJ59" i="26"/>
  <c r="H53" i="28"/>
  <c r="BK37" i="26"/>
  <c r="BC53" i="25"/>
  <c r="K55" i="27"/>
  <c r="AS44" i="26"/>
  <c r="AD46" i="26"/>
  <c r="AJ59" i="26"/>
  <c r="BF35" i="14"/>
  <c r="K34" i="25"/>
  <c r="J40" i="27"/>
  <c r="AZ33" i="27"/>
  <c r="BF57" i="14"/>
  <c r="E44" i="14"/>
  <c r="AZ51" i="26"/>
  <c r="AG56" i="27"/>
  <c r="AT49" i="24"/>
  <c r="AF36" i="25"/>
  <c r="AP34" i="27"/>
  <c r="U52" i="27"/>
  <c r="I36" i="14"/>
  <c r="BC44" i="28"/>
  <c r="AL42" i="25"/>
  <c r="AC47" i="26"/>
  <c r="O54" i="26"/>
  <c r="BI42" i="26"/>
  <c r="I58" i="27"/>
  <c r="AV42" i="14"/>
  <c r="J46" i="25"/>
  <c r="U54" i="24"/>
  <c r="AX46" i="25"/>
  <c r="H45" i="14"/>
  <c r="BJ36" i="25"/>
  <c r="AL60" i="27"/>
  <c r="AJ53" i="14"/>
  <c r="AO45" i="25"/>
  <c r="Q53" i="25"/>
  <c r="AM39" i="14"/>
  <c r="BK53" i="26"/>
  <c r="K46" i="24"/>
  <c r="R48" i="25"/>
  <c r="BD55" i="25"/>
  <c r="BK50" i="24"/>
  <c r="BJ48" i="24"/>
  <c r="U53" i="24"/>
  <c r="O58" i="24"/>
  <c r="C35" i="25"/>
  <c r="AF45" i="28"/>
  <c r="AE51" i="27"/>
  <c r="BC49" i="28"/>
  <c r="BI44" i="27"/>
  <c r="W45" i="14"/>
  <c r="AQ55" i="24"/>
  <c r="AR50" i="27"/>
  <c r="AG46" i="14"/>
  <c r="BA53" i="14"/>
  <c r="F47" i="14"/>
  <c r="AV33" i="26"/>
  <c r="AQ44" i="26"/>
  <c r="F44" i="25"/>
  <c r="D59" i="26"/>
  <c r="U57" i="26"/>
  <c r="AQ42" i="14"/>
  <c r="BJ37" i="14"/>
  <c r="R57" i="24"/>
  <c r="AJ59" i="24"/>
  <c r="AS50" i="28"/>
  <c r="AX51" i="26"/>
  <c r="AB60" i="24"/>
  <c r="AF35" i="28"/>
  <c r="Q59" i="24"/>
  <c r="BG43" i="28"/>
  <c r="AM54" i="28"/>
  <c r="M45" i="26"/>
  <c r="BG44" i="28"/>
  <c r="BH60" i="14"/>
  <c r="AJ39" i="28"/>
  <c r="R49" i="24"/>
  <c r="Q45" i="27"/>
  <c r="AC45" i="28"/>
  <c r="AD53" i="24"/>
  <c r="O47" i="14"/>
  <c r="R59" i="27"/>
  <c r="AI57" i="26"/>
  <c r="T45" i="28"/>
  <c r="M40" i="26"/>
  <c r="P42" i="25"/>
  <c r="AZ44" i="14"/>
  <c r="Q46" i="24"/>
  <c r="I44" i="27"/>
  <c r="BC52" i="28"/>
  <c r="B42" i="14"/>
  <c r="O60" i="14"/>
  <c r="J43" i="28"/>
  <c r="AH38" i="26"/>
  <c r="AH58" i="28"/>
  <c r="BB53" i="27"/>
  <c r="U47" i="24"/>
  <c r="Q38" i="28"/>
  <c r="C34" i="27"/>
  <c r="W40" i="26"/>
  <c r="AS48" i="25"/>
  <c r="BG36" i="28"/>
  <c r="L58" i="28"/>
  <c r="X56" i="25"/>
  <c r="BK46" i="24"/>
  <c r="AC48" i="28"/>
  <c r="Z47" i="27"/>
  <c r="AS52" i="25"/>
  <c r="H48" i="25"/>
  <c r="C39" i="14"/>
  <c r="AO51" i="24"/>
  <c r="AF54" i="24"/>
  <c r="BE36" i="27"/>
  <c r="I58" i="24"/>
  <c r="AT33" i="26"/>
  <c r="AI44" i="14"/>
  <c r="AT37" i="14"/>
  <c r="AY38" i="28"/>
  <c r="AH45" i="28"/>
  <c r="AC47" i="27"/>
  <c r="AC45" i="14"/>
  <c r="AE33" i="27"/>
  <c r="AR33" i="28"/>
  <c r="AF49" i="26"/>
  <c r="AA45" i="25"/>
  <c r="AA37" i="24"/>
  <c r="X44" i="28"/>
  <c r="B44" i="26"/>
  <c r="H49" i="26"/>
  <c r="AE48" i="25"/>
  <c r="J35" i="24"/>
  <c r="Z35" i="14"/>
  <c r="B44" i="27"/>
  <c r="F55" i="24"/>
  <c r="AO41" i="27"/>
  <c r="M47" i="28"/>
  <c r="AQ47" i="24"/>
  <c r="X35" i="14"/>
  <c r="BK55" i="14"/>
  <c r="J47" i="24"/>
  <c r="P48" i="28"/>
  <c r="AB60" i="14"/>
  <c r="BB58" i="24"/>
  <c r="T59" i="24"/>
  <c r="P49" i="28"/>
  <c r="AK55" i="27"/>
  <c r="AJ53" i="28"/>
  <c r="BG54" i="27"/>
  <c r="BD45" i="14"/>
  <c r="C35" i="24"/>
  <c r="U43" i="14"/>
  <c r="D37" i="28"/>
  <c r="BC38" i="24"/>
  <c r="T40" i="14"/>
  <c r="AX35" i="26"/>
  <c r="V43" i="27"/>
  <c r="AM46" i="24"/>
  <c r="L37" i="26"/>
  <c r="AN41" i="26"/>
  <c r="T46" i="27"/>
  <c r="Z60" i="28"/>
  <c r="AR53" i="24"/>
  <c r="B54" i="14"/>
  <c r="N38" i="26"/>
  <c r="AM56" i="25"/>
  <c r="AY45" i="28"/>
  <c r="BC54" i="27"/>
  <c r="N56" i="24"/>
  <c r="N34" i="14"/>
  <c r="AV60" i="28"/>
  <c r="AR34" i="14"/>
  <c r="AP36" i="14"/>
  <c r="H50" i="24"/>
  <c r="AW59" i="24"/>
  <c r="W52" i="14"/>
  <c r="BG40" i="28"/>
  <c r="AI41" i="24"/>
  <c r="Y42" i="26"/>
  <c r="AT47" i="25"/>
  <c r="AB54" i="24"/>
  <c r="BC46" i="24"/>
  <c r="AH33" i="14"/>
  <c r="H36" i="25"/>
  <c r="M36" i="14"/>
  <c r="AN46" i="27"/>
  <c r="BG44" i="25"/>
  <c r="AU56" i="24"/>
  <c r="AC57" i="24"/>
  <c r="E45" i="24"/>
  <c r="AT51" i="27"/>
  <c r="AZ33" i="24"/>
  <c r="Y48" i="28"/>
  <c r="AP55" i="14"/>
  <c r="AO37" i="26"/>
  <c r="AO44" i="24"/>
  <c r="X53" i="25"/>
  <c r="AJ34" i="24"/>
  <c r="T40" i="28"/>
  <c r="N38" i="25"/>
  <c r="AP55" i="27"/>
  <c r="AC42" i="25"/>
  <c r="N36" i="14"/>
  <c r="AL52" i="26"/>
  <c r="C54" i="26"/>
  <c r="BI41" i="27"/>
  <c r="L51" i="28"/>
  <c r="AF51" i="25"/>
  <c r="BJ51" i="24"/>
  <c r="O48" i="27"/>
  <c r="I47" i="24"/>
  <c r="AM46" i="25"/>
  <c r="X49" i="28"/>
  <c r="E37" i="27"/>
  <c r="Z59" i="28"/>
  <c r="V60" i="14"/>
  <c r="BH43" i="25"/>
  <c r="AX54" i="24"/>
  <c r="N33" i="28"/>
  <c r="Q49" i="26"/>
  <c r="BK58" i="24"/>
  <c r="G57" i="25"/>
  <c r="P50" i="26"/>
  <c r="BB44" i="14"/>
  <c r="BF44" i="14"/>
  <c r="AU57" i="24"/>
  <c r="P43" i="27"/>
  <c r="B39" i="28"/>
  <c r="AA55" i="26"/>
  <c r="AZ55" i="26"/>
  <c r="AT41" i="25"/>
  <c r="AH42" i="27"/>
  <c r="E51" i="28"/>
  <c r="BC48" i="28"/>
  <c r="BI43" i="24"/>
  <c r="D37" i="26"/>
  <c r="BA39" i="14"/>
  <c r="BD35" i="28"/>
  <c r="AW48" i="27"/>
  <c r="Z57" i="28"/>
  <c r="G44" i="27"/>
  <c r="AB50" i="25"/>
  <c r="U60" i="24"/>
  <c r="U50" i="25"/>
  <c r="R35" i="27"/>
  <c r="BC44" i="24"/>
  <c r="E42" i="28"/>
  <c r="BC45" i="27"/>
  <c r="AM52" i="28"/>
  <c r="Z46" i="28"/>
  <c r="BA43" i="28"/>
  <c r="AH60" i="25"/>
  <c r="D52" i="26"/>
  <c r="I53" i="27"/>
  <c r="AV37" i="27"/>
  <c r="V48" i="26"/>
  <c r="AM42" i="14"/>
  <c r="BG40" i="25"/>
  <c r="AA34" i="14"/>
  <c r="L60" i="26"/>
  <c r="AJ57" i="25"/>
  <c r="W56" i="25"/>
  <c r="M49" i="27"/>
  <c r="Q59" i="14"/>
  <c r="BJ56" i="26"/>
  <c r="BD48" i="25"/>
  <c r="AF49" i="27"/>
  <c r="AY42" i="25"/>
  <c r="T43" i="26"/>
  <c r="BF48" i="25"/>
  <c r="AG42" i="25"/>
  <c r="U50" i="26"/>
  <c r="N54" i="26"/>
  <c r="AL55" i="26"/>
  <c r="AW49" i="26"/>
  <c r="AF49" i="25"/>
  <c r="AT40" i="14"/>
  <c r="AD49" i="25"/>
  <c r="B37" i="25"/>
  <c r="V49" i="24"/>
  <c r="P40" i="27"/>
  <c r="AY43" i="14"/>
  <c r="T38" i="26"/>
  <c r="M56" i="14"/>
  <c r="AV33" i="24"/>
  <c r="D38" i="27"/>
  <c r="U46" i="25"/>
  <c r="AM51" i="26"/>
  <c r="BB49" i="25"/>
  <c r="AD36" i="24"/>
  <c r="Q35" i="28"/>
  <c r="BC34" i="27"/>
  <c r="AS52" i="26"/>
  <c r="M59" i="27"/>
  <c r="AW51" i="26"/>
  <c r="AN41" i="27"/>
  <c r="AU56" i="26"/>
  <c r="AX43" i="14"/>
  <c r="B37" i="14"/>
  <c r="G37" i="24"/>
  <c r="AJ60" i="27"/>
  <c r="N40" i="28"/>
  <c r="C57" i="24"/>
  <c r="AQ48" i="25"/>
  <c r="BD50" i="24"/>
  <c r="G55" i="24"/>
  <c r="AZ53" i="24"/>
  <c r="AL37" i="26"/>
  <c r="I57" i="26"/>
  <c r="BH42" i="14"/>
  <c r="Y33" i="25"/>
  <c r="AY53" i="24"/>
  <c r="J37" i="27"/>
  <c r="R53" i="27"/>
  <c r="H46" i="26"/>
  <c r="F57" i="24"/>
  <c r="P60" i="24"/>
  <c r="BG57" i="14"/>
  <c r="I45" i="24"/>
  <c r="I52" i="27"/>
  <c r="AX41" i="28"/>
  <c r="M43" i="26"/>
  <c r="AS58" i="25"/>
  <c r="D55" i="26"/>
  <c r="M55" i="28"/>
  <c r="T49" i="14"/>
  <c r="AF37" i="28"/>
  <c r="L44" i="25"/>
  <c r="AM49" i="25"/>
  <c r="AX56" i="28"/>
  <c r="AD42" i="24"/>
  <c r="R52" i="28"/>
  <c r="AD43" i="26"/>
  <c r="AW51" i="27"/>
  <c r="R42" i="24"/>
  <c r="AG34" i="26"/>
  <c r="AR35" i="25"/>
  <c r="Z59" i="25"/>
  <c r="D42" i="26"/>
  <c r="BE58" i="14"/>
  <c r="AO49" i="25"/>
  <c r="AH52" i="14"/>
  <c r="AG57" i="25"/>
  <c r="BD54" i="28"/>
  <c r="W55" i="14"/>
  <c r="AV51" i="25"/>
  <c r="AL45" i="26"/>
  <c r="AL42" i="27"/>
  <c r="AV54" i="24"/>
  <c r="AM51" i="28"/>
  <c r="BJ41" i="24"/>
  <c r="X48" i="27"/>
  <c r="AQ36" i="27"/>
  <c r="AF42" i="24"/>
  <c r="AS38" i="24"/>
  <c r="AG54" i="27"/>
  <c r="BH55" i="26"/>
  <c r="AQ44" i="25"/>
  <c r="K43" i="25"/>
  <c r="AJ51" i="27"/>
  <c r="N45" i="14"/>
  <c r="E52" i="26"/>
  <c r="AS38" i="26"/>
  <c r="AE48" i="24"/>
  <c r="M45" i="27"/>
  <c r="AQ59" i="25"/>
  <c r="I47" i="27"/>
  <c r="BK47" i="26"/>
  <c r="AX48" i="27"/>
  <c r="BA41" i="24"/>
  <c r="AN50" i="26"/>
  <c r="K42" i="24"/>
  <c r="U58" i="26"/>
  <c r="R44" i="14"/>
  <c r="AB42" i="24"/>
  <c r="BA50" i="26"/>
  <c r="AG36" i="26"/>
  <c r="S49" i="26"/>
  <c r="AT43" i="27"/>
  <c r="H42" i="25"/>
  <c r="AB40" i="25"/>
  <c r="AM41" i="28"/>
  <c r="F46" i="26"/>
  <c r="BB48" i="25"/>
  <c r="AV45" i="26"/>
  <c r="H49" i="24"/>
  <c r="BA49" i="28"/>
  <c r="Y56" i="14"/>
  <c r="AZ45" i="26"/>
  <c r="BG59" i="26"/>
  <c r="G53" i="28"/>
  <c r="C58" i="25"/>
  <c r="AJ35" i="28"/>
  <c r="AS36" i="25"/>
  <c r="V36" i="28"/>
  <c r="AS37" i="28"/>
  <c r="BD42" i="26"/>
  <c r="D38" i="24"/>
  <c r="Y45" i="14"/>
  <c r="V54" i="27"/>
  <c r="AZ46" i="25"/>
  <c r="AJ50" i="26"/>
  <c r="AF54" i="14"/>
  <c r="AL52" i="14"/>
  <c r="BA40" i="24"/>
  <c r="AB53" i="28"/>
  <c r="AW44" i="24"/>
  <c r="Y53" i="24"/>
  <c r="AS39" i="27"/>
  <c r="K47" i="24"/>
  <c r="U43" i="28"/>
  <c r="AN35" i="28"/>
  <c r="AK36" i="28"/>
  <c r="AU36" i="27"/>
  <c r="AE44" i="27"/>
  <c r="AR39" i="14"/>
  <c r="M49" i="28"/>
  <c r="AM50" i="28"/>
  <c r="M51" i="27"/>
  <c r="L48" i="25"/>
  <c r="AU38" i="24"/>
  <c r="AG40" i="14"/>
  <c r="E42" i="24"/>
  <c r="AY34" i="28"/>
  <c r="BI39" i="24"/>
  <c r="R36" i="24"/>
  <c r="L38" i="14"/>
  <c r="S44" i="14"/>
  <c r="D42" i="28"/>
  <c r="AY33" i="28"/>
  <c r="Q36" i="25"/>
  <c r="AU38" i="14"/>
  <c r="C39" i="24"/>
  <c r="AB37" i="27"/>
  <c r="AO42" i="27"/>
  <c r="BJ47" i="14"/>
  <c r="AM44" i="14"/>
  <c r="X46" i="27"/>
  <c r="AZ59" i="26"/>
  <c r="AX44" i="24"/>
  <c r="E50" i="24"/>
  <c r="BD52" i="24"/>
  <c r="AN57" i="26"/>
  <c r="AS53" i="24"/>
  <c r="AR42" i="25"/>
  <c r="AW37" i="27"/>
  <c r="AZ56" i="14"/>
  <c r="AU54" i="26"/>
  <c r="AN46" i="14"/>
  <c r="AE50" i="28"/>
  <c r="AS47" i="27"/>
  <c r="B56" i="28"/>
  <c r="AS35" i="14"/>
  <c r="Q60" i="24"/>
  <c r="BK49" i="26"/>
  <c r="AR52" i="25"/>
  <c r="C47" i="28"/>
  <c r="W47" i="24"/>
  <c r="R41" i="26"/>
  <c r="AK52" i="24"/>
  <c r="P50" i="25"/>
  <c r="N51" i="27"/>
  <c r="AC33" i="27"/>
  <c r="F48" i="24"/>
  <c r="AO33" i="14"/>
  <c r="AT36" i="27"/>
  <c r="AJ49" i="27"/>
  <c r="R53" i="25"/>
  <c r="AQ46" i="24"/>
  <c r="BC57" i="24"/>
  <c r="M47" i="14"/>
  <c r="AI50" i="14"/>
  <c r="AE40" i="25"/>
  <c r="AD45" i="25"/>
  <c r="Z42" i="14"/>
  <c r="AG45" i="27"/>
  <c r="BH57" i="24"/>
  <c r="AE48" i="26"/>
  <c r="AX43" i="24"/>
  <c r="F52" i="27"/>
  <c r="F39" i="26"/>
  <c r="AI33" i="26"/>
  <c r="AD33" i="14"/>
  <c r="V57" i="25"/>
  <c r="AO33" i="25"/>
  <c r="AE45" i="28"/>
  <c r="AK42" i="28"/>
  <c r="K50" i="28"/>
  <c r="W57" i="24"/>
  <c r="AX57" i="24"/>
  <c r="AL51" i="26"/>
  <c r="BA53" i="25"/>
  <c r="U54" i="27"/>
  <c r="AL58" i="27"/>
  <c r="V53" i="25"/>
  <c r="H53" i="26"/>
  <c r="V45" i="25"/>
  <c r="BA38" i="26"/>
  <c r="AA50" i="26"/>
  <c r="BG52" i="14"/>
  <c r="AB39" i="26"/>
  <c r="B46" i="26"/>
  <c r="AT34" i="28"/>
  <c r="AF41" i="27"/>
  <c r="AF34" i="26"/>
  <c r="AF39" i="14"/>
  <c r="BK53" i="24"/>
  <c r="R37" i="27"/>
  <c r="BJ48" i="14"/>
  <c r="AK55" i="28"/>
  <c r="BI42" i="28"/>
  <c r="K39" i="24"/>
  <c r="AR41" i="27"/>
  <c r="BE46" i="28"/>
  <c r="S56" i="27"/>
  <c r="E39" i="24"/>
  <c r="P36" i="14"/>
  <c r="AL54" i="27"/>
  <c r="W51" i="14"/>
  <c r="V46" i="25"/>
  <c r="S34" i="27"/>
  <c r="AB35" i="24"/>
  <c r="BF38" i="25"/>
  <c r="AB47" i="28"/>
  <c r="AJ41" i="28"/>
  <c r="AK43" i="28"/>
  <c r="R45" i="26"/>
  <c r="P60" i="28"/>
  <c r="Q33" i="25"/>
  <c r="BB58" i="26"/>
  <c r="BH53" i="26"/>
  <c r="BD50" i="14"/>
  <c r="AW35" i="26"/>
  <c r="T36" i="28"/>
  <c r="AU55" i="25"/>
  <c r="D45" i="14"/>
  <c r="Z43" i="25"/>
  <c r="H56" i="28"/>
  <c r="AN56" i="14"/>
  <c r="AO41" i="14"/>
  <c r="AL53" i="27"/>
  <c r="AD37" i="27"/>
  <c r="X41" i="28"/>
  <c r="T39" i="24"/>
  <c r="AQ44" i="14"/>
  <c r="BF37" i="26"/>
  <c r="BI36" i="26"/>
  <c r="BI48" i="26"/>
  <c r="AU43" i="28"/>
  <c r="I36" i="26"/>
  <c r="AZ48" i="25"/>
  <c r="AY60" i="24"/>
  <c r="AS58" i="28"/>
  <c r="H48" i="26"/>
  <c r="N57" i="28"/>
  <c r="AC52" i="26"/>
  <c r="N59" i="14"/>
  <c r="D46" i="26"/>
  <c r="BA51" i="25"/>
  <c r="AP34" i="28"/>
  <c r="BB37" i="25"/>
  <c r="AC48" i="14"/>
  <c r="AA40" i="14"/>
  <c r="AC51" i="26"/>
  <c r="L43" i="26"/>
  <c r="BB47" i="14"/>
  <c r="L53" i="28"/>
  <c r="AE50" i="27"/>
  <c r="BA53" i="27"/>
  <c r="AG44" i="14"/>
  <c r="S41" i="25"/>
  <c r="BH53" i="27"/>
  <c r="BF60" i="27"/>
  <c r="Z49" i="28"/>
  <c r="AO47" i="25"/>
  <c r="AI39" i="28"/>
  <c r="D43" i="27"/>
  <c r="BC37" i="24"/>
  <c r="T33" i="14"/>
  <c r="M39" i="14"/>
  <c r="BI35" i="25"/>
  <c r="S39" i="14"/>
  <c r="M38" i="25"/>
  <c r="BA35" i="24"/>
  <c r="BG51" i="28"/>
  <c r="BH37" i="26"/>
  <c r="BF41" i="28"/>
  <c r="U43" i="27"/>
  <c r="W46" i="28"/>
  <c r="W44" i="27"/>
  <c r="AL49" i="28"/>
  <c r="V51" i="27"/>
  <c r="BK57" i="25"/>
  <c r="BE46" i="14"/>
  <c r="O59" i="14"/>
  <c r="AQ35" i="24"/>
  <c r="AJ56" i="25"/>
  <c r="K36" i="28"/>
  <c r="BI49" i="28"/>
  <c r="D59" i="14"/>
  <c r="J45" i="28"/>
  <c r="P55" i="14"/>
  <c r="F56" i="27"/>
  <c r="AQ44" i="27"/>
  <c r="AK51" i="28"/>
  <c r="D45" i="25"/>
  <c r="AN49" i="14"/>
  <c r="J49" i="24"/>
  <c r="BB51" i="25"/>
  <c r="BB49" i="27"/>
  <c r="AK34" i="26"/>
  <c r="I33" i="24"/>
  <c r="W41" i="28"/>
  <c r="J42" i="25"/>
  <c r="AK45" i="26"/>
  <c r="G46" i="28"/>
  <c r="B55" i="24"/>
  <c r="C48" i="14"/>
  <c r="AF56" i="24"/>
  <c r="BI59" i="25"/>
  <c r="S56" i="24"/>
  <c r="AI56" i="28"/>
  <c r="BB42" i="14"/>
  <c r="AP39" i="26"/>
  <c r="AA49" i="25"/>
  <c r="E57" i="14"/>
  <c r="AE37" i="24"/>
  <c r="AQ55" i="28"/>
  <c r="I49" i="25"/>
  <c r="AB37" i="28"/>
  <c r="BG34" i="24"/>
  <c r="BB35" i="28"/>
  <c r="BH49" i="14"/>
  <c r="N55" i="24"/>
  <c r="AH58" i="25"/>
  <c r="BJ49" i="27"/>
  <c r="AZ42" i="14"/>
  <c r="AR44" i="14"/>
  <c r="AO41" i="24"/>
  <c r="AQ49" i="24"/>
  <c r="Z41" i="27"/>
  <c r="V36" i="24"/>
  <c r="AO56" i="24"/>
  <c r="AG46" i="28"/>
  <c r="BC47" i="28"/>
  <c r="H59" i="25"/>
  <c r="AZ34" i="27"/>
  <c r="D56" i="14"/>
  <c r="AR37" i="24"/>
  <c r="BE46" i="24"/>
  <c r="D55" i="24"/>
  <c r="AQ40" i="25"/>
  <c r="R47" i="25"/>
  <c r="T45" i="26"/>
  <c r="BD59" i="14"/>
  <c r="AU55" i="26"/>
  <c r="Z56" i="24"/>
  <c r="M40" i="25"/>
  <c r="AO33" i="26"/>
  <c r="AW56" i="27"/>
  <c r="Y58" i="14"/>
  <c r="K57" i="26"/>
  <c r="BK51" i="26"/>
  <c r="E40" i="25"/>
  <c r="P42" i="14"/>
  <c r="AY37" i="27"/>
  <c r="G56" i="14"/>
  <c r="E36" i="27"/>
  <c r="Z60" i="27"/>
  <c r="P48" i="27"/>
  <c r="E38" i="14"/>
  <c r="AJ54" i="25"/>
  <c r="BB54" i="27"/>
  <c r="Q50" i="27"/>
  <c r="C57" i="27"/>
  <c r="B41" i="27"/>
  <c r="AW41" i="27"/>
  <c r="O45" i="25"/>
  <c r="BJ34" i="25"/>
  <c r="Z58" i="25"/>
  <c r="BE47" i="28"/>
  <c r="BE48" i="14"/>
  <c r="F57" i="28"/>
  <c r="AN41" i="24"/>
  <c r="H54" i="25"/>
  <c r="AZ34" i="26"/>
  <c r="R40" i="25"/>
  <c r="AM45" i="24"/>
  <c r="Y37" i="28"/>
  <c r="AH33" i="25"/>
  <c r="AN44" i="14"/>
  <c r="AK52" i="25"/>
  <c r="AF56" i="27"/>
  <c r="BC37" i="27"/>
  <c r="U36" i="26"/>
  <c r="Z34" i="24"/>
  <c r="N43" i="24"/>
  <c r="J37" i="24"/>
  <c r="AS35" i="27"/>
  <c r="O47" i="25"/>
  <c r="AF57" i="25"/>
  <c r="G46" i="27"/>
  <c r="T56" i="27"/>
  <c r="AB41" i="26"/>
  <c r="Z54" i="27"/>
  <c r="BG39" i="26"/>
  <c r="B49" i="25"/>
  <c r="BH36" i="24"/>
  <c r="AB57" i="25"/>
  <c r="AV47" i="14"/>
  <c r="B35" i="27"/>
  <c r="M59" i="26"/>
  <c r="N54" i="28"/>
  <c r="AJ49" i="25"/>
  <c r="BJ59" i="25"/>
  <c r="BA51" i="27"/>
  <c r="AY45" i="25"/>
  <c r="AT43" i="24"/>
  <c r="E35" i="26"/>
  <c r="M38" i="26"/>
  <c r="AT48" i="14"/>
  <c r="N38" i="27"/>
  <c r="AD51" i="26"/>
  <c r="B36" i="14"/>
  <c r="BG51" i="24"/>
  <c r="G59" i="28"/>
  <c r="AY43" i="25"/>
  <c r="AD44" i="24"/>
  <c r="BE59" i="14"/>
  <c r="M43" i="24"/>
  <c r="AE35" i="28"/>
  <c r="BD56" i="24"/>
  <c r="K53" i="26"/>
  <c r="AI39" i="24"/>
  <c r="BG42" i="14"/>
  <c r="L53" i="25"/>
  <c r="AA37" i="28"/>
  <c r="AK36" i="26"/>
  <c r="Q57" i="24"/>
  <c r="P42" i="27"/>
  <c r="V54" i="28"/>
  <c r="AQ46" i="28"/>
  <c r="P41" i="14"/>
  <c r="C54" i="14"/>
  <c r="AR52" i="24"/>
  <c r="BD37" i="25"/>
  <c r="K54" i="24"/>
  <c r="BB57" i="24"/>
  <c r="BF47" i="14"/>
  <c r="AS55" i="27"/>
  <c r="AU39" i="25"/>
  <c r="BJ43" i="14"/>
  <c r="AF52" i="14"/>
  <c r="AL38" i="24"/>
  <c r="AZ59" i="27"/>
  <c r="AT38" i="14"/>
  <c r="N41" i="25"/>
  <c r="I53" i="24"/>
  <c r="Z41" i="14"/>
  <c r="BK41" i="26"/>
  <c r="G43" i="25"/>
  <c r="AO54" i="26"/>
  <c r="L51" i="25"/>
  <c r="AU55" i="24"/>
  <c r="O44" i="27"/>
  <c r="BG43" i="26"/>
  <c r="C53" i="26"/>
  <c r="O52" i="24"/>
  <c r="AQ51" i="24"/>
  <c r="J49" i="27"/>
  <c r="AX52" i="25"/>
  <c r="BH56" i="28"/>
  <c r="G35" i="26"/>
  <c r="F33" i="14"/>
  <c r="AP34" i="26"/>
  <c r="T38" i="14"/>
  <c r="AV39" i="14"/>
  <c r="AQ52" i="24"/>
  <c r="AX34" i="14"/>
  <c r="AG33" i="25"/>
  <c r="O35" i="27"/>
  <c r="AS33" i="26"/>
  <c r="BA45" i="27"/>
  <c r="AB41" i="27"/>
  <c r="J57" i="28"/>
  <c r="P34" i="25"/>
  <c r="C38" i="24"/>
  <c r="BE43" i="14"/>
  <c r="AQ37" i="14"/>
  <c r="Q52" i="25"/>
  <c r="BK33" i="14"/>
  <c r="BE37" i="25"/>
  <c r="AK58" i="27"/>
  <c r="AI59" i="14"/>
  <c r="AV55" i="27"/>
  <c r="BK45" i="27"/>
  <c r="AK47" i="28"/>
  <c r="AK37" i="28"/>
  <c r="BG41" i="26"/>
  <c r="C55" i="14"/>
  <c r="AO57" i="27"/>
  <c r="AY57" i="14"/>
  <c r="BF52" i="24"/>
  <c r="AU57" i="14"/>
  <c r="AK35" i="26"/>
  <c r="AK49" i="24"/>
  <c r="BD57" i="28"/>
  <c r="S57" i="26"/>
  <c r="BB41" i="28"/>
  <c r="Q35" i="27"/>
  <c r="AY42" i="28"/>
  <c r="M49" i="26"/>
  <c r="T60" i="26"/>
  <c r="AS35" i="24"/>
  <c r="Y54" i="26"/>
  <c r="AK43" i="27"/>
  <c r="BB42" i="24"/>
  <c r="AK49" i="14"/>
  <c r="AW56" i="24"/>
  <c r="AU39" i="28"/>
  <c r="AL37" i="24"/>
  <c r="BF51" i="25"/>
  <c r="E40" i="27"/>
  <c r="AL59" i="14"/>
  <c r="D35" i="25"/>
  <c r="AH52" i="26"/>
  <c r="L55" i="28"/>
  <c r="W43" i="25"/>
  <c r="R53" i="26"/>
  <c r="AL49" i="25"/>
  <c r="BI44" i="28"/>
  <c r="T34" i="24"/>
  <c r="K42" i="28"/>
  <c r="AN39" i="28"/>
  <c r="AX60" i="26"/>
  <c r="AO36" i="24"/>
  <c r="AS52" i="27"/>
  <c r="AK44" i="14"/>
  <c r="BJ47" i="26"/>
  <c r="BK52" i="27"/>
  <c r="BJ60" i="26"/>
  <c r="AS35" i="26"/>
  <c r="O34" i="27"/>
  <c r="AK58" i="28"/>
  <c r="T45" i="24"/>
  <c r="B55" i="26"/>
  <c r="AZ43" i="24"/>
  <c r="AB52" i="14"/>
  <c r="AK42" i="25"/>
  <c r="AE33" i="26"/>
  <c r="W35" i="14"/>
  <c r="W53" i="26"/>
  <c r="G45" i="26"/>
  <c r="G60" i="28"/>
  <c r="BE52" i="14"/>
  <c r="BH39" i="26"/>
  <c r="Z46" i="14"/>
  <c r="AO39" i="14"/>
  <c r="W56" i="26"/>
  <c r="BG44" i="27"/>
  <c r="BG40" i="14"/>
  <c r="N59" i="25"/>
  <c r="AY50" i="27"/>
  <c r="S39" i="28"/>
  <c r="AY41" i="26"/>
  <c r="AH59" i="26"/>
  <c r="Y51" i="24"/>
  <c r="AH48" i="14"/>
  <c r="W43" i="26"/>
  <c r="AS40" i="24"/>
  <c r="AW60" i="26"/>
  <c r="BF41" i="27"/>
  <c r="AK44" i="26"/>
  <c r="F37" i="24"/>
  <c r="N44" i="26"/>
  <c r="AQ57" i="25"/>
  <c r="X42" i="14"/>
  <c r="BC50" i="26"/>
  <c r="BG48" i="28"/>
  <c r="AX46" i="27"/>
  <c r="AR39" i="25"/>
  <c r="BD54" i="14"/>
  <c r="AV41" i="25"/>
  <c r="AI47" i="28"/>
  <c r="BI50" i="24"/>
  <c r="AN60" i="14"/>
  <c r="AC47" i="25"/>
  <c r="AQ40" i="14"/>
  <c r="E41" i="27"/>
  <c r="AP42" i="27"/>
  <c r="I47" i="26"/>
  <c r="AB56" i="25"/>
  <c r="D47" i="14"/>
  <c r="AT35" i="28"/>
  <c r="AY33" i="27"/>
  <c r="BJ46" i="25"/>
  <c r="BA41" i="27"/>
  <c r="V51" i="28"/>
  <c r="AP46" i="27"/>
  <c r="AJ47" i="26"/>
  <c r="AT43" i="26"/>
  <c r="L39" i="24"/>
  <c r="BF43" i="26"/>
  <c r="BK52" i="14"/>
  <c r="BG57" i="26"/>
  <c r="AT40" i="28"/>
  <c r="J42" i="27"/>
  <c r="BE52" i="24"/>
  <c r="K60" i="26"/>
  <c r="AI54" i="25"/>
  <c r="AJ51" i="25"/>
  <c r="Z53" i="24"/>
  <c r="AO38" i="14"/>
  <c r="G55" i="28"/>
  <c r="AZ38" i="26"/>
  <c r="BH52" i="27"/>
  <c r="J54" i="26"/>
  <c r="BH46" i="14"/>
  <c r="AL53" i="26"/>
  <c r="AS42" i="26"/>
  <c r="AA47" i="28"/>
  <c r="AC53" i="24"/>
  <c r="E42" i="14"/>
  <c r="BK56" i="14"/>
  <c r="N39" i="25"/>
  <c r="I55" i="24"/>
  <c r="O49" i="28"/>
  <c r="AD39" i="24"/>
  <c r="F41" i="14"/>
  <c r="BI59" i="14"/>
  <c r="AP34" i="14"/>
  <c r="AQ57" i="28"/>
  <c r="X39" i="26"/>
  <c r="W43" i="24"/>
  <c r="AN56" i="26"/>
  <c r="AN36" i="27"/>
  <c r="AS54" i="24"/>
  <c r="AH35" i="24"/>
  <c r="H39" i="25"/>
  <c r="Q58" i="28"/>
  <c r="AF33" i="28"/>
  <c r="AV52" i="27"/>
  <c r="O58" i="14"/>
  <c r="U46" i="26"/>
  <c r="BJ53" i="24"/>
  <c r="AQ50" i="26"/>
  <c r="AM51" i="27"/>
  <c r="U56" i="25"/>
  <c r="AW54" i="24"/>
  <c r="R48" i="26"/>
  <c r="BG43" i="25"/>
  <c r="U43" i="24"/>
  <c r="O44" i="24"/>
  <c r="AZ35" i="28"/>
  <c r="AG35" i="25"/>
  <c r="AQ36" i="24"/>
  <c r="M37" i="25"/>
  <c r="BH41" i="27"/>
  <c r="AA54" i="14"/>
  <c r="AF51" i="28"/>
  <c r="BI44" i="24"/>
  <c r="P45" i="25"/>
  <c r="T45" i="25"/>
  <c r="BB34" i="26"/>
  <c r="AE34" i="24"/>
  <c r="BJ52" i="28"/>
  <c r="AL34" i="27"/>
  <c r="G34" i="27"/>
  <c r="AX40" i="27"/>
  <c r="Y46" i="27"/>
  <c r="D60" i="14"/>
  <c r="BH58" i="24"/>
  <c r="R43" i="27"/>
  <c r="B37" i="27"/>
  <c r="AW49" i="24"/>
  <c r="AI60" i="28"/>
  <c r="Z36" i="28"/>
  <c r="X37" i="28"/>
  <c r="Q48" i="14"/>
  <c r="AC42" i="14"/>
  <c r="J34" i="27"/>
  <c r="BG50" i="24"/>
  <c r="AH57" i="14"/>
  <c r="AD56" i="24"/>
  <c r="Y34" i="28"/>
  <c r="BF52" i="27"/>
  <c r="Y41" i="27"/>
  <c r="AX50" i="24"/>
  <c r="AZ39" i="25"/>
  <c r="J57" i="24"/>
  <c r="AR45" i="26"/>
  <c r="V39" i="24"/>
  <c r="Q60" i="14"/>
  <c r="M41" i="28"/>
  <c r="AU46" i="26"/>
  <c r="BI37" i="24"/>
  <c r="T40" i="24"/>
  <c r="BI35" i="27"/>
  <c r="R41" i="27"/>
  <c r="S60" i="24"/>
  <c r="O38" i="26"/>
  <c r="AG59" i="14"/>
  <c r="BG47" i="26"/>
  <c r="AO41" i="28"/>
  <c r="BC34" i="28"/>
  <c r="Z46" i="26"/>
  <c r="R34" i="24"/>
  <c r="S35" i="28"/>
  <c r="AO51" i="27"/>
  <c r="BI33" i="24"/>
  <c r="AN46" i="24"/>
  <c r="AS41" i="25"/>
  <c r="F50" i="26"/>
  <c r="AB37" i="14"/>
  <c r="G55" i="27"/>
  <c r="Z48" i="25"/>
  <c r="BA34" i="28"/>
  <c r="S53" i="14"/>
  <c r="AA51" i="28"/>
  <c r="H55" i="26"/>
  <c r="AV36" i="28"/>
  <c r="AZ44" i="27"/>
  <c r="BH40" i="26"/>
  <c r="L49" i="26"/>
  <c r="BH42" i="25"/>
  <c r="BA56" i="26"/>
  <c r="AM46" i="28"/>
  <c r="AW56" i="28"/>
  <c r="AX54" i="28"/>
  <c r="AT37" i="28"/>
  <c r="BK38" i="25"/>
  <c r="AL50" i="27"/>
  <c r="AK50" i="24"/>
  <c r="H51" i="14"/>
  <c r="Q57" i="27"/>
  <c r="D53" i="25"/>
  <c r="BC54" i="28"/>
  <c r="AB34" i="26"/>
  <c r="BC54" i="26"/>
  <c r="AB40" i="26"/>
  <c r="BI52" i="24"/>
  <c r="X57" i="24"/>
  <c r="AM58" i="25"/>
  <c r="AR37" i="26"/>
  <c r="C60" i="25"/>
  <c r="AJ38" i="28"/>
  <c r="BF51" i="24"/>
  <c r="E52" i="27"/>
  <c r="AF43" i="27"/>
  <c r="AA59" i="14"/>
  <c r="K42" i="27"/>
  <c r="AA48" i="27"/>
  <c r="AP50" i="26"/>
  <c r="B39" i="14"/>
  <c r="AA46" i="27"/>
  <c r="L58" i="25"/>
  <c r="AB39" i="25"/>
  <c r="N33" i="27"/>
  <c r="AM37" i="28"/>
  <c r="BG47" i="24"/>
  <c r="W45" i="26"/>
  <c r="BK55" i="25"/>
  <c r="H43" i="14"/>
  <c r="AK60" i="25"/>
  <c r="AA57" i="26"/>
  <c r="AQ58" i="28"/>
  <c r="AF60" i="24"/>
  <c r="AB43" i="28"/>
  <c r="H43" i="27"/>
  <c r="E50" i="28"/>
  <c r="AN33" i="27"/>
  <c r="C51" i="25"/>
  <c r="N34" i="25"/>
  <c r="AH40" i="14"/>
  <c r="F40" i="27"/>
  <c r="G43" i="24"/>
  <c r="AG41" i="28"/>
  <c r="U49" i="27"/>
  <c r="AF42" i="26"/>
  <c r="AH50" i="24"/>
  <c r="BE49" i="24"/>
  <c r="AR44" i="25"/>
  <c r="AY58" i="28"/>
  <c r="BA54" i="24"/>
  <c r="BF41" i="26"/>
  <c r="G40" i="27"/>
  <c r="BC59" i="26"/>
  <c r="T52" i="27"/>
  <c r="J35" i="26"/>
  <c r="AV55" i="26"/>
  <c r="AG51" i="25"/>
  <c r="F45" i="14"/>
  <c r="AC37" i="25"/>
  <c r="AP43" i="28"/>
  <c r="AN42" i="27"/>
  <c r="G42" i="24"/>
  <c r="BF39" i="28"/>
  <c r="G56" i="28"/>
  <c r="AE34" i="14"/>
  <c r="J44" i="14"/>
  <c r="AY56" i="25"/>
  <c r="M41" i="27"/>
  <c r="BH45" i="24"/>
  <c r="F57" i="26"/>
  <c r="AM41" i="25"/>
  <c r="AM33" i="28"/>
  <c r="U37" i="14"/>
  <c r="BF49" i="27"/>
  <c r="AB48" i="26"/>
  <c r="BK39" i="25"/>
  <c r="AB38" i="26"/>
  <c r="V39" i="28"/>
  <c r="AJ53" i="26"/>
  <c r="AE59" i="14"/>
  <c r="I37" i="24"/>
  <c r="AT48" i="27"/>
  <c r="BA59" i="28"/>
  <c r="J48" i="24"/>
  <c r="AH52" i="27"/>
  <c r="AL40" i="26"/>
  <c r="AF33" i="27"/>
  <c r="R40" i="24"/>
  <c r="U52" i="25"/>
  <c r="BE55" i="28"/>
  <c r="AA33" i="24"/>
  <c r="Q36" i="28"/>
  <c r="AA35" i="27"/>
  <c r="AT49" i="28"/>
  <c r="BH33" i="28"/>
  <c r="AK43" i="14"/>
  <c r="AG41" i="14"/>
  <c r="AF43" i="14"/>
  <c r="H37" i="28"/>
  <c r="AA41" i="14"/>
  <c r="AU52" i="27"/>
  <c r="C40" i="25"/>
  <c r="Q37" i="14"/>
  <c r="AU36" i="14"/>
  <c r="BK51" i="25"/>
  <c r="C60" i="27"/>
  <c r="AV45" i="25"/>
  <c r="BG51" i="25"/>
  <c r="AF55" i="28"/>
  <c r="P42" i="26"/>
  <c r="AE50" i="26"/>
  <c r="AZ55" i="28"/>
  <c r="AD55" i="26"/>
  <c r="AH36" i="28"/>
  <c r="AE60" i="14"/>
  <c r="F59" i="26"/>
  <c r="BB50" i="27"/>
  <c r="BK40" i="28"/>
  <c r="I56" i="26"/>
  <c r="AV35" i="25"/>
  <c r="AA35" i="24"/>
  <c r="BK57" i="27"/>
  <c r="AX46" i="26"/>
  <c r="BF60" i="24"/>
  <c r="X45" i="24"/>
  <c r="BF36" i="27"/>
  <c r="AG50" i="25"/>
  <c r="BF57" i="27"/>
  <c r="AO46" i="27"/>
  <c r="BH57" i="26"/>
  <c r="AV59" i="26"/>
  <c r="AS39" i="24"/>
  <c r="B45" i="27"/>
  <c r="AB49" i="27"/>
  <c r="AJ45" i="28"/>
  <c r="L60" i="27"/>
  <c r="AR40" i="26"/>
  <c r="J48" i="27"/>
  <c r="AU46" i="28"/>
  <c r="AY48" i="24"/>
  <c r="AY49" i="26"/>
  <c r="BH39" i="24"/>
  <c r="BB33" i="24"/>
  <c r="AM44" i="26"/>
  <c r="AR49" i="14"/>
  <c r="J37" i="26"/>
  <c r="O36" i="14"/>
  <c r="BD54" i="27"/>
  <c r="AQ43" i="25"/>
  <c r="AH49" i="28"/>
  <c r="W35" i="26"/>
  <c r="D41" i="24"/>
  <c r="AY43" i="24"/>
  <c r="C52" i="24"/>
  <c r="BA37" i="25"/>
  <c r="U52" i="14"/>
  <c r="AX47" i="26"/>
  <c r="W57" i="26"/>
  <c r="P57" i="25"/>
  <c r="BC60" i="28"/>
  <c r="H39" i="27"/>
  <c r="H53" i="24"/>
  <c r="E48" i="28"/>
  <c r="J41" i="14"/>
  <c r="AL59" i="27"/>
  <c r="F45" i="25"/>
  <c r="AA55" i="27"/>
  <c r="E60" i="28"/>
  <c r="BC40" i="25"/>
  <c r="I34" i="27"/>
  <c r="AC40" i="26"/>
  <c r="BA33" i="14"/>
  <c r="I47" i="28"/>
  <c r="BK42" i="28"/>
  <c r="R38" i="27"/>
  <c r="AK60" i="24"/>
  <c r="G43" i="28"/>
  <c r="AL47" i="25"/>
  <c r="BE37" i="24"/>
  <c r="F59" i="27"/>
  <c r="AW40" i="28"/>
  <c r="BH42" i="26"/>
  <c r="AF39" i="24"/>
  <c r="W36" i="24"/>
  <c r="AR59" i="26"/>
  <c r="AU58" i="27"/>
  <c r="BK33" i="27"/>
  <c r="Y41" i="28"/>
  <c r="BB57" i="27"/>
  <c r="D33" i="24"/>
  <c r="AB52" i="28"/>
  <c r="BD58" i="24"/>
  <c r="V40" i="25"/>
  <c r="W50" i="24"/>
  <c r="BA59" i="25"/>
  <c r="AP40" i="27"/>
  <c r="H59" i="28"/>
  <c r="AX33" i="25"/>
  <c r="AA60" i="28"/>
  <c r="H35" i="28"/>
  <c r="BH54" i="28"/>
  <c r="AV56" i="28"/>
  <c r="AX47" i="28"/>
  <c r="L52" i="24"/>
  <c r="Q50" i="26"/>
  <c r="AG58" i="27"/>
  <c r="C55" i="25"/>
  <c r="AT38" i="26"/>
  <c r="AX44" i="26"/>
  <c r="P34" i="14"/>
  <c r="AC41" i="26"/>
  <c r="X47" i="26"/>
  <c r="AH35" i="27"/>
  <c r="T43" i="14"/>
  <c r="I40" i="28"/>
  <c r="BK41" i="28"/>
  <c r="AK47" i="24"/>
  <c r="M50" i="26"/>
  <c r="AB36" i="25"/>
  <c r="AT37" i="25"/>
  <c r="AF55" i="25"/>
  <c r="AW52" i="26"/>
  <c r="AI38" i="14"/>
  <c r="AU45" i="14"/>
  <c r="BH33" i="27"/>
  <c r="BK42" i="24"/>
  <c r="W49" i="26"/>
  <c r="AW39" i="26"/>
  <c r="I60" i="25"/>
  <c r="AO40" i="26"/>
  <c r="AJ53" i="25"/>
  <c r="B35" i="25"/>
  <c r="BD46" i="28"/>
  <c r="AP59" i="28"/>
  <c r="E44" i="25"/>
  <c r="AU56" i="25"/>
  <c r="AZ54" i="24"/>
  <c r="U37" i="28"/>
  <c r="E48" i="14"/>
  <c r="G41" i="28"/>
  <c r="AT60" i="28"/>
  <c r="BD42" i="25"/>
  <c r="BF54" i="14"/>
  <c r="P53" i="27"/>
  <c r="AS35" i="25"/>
  <c r="AK46" i="27"/>
  <c r="J49" i="26"/>
  <c r="AX36" i="14"/>
  <c r="BG39" i="24"/>
  <c r="Q35" i="14"/>
  <c r="L52" i="14"/>
  <c r="D39" i="25"/>
  <c r="Q55" i="14"/>
  <c r="AP50" i="27"/>
  <c r="AZ48" i="26"/>
  <c r="BH58" i="27"/>
  <c r="BF33" i="26"/>
  <c r="BB42" i="25"/>
  <c r="AM36" i="14"/>
  <c r="AY47" i="27"/>
  <c r="AZ47" i="24"/>
  <c r="J36" i="27"/>
  <c r="BG59" i="24"/>
  <c r="BH53" i="28"/>
  <c r="J39" i="26"/>
  <c r="T52" i="24"/>
  <c r="AK51" i="14"/>
  <c r="AO36" i="14"/>
  <c r="W46" i="25"/>
  <c r="T55" i="26"/>
  <c r="B49" i="14"/>
  <c r="AN59" i="14"/>
  <c r="AE59" i="25"/>
  <c r="J34" i="28"/>
  <c r="AY46" i="24"/>
  <c r="AM60" i="25"/>
  <c r="AU41" i="28"/>
  <c r="AP57" i="26"/>
  <c r="AO50" i="26"/>
  <c r="AJ49" i="14"/>
  <c r="G50" i="14"/>
  <c r="J36" i="28"/>
  <c r="J57" i="25"/>
  <c r="BD39" i="24"/>
  <c r="BH49" i="27"/>
  <c r="AZ48" i="27"/>
  <c r="AZ42" i="25"/>
  <c r="BB33" i="14"/>
  <c r="H60" i="24"/>
  <c r="AX45" i="25"/>
  <c r="BG43" i="24"/>
  <c r="AC46" i="24"/>
  <c r="AK33" i="27"/>
  <c r="D38" i="25"/>
  <c r="AH49" i="27"/>
  <c r="AH48" i="24"/>
  <c r="AS45" i="27"/>
  <c r="AX56" i="14"/>
  <c r="AP35" i="24"/>
  <c r="BA50" i="24"/>
  <c r="AH59" i="24"/>
  <c r="M59" i="25"/>
  <c r="AG43" i="27"/>
  <c r="AI45" i="26"/>
  <c r="S42" i="28"/>
  <c r="J54" i="14"/>
  <c r="H37" i="26"/>
  <c r="AX50" i="25"/>
  <c r="BF58" i="14"/>
  <c r="S46" i="24"/>
  <c r="BF45" i="25"/>
  <c r="G34" i="14"/>
  <c r="J34" i="26"/>
  <c r="BA53" i="26"/>
  <c r="AV33" i="27"/>
  <c r="AR45" i="27"/>
  <c r="AI35" i="25"/>
  <c r="O43" i="27"/>
  <c r="W51" i="27"/>
  <c r="AC57" i="25"/>
  <c r="Y55" i="14"/>
  <c r="BI46" i="28"/>
  <c r="W42" i="25"/>
  <c r="I36" i="27"/>
  <c r="Y44" i="26"/>
  <c r="U51" i="14"/>
  <c r="S41" i="24"/>
  <c r="P46" i="28"/>
  <c r="AF46" i="25"/>
  <c r="G55" i="25"/>
  <c r="BJ35" i="24"/>
  <c r="AB48" i="24"/>
  <c r="P60" i="26"/>
  <c r="BG56" i="25"/>
  <c r="BA38" i="28"/>
  <c r="AP43" i="26"/>
  <c r="BE41" i="26"/>
  <c r="AT42" i="14"/>
  <c r="AZ53" i="14"/>
  <c r="AA45" i="24"/>
  <c r="F36" i="26"/>
  <c r="AA44" i="28"/>
  <c r="B50" i="26"/>
  <c r="AG48" i="26"/>
  <c r="J59" i="25"/>
  <c r="Q56" i="25"/>
  <c r="J33" i="24"/>
  <c r="AP43" i="25"/>
  <c r="AO60" i="26"/>
  <c r="P60" i="27"/>
  <c r="AK38" i="25"/>
  <c r="X40" i="26"/>
  <c r="V38" i="25"/>
  <c r="N35" i="28"/>
  <c r="AB40" i="28"/>
  <c r="AF56" i="28"/>
  <c r="E60" i="26"/>
  <c r="AJ40" i="25"/>
  <c r="BJ50" i="26"/>
  <c r="AK54" i="26"/>
  <c r="M40" i="14"/>
  <c r="E45" i="28"/>
  <c r="T38" i="25"/>
  <c r="BG39" i="25"/>
  <c r="AF56" i="25"/>
  <c r="B50" i="14"/>
  <c r="AA43" i="14"/>
  <c r="AA34" i="26"/>
  <c r="AK37" i="27"/>
  <c r="L48" i="26"/>
  <c r="AQ51" i="14"/>
  <c r="S54" i="27"/>
  <c r="M52" i="14"/>
  <c r="F38" i="24"/>
  <c r="J36" i="25"/>
  <c r="BB60" i="24"/>
  <c r="AA41" i="25"/>
  <c r="F51" i="24"/>
  <c r="D39" i="26"/>
  <c r="BK60" i="25"/>
  <c r="C60" i="24"/>
  <c r="AP54" i="25"/>
  <c r="W39" i="24"/>
  <c r="AQ51" i="26"/>
  <c r="BD53" i="28"/>
  <c r="U60" i="25"/>
  <c r="G33" i="24"/>
  <c r="M41" i="24"/>
  <c r="G35" i="28"/>
  <c r="Y39" i="28"/>
  <c r="AZ35" i="14"/>
  <c r="W55" i="25"/>
  <c r="G51" i="27"/>
  <c r="AU55" i="28"/>
  <c r="C36" i="27"/>
  <c r="C54" i="27"/>
  <c r="AB54" i="25"/>
  <c r="AI60" i="25"/>
  <c r="AR47" i="27"/>
  <c r="S53" i="25"/>
  <c r="Y59" i="25"/>
  <c r="AW44" i="14"/>
  <c r="AC35" i="27"/>
  <c r="BD56" i="27"/>
  <c r="C45" i="14"/>
  <c r="BJ51" i="26"/>
  <c r="V37" i="27"/>
  <c r="V52" i="28"/>
  <c r="BE44" i="14"/>
  <c r="Q59" i="28"/>
  <c r="AE54" i="28"/>
  <c r="AT56" i="14"/>
  <c r="AI60" i="14"/>
  <c r="AF36" i="27"/>
  <c r="J53" i="14"/>
  <c r="BG35" i="27"/>
  <c r="Q41" i="24"/>
  <c r="AA52" i="24"/>
  <c r="AL37" i="27"/>
  <c r="G56" i="24"/>
  <c r="AH55" i="27"/>
  <c r="AB43" i="25"/>
  <c r="AA54" i="25"/>
  <c r="BJ39" i="27"/>
  <c r="E50" i="27"/>
  <c r="AA42" i="28"/>
  <c r="C42" i="25"/>
  <c r="BJ37" i="26"/>
  <c r="J39" i="28"/>
  <c r="AF35" i="25"/>
  <c r="W47" i="25"/>
  <c r="BE34" i="28"/>
  <c r="Z60" i="26"/>
  <c r="AV49" i="14"/>
  <c r="BI55" i="24"/>
  <c r="BI51" i="24"/>
  <c r="BI40" i="24"/>
  <c r="E56" i="14"/>
  <c r="AN42" i="28"/>
  <c r="AT33" i="24"/>
  <c r="T54" i="25"/>
  <c r="P56" i="24"/>
  <c r="P50" i="14"/>
  <c r="R40" i="26"/>
  <c r="AP54" i="26"/>
  <c r="K52" i="14"/>
  <c r="N37" i="25"/>
  <c r="AQ38" i="27"/>
  <c r="AX42" i="28"/>
  <c r="AA54" i="26"/>
  <c r="BK57" i="24"/>
  <c r="AJ45" i="27"/>
  <c r="BA60" i="27"/>
  <c r="AV34" i="24"/>
  <c r="AR59" i="27"/>
  <c r="G58" i="24"/>
  <c r="T39" i="26"/>
  <c r="D58" i="25"/>
  <c r="BE45" i="27"/>
  <c r="AT41" i="28"/>
  <c r="D36" i="25"/>
  <c r="Z33" i="26"/>
  <c r="AV40" i="14"/>
  <c r="AO40" i="25"/>
  <c r="AH47" i="25"/>
  <c r="AR36" i="26"/>
  <c r="BB36" i="26"/>
  <c r="AY43" i="28"/>
  <c r="AS36" i="24"/>
  <c r="AY44" i="14"/>
  <c r="AH60" i="24"/>
  <c r="AZ54" i="27"/>
  <c r="AI49" i="24"/>
  <c r="AW58" i="14"/>
  <c r="AU50" i="25"/>
  <c r="AE48" i="28"/>
  <c r="AG39" i="27"/>
  <c r="AY50" i="14"/>
  <c r="BC56" i="27"/>
  <c r="C50" i="24"/>
  <c r="AF33" i="26"/>
  <c r="AH39" i="14"/>
  <c r="AK51" i="26"/>
  <c r="D49" i="28"/>
  <c r="C46" i="25"/>
  <c r="BJ43" i="26"/>
  <c r="B52" i="26"/>
  <c r="Q56" i="26"/>
  <c r="AO37" i="25"/>
  <c r="Q51" i="28"/>
  <c r="C59" i="24"/>
  <c r="AG33" i="27"/>
  <c r="H41" i="14"/>
  <c r="BE36" i="26"/>
  <c r="G40" i="28"/>
  <c r="AS49" i="26"/>
  <c r="AW56" i="14"/>
  <c r="AJ48" i="28"/>
  <c r="F54" i="26"/>
  <c r="N49" i="24"/>
  <c r="AZ46" i="27"/>
  <c r="AM35" i="27"/>
  <c r="S50" i="25"/>
  <c r="N55" i="14"/>
  <c r="AL54" i="28"/>
  <c r="S38" i="27"/>
  <c r="D54" i="25"/>
  <c r="K34" i="24"/>
  <c r="L36" i="27"/>
  <c r="J46" i="27"/>
  <c r="AY52" i="27"/>
  <c r="J38" i="26"/>
  <c r="C58" i="14"/>
  <c r="AE49" i="24"/>
  <c r="AY49" i="14"/>
  <c r="AX49" i="26"/>
  <c r="H53" i="14"/>
  <c r="S53" i="27"/>
  <c r="M42" i="26"/>
  <c r="F51" i="26"/>
  <c r="I58" i="25"/>
  <c r="AO33" i="28"/>
  <c r="AE59" i="27"/>
  <c r="F51" i="27"/>
  <c r="G35" i="25"/>
  <c r="AG50" i="27"/>
  <c r="X58" i="26"/>
  <c r="AV56" i="25"/>
  <c r="BI35" i="28"/>
  <c r="F48" i="27"/>
  <c r="R59" i="24"/>
  <c r="R52" i="27"/>
  <c r="B41" i="26"/>
  <c r="AA36" i="24"/>
  <c r="S52" i="28"/>
  <c r="N46" i="24"/>
  <c r="AO34" i="25"/>
  <c r="C34" i="28"/>
  <c r="AF52" i="27"/>
  <c r="BC53" i="28"/>
  <c r="AO45" i="27"/>
  <c r="AO36" i="28"/>
  <c r="Q37" i="27"/>
  <c r="AN40" i="25"/>
  <c r="D58" i="28"/>
  <c r="AZ50" i="27"/>
  <c r="AF43" i="24"/>
  <c r="AF53" i="27"/>
  <c r="AN43" i="25"/>
  <c r="Z58" i="14"/>
  <c r="V46" i="24"/>
  <c r="BJ46" i="27"/>
  <c r="R48" i="27"/>
  <c r="N45" i="26"/>
  <c r="BI52" i="25"/>
  <c r="BE39" i="26"/>
  <c r="B59" i="26"/>
  <c r="S33" i="26"/>
  <c r="BB40" i="24"/>
  <c r="Q59" i="27"/>
  <c r="V59" i="28"/>
  <c r="AK45" i="25"/>
  <c r="AX33" i="27"/>
  <c r="AB55" i="27"/>
  <c r="W58" i="27"/>
  <c r="F58" i="24"/>
  <c r="AH41" i="25"/>
  <c r="BF39" i="24"/>
  <c r="AN43" i="27"/>
  <c r="R54" i="26"/>
  <c r="AA53" i="24"/>
  <c r="BD49" i="27"/>
  <c r="F48" i="28"/>
  <c r="AW58" i="24"/>
  <c r="AC45" i="24"/>
  <c r="AZ59" i="24"/>
  <c r="Q58" i="26"/>
  <c r="AL44" i="26"/>
  <c r="AX40" i="24"/>
  <c r="E44" i="28"/>
  <c r="AS59" i="27"/>
  <c r="W33" i="27"/>
  <c r="AU58" i="26"/>
  <c r="AM42" i="27"/>
  <c r="Z57" i="14"/>
  <c r="AK59" i="24"/>
  <c r="AF54" i="26"/>
  <c r="U53" i="28"/>
  <c r="BK49" i="25"/>
  <c r="X43" i="25"/>
  <c r="BJ50" i="25"/>
  <c r="BA50" i="25"/>
  <c r="AQ40" i="27"/>
  <c r="AL51" i="25"/>
  <c r="BJ56" i="14"/>
  <c r="W41" i="25"/>
  <c r="AA56" i="28"/>
  <c r="AC53" i="14"/>
  <c r="G38" i="27"/>
  <c r="F53" i="24"/>
  <c r="AR55" i="28"/>
  <c r="AV33" i="14"/>
  <c r="BD40" i="25"/>
  <c r="J34" i="24"/>
  <c r="BA48" i="28"/>
  <c r="BI46" i="27"/>
  <c r="E39" i="14"/>
  <c r="T56" i="28"/>
  <c r="Y53" i="28"/>
  <c r="AU38" i="28"/>
  <c r="BH35" i="27"/>
  <c r="AY57" i="24"/>
  <c r="M33" i="14"/>
  <c r="BH52" i="24"/>
  <c r="P45" i="26"/>
  <c r="M56" i="25"/>
  <c r="AB43" i="26"/>
  <c r="AV45" i="24"/>
  <c r="AI59" i="24"/>
  <c r="X51" i="28"/>
  <c r="AO48" i="26"/>
  <c r="AM56" i="28"/>
  <c r="AM38" i="27"/>
  <c r="BH37" i="14"/>
  <c r="BD44" i="25"/>
  <c r="AU51" i="25"/>
  <c r="X60" i="26"/>
  <c r="AM56" i="14"/>
  <c r="AK53" i="27"/>
  <c r="AK40" i="25"/>
  <c r="F36" i="14"/>
  <c r="B38" i="27"/>
  <c r="G41" i="24"/>
  <c r="C53" i="27"/>
  <c r="O56" i="25"/>
  <c r="H40" i="27"/>
  <c r="BG39" i="14"/>
  <c r="AR59" i="28"/>
  <c r="AW53" i="26"/>
  <c r="W44" i="25"/>
  <c r="BF54" i="28"/>
  <c r="J51" i="26"/>
  <c r="M58" i="26"/>
  <c r="BH49" i="25"/>
  <c r="X55" i="27"/>
  <c r="N53" i="14"/>
  <c r="H35" i="27"/>
  <c r="X50" i="24"/>
  <c r="AI55" i="24"/>
  <c r="BH50" i="26"/>
  <c r="T57" i="24"/>
  <c r="AD35" i="26"/>
  <c r="AS56" i="26"/>
  <c r="X45" i="26"/>
  <c r="X40" i="28"/>
  <c r="AE51" i="26"/>
  <c r="AA55" i="25"/>
  <c r="AL59" i="26"/>
  <c r="E57" i="25"/>
  <c r="B38" i="26"/>
  <c r="S43" i="25"/>
  <c r="S41" i="26"/>
  <c r="BJ57" i="25"/>
  <c r="H42" i="28"/>
  <c r="AD41" i="28"/>
  <c r="BC52" i="27"/>
  <c r="AJ55" i="26"/>
  <c r="R46" i="26"/>
  <c r="AA37" i="27"/>
  <c r="D50" i="28"/>
  <c r="BC55" i="24"/>
  <c r="BJ59" i="14"/>
  <c r="BG55" i="27"/>
  <c r="H42" i="14"/>
  <c r="E45" i="25"/>
  <c r="AD45" i="24"/>
  <c r="M58" i="14"/>
  <c r="J47" i="14"/>
  <c r="E38" i="25"/>
  <c r="G37" i="28"/>
  <c r="H59" i="14"/>
  <c r="BE60" i="27"/>
  <c r="AA42" i="26"/>
  <c r="AR35" i="26"/>
  <c r="AJ54" i="24"/>
  <c r="C50" i="28"/>
  <c r="AL47" i="24"/>
  <c r="AC43" i="14"/>
  <c r="P57" i="14"/>
  <c r="AC38" i="25"/>
  <c r="AL34" i="28"/>
  <c r="AS37" i="25"/>
  <c r="Y36" i="28"/>
  <c r="AJ35" i="24"/>
  <c r="Z55" i="25"/>
  <c r="BI53" i="26"/>
  <c r="H54" i="28"/>
  <c r="AG37" i="25"/>
  <c r="BI39" i="26"/>
  <c r="N45" i="28"/>
  <c r="O33" i="24"/>
  <c r="D44" i="28"/>
  <c r="O41" i="14"/>
  <c r="AA52" i="27"/>
  <c r="Y54" i="24"/>
  <c r="BE49" i="14"/>
  <c r="AW57" i="28"/>
  <c r="S49" i="24"/>
  <c r="BB42" i="26"/>
  <c r="I40" i="26"/>
  <c r="R37" i="28"/>
  <c r="AD60" i="25"/>
  <c r="AP44" i="28"/>
  <c r="E49" i="25"/>
  <c r="BJ48" i="26"/>
  <c r="Z42" i="27"/>
  <c r="AZ43" i="28"/>
  <c r="AZ43" i="26"/>
  <c r="X53" i="28"/>
  <c r="Q40" i="14"/>
  <c r="H39" i="28"/>
  <c r="E57" i="26"/>
  <c r="BE53" i="25"/>
  <c r="BI58" i="28"/>
  <c r="AN52" i="24"/>
  <c r="F35" i="25"/>
  <c r="P55" i="24"/>
  <c r="AU37" i="25"/>
  <c r="J33" i="26"/>
  <c r="M41" i="26"/>
  <c r="AT40" i="25"/>
  <c r="Q36" i="14"/>
  <c r="S47" i="24"/>
  <c r="D50" i="24"/>
  <c r="AI42" i="26"/>
  <c r="Z44" i="25"/>
  <c r="AX48" i="28"/>
  <c r="F47" i="24"/>
  <c r="BH39" i="25"/>
  <c r="K45" i="24"/>
  <c r="L55" i="26"/>
  <c r="AZ51" i="24"/>
  <c r="BA58" i="26"/>
  <c r="H46" i="24"/>
  <c r="AX41" i="24"/>
  <c r="AZ55" i="14"/>
  <c r="AR42" i="14"/>
  <c r="AR60" i="26"/>
  <c r="D46" i="24"/>
  <c r="AE52" i="26"/>
  <c r="BC36" i="14"/>
  <c r="AX59" i="27"/>
  <c r="N39" i="27"/>
  <c r="AJ33" i="28"/>
  <c r="U38" i="28"/>
  <c r="AK48" i="25"/>
  <c r="AN40" i="14"/>
  <c r="AS50" i="25"/>
  <c r="Q57" i="14"/>
  <c r="BA43" i="24"/>
  <c r="Q34" i="25"/>
  <c r="AD52" i="28"/>
  <c r="AV43" i="14"/>
  <c r="AY41" i="27"/>
  <c r="D57" i="24"/>
  <c r="BD51" i="27"/>
  <c r="D37" i="14"/>
  <c r="BD46" i="14"/>
  <c r="AY38" i="14"/>
  <c r="AO56" i="28"/>
  <c r="Q45" i="24"/>
  <c r="Y49" i="24"/>
  <c r="Z41" i="24"/>
  <c r="W41" i="27"/>
  <c r="V48" i="14"/>
  <c r="AX44" i="28"/>
  <c r="W44" i="26"/>
  <c r="O54" i="14"/>
  <c r="P50" i="24"/>
  <c r="BG37" i="27"/>
  <c r="BJ49" i="26"/>
  <c r="AO34" i="27"/>
  <c r="AE43" i="26"/>
  <c r="R51" i="28"/>
  <c r="AX41" i="14"/>
  <c r="BJ56" i="27"/>
  <c r="H33" i="27"/>
  <c r="B40" i="24"/>
  <c r="AY58" i="25"/>
  <c r="I57" i="14"/>
  <c r="AW46" i="14"/>
  <c r="H56" i="24"/>
  <c r="AC60" i="24"/>
  <c r="AF48" i="28"/>
  <c r="AB50" i="28"/>
  <c r="BG33" i="28"/>
  <c r="AG59" i="26"/>
  <c r="BD37" i="24"/>
  <c r="AI39" i="26"/>
  <c r="K43" i="28"/>
  <c r="BK48" i="27"/>
  <c r="M42" i="27"/>
  <c r="F58" i="25"/>
  <c r="AB45" i="26"/>
  <c r="O44" i="28"/>
  <c r="AL56" i="28"/>
  <c r="AC48" i="26"/>
  <c r="AY39" i="26"/>
  <c r="O46" i="26"/>
  <c r="AT46" i="25"/>
  <c r="AI38" i="26"/>
  <c r="AS42" i="14"/>
  <c r="P40" i="28"/>
  <c r="AA51" i="24"/>
  <c r="AZ34" i="14"/>
  <c r="AD50" i="26"/>
  <c r="AG39" i="28"/>
  <c r="BI42" i="27"/>
  <c r="AR59" i="24"/>
  <c r="BE44" i="25"/>
  <c r="I42" i="25"/>
  <c r="E38" i="24"/>
  <c r="G49" i="28"/>
  <c r="AA39" i="28"/>
  <c r="U34" i="24"/>
  <c r="BJ58" i="27"/>
  <c r="W58" i="14"/>
  <c r="AO37" i="27"/>
  <c r="H59" i="26"/>
  <c r="Q58" i="14"/>
  <c r="K40" i="14"/>
  <c r="M51" i="25"/>
  <c r="AH57" i="26"/>
  <c r="S46" i="14"/>
  <c r="BA33" i="28"/>
  <c r="AR54" i="14"/>
  <c r="BI58" i="27"/>
  <c r="AH45" i="24"/>
  <c r="W59" i="25"/>
  <c r="BD51" i="24"/>
  <c r="S37" i="26"/>
  <c r="AM43" i="14"/>
  <c r="AG45" i="14"/>
  <c r="AI33" i="27"/>
  <c r="D60" i="25"/>
  <c r="T57" i="28"/>
  <c r="BH34" i="26"/>
  <c r="BD44" i="14"/>
  <c r="J41" i="26"/>
  <c r="G58" i="26"/>
  <c r="Z51" i="25"/>
  <c r="BA46" i="24"/>
  <c r="AQ48" i="14"/>
  <c r="T52" i="26"/>
  <c r="AE46" i="26"/>
  <c r="Z54" i="25"/>
  <c r="AB45" i="14"/>
  <c r="AU42" i="25"/>
  <c r="AY33" i="14"/>
  <c r="AW54" i="25"/>
  <c r="AG59" i="28"/>
  <c r="AN42" i="25"/>
  <c r="B35" i="14"/>
  <c r="AS39" i="28"/>
  <c r="BK60" i="26"/>
  <c r="BG35" i="26"/>
  <c r="BD49" i="28"/>
  <c r="D34" i="27"/>
  <c r="W33" i="24"/>
  <c r="L54" i="28"/>
  <c r="BD41" i="24"/>
  <c r="T52" i="25"/>
  <c r="E43" i="24"/>
  <c r="BD38" i="27"/>
  <c r="H36" i="27"/>
  <c r="P40" i="25"/>
  <c r="AW48" i="14"/>
  <c r="F60" i="14"/>
  <c r="AE33" i="24"/>
  <c r="T46" i="26"/>
  <c r="BG36" i="26"/>
  <c r="BH54" i="26"/>
  <c r="R46" i="27"/>
  <c r="O57" i="25"/>
  <c r="Y39" i="14"/>
  <c r="Y46" i="28"/>
  <c r="C47" i="27"/>
  <c r="K49" i="14"/>
  <c r="B39" i="26"/>
  <c r="AP39" i="27"/>
  <c r="X42" i="27"/>
  <c r="AH37" i="26"/>
  <c r="W38" i="26"/>
  <c r="BE58" i="26"/>
  <c r="F34" i="24"/>
  <c r="AH54" i="14"/>
  <c r="AM41" i="24"/>
  <c r="AC34" i="28"/>
  <c r="AX48" i="26"/>
  <c r="AB50" i="26"/>
  <c r="BJ54" i="26"/>
  <c r="I42" i="26"/>
  <c r="AG49" i="26"/>
  <c r="AN53" i="27"/>
  <c r="B33" i="27"/>
  <c r="N44" i="25"/>
  <c r="AH38" i="14"/>
  <c r="Z39" i="27"/>
  <c r="AX33" i="24"/>
  <c r="AO41" i="25"/>
  <c r="R35" i="14"/>
  <c r="BE45" i="25"/>
  <c r="AF53" i="14"/>
  <c r="AR44" i="28"/>
  <c r="BI56" i="24"/>
  <c r="BF59" i="24"/>
  <c r="AQ52" i="26"/>
  <c r="F54" i="14"/>
  <c r="K56" i="27"/>
  <c r="AO46" i="28"/>
  <c r="AJ51" i="26"/>
  <c r="K36" i="26"/>
  <c r="BB60" i="14"/>
  <c r="BH38" i="26"/>
  <c r="AP42" i="25"/>
  <c r="T36" i="14"/>
  <c r="BA57" i="25"/>
  <c r="BA49" i="25"/>
  <c r="AY55" i="24"/>
  <c r="AX54" i="14"/>
  <c r="C49" i="24"/>
  <c r="AK36" i="27"/>
  <c r="I35" i="28"/>
  <c r="R44" i="26"/>
  <c r="AJ53" i="24"/>
  <c r="AX40" i="25"/>
  <c r="AE47" i="26"/>
  <c r="BJ35" i="14"/>
  <c r="BG33" i="24"/>
  <c r="AL41" i="26"/>
  <c r="AW39" i="28"/>
  <c r="AZ41" i="25"/>
  <c r="BB44" i="28"/>
  <c r="BK55" i="27"/>
  <c r="AP60" i="26"/>
  <c r="AW58" i="25"/>
  <c r="I50" i="28"/>
  <c r="T53" i="26"/>
  <c r="BB50" i="28"/>
  <c r="AY50" i="26"/>
  <c r="B42" i="25"/>
  <c r="AN43" i="26"/>
  <c r="P35" i="27"/>
  <c r="AB48" i="28"/>
  <c r="AJ54" i="27"/>
  <c r="BD48" i="24"/>
  <c r="BA46" i="26"/>
  <c r="H48" i="14"/>
  <c r="P40" i="24"/>
  <c r="AV53" i="27"/>
  <c r="AD47" i="24"/>
  <c r="AK35" i="25"/>
  <c r="BI41" i="25"/>
  <c r="AY41" i="14"/>
  <c r="V53" i="28"/>
  <c r="AJ52" i="14"/>
  <c r="AV38" i="27"/>
  <c r="X58" i="24"/>
  <c r="Y56" i="26"/>
  <c r="BA33" i="27"/>
  <c r="Y35" i="24"/>
  <c r="AE57" i="24"/>
  <c r="AU59" i="14"/>
  <c r="U46" i="27"/>
  <c r="AD41" i="26"/>
  <c r="P33" i="26"/>
  <c r="C39" i="28"/>
  <c r="AJ56" i="24"/>
  <c r="AR51" i="27"/>
  <c r="AM39" i="24"/>
  <c r="AL49" i="14"/>
  <c r="N39" i="14"/>
  <c r="J54" i="24"/>
  <c r="AS41" i="14"/>
  <c r="K33" i="26"/>
  <c r="BH55" i="27"/>
  <c r="E53" i="27"/>
  <c r="W59" i="28"/>
  <c r="M48" i="14"/>
  <c r="AR50" i="26"/>
  <c r="AQ49" i="27"/>
  <c r="B46" i="28"/>
  <c r="P48" i="25"/>
  <c r="AR52" i="27"/>
  <c r="I51" i="25"/>
  <c r="Z41" i="28"/>
  <c r="AK37" i="26"/>
  <c r="AI41" i="26"/>
  <c r="U42" i="14"/>
  <c r="BF41" i="24"/>
  <c r="BH50" i="27"/>
  <c r="AU50" i="28"/>
  <c r="D49" i="25"/>
  <c r="T47" i="14"/>
  <c r="K33" i="14"/>
  <c r="AR45" i="25"/>
  <c r="E34" i="14"/>
  <c r="Z42" i="25"/>
  <c r="BD49" i="24"/>
  <c r="AT59" i="14"/>
  <c r="AZ52" i="25"/>
  <c r="K52" i="25"/>
  <c r="BE49" i="28"/>
  <c r="AW36" i="14"/>
  <c r="AS55" i="24"/>
  <c r="Y57" i="14"/>
  <c r="AJ34" i="26"/>
  <c r="I33" i="27"/>
  <c r="F36" i="24"/>
  <c r="BC56" i="26"/>
  <c r="P51" i="14"/>
  <c r="BK49" i="14"/>
  <c r="BD48" i="14"/>
  <c r="G54" i="28"/>
  <c r="F48" i="26"/>
  <c r="BG35" i="25"/>
  <c r="J42" i="24"/>
  <c r="I57" i="24"/>
  <c r="AL57" i="28"/>
  <c r="L58" i="26"/>
  <c r="D50" i="14"/>
  <c r="AQ45" i="14"/>
  <c r="V36" i="25"/>
  <c r="B35" i="24"/>
  <c r="AT35" i="27"/>
  <c r="P43" i="28"/>
  <c r="B58" i="27"/>
  <c r="BK33" i="24"/>
  <c r="B37" i="26"/>
  <c r="V59" i="26"/>
  <c r="AS54" i="26"/>
  <c r="AD43" i="28"/>
  <c r="Q38" i="14"/>
  <c r="BI59" i="24"/>
  <c r="BC47" i="27"/>
  <c r="BD57" i="25"/>
  <c r="BF49" i="25"/>
  <c r="AH43" i="14"/>
  <c r="V36" i="14"/>
  <c r="AG33" i="24"/>
  <c r="AV34" i="25"/>
  <c r="AM44" i="25"/>
  <c r="AK37" i="25"/>
  <c r="D37" i="25"/>
  <c r="BA47" i="28"/>
  <c r="AH51" i="14"/>
  <c r="I56" i="24"/>
  <c r="AV36" i="14"/>
  <c r="AZ53" i="25"/>
  <c r="AG35" i="28"/>
  <c r="K41" i="26"/>
  <c r="AQ56" i="27"/>
  <c r="N43" i="14"/>
  <c r="BB56" i="28"/>
  <c r="AT37" i="24"/>
  <c r="H52" i="14"/>
  <c r="W54" i="28"/>
  <c r="Y50" i="25"/>
  <c r="W59" i="14"/>
  <c r="F37" i="14"/>
  <c r="AF57" i="27"/>
  <c r="Q46" i="26"/>
  <c r="AW51" i="24"/>
  <c r="W51" i="24"/>
  <c r="U47" i="28"/>
  <c r="C38" i="28"/>
  <c r="AM47" i="25"/>
  <c r="G45" i="25"/>
  <c r="Q37" i="28"/>
  <c r="AP37" i="26"/>
  <c r="BC33" i="25"/>
  <c r="AH38" i="24"/>
  <c r="AK39" i="28"/>
  <c r="O36" i="25"/>
  <c r="BK34" i="14"/>
  <c r="U55" i="28"/>
  <c r="J45" i="24"/>
  <c r="M48" i="28"/>
  <c r="AC54" i="28"/>
  <c r="G39" i="24"/>
  <c r="Z50" i="24"/>
  <c r="AJ49" i="28"/>
  <c r="AG54" i="26"/>
  <c r="AM37" i="14"/>
  <c r="AM49" i="24"/>
  <c r="Z38" i="26"/>
  <c r="AH51" i="24"/>
  <c r="P44" i="24"/>
  <c r="BH34" i="24"/>
  <c r="AV34" i="14"/>
  <c r="X41" i="27"/>
  <c r="V47" i="25"/>
  <c r="AU40" i="26"/>
  <c r="H57" i="24"/>
  <c r="C51" i="28"/>
  <c r="X37" i="27"/>
  <c r="AW47" i="28"/>
  <c r="L34" i="14"/>
  <c r="AR41" i="25"/>
  <c r="BB38" i="25"/>
  <c r="AL45" i="28"/>
  <c r="BH37" i="28"/>
  <c r="BF49" i="26"/>
  <c r="AQ53" i="25"/>
  <c r="BB59" i="28"/>
  <c r="BE54" i="14"/>
  <c r="AU37" i="28"/>
  <c r="I41" i="14"/>
  <c r="AC53" i="25"/>
  <c r="AK33" i="28"/>
  <c r="AP59" i="14"/>
  <c r="AA43" i="24"/>
  <c r="X41" i="26"/>
  <c r="AE38" i="24"/>
  <c r="S40" i="25"/>
  <c r="Q47" i="26"/>
  <c r="AR58" i="14"/>
  <c r="C33" i="24"/>
  <c r="AG53" i="27"/>
  <c r="AB46" i="28"/>
  <c r="R40" i="28"/>
  <c r="T43" i="28"/>
  <c r="BG60" i="27"/>
  <c r="Y48" i="24"/>
  <c r="AF47" i="28"/>
  <c r="AK41" i="14"/>
  <c r="AN43" i="24"/>
  <c r="B40" i="14"/>
  <c r="AV48" i="27"/>
  <c r="AH60" i="28"/>
  <c r="Q44" i="25"/>
  <c r="AV57" i="25"/>
  <c r="AL45" i="25"/>
  <c r="R38" i="24"/>
  <c r="AR36" i="14"/>
  <c r="M43" i="27"/>
  <c r="AD37" i="14"/>
  <c r="R58" i="28"/>
  <c r="Y43" i="27"/>
  <c r="R46" i="14"/>
  <c r="AP58" i="25"/>
  <c r="BB44" i="25"/>
  <c r="AU47" i="25"/>
  <c r="AS49" i="25"/>
  <c r="E38" i="26"/>
  <c r="AS56" i="27"/>
  <c r="BC55" i="27"/>
  <c r="AR53" i="26"/>
  <c r="U36" i="14"/>
  <c r="L51" i="27"/>
  <c r="BE59" i="26"/>
  <c r="U56" i="28"/>
  <c r="AB48" i="25"/>
  <c r="AL39" i="24"/>
  <c r="F33" i="25"/>
  <c r="AG43" i="26"/>
  <c r="X58" i="25"/>
  <c r="AQ55" i="26"/>
  <c r="AA56" i="27"/>
  <c r="AH52" i="24"/>
  <c r="AS49" i="14"/>
  <c r="BB43" i="25"/>
  <c r="AM50" i="27"/>
  <c r="AF57" i="28"/>
  <c r="AJ55" i="25"/>
  <c r="AG34" i="25"/>
  <c r="AJ43" i="14"/>
  <c r="O52" i="27"/>
  <c r="G51" i="25"/>
  <c r="AL40" i="25"/>
  <c r="AD42" i="14"/>
  <c r="J33" i="25"/>
  <c r="N38" i="28"/>
  <c r="L51" i="14"/>
  <c r="AN35" i="26"/>
  <c r="AC54" i="25"/>
  <c r="AL44" i="27"/>
  <c r="AM50" i="26"/>
  <c r="X38" i="25"/>
  <c r="AX35" i="27"/>
  <c r="BB47" i="28"/>
  <c r="W38" i="24"/>
  <c r="J53" i="26"/>
  <c r="AA47" i="25"/>
  <c r="H44" i="14"/>
  <c r="T40" i="26"/>
  <c r="AG58" i="26"/>
  <c r="AW44" i="25"/>
  <c r="AT57" i="24"/>
  <c r="Q52" i="27"/>
  <c r="S35" i="14"/>
  <c r="AJ42" i="26"/>
  <c r="BJ40" i="28"/>
  <c r="AT49" i="25"/>
  <c r="BG36" i="24"/>
  <c r="E57" i="28"/>
  <c r="AT51" i="26"/>
  <c r="AW58" i="26"/>
  <c r="B49" i="26"/>
  <c r="AN35" i="14"/>
  <c r="P52" i="27"/>
  <c r="Q43" i="28"/>
  <c r="K57" i="14"/>
  <c r="X33" i="25"/>
  <c r="U36" i="28"/>
  <c r="W54" i="26"/>
  <c r="BB55" i="26"/>
  <c r="T33" i="28"/>
  <c r="AC45" i="27"/>
  <c r="Z52" i="28"/>
  <c r="AN46" i="28"/>
  <c r="BC42" i="24"/>
  <c r="AS46" i="26"/>
  <c r="AD49" i="24"/>
  <c r="AE53" i="26"/>
  <c r="AJ44" i="25"/>
  <c r="AP33" i="27"/>
  <c r="AS58" i="27"/>
  <c r="BI37" i="14"/>
  <c r="AI36" i="27"/>
  <c r="BE38" i="24"/>
  <c r="F40" i="14"/>
  <c r="H44" i="27"/>
  <c r="AZ35" i="25"/>
  <c r="AA36" i="26"/>
  <c r="O37" i="27"/>
  <c r="T41" i="27"/>
  <c r="BF59" i="28"/>
  <c r="BB45" i="26"/>
  <c r="BH48" i="24"/>
  <c r="I48" i="26"/>
  <c r="T34" i="26"/>
  <c r="AL57" i="24"/>
  <c r="BH35" i="14"/>
  <c r="AS43" i="28"/>
  <c r="BH33" i="14"/>
  <c r="AW38" i="26"/>
  <c r="Y35" i="25"/>
  <c r="J47" i="27"/>
  <c r="AL54" i="25"/>
  <c r="BB50" i="24"/>
  <c r="B39" i="24"/>
  <c r="O59" i="27"/>
  <c r="AM43" i="28"/>
  <c r="AI53" i="26"/>
  <c r="T42" i="25"/>
  <c r="AX58" i="27"/>
  <c r="T36" i="25"/>
  <c r="AK39" i="26"/>
  <c r="U44" i="27"/>
  <c r="U35" i="25"/>
  <c r="AD50" i="14"/>
  <c r="BI57" i="27"/>
  <c r="H56" i="27"/>
  <c r="O54" i="27"/>
  <c r="BJ45" i="14"/>
  <c r="AU41" i="14"/>
  <c r="AH35" i="25"/>
  <c r="N54" i="27"/>
  <c r="C38" i="25"/>
  <c r="J46" i="28"/>
  <c r="BC41" i="14"/>
  <c r="BA55" i="25"/>
  <c r="BG56" i="27"/>
  <c r="BK36" i="28"/>
  <c r="AW42" i="28"/>
  <c r="AR59" i="25"/>
  <c r="D47" i="26"/>
  <c r="X60" i="14"/>
  <c r="AE53" i="14"/>
  <c r="BE50" i="26"/>
  <c r="B50" i="28"/>
  <c r="AL33" i="25"/>
  <c r="T53" i="24"/>
  <c r="AS36" i="28"/>
  <c r="BE37" i="27"/>
  <c r="J52" i="24"/>
  <c r="AY52" i="28"/>
  <c r="U55" i="26"/>
  <c r="AJ38" i="27"/>
  <c r="AY41" i="25"/>
  <c r="AE55" i="26"/>
  <c r="X47" i="25"/>
  <c r="I48" i="24"/>
  <c r="B47" i="26"/>
  <c r="BK53" i="25"/>
  <c r="AF51" i="26"/>
  <c r="BA53" i="28"/>
  <c r="AF33" i="25"/>
  <c r="M34" i="27"/>
  <c r="AO56" i="14"/>
  <c r="BH47" i="24"/>
  <c r="BI55" i="26"/>
  <c r="AW56" i="25"/>
  <c r="AO58" i="28"/>
  <c r="L60" i="24"/>
  <c r="BJ41" i="25"/>
  <c r="I47" i="25"/>
  <c r="BE50" i="14"/>
  <c r="S46" i="25"/>
  <c r="AN40" i="28"/>
  <c r="BC51" i="25"/>
  <c r="AG50" i="26"/>
  <c r="C57" i="14"/>
  <c r="BF51" i="28"/>
  <c r="N52" i="26"/>
  <c r="G57" i="28"/>
  <c r="L57" i="26"/>
  <c r="F56" i="26"/>
  <c r="AB43" i="27"/>
  <c r="BD52" i="25"/>
  <c r="AY49" i="24"/>
  <c r="AC48" i="24"/>
  <c r="X47" i="24"/>
  <c r="BE51" i="28"/>
  <c r="AB56" i="14"/>
  <c r="AV50" i="14"/>
  <c r="B47" i="28"/>
  <c r="V54" i="26"/>
  <c r="AM39" i="27"/>
  <c r="K46" i="28"/>
  <c r="U59" i="25"/>
  <c r="BJ36" i="14"/>
  <c r="AJ41" i="14"/>
  <c r="U53" i="27"/>
  <c r="W59" i="26"/>
  <c r="Q47" i="27"/>
  <c r="AH49" i="25"/>
  <c r="T50" i="26"/>
  <c r="AP47" i="27"/>
  <c r="I52" i="26"/>
  <c r="BH56" i="14"/>
  <c r="AK53" i="25"/>
  <c r="G49" i="24"/>
  <c r="BG33" i="14"/>
  <c r="V34" i="27"/>
  <c r="AL33" i="27"/>
  <c r="M33" i="25"/>
  <c r="BB49" i="26"/>
  <c r="P35" i="25"/>
  <c r="F44" i="24"/>
  <c r="P33" i="24"/>
  <c r="AK52" i="27"/>
  <c r="AW57" i="24"/>
  <c r="S60" i="25"/>
  <c r="AT37" i="26"/>
  <c r="BE48" i="28"/>
  <c r="AW52" i="24"/>
  <c r="B49" i="27"/>
  <c r="G53" i="25"/>
  <c r="AA35" i="26"/>
  <c r="AH33" i="28"/>
  <c r="C45" i="28"/>
  <c r="F40" i="25"/>
  <c r="E51" i="26"/>
  <c r="H44" i="28"/>
  <c r="BG55" i="26"/>
  <c r="Z35" i="25"/>
  <c r="AJ57" i="24"/>
  <c r="BH47" i="28"/>
  <c r="C53" i="25"/>
  <c r="S40" i="14"/>
  <c r="S45" i="14"/>
  <c r="AC33" i="28"/>
  <c r="X52" i="24"/>
  <c r="AO59" i="24"/>
  <c r="BF59" i="14"/>
  <c r="AX34" i="24"/>
  <c r="BB41" i="27"/>
  <c r="AC51" i="28"/>
  <c r="AD34" i="26"/>
  <c r="N53" i="24"/>
  <c r="AH34" i="26"/>
  <c r="AT55" i="14"/>
  <c r="AW42" i="26"/>
  <c r="AC55" i="27"/>
  <c r="BJ51" i="25"/>
  <c r="BJ39" i="28"/>
  <c r="AY54" i="28"/>
  <c r="BC37" i="26"/>
  <c r="AE53" i="28"/>
  <c r="R59" i="26"/>
  <c r="AR56" i="28"/>
  <c r="AQ57" i="24"/>
  <c r="L47" i="25"/>
  <c r="AY59" i="24"/>
  <c r="AU44" i="24"/>
  <c r="Q53" i="28"/>
  <c r="X53" i="24"/>
  <c r="C60" i="14"/>
  <c r="U35" i="27"/>
  <c r="D45" i="27"/>
  <c r="AB36" i="24"/>
  <c r="AG46" i="25"/>
  <c r="I54" i="24"/>
  <c r="Q42" i="26"/>
  <c r="C48" i="28"/>
  <c r="AO48" i="24"/>
  <c r="AX46" i="28"/>
  <c r="S33" i="24"/>
  <c r="BC42" i="25"/>
  <c r="BI44" i="26"/>
  <c r="AV33" i="28"/>
  <c r="P46" i="25"/>
  <c r="Y54" i="25"/>
  <c r="I60" i="26"/>
  <c r="Z47" i="24"/>
  <c r="Z37" i="24"/>
  <c r="BF48" i="14"/>
  <c r="W41" i="14"/>
  <c r="AU58" i="28"/>
  <c r="O39" i="27"/>
  <c r="AS60" i="28"/>
  <c r="N58" i="25"/>
  <c r="AD52" i="24"/>
  <c r="AZ49" i="28"/>
  <c r="H41" i="26"/>
  <c r="X55" i="28"/>
  <c r="S57" i="14"/>
  <c r="X38" i="24"/>
  <c r="AG54" i="28"/>
  <c r="D59" i="28"/>
  <c r="G46" i="24"/>
  <c r="W50" i="14"/>
  <c r="AA38" i="27"/>
  <c r="BH60" i="25"/>
  <c r="J41" i="24"/>
  <c r="AX57" i="27"/>
  <c r="AY46" i="27"/>
  <c r="F53" i="25"/>
  <c r="AM40" i="27"/>
  <c r="Z57" i="24"/>
  <c r="BG36" i="14"/>
  <c r="BD50" i="27"/>
  <c r="P43" i="25"/>
  <c r="I46" i="28"/>
  <c r="Y36" i="24"/>
  <c r="AO54" i="27"/>
  <c r="C52" i="27"/>
  <c r="AE43" i="14"/>
  <c r="AL48" i="14"/>
  <c r="BC35" i="26"/>
  <c r="U50" i="27"/>
  <c r="AV46" i="25"/>
  <c r="O33" i="14"/>
  <c r="AB58" i="25"/>
  <c r="AG40" i="28"/>
  <c r="BB40" i="25"/>
  <c r="P40" i="26"/>
  <c r="AE46" i="28"/>
  <c r="BC44" i="14"/>
  <c r="BB35" i="27"/>
  <c r="X43" i="14"/>
  <c r="J52" i="14"/>
  <c r="K33" i="28"/>
  <c r="AQ36" i="26"/>
  <c r="AE33" i="28"/>
  <c r="AO53" i="25"/>
  <c r="AW58" i="27"/>
  <c r="R53" i="28"/>
  <c r="AE55" i="27"/>
  <c r="AA40" i="26"/>
  <c r="AC37" i="26"/>
  <c r="S44" i="26"/>
  <c r="AG44" i="27"/>
  <c r="AS59" i="25"/>
  <c r="Z39" i="25"/>
  <c r="K42" i="14"/>
  <c r="I39" i="27"/>
  <c r="AG45" i="25"/>
  <c r="AI35" i="27"/>
  <c r="BC56" i="14"/>
  <c r="AO35" i="24"/>
  <c r="BB50" i="25"/>
  <c r="BK36" i="27"/>
  <c r="K50" i="26"/>
  <c r="H48" i="28"/>
  <c r="AJ43" i="26"/>
  <c r="AK33" i="26"/>
  <c r="AY46" i="28"/>
  <c r="P40" i="14"/>
  <c r="AU44" i="28"/>
  <c r="AT56" i="26"/>
  <c r="BI59" i="28"/>
  <c r="AF38" i="27"/>
  <c r="O43" i="24"/>
  <c r="AO45" i="28"/>
  <c r="AM38" i="25"/>
  <c r="AX59" i="24"/>
  <c r="AX58" i="25"/>
  <c r="AK49" i="27"/>
  <c r="I38" i="14"/>
  <c r="AR37" i="28"/>
  <c r="H58" i="28"/>
  <c r="Q40" i="28"/>
  <c r="BI38" i="25"/>
  <c r="H52" i="25"/>
  <c r="Q38" i="24"/>
  <c r="I44" i="28"/>
  <c r="F54" i="24"/>
  <c r="AE36" i="27"/>
  <c r="BD50" i="26"/>
  <c r="BA46" i="14"/>
  <c r="AG55" i="28"/>
  <c r="AE58" i="27"/>
  <c r="X56" i="24"/>
  <c r="AL50" i="28"/>
  <c r="BI35" i="14"/>
  <c r="AO42" i="26"/>
  <c r="BA33" i="24"/>
  <c r="U51" i="26"/>
  <c r="AD40" i="14"/>
  <c r="BJ48" i="27"/>
  <c r="BC33" i="14"/>
  <c r="AA56" i="24"/>
  <c r="BI58" i="26"/>
  <c r="BF43" i="24"/>
  <c r="U45" i="25"/>
  <c r="N58" i="28"/>
  <c r="O57" i="26"/>
  <c r="S33" i="27"/>
  <c r="Y41" i="26"/>
  <c r="V35" i="27"/>
  <c r="BF36" i="25"/>
  <c r="AA45" i="28"/>
  <c r="AO43" i="24"/>
  <c r="G43" i="14"/>
  <c r="AG39" i="14"/>
  <c r="H57" i="27"/>
  <c r="S54" i="14"/>
  <c r="I52" i="28"/>
  <c r="AI58" i="24"/>
  <c r="W38" i="14"/>
  <c r="W33" i="26"/>
  <c r="AF59" i="25"/>
  <c r="D35" i="28"/>
  <c r="C40" i="24"/>
  <c r="T49" i="25"/>
  <c r="W37" i="24"/>
  <c r="AP45" i="26"/>
  <c r="BA35" i="28"/>
  <c r="D34" i="14"/>
  <c r="J45" i="27"/>
  <c r="BF58" i="25"/>
  <c r="AL49" i="24"/>
  <c r="BH57" i="27"/>
  <c r="N41" i="26"/>
  <c r="T44" i="24"/>
  <c r="AB40" i="24"/>
  <c r="G49" i="26"/>
  <c r="BB55" i="24"/>
  <c r="BA38" i="24"/>
  <c r="X50" i="28"/>
  <c r="N36" i="28"/>
  <c r="Z44" i="24"/>
  <c r="E40" i="24"/>
  <c r="AV37" i="14"/>
  <c r="U33" i="28"/>
  <c r="BH38" i="24"/>
  <c r="BF50" i="28"/>
  <c r="BA47" i="26"/>
  <c r="AL58" i="24"/>
  <c r="AY49" i="27"/>
  <c r="AU46" i="14"/>
  <c r="AK41" i="25"/>
  <c r="F50" i="25"/>
  <c r="AQ57" i="26"/>
  <c r="AU49" i="27"/>
  <c r="AC38" i="14"/>
  <c r="BG45" i="14"/>
  <c r="AP52" i="27"/>
  <c r="AS51" i="28"/>
  <c r="X57" i="27"/>
  <c r="AR60" i="28"/>
  <c r="E47" i="24"/>
  <c r="P47" i="26"/>
  <c r="BC45" i="28"/>
  <c r="O51" i="14"/>
  <c r="J59" i="24"/>
  <c r="AT58" i="27"/>
  <c r="BF45" i="14"/>
  <c r="Z41" i="26"/>
  <c r="Q45" i="25"/>
  <c r="AI45" i="27"/>
  <c r="BI36" i="27"/>
  <c r="AF40" i="25"/>
  <c r="BF34" i="26"/>
  <c r="X49" i="27"/>
  <c r="K37" i="26"/>
  <c r="BH33" i="25"/>
  <c r="T47" i="28"/>
  <c r="AG42" i="24"/>
  <c r="G52" i="26"/>
  <c r="D42" i="27"/>
  <c r="M45" i="25"/>
  <c r="E40" i="14"/>
  <c r="R49" i="27"/>
  <c r="S59" i="25"/>
  <c r="J33" i="14"/>
  <c r="F38" i="25"/>
  <c r="BI40" i="26"/>
  <c r="C58" i="26"/>
  <c r="AV39" i="24"/>
  <c r="S37" i="27"/>
  <c r="BJ56" i="28"/>
  <c r="N44" i="27"/>
  <c r="BB53" i="26"/>
  <c r="BG35" i="28"/>
  <c r="BK38" i="24"/>
  <c r="P49" i="27"/>
  <c r="AA48" i="25"/>
  <c r="AX36" i="27"/>
  <c r="AD34" i="24"/>
  <c r="BA46" i="27"/>
  <c r="AC53" i="26"/>
  <c r="AH51" i="27"/>
  <c r="AQ39" i="25"/>
  <c r="P37" i="26"/>
  <c r="V53" i="14"/>
  <c r="AE55" i="24"/>
  <c r="BK56" i="27"/>
  <c r="B52" i="24"/>
  <c r="AO46" i="25"/>
  <c r="F54" i="25"/>
  <c r="I59" i="14"/>
  <c r="AE48" i="27"/>
  <c r="BK42" i="26"/>
  <c r="F54" i="27"/>
  <c r="Y50" i="24"/>
  <c r="B57" i="27"/>
  <c r="J46" i="14"/>
  <c r="G38" i="25"/>
  <c r="BI44" i="25"/>
  <c r="L45" i="27"/>
  <c r="AP60" i="14"/>
  <c r="BJ56" i="24"/>
  <c r="AS51" i="26"/>
  <c r="M38" i="28"/>
  <c r="AG60" i="27"/>
  <c r="AP49" i="28"/>
  <c r="BC36" i="26"/>
  <c r="AR47" i="28"/>
  <c r="AW33" i="14"/>
  <c r="X55" i="26"/>
  <c r="BJ60" i="27"/>
  <c r="AC37" i="14"/>
  <c r="AQ45" i="25"/>
  <c r="Y58" i="27"/>
  <c r="BE54" i="26"/>
  <c r="M57" i="28"/>
  <c r="E35" i="27"/>
  <c r="BK38" i="27"/>
  <c r="H36" i="14"/>
  <c r="S39" i="27"/>
  <c r="AQ33" i="25"/>
  <c r="BD56" i="26"/>
  <c r="V55" i="27"/>
  <c r="K35" i="24"/>
  <c r="AO42" i="24"/>
  <c r="T37" i="26"/>
  <c r="M52" i="26"/>
  <c r="T46" i="24"/>
  <c r="AZ60" i="27"/>
  <c r="W50" i="27"/>
  <c r="R33" i="24"/>
  <c r="B33" i="14"/>
  <c r="R46" i="25"/>
  <c r="AG52" i="25"/>
  <c r="Y42" i="25"/>
  <c r="AE60" i="24"/>
  <c r="D36" i="27"/>
  <c r="H38" i="26"/>
  <c r="BF55" i="24"/>
  <c r="AQ56" i="26"/>
  <c r="AG48" i="14"/>
  <c r="AM41" i="26"/>
  <c r="BJ36" i="26"/>
  <c r="L53" i="24"/>
  <c r="BH51" i="26"/>
  <c r="BJ42" i="26"/>
  <c r="V47" i="26"/>
  <c r="AK40" i="14"/>
  <c r="AM54" i="14"/>
  <c r="BG49" i="28"/>
  <c r="G54" i="25"/>
  <c r="M44" i="28"/>
  <c r="P49" i="25"/>
  <c r="M36" i="26"/>
  <c r="K39" i="28"/>
  <c r="AC56" i="25"/>
  <c r="H41" i="27"/>
  <c r="AB44" i="28"/>
  <c r="AF47" i="27"/>
  <c r="U45" i="24"/>
  <c r="AC36" i="26"/>
  <c r="L36" i="25"/>
  <c r="P51" i="26"/>
  <c r="S49" i="27"/>
  <c r="J55" i="27"/>
  <c r="BH56" i="25"/>
  <c r="AK51" i="24"/>
  <c r="W47" i="27"/>
  <c r="BH51" i="28"/>
  <c r="G58" i="27"/>
  <c r="AN43" i="28"/>
  <c r="T49" i="28"/>
  <c r="Z37" i="27"/>
  <c r="R39" i="14"/>
  <c r="BK52" i="24"/>
  <c r="AT54" i="24"/>
  <c r="B58" i="26"/>
  <c r="BE46" i="26"/>
  <c r="AE56" i="14"/>
  <c r="Y34" i="26"/>
  <c r="G33" i="26"/>
  <c r="AL48" i="24"/>
  <c r="AX39" i="24"/>
  <c r="AK59" i="14"/>
  <c r="BK55" i="28"/>
  <c r="M35" i="24"/>
  <c r="M48" i="24"/>
  <c r="BJ36" i="24"/>
  <c r="AT34" i="27"/>
  <c r="AM49" i="27"/>
  <c r="AW57" i="27"/>
  <c r="AH57" i="27"/>
  <c r="AY53" i="14"/>
  <c r="AI44" i="24"/>
  <c r="K47" i="28"/>
  <c r="AC59" i="28"/>
  <c r="BI57" i="24"/>
  <c r="I45" i="14"/>
  <c r="AZ44" i="24"/>
  <c r="B53" i="27"/>
  <c r="W53" i="25"/>
  <c r="AF47" i="25"/>
  <c r="Z56" i="26"/>
  <c r="F53" i="26"/>
  <c r="AJ36" i="27"/>
  <c r="AQ50" i="24"/>
  <c r="S36" i="26"/>
  <c r="BD40" i="28"/>
  <c r="R45" i="25"/>
  <c r="BK45" i="14"/>
  <c r="AB51" i="24"/>
  <c r="N52" i="14"/>
  <c r="X34" i="25"/>
  <c r="BK49" i="27"/>
  <c r="Y60" i="24"/>
  <c r="H47" i="25"/>
  <c r="BB48" i="14"/>
  <c r="AM57" i="24"/>
  <c r="BF51" i="27"/>
  <c r="AW35" i="24"/>
  <c r="E57" i="27"/>
  <c r="G34" i="24"/>
  <c r="BC60" i="25"/>
  <c r="Y53" i="25"/>
  <c r="AL39" i="26"/>
  <c r="AC36" i="27"/>
  <c r="AX33" i="26"/>
  <c r="S59" i="26"/>
  <c r="AT47" i="26"/>
  <c r="AL39" i="25"/>
  <c r="AQ49" i="14"/>
  <c r="BJ39" i="14"/>
  <c r="AN45" i="27"/>
  <c r="AC60" i="27"/>
  <c r="BG46" i="24"/>
  <c r="AL40" i="14"/>
  <c r="L48" i="27"/>
  <c r="BA38" i="25"/>
  <c r="D57" i="27"/>
  <c r="BF60" i="25"/>
  <c r="AA59" i="28"/>
  <c r="M36" i="27"/>
  <c r="AX39" i="26"/>
  <c r="L55" i="14"/>
  <c r="BF55" i="26"/>
  <c r="AC48" i="27"/>
  <c r="BI34" i="24"/>
  <c r="AJ52" i="26"/>
  <c r="U39" i="25"/>
  <c r="AY39" i="14"/>
  <c r="U56" i="14"/>
  <c r="V60" i="27"/>
  <c r="X40" i="25"/>
  <c r="V43" i="25"/>
  <c r="BJ55" i="25"/>
  <c r="D51" i="26"/>
  <c r="V34" i="14"/>
  <c r="Z36" i="27"/>
  <c r="Z60" i="14"/>
  <c r="AZ35" i="26"/>
  <c r="Z52" i="26"/>
  <c r="Q50" i="25"/>
  <c r="R47" i="24"/>
  <c r="Q43" i="27"/>
  <c r="AM42" i="24"/>
  <c r="AG54" i="14"/>
  <c r="AZ44" i="26"/>
  <c r="BD56" i="25"/>
  <c r="K60" i="27"/>
  <c r="C41" i="26"/>
  <c r="G33" i="25"/>
  <c r="I33" i="14"/>
  <c r="J48" i="28"/>
  <c r="AU43" i="14"/>
  <c r="K34" i="28"/>
  <c r="BI43" i="28"/>
  <c r="J60" i="27"/>
  <c r="AN46" i="25"/>
  <c r="AS49" i="27"/>
  <c r="AY35" i="24"/>
  <c r="BJ37" i="25"/>
  <c r="I46" i="26"/>
  <c r="BE50" i="28"/>
  <c r="AG44" i="24"/>
  <c r="AG36" i="27"/>
  <c r="BJ54" i="25"/>
  <c r="AA50" i="14"/>
  <c r="BG54" i="25"/>
  <c r="AE59" i="26"/>
  <c r="AF44" i="28"/>
  <c r="AY37" i="25"/>
  <c r="AO55" i="26"/>
  <c r="AR37" i="27"/>
  <c r="T41" i="26"/>
  <c r="F43" i="27"/>
  <c r="Q35" i="25"/>
  <c r="AO48" i="28"/>
  <c r="AW53" i="25"/>
  <c r="L52" i="27"/>
  <c r="N52" i="28"/>
  <c r="AM51" i="25"/>
  <c r="AL35" i="25"/>
  <c r="X42" i="25"/>
  <c r="AJ46" i="24"/>
  <c r="K55" i="14"/>
  <c r="AS42" i="25"/>
  <c r="BF39" i="25"/>
  <c r="BJ38" i="27"/>
  <c r="AI42" i="24"/>
  <c r="AR36" i="27"/>
  <c r="AG45" i="26"/>
  <c r="AW55" i="24"/>
  <c r="X56" i="26"/>
  <c r="AU48" i="27"/>
  <c r="Z58" i="24"/>
  <c r="U39" i="24"/>
  <c r="AW54" i="26"/>
  <c r="BA47" i="14"/>
  <c r="AM44" i="28"/>
  <c r="G44" i="24"/>
  <c r="AL53" i="28"/>
  <c r="N37" i="26"/>
  <c r="C38" i="27"/>
  <c r="AI43" i="14"/>
  <c r="AV55" i="24"/>
  <c r="AM48" i="26"/>
  <c r="BI53" i="14"/>
  <c r="BG39" i="28"/>
  <c r="O41" i="24"/>
  <c r="AS57" i="25"/>
  <c r="AI35" i="28"/>
  <c r="N57" i="26"/>
  <c r="AK49" i="28"/>
  <c r="AB54" i="28"/>
  <c r="BG41" i="14"/>
  <c r="BK50" i="26"/>
  <c r="L47" i="24"/>
  <c r="AG43" i="24"/>
  <c r="AV47" i="27"/>
  <c r="AA34" i="28"/>
  <c r="BA56" i="24"/>
  <c r="AS39" i="14"/>
  <c r="AG43" i="25"/>
  <c r="AX60" i="24"/>
  <c r="AT59" i="25"/>
  <c r="BH43" i="27"/>
  <c r="AC45" i="26"/>
  <c r="L34" i="27"/>
  <c r="M57" i="26"/>
  <c r="BC47" i="25"/>
  <c r="AI51" i="25"/>
  <c r="BJ34" i="28"/>
  <c r="W49" i="28"/>
  <c r="AK45" i="28"/>
  <c r="BD41" i="27"/>
  <c r="AA50" i="28"/>
  <c r="AD44" i="25"/>
  <c r="Z53" i="26"/>
  <c r="AR48" i="14"/>
  <c r="AT52" i="27"/>
  <c r="BE59" i="25"/>
  <c r="AO52" i="14"/>
  <c r="U34" i="27"/>
  <c r="BB46" i="24"/>
  <c r="V58" i="28"/>
  <c r="D44" i="27"/>
  <c r="V49" i="27"/>
  <c r="Z59" i="14"/>
  <c r="BF50" i="24"/>
  <c r="BD36" i="26"/>
  <c r="M47" i="25"/>
  <c r="BE57" i="26"/>
  <c r="AY40" i="25"/>
  <c r="BH40" i="25"/>
  <c r="K38" i="25"/>
  <c r="AF54" i="27"/>
  <c r="BG45" i="26"/>
  <c r="AF56" i="26"/>
  <c r="G38" i="28"/>
  <c r="P47" i="25"/>
  <c r="AW55" i="28"/>
  <c r="BC42" i="28"/>
  <c r="D55" i="14"/>
  <c r="W42" i="26"/>
  <c r="L44" i="14"/>
  <c r="BJ38" i="26"/>
  <c r="AC49" i="27"/>
  <c r="V36" i="27"/>
  <c r="BE39" i="25"/>
  <c r="W40" i="24"/>
  <c r="Q42" i="24"/>
  <c r="AG60" i="24"/>
  <c r="K51" i="27"/>
  <c r="B52" i="28"/>
  <c r="BJ55" i="26"/>
  <c r="AW60" i="28"/>
  <c r="AU39" i="26"/>
  <c r="Z38" i="14"/>
  <c r="K50" i="24"/>
  <c r="BC48" i="24"/>
  <c r="AB57" i="28"/>
  <c r="AT35" i="14"/>
  <c r="BA48" i="14"/>
  <c r="AG52" i="26"/>
  <c r="AV44" i="28"/>
  <c r="AH46" i="27"/>
  <c r="AN34" i="27"/>
  <c r="BD45" i="26"/>
  <c r="Y43" i="14"/>
  <c r="E34" i="26"/>
  <c r="BB58" i="25"/>
  <c r="L37" i="27"/>
  <c r="AP49" i="26"/>
  <c r="AK57" i="24"/>
  <c r="X55" i="24"/>
  <c r="AQ49" i="26"/>
  <c r="AX48" i="25"/>
  <c r="AA50" i="24"/>
  <c r="AU54" i="25"/>
  <c r="N46" i="25"/>
  <c r="P47" i="27"/>
  <c r="BD56" i="28"/>
  <c r="BJ44" i="28"/>
  <c r="AX34" i="26"/>
  <c r="AB39" i="27"/>
  <c r="C54" i="25"/>
  <c r="M46" i="26"/>
  <c r="N36" i="24"/>
  <c r="L47" i="28"/>
  <c r="L39" i="14"/>
  <c r="N60" i="27"/>
  <c r="V46" i="14"/>
  <c r="AJ42" i="14"/>
  <c r="BE42" i="24"/>
  <c r="AC53" i="28"/>
  <c r="AK50" i="14"/>
  <c r="C33" i="26"/>
  <c r="AD46" i="28"/>
  <c r="Y37" i="24"/>
  <c r="AE34" i="25"/>
  <c r="BE56" i="14"/>
  <c r="AR34" i="27"/>
  <c r="O51" i="26"/>
  <c r="AE44" i="25"/>
  <c r="BI34" i="25"/>
  <c r="BH39" i="14"/>
  <c r="V55" i="28"/>
  <c r="AP57" i="27"/>
  <c r="AV35" i="27"/>
  <c r="W57" i="27"/>
  <c r="AG42" i="26"/>
  <c r="P58" i="14"/>
  <c r="AS60" i="24"/>
  <c r="K56" i="28"/>
  <c r="R48" i="14"/>
  <c r="AF42" i="28"/>
  <c r="BJ34" i="27"/>
  <c r="B48" i="24"/>
  <c r="AQ39" i="14"/>
  <c r="N48" i="27"/>
  <c r="AD44" i="27"/>
  <c r="C59" i="25"/>
  <c r="AB35" i="14"/>
  <c r="M60" i="27"/>
  <c r="AI33" i="25"/>
  <c r="H35" i="24"/>
  <c r="AK60" i="26"/>
  <c r="AO42" i="28"/>
  <c r="Z56" i="28"/>
  <c r="BJ53" i="25"/>
  <c r="BG38" i="28"/>
  <c r="AX50" i="26"/>
  <c r="BJ41" i="27"/>
  <c r="M39" i="24"/>
  <c r="U52" i="28"/>
  <c r="P37" i="25"/>
  <c r="Z40" i="26"/>
  <c r="O41" i="26"/>
  <c r="AP33" i="26"/>
  <c r="Q57" i="26"/>
  <c r="R42" i="14"/>
  <c r="C36" i="28"/>
  <c r="I58" i="28"/>
  <c r="H34" i="26"/>
  <c r="BF52" i="28"/>
  <c r="AS40" i="14"/>
  <c r="AM42" i="28"/>
  <c r="AW50" i="28"/>
  <c r="D36" i="26"/>
  <c r="AT47" i="14"/>
  <c r="BD33" i="27"/>
  <c r="AK46" i="26"/>
  <c r="X35" i="27"/>
  <c r="D49" i="14"/>
  <c r="AA42" i="25"/>
  <c r="P53" i="24"/>
  <c r="G50" i="24"/>
  <c r="U52" i="26"/>
  <c r="D47" i="25"/>
  <c r="AQ33" i="24"/>
  <c r="Q46" i="25"/>
  <c r="BA48" i="25"/>
  <c r="P39" i="25"/>
  <c r="AL50" i="25"/>
  <c r="AM35" i="25"/>
  <c r="AP36" i="24"/>
  <c r="AE36" i="26"/>
  <c r="AT48" i="28"/>
  <c r="BH44" i="25"/>
  <c r="L36" i="26"/>
  <c r="AP55" i="28"/>
  <c r="AI52" i="28"/>
  <c r="AL40" i="28"/>
  <c r="BA44" i="27"/>
  <c r="G33" i="27"/>
  <c r="E60" i="27"/>
  <c r="AX53" i="25"/>
  <c r="AP51" i="28"/>
  <c r="U55" i="27"/>
  <c r="F46" i="25"/>
  <c r="AK34" i="24"/>
  <c r="BE40" i="27"/>
  <c r="Y58" i="28"/>
  <c r="W48" i="25"/>
  <c r="AP54" i="14"/>
  <c r="N46" i="26"/>
  <c r="BD58" i="25"/>
  <c r="X56" i="14"/>
  <c r="X37" i="26"/>
  <c r="I59" i="26"/>
  <c r="J38" i="24"/>
  <c r="U36" i="25"/>
  <c r="D52" i="14"/>
  <c r="AX55" i="14"/>
  <c r="AK51" i="25"/>
  <c r="K44" i="27"/>
  <c r="AZ40" i="28"/>
  <c r="AN49" i="27"/>
  <c r="AY46" i="26"/>
  <c r="AH60" i="26"/>
  <c r="E53" i="24"/>
  <c r="D40" i="28"/>
  <c r="AP40" i="24"/>
  <c r="BF53" i="25"/>
  <c r="AC58" i="25"/>
  <c r="AZ47" i="28"/>
  <c r="J52" i="25"/>
  <c r="AG55" i="24"/>
  <c r="BA50" i="27"/>
  <c r="M57" i="27"/>
  <c r="AS52" i="24"/>
  <c r="T55" i="28"/>
  <c r="AQ35" i="25"/>
  <c r="U34" i="14"/>
  <c r="AH50" i="14"/>
  <c r="AI36" i="14"/>
  <c r="BI36" i="25"/>
  <c r="AP36" i="27"/>
  <c r="B47" i="25"/>
  <c r="AA57" i="24"/>
  <c r="S35" i="26"/>
  <c r="AZ43" i="14"/>
  <c r="AW38" i="27"/>
  <c r="X41" i="25"/>
  <c r="AF41" i="25"/>
  <c r="AU54" i="28"/>
  <c r="H33" i="28"/>
  <c r="AA58" i="28"/>
  <c r="AB44" i="24"/>
  <c r="K38" i="14"/>
  <c r="D50" i="27"/>
  <c r="AF57" i="24"/>
  <c r="BD59" i="26"/>
  <c r="AA40" i="27"/>
  <c r="AT34" i="24"/>
  <c r="AP37" i="14"/>
  <c r="G49" i="27"/>
  <c r="X48" i="14"/>
  <c r="AS33" i="24"/>
  <c r="F55" i="27"/>
  <c r="AK60" i="14"/>
  <c r="AO55" i="24"/>
  <c r="W53" i="27"/>
  <c r="BA38" i="14"/>
  <c r="AA41" i="26"/>
  <c r="AX34" i="27"/>
  <c r="AH57" i="25"/>
  <c r="BH44" i="28"/>
  <c r="X41" i="14"/>
  <c r="AW49" i="27"/>
  <c r="AH44" i="26"/>
  <c r="O33" i="26"/>
  <c r="BK59" i="27"/>
  <c r="AP40" i="28"/>
  <c r="AQ45" i="26"/>
  <c r="AH47" i="24"/>
  <c r="BB39" i="25"/>
  <c r="BG58" i="27"/>
  <c r="N48" i="25"/>
  <c r="BA39" i="28"/>
  <c r="V42" i="24"/>
  <c r="BD58" i="28"/>
  <c r="AU55" i="14"/>
  <c r="AL36" i="28"/>
  <c r="BG46" i="14"/>
  <c r="B40" i="26"/>
  <c r="AR55" i="26"/>
  <c r="BH36" i="27"/>
  <c r="AV50" i="25"/>
  <c r="BD42" i="14"/>
  <c r="AM60" i="24"/>
  <c r="AN44" i="26"/>
  <c r="AP51" i="26"/>
  <c r="BB35" i="24"/>
  <c r="AC60" i="26"/>
  <c r="BK33" i="26"/>
  <c r="AV45" i="27"/>
  <c r="AY44" i="27"/>
  <c r="O60" i="27"/>
  <c r="I37" i="26"/>
  <c r="AC54" i="14"/>
  <c r="BK50" i="25"/>
  <c r="AY33" i="26"/>
  <c r="AH39" i="24"/>
  <c r="H53" i="27"/>
  <c r="L39" i="26"/>
  <c r="E44" i="27"/>
  <c r="AK57" i="27"/>
  <c r="W42" i="24"/>
  <c r="AX44" i="25"/>
  <c r="P48" i="26"/>
  <c r="AG56" i="24"/>
  <c r="T40" i="27"/>
  <c r="BJ46" i="28"/>
  <c r="O42" i="27"/>
  <c r="BI49" i="25"/>
  <c r="Q50" i="24"/>
  <c r="AQ49" i="25"/>
  <c r="AZ34" i="25"/>
  <c r="X49" i="24"/>
  <c r="BB33" i="27"/>
  <c r="E55" i="27"/>
  <c r="BH45" i="14"/>
  <c r="AC43" i="26"/>
  <c r="B48" i="28"/>
  <c r="AK41" i="24"/>
  <c r="AW39" i="25"/>
  <c r="BI53" i="28"/>
  <c r="S55" i="26"/>
  <c r="AC44" i="28"/>
  <c r="AI42" i="28"/>
  <c r="AE57" i="26"/>
  <c r="Z40" i="24"/>
  <c r="S58" i="27"/>
  <c r="AU49" i="24"/>
  <c r="BB49" i="28"/>
  <c r="M50" i="25"/>
  <c r="F39" i="24"/>
  <c r="AT46" i="26"/>
  <c r="BE33" i="14"/>
  <c r="AN51" i="14"/>
  <c r="BE60" i="26"/>
  <c r="BI54" i="27"/>
  <c r="AJ36" i="24"/>
  <c r="AT57" i="25"/>
  <c r="AP60" i="27"/>
  <c r="AP35" i="25"/>
  <c r="W54" i="24"/>
  <c r="AJ47" i="27"/>
  <c r="AZ37" i="25"/>
  <c r="E33" i="25"/>
  <c r="S56" i="25"/>
  <c r="AA57" i="25"/>
  <c r="BE38" i="27"/>
  <c r="BJ38" i="24"/>
  <c r="AT45" i="24"/>
  <c r="AN45" i="25"/>
  <c r="H42" i="26"/>
  <c r="Q42" i="14"/>
  <c r="AW53" i="27"/>
  <c r="AT50" i="27"/>
  <c r="AK56" i="14"/>
  <c r="Y33" i="26"/>
  <c r="U49" i="14"/>
  <c r="BI47" i="26"/>
  <c r="AE36" i="24"/>
  <c r="AA49" i="24"/>
  <c r="U38" i="27"/>
  <c r="K40" i="28"/>
  <c r="M39" i="25"/>
  <c r="S36" i="27"/>
  <c r="BB34" i="28"/>
  <c r="E58" i="28"/>
  <c r="AO35" i="14"/>
  <c r="AV38" i="25"/>
  <c r="D60" i="24"/>
  <c r="AM40" i="24"/>
  <c r="M57" i="25"/>
  <c r="BD43" i="25"/>
  <c r="T53" i="25"/>
  <c r="AI46" i="28"/>
  <c r="Q46" i="14"/>
  <c r="AJ40" i="14"/>
  <c r="AS50" i="26"/>
  <c r="AY60" i="14"/>
  <c r="X33" i="24"/>
  <c r="AM53" i="14"/>
  <c r="U48" i="14"/>
  <c r="P47" i="24"/>
  <c r="BK39" i="14"/>
  <c r="AP35" i="26"/>
  <c r="K60" i="14"/>
  <c r="AU36" i="24"/>
  <c r="Y47" i="27"/>
  <c r="BE43" i="24"/>
  <c r="BK47" i="14"/>
  <c r="AR43" i="27"/>
  <c r="P47" i="28"/>
  <c r="AW41" i="25"/>
  <c r="P57" i="26"/>
  <c r="N52" i="24"/>
  <c r="BJ51" i="27"/>
  <c r="AH46" i="24"/>
  <c r="V35" i="26"/>
  <c r="AX39" i="27"/>
  <c r="BF36" i="26"/>
  <c r="AC36" i="24"/>
  <c r="AB46" i="27"/>
  <c r="AL57" i="26"/>
  <c r="B43" i="25"/>
  <c r="AR41" i="14"/>
  <c r="BJ46" i="24"/>
  <c r="AI34" i="25"/>
  <c r="AO43" i="25"/>
  <c r="R52" i="14"/>
  <c r="AH47" i="14"/>
  <c r="AB49" i="14"/>
  <c r="T58" i="25"/>
  <c r="O60" i="25"/>
  <c r="AK59" i="25"/>
  <c r="BG52" i="24"/>
  <c r="Y43" i="28"/>
  <c r="N37" i="14"/>
  <c r="AZ52" i="27"/>
  <c r="W42" i="28"/>
  <c r="AA55" i="24"/>
  <c r="D55" i="25"/>
  <c r="AO40" i="28"/>
  <c r="D58" i="14"/>
  <c r="Y41" i="25"/>
  <c r="AO50" i="28"/>
  <c r="X39" i="28"/>
  <c r="BJ37" i="24"/>
  <c r="K52" i="28"/>
  <c r="D49" i="26"/>
  <c r="BK35" i="24"/>
  <c r="R52" i="26"/>
  <c r="H50" i="28"/>
  <c r="S47" i="27"/>
  <c r="AA39" i="24"/>
  <c r="AA60" i="25"/>
  <c r="AD52" i="27"/>
  <c r="AR55" i="24"/>
  <c r="V58" i="27"/>
  <c r="D58" i="24"/>
  <c r="W52" i="26"/>
  <c r="AS59" i="14"/>
  <c r="AI54" i="26"/>
  <c r="AZ37" i="14"/>
  <c r="BE52" i="28"/>
  <c r="D43" i="28"/>
  <c r="AF50" i="24"/>
  <c r="W56" i="24"/>
  <c r="BJ45" i="24"/>
  <c r="AZ56" i="24"/>
  <c r="AU52" i="24"/>
  <c r="AM36" i="27"/>
  <c r="BD39" i="28"/>
  <c r="AM36" i="28"/>
  <c r="W48" i="26"/>
  <c r="AN57" i="25"/>
  <c r="AL39" i="14"/>
  <c r="AE37" i="28"/>
  <c r="AY46" i="25"/>
  <c r="M43" i="25"/>
  <c r="AK54" i="27"/>
  <c r="H47" i="14"/>
  <c r="V57" i="26"/>
  <c r="H41" i="28"/>
  <c r="AN59" i="28"/>
  <c r="W58" i="26"/>
  <c r="BD60" i="14"/>
  <c r="AE47" i="25"/>
  <c r="N43" i="27"/>
  <c r="X36" i="26"/>
  <c r="AF60" i="14"/>
  <c r="AH46" i="26"/>
  <c r="AV42" i="28"/>
  <c r="AP37" i="24"/>
  <c r="O39" i="25"/>
  <c r="AJ41" i="27"/>
  <c r="AJ60" i="26"/>
  <c r="C46" i="26"/>
  <c r="AI45" i="28"/>
  <c r="AR39" i="28"/>
  <c r="B33" i="28"/>
  <c r="S38" i="28"/>
  <c r="AW45" i="14"/>
  <c r="AW36" i="25"/>
  <c r="Y49" i="14"/>
  <c r="AH49" i="26"/>
  <c r="I37" i="25"/>
  <c r="AL37" i="28"/>
  <c r="AH41" i="24"/>
  <c r="AL54" i="26"/>
  <c r="R55" i="28"/>
  <c r="BG46" i="27"/>
  <c r="BJ33" i="28"/>
  <c r="AQ60" i="28"/>
  <c r="N47" i="24"/>
  <c r="AL58" i="28"/>
  <c r="W36" i="27"/>
  <c r="S38" i="26"/>
  <c r="N59" i="27"/>
  <c r="AV58" i="28"/>
  <c r="V33" i="14"/>
  <c r="F45" i="26"/>
  <c r="E49" i="24"/>
  <c r="U47" i="14"/>
  <c r="N56" i="26"/>
  <c r="T44" i="26"/>
  <c r="AD50" i="24"/>
  <c r="E54" i="25"/>
  <c r="AO51" i="28"/>
  <c r="AG48" i="27"/>
  <c r="Q39" i="27"/>
  <c r="AU42" i="14"/>
  <c r="AO34" i="14"/>
  <c r="Y58" i="25"/>
  <c r="AY40" i="27"/>
  <c r="U41" i="24"/>
  <c r="AM55" i="26"/>
  <c r="BK54" i="24"/>
  <c r="S38" i="25"/>
  <c r="AE54" i="24"/>
  <c r="AJ60" i="25"/>
  <c r="O38" i="14"/>
  <c r="W44" i="14"/>
  <c r="AP49" i="14"/>
  <c r="AK34" i="28"/>
  <c r="V37" i="25"/>
  <c r="AA58" i="25"/>
  <c r="AN37" i="28"/>
  <c r="AD33" i="25"/>
  <c r="AE52" i="27"/>
  <c r="X59" i="24"/>
  <c r="AD60" i="24"/>
  <c r="AR57" i="27"/>
  <c r="AN51" i="25"/>
  <c r="AC43" i="28"/>
  <c r="AK50" i="25"/>
  <c r="AA36" i="14"/>
  <c r="BD43" i="26"/>
  <c r="BK37" i="25"/>
  <c r="Y40" i="14"/>
  <c r="AO55" i="25"/>
  <c r="AF50" i="27"/>
  <c r="BG49" i="27"/>
  <c r="U45" i="28"/>
  <c r="C52" i="14"/>
  <c r="AF34" i="25"/>
  <c r="AT44" i="25"/>
  <c r="AS55" i="28"/>
  <c r="C53" i="14"/>
  <c r="E58" i="14"/>
  <c r="BF47" i="26"/>
  <c r="BA41" i="25"/>
  <c r="BA43" i="14"/>
  <c r="T44" i="28"/>
  <c r="BD43" i="14"/>
  <c r="AD37" i="25"/>
  <c r="C55" i="27"/>
  <c r="K43" i="26"/>
  <c r="BF45" i="26"/>
  <c r="M46" i="25"/>
  <c r="G47" i="24"/>
  <c r="BB58" i="27"/>
  <c r="M35" i="26"/>
  <c r="AS43" i="25"/>
  <c r="AI57" i="27"/>
  <c r="AV56" i="24"/>
  <c r="AZ39" i="14"/>
  <c r="D50" i="25"/>
  <c r="BJ47" i="24"/>
  <c r="BJ46" i="26"/>
  <c r="BE36" i="25"/>
  <c r="BK51" i="27"/>
  <c r="E54" i="26"/>
  <c r="BE40" i="26"/>
  <c r="G37" i="14"/>
  <c r="AK58" i="14"/>
  <c r="BE37" i="14"/>
  <c r="AW41" i="24"/>
  <c r="AQ43" i="14"/>
  <c r="AH49" i="14"/>
  <c r="C49" i="28"/>
  <c r="J36" i="26"/>
  <c r="AD35" i="28"/>
  <c r="AU51" i="28"/>
  <c r="U47" i="26"/>
  <c r="AQ47" i="27"/>
  <c r="AD35" i="14"/>
  <c r="R56" i="28"/>
  <c r="AT53" i="25"/>
  <c r="AF45" i="24"/>
  <c r="AD54" i="27"/>
  <c r="AN49" i="26"/>
  <c r="BI39" i="25"/>
  <c r="Z56" i="25"/>
  <c r="BI60" i="24"/>
  <c r="O42" i="28"/>
  <c r="AN36" i="26"/>
  <c r="V41" i="25"/>
  <c r="AU48" i="14"/>
  <c r="AL46" i="27"/>
  <c r="AT54" i="28"/>
  <c r="H52" i="24"/>
  <c r="P52" i="28"/>
  <c r="AJ44" i="14"/>
  <c r="J54" i="27"/>
  <c r="C58" i="24"/>
  <c r="BB36" i="25"/>
  <c r="X59" i="26"/>
  <c r="BE35" i="27"/>
  <c r="Q33" i="24"/>
  <c r="AV34" i="26"/>
  <c r="AZ40" i="14"/>
  <c r="V48" i="27"/>
  <c r="AO52" i="28"/>
  <c r="AC59" i="27"/>
  <c r="O35" i="25"/>
  <c r="U34" i="26"/>
  <c r="C60" i="26"/>
  <c r="AA58" i="14"/>
  <c r="AN58" i="28"/>
  <c r="BE35" i="14"/>
  <c r="P33" i="28"/>
  <c r="L33" i="25"/>
  <c r="AX44" i="27"/>
  <c r="AO53" i="24"/>
  <c r="BE44" i="26"/>
  <c r="AR54" i="25"/>
  <c r="L33" i="24"/>
  <c r="H40" i="14"/>
  <c r="AR58" i="24"/>
  <c r="AQ46" i="26"/>
  <c r="AN58" i="14"/>
  <c r="AT44" i="27"/>
  <c r="AX39" i="14"/>
  <c r="AT53" i="24"/>
  <c r="AK44" i="27"/>
  <c r="BI54" i="24"/>
  <c r="AX51" i="28"/>
  <c r="BC42" i="14"/>
  <c r="AC58" i="14"/>
  <c r="AW50" i="26"/>
  <c r="AQ35" i="28"/>
  <c r="AZ57" i="14"/>
  <c r="AX48" i="14"/>
  <c r="BJ34" i="24"/>
  <c r="S44" i="25"/>
  <c r="AS58" i="26"/>
  <c r="AB51" i="28"/>
  <c r="AS58" i="14"/>
  <c r="BF35" i="28"/>
  <c r="F59" i="28"/>
  <c r="BA44" i="14"/>
  <c r="AB45" i="24"/>
  <c r="BF44" i="26"/>
  <c r="T51" i="14"/>
  <c r="AF59" i="14"/>
  <c r="H47" i="27"/>
  <c r="T42" i="24"/>
  <c r="AF58" i="26"/>
  <c r="BD59" i="24"/>
  <c r="BC54" i="24"/>
  <c r="AA39" i="25"/>
  <c r="AR47" i="26"/>
  <c r="BH57" i="25"/>
  <c r="BC45" i="24"/>
  <c r="U33" i="26"/>
  <c r="B46" i="14"/>
  <c r="AG58" i="28"/>
  <c r="K44" i="28"/>
  <c r="AB57" i="27"/>
  <c r="BJ39" i="26"/>
  <c r="F34" i="28"/>
  <c r="AR46" i="14"/>
  <c r="AQ53" i="28"/>
  <c r="N38" i="24"/>
  <c r="BE44" i="24"/>
  <c r="BA53" i="24"/>
  <c r="Q60" i="25"/>
  <c r="G41" i="27"/>
  <c r="AJ50" i="25"/>
  <c r="AR36" i="24"/>
  <c r="K44" i="25"/>
  <c r="AP59" i="26"/>
  <c r="AE44" i="26"/>
  <c r="K47" i="14"/>
  <c r="AP53" i="14"/>
  <c r="BE43" i="27"/>
  <c r="AY58" i="14"/>
  <c r="AA60" i="14"/>
  <c r="B39" i="27"/>
  <c r="M53" i="25"/>
  <c r="AP48" i="25"/>
  <c r="AX36" i="26"/>
  <c r="AE52" i="24"/>
  <c r="Q60" i="28"/>
  <c r="AS52" i="14"/>
  <c r="AU40" i="28"/>
  <c r="N56" i="14"/>
  <c r="BB55" i="27"/>
  <c r="H60" i="26"/>
  <c r="AU34" i="27"/>
  <c r="U56" i="26"/>
  <c r="Z60" i="24"/>
  <c r="AQ58" i="27"/>
  <c r="W33" i="14"/>
  <c r="BE51" i="24"/>
  <c r="AB58" i="28"/>
  <c r="AZ46" i="24"/>
  <c r="B34" i="24"/>
  <c r="BB54" i="14"/>
  <c r="AF49" i="28"/>
  <c r="AG46" i="26"/>
  <c r="X46" i="24"/>
  <c r="BF39" i="26"/>
  <c r="AZ39" i="24"/>
  <c r="W49" i="27"/>
  <c r="B57" i="25"/>
  <c r="BD58" i="14"/>
  <c r="T55" i="14"/>
  <c r="AD42" i="28"/>
  <c r="AJ34" i="27"/>
  <c r="BC57" i="26"/>
  <c r="Q36" i="24"/>
  <c r="L44" i="27"/>
  <c r="AG52" i="27"/>
  <c r="BD34" i="28"/>
  <c r="AS54" i="25"/>
  <c r="Y58" i="26"/>
  <c r="G35" i="14"/>
  <c r="BB39" i="26"/>
  <c r="F60" i="25"/>
  <c r="AS56" i="28"/>
  <c r="AR50" i="14"/>
  <c r="AZ50" i="24"/>
  <c r="BC54" i="25"/>
  <c r="AP52" i="26"/>
  <c r="AP53" i="25"/>
  <c r="BD45" i="27"/>
  <c r="AS48" i="27"/>
  <c r="AL53" i="25"/>
  <c r="BG54" i="14"/>
  <c r="AV52" i="14"/>
  <c r="BK47" i="24"/>
  <c r="AA42" i="27"/>
  <c r="H43" i="28"/>
  <c r="AL50" i="14"/>
  <c r="S59" i="24"/>
  <c r="L53" i="26"/>
  <c r="AD59" i="27"/>
  <c r="AC54" i="26"/>
  <c r="K48" i="28"/>
  <c r="AG56" i="28"/>
  <c r="Q44" i="24"/>
  <c r="U36" i="24"/>
  <c r="AH56" i="14"/>
  <c r="AE56" i="27"/>
  <c r="V36" i="26"/>
  <c r="AV58" i="24"/>
  <c r="BH55" i="25"/>
  <c r="N47" i="25"/>
  <c r="BE33" i="26"/>
  <c r="AG47" i="28"/>
  <c r="BD36" i="25"/>
  <c r="C34" i="14"/>
  <c r="K49" i="26"/>
  <c r="BF60" i="28"/>
  <c r="B34" i="14"/>
  <c r="AA54" i="24"/>
  <c r="BG59" i="28"/>
  <c r="AG59" i="25"/>
  <c r="BD55" i="14"/>
  <c r="AD55" i="14"/>
  <c r="K53" i="25"/>
  <c r="BG50" i="14"/>
  <c r="AU60" i="26"/>
  <c r="AA35" i="28"/>
  <c r="AA45" i="27"/>
  <c r="AA40" i="28"/>
  <c r="BF54" i="27"/>
  <c r="N48" i="28"/>
  <c r="O58" i="27"/>
  <c r="E58" i="27"/>
  <c r="BB54" i="26"/>
  <c r="AX59" i="28"/>
  <c r="AN37" i="25"/>
  <c r="P36" i="25"/>
  <c r="W53" i="28"/>
  <c r="BK37" i="27"/>
  <c r="AL49" i="27"/>
  <c r="AC37" i="27"/>
  <c r="X50" i="27"/>
  <c r="BC49" i="26"/>
  <c r="H60" i="14"/>
  <c r="AH41" i="28"/>
  <c r="Z43" i="24"/>
  <c r="Z43" i="14"/>
  <c r="BF34" i="25"/>
  <c r="BJ35" i="28"/>
  <c r="AC56" i="28"/>
  <c r="AM33" i="27"/>
  <c r="W41" i="24"/>
  <c r="AV52" i="28"/>
  <c r="W52" i="27"/>
  <c r="T35" i="25"/>
  <c r="AR48" i="24"/>
  <c r="AX52" i="24"/>
  <c r="B36" i="28"/>
  <c r="W39" i="14"/>
  <c r="I41" i="28"/>
  <c r="C50" i="25"/>
  <c r="AQ34" i="14"/>
  <c r="D47" i="28"/>
  <c r="J41" i="27"/>
  <c r="S33" i="14"/>
  <c r="AA35" i="14"/>
  <c r="R54" i="27"/>
  <c r="M46" i="28"/>
  <c r="H38" i="27"/>
  <c r="Y47" i="24"/>
  <c r="AP43" i="14"/>
  <c r="AO38" i="26"/>
  <c r="AG50" i="14"/>
  <c r="BE39" i="14"/>
  <c r="AF38" i="14"/>
  <c r="BC42" i="26"/>
  <c r="AU57" i="25"/>
  <c r="AD43" i="25"/>
  <c r="V40" i="14"/>
  <c r="AU36" i="28"/>
  <c r="H46" i="27"/>
  <c r="K35" i="26"/>
  <c r="V34" i="25"/>
  <c r="B54" i="27"/>
  <c r="BH40" i="27"/>
  <c r="BJ36" i="28"/>
  <c r="I51" i="24"/>
  <c r="AZ36" i="14"/>
  <c r="V58" i="25"/>
  <c r="BB33" i="25"/>
  <c r="BJ58" i="26"/>
  <c r="O36" i="27"/>
  <c r="BC45" i="14"/>
  <c r="AZ60" i="28"/>
  <c r="BE41" i="25"/>
  <c r="AW38" i="28"/>
  <c r="AC44" i="25"/>
  <c r="C39" i="26"/>
  <c r="AU58" i="24"/>
  <c r="AF44" i="25"/>
  <c r="W47" i="28"/>
  <c r="Y48" i="27"/>
  <c r="BH54" i="14"/>
  <c r="U46" i="14"/>
  <c r="S47" i="25"/>
  <c r="I38" i="28"/>
  <c r="Z36" i="25"/>
  <c r="AG47" i="27"/>
  <c r="BK50" i="28"/>
  <c r="AV40" i="28"/>
  <c r="AT49" i="26"/>
  <c r="B44" i="14"/>
  <c r="X33" i="28"/>
  <c r="AW59" i="14"/>
  <c r="Q60" i="26"/>
  <c r="W38" i="27"/>
  <c r="L45" i="14"/>
  <c r="G36" i="25"/>
  <c r="AC52" i="14"/>
  <c r="N50" i="27"/>
  <c r="AD53" i="27"/>
  <c r="BI56" i="28"/>
  <c r="AK46" i="25"/>
  <c r="AX46" i="24"/>
  <c r="AX48" i="24"/>
  <c r="AI56" i="14"/>
  <c r="AQ40" i="28"/>
  <c r="BK35" i="26"/>
  <c r="AQ58" i="25"/>
  <c r="BK43" i="24"/>
  <c r="BJ43" i="24"/>
  <c r="P50" i="27"/>
  <c r="AA57" i="14"/>
  <c r="T34" i="25"/>
  <c r="BD60" i="28"/>
  <c r="AL55" i="28"/>
  <c r="H45" i="24"/>
  <c r="D57" i="14"/>
  <c r="BJ57" i="14"/>
  <c r="N35" i="26"/>
  <c r="B60" i="14"/>
  <c r="N55" i="28"/>
  <c r="P35" i="26"/>
  <c r="AU58" i="25"/>
  <c r="AZ34" i="24"/>
  <c r="AE44" i="14"/>
  <c r="W45" i="24"/>
  <c r="AZ40" i="25"/>
  <c r="BK35" i="25"/>
  <c r="K37" i="24"/>
  <c r="BB57" i="28"/>
  <c r="AK59" i="26"/>
  <c r="AT41" i="27"/>
  <c r="E54" i="27"/>
  <c r="AP53" i="26"/>
  <c r="AR40" i="28"/>
  <c r="AT40" i="27"/>
  <c r="AM49" i="28"/>
  <c r="BC43" i="28"/>
  <c r="J55" i="26"/>
  <c r="AA60" i="27"/>
  <c r="Z47" i="14"/>
  <c r="AQ41" i="25"/>
  <c r="AD35" i="27"/>
  <c r="AC50" i="25"/>
  <c r="BI48" i="24"/>
  <c r="AC36" i="14"/>
  <c r="AZ54" i="25"/>
  <c r="AF34" i="27"/>
  <c r="AN52" i="28"/>
  <c r="AA36" i="27"/>
  <c r="K41" i="14"/>
  <c r="Q59" i="25"/>
  <c r="AH44" i="28"/>
  <c r="AF38" i="28"/>
  <c r="AZ54" i="28"/>
  <c r="J56" i="24"/>
  <c r="BI48" i="14"/>
  <c r="AX41" i="27"/>
  <c r="AI36" i="25"/>
  <c r="AV42" i="26"/>
  <c r="AU49" i="14"/>
  <c r="F46" i="27"/>
  <c r="AK34" i="14"/>
  <c r="BE60" i="28"/>
  <c r="W56" i="27"/>
  <c r="BE37" i="26"/>
  <c r="V46" i="26"/>
  <c r="C43" i="24"/>
  <c r="V50" i="26"/>
  <c r="AO49" i="28"/>
  <c r="AG43" i="14"/>
  <c r="BC55" i="28"/>
  <c r="AR33" i="24"/>
  <c r="Q37" i="24"/>
  <c r="O49" i="24"/>
  <c r="AY35" i="28"/>
  <c r="AU59" i="25"/>
  <c r="BH53" i="25"/>
  <c r="V50" i="25"/>
  <c r="AY59" i="14"/>
  <c r="D48" i="14"/>
  <c r="AZ58" i="26"/>
  <c r="Q57" i="25"/>
  <c r="AI37" i="14"/>
  <c r="P53" i="26"/>
  <c r="BK35" i="14"/>
  <c r="N45" i="24"/>
  <c r="AP46" i="25"/>
  <c r="B60" i="25"/>
  <c r="K58" i="26"/>
  <c r="BB49" i="14"/>
  <c r="AY42" i="26"/>
  <c r="AU43" i="27"/>
  <c r="AI43" i="28"/>
  <c r="O43" i="28"/>
  <c r="I51" i="27"/>
  <c r="D39" i="27"/>
  <c r="AC33" i="25"/>
  <c r="AO44" i="26"/>
  <c r="G45" i="24"/>
  <c r="N36" i="26"/>
  <c r="T39" i="28"/>
  <c r="AU37" i="24"/>
  <c r="Z39" i="26"/>
  <c r="AF53" i="28"/>
  <c r="P46" i="26"/>
  <c r="AU56" i="27"/>
  <c r="AJ52" i="27"/>
  <c r="AE40" i="28"/>
  <c r="F40" i="24"/>
  <c r="BJ60" i="14"/>
  <c r="AW57" i="25"/>
  <c r="O40" i="27"/>
  <c r="AR38" i="27"/>
  <c r="AV42" i="27"/>
  <c r="BC43" i="26"/>
  <c r="AI37" i="27"/>
  <c r="BG56" i="28"/>
  <c r="AO39" i="24"/>
  <c r="AX37" i="24"/>
  <c r="B52" i="14"/>
  <c r="AJ36" i="14"/>
  <c r="AC35" i="25"/>
  <c r="BI50" i="25"/>
  <c r="AG49" i="27"/>
  <c r="AJ58" i="14"/>
  <c r="BE55" i="25"/>
  <c r="X37" i="14"/>
  <c r="BH48" i="27"/>
  <c r="AC57" i="27"/>
  <c r="F42" i="14"/>
  <c r="AY48" i="28"/>
  <c r="H37" i="25"/>
  <c r="AE47" i="24"/>
  <c r="AN39" i="26"/>
  <c r="AR49" i="27"/>
  <c r="AX54" i="25"/>
  <c r="C51" i="26"/>
  <c r="AX43" i="28"/>
  <c r="AQ48" i="26"/>
  <c r="O53" i="28"/>
  <c r="AC40" i="27"/>
  <c r="U59" i="26"/>
  <c r="AI46" i="26"/>
  <c r="J36" i="24"/>
  <c r="AI36" i="26"/>
  <c r="P52" i="26"/>
  <c r="AJ47" i="25"/>
  <c r="BE53" i="24"/>
  <c r="W57" i="25"/>
  <c r="I50" i="26"/>
  <c r="AH37" i="27"/>
  <c r="AW35" i="28"/>
  <c r="AG38" i="25"/>
  <c r="M54" i="14"/>
  <c r="AB52" i="27"/>
  <c r="C56" i="14"/>
  <c r="BB34" i="25"/>
  <c r="AI55" i="14"/>
  <c r="AC37" i="24"/>
  <c r="AQ39" i="26"/>
  <c r="BG38" i="24"/>
  <c r="C53" i="24"/>
  <c r="AY59" i="25"/>
  <c r="AY55" i="27"/>
  <c r="AK40" i="28"/>
  <c r="AM35" i="14"/>
  <c r="S46" i="26"/>
  <c r="AO54" i="14"/>
  <c r="AT41" i="24"/>
  <c r="AD51" i="27"/>
  <c r="U54" i="26"/>
  <c r="AW45" i="25"/>
  <c r="BK49" i="24"/>
  <c r="BK41" i="25"/>
  <c r="AH37" i="25"/>
  <c r="J49" i="28"/>
  <c r="AD56" i="27"/>
  <c r="AP51" i="14"/>
  <c r="V41" i="28"/>
  <c r="V40" i="26"/>
  <c r="AG34" i="28"/>
  <c r="J59" i="27"/>
  <c r="AT38" i="24"/>
  <c r="AP52" i="24"/>
  <c r="W42" i="14"/>
  <c r="R38" i="25"/>
  <c r="H52" i="26"/>
  <c r="AS46" i="14"/>
  <c r="H40" i="28"/>
  <c r="AL60" i="14"/>
  <c r="BI40" i="25"/>
  <c r="AF58" i="14"/>
  <c r="AV37" i="28"/>
  <c r="K35" i="14"/>
  <c r="AQ43" i="24"/>
  <c r="AH44" i="24"/>
  <c r="AZ56" i="26"/>
  <c r="O46" i="28"/>
  <c r="BH52" i="26"/>
  <c r="S53" i="26"/>
  <c r="X46" i="25"/>
  <c r="AW35" i="27"/>
  <c r="AN58" i="26"/>
  <c r="L33" i="28"/>
  <c r="V53" i="24"/>
  <c r="Z37" i="14"/>
  <c r="B41" i="14"/>
  <c r="AS52" i="28"/>
  <c r="BJ33" i="24"/>
  <c r="Y54" i="28"/>
  <c r="BJ60" i="28"/>
  <c r="AI53" i="27"/>
  <c r="L58" i="27"/>
  <c r="BK34" i="25"/>
  <c r="AX49" i="25"/>
  <c r="U39" i="28"/>
  <c r="AQ42" i="24"/>
  <c r="BD51" i="26"/>
  <c r="AD48" i="27"/>
  <c r="AT34" i="26"/>
  <c r="W37" i="27"/>
  <c r="F60" i="24"/>
  <c r="BD42" i="28"/>
  <c r="AT42" i="25"/>
  <c r="BG46" i="25"/>
  <c r="BE51" i="14"/>
  <c r="Z47" i="26"/>
  <c r="AL41" i="28"/>
  <c r="AO33" i="27"/>
  <c r="AH34" i="28"/>
  <c r="AQ41" i="27"/>
  <c r="D35" i="26"/>
  <c r="AJ57" i="26"/>
  <c r="C52" i="25"/>
  <c r="M52" i="27"/>
  <c r="AF47" i="26"/>
  <c r="BF42" i="26"/>
  <c r="AO53" i="14"/>
  <c r="BI47" i="28"/>
  <c r="Q51" i="26"/>
  <c r="C37" i="28"/>
  <c r="J55" i="14"/>
  <c r="R46" i="28"/>
  <c r="I55" i="25"/>
  <c r="J59" i="26"/>
  <c r="X54" i="24"/>
  <c r="BJ35" i="25"/>
  <c r="AJ37" i="14"/>
  <c r="AJ54" i="26"/>
  <c r="AT39" i="14"/>
  <c r="BB54" i="28"/>
  <c r="AU53" i="28"/>
  <c r="AP59" i="24"/>
  <c r="X45" i="28"/>
  <c r="BD33" i="26"/>
  <c r="AD48" i="28"/>
  <c r="BI45" i="14"/>
  <c r="AH55" i="24"/>
  <c r="V58" i="26"/>
  <c r="AP40" i="14"/>
  <c r="Q37" i="26"/>
  <c r="AC48" i="25"/>
  <c r="AO56" i="26"/>
  <c r="AM57" i="25"/>
  <c r="G60" i="26"/>
  <c r="Y52" i="26"/>
  <c r="BF33" i="27"/>
  <c r="O57" i="14"/>
  <c r="BD52" i="28"/>
  <c r="AO56" i="27"/>
  <c r="BA42" i="26"/>
  <c r="AH57" i="24"/>
  <c r="X58" i="27"/>
  <c r="N59" i="26"/>
  <c r="E53" i="14"/>
  <c r="BE40" i="28"/>
  <c r="H58" i="25"/>
  <c r="BF33" i="14"/>
  <c r="AL52" i="28"/>
  <c r="AF50" i="25"/>
  <c r="M54" i="25"/>
  <c r="AA48" i="26"/>
  <c r="AT47" i="27"/>
  <c r="BC39" i="14"/>
  <c r="BH38" i="25"/>
  <c r="E46" i="24"/>
  <c r="M51" i="28"/>
  <c r="AU43" i="25"/>
  <c r="V33" i="28"/>
  <c r="AI49" i="14"/>
  <c r="BG58" i="14"/>
  <c r="AV36" i="26"/>
  <c r="AJ36" i="26"/>
  <c r="AP57" i="24"/>
  <c r="AK53" i="14"/>
  <c r="K59" i="28"/>
  <c r="M39" i="27"/>
  <c r="BG36" i="27"/>
  <c r="L53" i="14"/>
  <c r="G50" i="25"/>
  <c r="C40" i="28"/>
  <c r="AC33" i="24"/>
  <c r="BI41" i="14"/>
  <c r="W56" i="28"/>
  <c r="P60" i="14"/>
  <c r="E46" i="28"/>
  <c r="B40" i="28"/>
  <c r="R51" i="26"/>
  <c r="AM47" i="14"/>
  <c r="Q52" i="26"/>
  <c r="K41" i="24"/>
  <c r="Q43" i="26"/>
  <c r="AD49" i="26"/>
  <c r="AN54" i="24"/>
  <c r="AQ47" i="14"/>
  <c r="AE39" i="28"/>
  <c r="AS42" i="24"/>
  <c r="AN55" i="25"/>
  <c r="F57" i="14"/>
  <c r="BC57" i="25"/>
  <c r="U43" i="26"/>
  <c r="AR38" i="26"/>
  <c r="B59" i="28"/>
  <c r="BA52" i="14"/>
  <c r="Y60" i="14"/>
  <c r="G53" i="26"/>
  <c r="AD34" i="25"/>
  <c r="BK52" i="28"/>
  <c r="AJ37" i="27"/>
  <c r="U40" i="14"/>
  <c r="B54" i="25"/>
  <c r="AN38" i="26"/>
  <c r="BA52" i="28"/>
  <c r="BH54" i="25"/>
  <c r="AO34" i="24"/>
  <c r="BG55" i="24"/>
  <c r="BB48" i="28"/>
  <c r="AD39" i="27"/>
  <c r="F39" i="28"/>
  <c r="BK43" i="28"/>
  <c r="BB48" i="27"/>
  <c r="Y42" i="27"/>
  <c r="AY50" i="25"/>
  <c r="T58" i="24"/>
  <c r="AF49" i="14"/>
  <c r="AJ55" i="27"/>
  <c r="T45" i="14"/>
  <c r="BA47" i="27"/>
  <c r="G56" i="27"/>
  <c r="AC45" i="25"/>
  <c r="V41" i="14"/>
  <c r="V49" i="25"/>
  <c r="N51" i="25"/>
  <c r="AO44" i="25"/>
  <c r="Z54" i="14"/>
  <c r="AD58" i="27"/>
  <c r="AT55" i="28"/>
  <c r="AE45" i="26"/>
  <c r="AD41" i="24"/>
  <c r="BD57" i="24"/>
  <c r="BC39" i="25"/>
  <c r="BA55" i="26"/>
  <c r="BD46" i="27"/>
  <c r="F60" i="27"/>
  <c r="L43" i="24"/>
  <c r="AF36" i="26"/>
  <c r="M53" i="28"/>
  <c r="AT52" i="14"/>
  <c r="BC57" i="28"/>
  <c r="C42" i="14"/>
  <c r="V35" i="25"/>
  <c r="AI39" i="14"/>
  <c r="O59" i="26"/>
  <c r="AF59" i="28"/>
  <c r="AH38" i="25"/>
  <c r="AQ52" i="14"/>
  <c r="K35" i="28"/>
  <c r="AC44" i="27"/>
  <c r="BG40" i="24"/>
  <c r="AH41" i="14"/>
  <c r="AI45" i="14"/>
  <c r="Z40" i="27"/>
  <c r="AC52" i="28"/>
  <c r="AT51" i="28"/>
  <c r="AO43" i="26"/>
  <c r="H39" i="14"/>
  <c r="AZ59" i="14"/>
  <c r="AV50" i="24"/>
  <c r="BH34" i="28"/>
  <c r="R34" i="28"/>
  <c r="L35" i="25"/>
  <c r="AC59" i="26"/>
  <c r="K33" i="27"/>
  <c r="AG43" i="28"/>
  <c r="BJ40" i="25"/>
  <c r="U42" i="25"/>
  <c r="M42" i="28"/>
  <c r="BI34" i="26"/>
  <c r="AV37" i="24"/>
  <c r="N33" i="25"/>
  <c r="AT60" i="25"/>
  <c r="AO51" i="25"/>
  <c r="AL43" i="25"/>
  <c r="AT44" i="26"/>
  <c r="AG51" i="26"/>
  <c r="BB48" i="26"/>
  <c r="AP54" i="28"/>
  <c r="AO41" i="26"/>
  <c r="AC35" i="26"/>
  <c r="BJ40" i="14"/>
  <c r="AT51" i="14"/>
  <c r="AY44" i="24"/>
  <c r="AM34" i="25"/>
  <c r="N40" i="27"/>
  <c r="V56" i="24"/>
  <c r="H46" i="25"/>
  <c r="AF51" i="27"/>
  <c r="B42" i="27"/>
  <c r="Y47" i="25"/>
  <c r="N36" i="25"/>
  <c r="AZ53" i="27"/>
  <c r="AP58" i="26"/>
  <c r="AC43" i="24"/>
  <c r="S60" i="26"/>
  <c r="Y47" i="26"/>
  <c r="Z36" i="24"/>
  <c r="V53" i="27"/>
  <c r="Y47" i="14"/>
  <c r="AX55" i="25"/>
  <c r="W38" i="28"/>
  <c r="AJ52" i="25"/>
  <c r="AT60" i="27"/>
  <c r="D44" i="25"/>
  <c r="L35" i="14"/>
  <c r="V59" i="27"/>
  <c r="BJ51" i="14"/>
  <c r="J49" i="25"/>
  <c r="AR51" i="24"/>
  <c r="Q39" i="25"/>
  <c r="AS33" i="27"/>
  <c r="W34" i="28"/>
  <c r="AW48" i="28"/>
  <c r="AY47" i="28"/>
  <c r="L34" i="25"/>
  <c r="E34" i="27"/>
  <c r="N60" i="24"/>
  <c r="AG42" i="28"/>
  <c r="AL46" i="24"/>
  <c r="X34" i="14"/>
  <c r="R49" i="28"/>
  <c r="H51" i="25"/>
  <c r="AO55" i="14"/>
  <c r="D33" i="25"/>
  <c r="P38" i="25"/>
  <c r="AV40" i="25"/>
  <c r="H49" i="27"/>
  <c r="AL33" i="24"/>
  <c r="AF40" i="24"/>
  <c r="AT55" i="27"/>
  <c r="U44" i="24"/>
  <c r="O45" i="24"/>
  <c r="Q51" i="24"/>
  <c r="BA37" i="14"/>
  <c r="AS54" i="28"/>
  <c r="AB54" i="14"/>
  <c r="AG57" i="26"/>
  <c r="AS45" i="25"/>
  <c r="BA48" i="24"/>
  <c r="AH36" i="25"/>
  <c r="AN59" i="25"/>
  <c r="AN52" i="26"/>
  <c r="AB59" i="14"/>
  <c r="AJ37" i="24"/>
  <c r="J44" i="26"/>
  <c r="M35" i="14"/>
  <c r="BK49" i="28"/>
  <c r="AA48" i="14"/>
  <c r="BC49" i="25"/>
  <c r="BF41" i="14"/>
  <c r="Y35" i="26"/>
  <c r="AH40" i="25"/>
  <c r="R49" i="14"/>
  <c r="T57" i="14"/>
  <c r="BJ58" i="25"/>
  <c r="Z48" i="14"/>
  <c r="W60" i="26"/>
  <c r="AJ60" i="24"/>
  <c r="L39" i="27"/>
  <c r="AC34" i="14"/>
  <c r="AQ41" i="14"/>
  <c r="AV60" i="24"/>
  <c r="AN57" i="14"/>
  <c r="AN53" i="14"/>
  <c r="W40" i="28"/>
  <c r="AK35" i="27"/>
  <c r="AM60" i="27"/>
  <c r="BJ43" i="28"/>
  <c r="R39" i="27"/>
  <c r="M35" i="25"/>
  <c r="AR46" i="27"/>
  <c r="AI60" i="24"/>
  <c r="L56" i="14"/>
  <c r="AB53" i="26"/>
  <c r="H54" i="14"/>
  <c r="Z34" i="25"/>
  <c r="K37" i="25"/>
  <c r="BG34" i="28"/>
  <c r="Y55" i="27"/>
  <c r="AA51" i="27"/>
  <c r="BI33" i="25"/>
  <c r="AQ37" i="24"/>
  <c r="BK56" i="24"/>
  <c r="R60" i="24"/>
  <c r="AB55" i="28"/>
  <c r="N42" i="24"/>
  <c r="X37" i="24"/>
  <c r="K49" i="27"/>
  <c r="Q52" i="14"/>
  <c r="V60" i="28"/>
  <c r="X59" i="28"/>
  <c r="BC59" i="27"/>
  <c r="Q55" i="25"/>
  <c r="AL56" i="27"/>
  <c r="BE60" i="25"/>
  <c r="Y38" i="27"/>
  <c r="AD35" i="25"/>
  <c r="AN51" i="26"/>
  <c r="F47" i="27"/>
  <c r="BB60" i="27"/>
  <c r="BJ49" i="24"/>
  <c r="G60" i="24"/>
  <c r="BG47" i="28"/>
  <c r="AK41" i="27"/>
  <c r="BA51" i="14"/>
  <c r="G50" i="26"/>
  <c r="Y59" i="27"/>
  <c r="AA49" i="28"/>
  <c r="S47" i="28"/>
  <c r="AX60" i="14"/>
  <c r="BC46" i="14"/>
  <c r="BC33" i="26"/>
  <c r="S50" i="28"/>
  <c r="AG34" i="27"/>
  <c r="BD48" i="28"/>
  <c r="BK60" i="27"/>
  <c r="AK41" i="26"/>
  <c r="B57" i="28"/>
  <c r="X39" i="14"/>
  <c r="BJ44" i="14"/>
  <c r="AN39" i="27"/>
  <c r="AO49" i="24"/>
  <c r="AF58" i="28"/>
  <c r="AM52" i="14"/>
  <c r="W45" i="25"/>
  <c r="M57" i="24"/>
  <c r="BG58" i="24"/>
  <c r="BE50" i="25"/>
  <c r="AZ58" i="27"/>
  <c r="AK48" i="26"/>
  <c r="F42" i="24"/>
  <c r="Y57" i="27"/>
  <c r="AQ37" i="25"/>
  <c r="BH59" i="25"/>
  <c r="Y56" i="28"/>
  <c r="AF39" i="28"/>
  <c r="AQ57" i="14"/>
  <c r="AY45" i="24"/>
  <c r="AW46" i="24"/>
  <c r="BH39" i="27"/>
  <c r="BE39" i="28"/>
  <c r="BE56" i="27"/>
  <c r="AX58" i="24"/>
  <c r="AS40" i="27"/>
  <c r="AB56" i="24"/>
  <c r="J43" i="26"/>
  <c r="B33" i="26"/>
  <c r="L60" i="25"/>
  <c r="AK56" i="28"/>
  <c r="AA46" i="14"/>
  <c r="Q50" i="14"/>
  <c r="G59" i="27"/>
  <c r="E46" i="27"/>
  <c r="X40" i="14"/>
  <c r="B53" i="14"/>
  <c r="B59" i="14"/>
  <c r="BA56" i="14"/>
  <c r="AU45" i="26"/>
  <c r="M44" i="25"/>
  <c r="AS45" i="24"/>
  <c r="BG40" i="27"/>
  <c r="AS60" i="14"/>
  <c r="J50" i="24"/>
  <c r="AS47" i="26"/>
  <c r="P59" i="25"/>
  <c r="BD57" i="14"/>
  <c r="BE38" i="25"/>
  <c r="AQ59" i="26"/>
  <c r="U48" i="26"/>
  <c r="AE53" i="25"/>
  <c r="BK58" i="28"/>
  <c r="AN53" i="25"/>
  <c r="F52" i="24"/>
  <c r="K46" i="27"/>
  <c r="AC46" i="25"/>
  <c r="AI38" i="28"/>
  <c r="R57" i="27"/>
  <c r="BF57" i="26"/>
  <c r="AN37" i="14"/>
  <c r="BI49" i="27"/>
  <c r="R50" i="24"/>
  <c r="AD45" i="26"/>
  <c r="BA52" i="26"/>
  <c r="R43" i="28"/>
  <c r="BI51" i="28"/>
  <c r="P50" i="28"/>
  <c r="AQ42" i="25"/>
  <c r="N60" i="26"/>
  <c r="W50" i="25"/>
  <c r="Z50" i="25"/>
  <c r="T51" i="25"/>
  <c r="L47" i="27"/>
  <c r="Z38" i="27"/>
  <c r="AE59" i="24"/>
  <c r="AY57" i="25"/>
  <c r="AA42" i="24"/>
  <c r="AU34" i="14"/>
  <c r="BJ53" i="27"/>
  <c r="O53" i="25"/>
  <c r="X35" i="25"/>
  <c r="AD52" i="25"/>
  <c r="Y51" i="26"/>
  <c r="P35" i="28"/>
  <c r="AN48" i="28"/>
  <c r="Q44" i="28"/>
  <c r="AF41" i="28"/>
  <c r="AC40" i="24"/>
  <c r="BK38" i="28"/>
  <c r="AT59" i="28"/>
  <c r="BE58" i="24"/>
  <c r="P54" i="14"/>
  <c r="R58" i="25"/>
  <c r="AG56" i="25"/>
  <c r="AX39" i="28"/>
  <c r="AC42" i="28"/>
  <c r="AM45" i="28"/>
  <c r="F43" i="28"/>
  <c r="AN46" i="26"/>
  <c r="BK35" i="28"/>
  <c r="L58" i="24"/>
  <c r="Z53" i="14"/>
  <c r="AF54" i="28"/>
  <c r="BA33" i="25"/>
  <c r="V47" i="28"/>
  <c r="B47" i="24"/>
  <c r="Q51" i="14"/>
  <c r="BH45" i="28"/>
  <c r="C56" i="25"/>
  <c r="AP44" i="14"/>
  <c r="L37" i="25"/>
  <c r="H54" i="27"/>
  <c r="J40" i="25"/>
  <c r="AQ58" i="14"/>
  <c r="AP38" i="27"/>
  <c r="AH56" i="27"/>
  <c r="BD40" i="26"/>
  <c r="AU52" i="28"/>
  <c r="F55" i="28"/>
  <c r="R33" i="25"/>
  <c r="AJ56" i="14"/>
  <c r="AJ58" i="25"/>
  <c r="AU53" i="24"/>
  <c r="X38" i="27"/>
  <c r="D36" i="28"/>
  <c r="AJ42" i="27"/>
  <c r="K36" i="27"/>
  <c r="Y45" i="27"/>
  <c r="BK44" i="28"/>
  <c r="AJ43" i="27"/>
  <c r="AD34" i="28"/>
  <c r="BD35" i="14"/>
  <c r="AR38" i="25"/>
  <c r="AY38" i="27"/>
  <c r="AE56" i="28"/>
  <c r="L34" i="24"/>
  <c r="AV60" i="26"/>
  <c r="AN55" i="26"/>
  <c r="AS37" i="27"/>
  <c r="AY45" i="27"/>
  <c r="AI54" i="27"/>
  <c r="BC45" i="25"/>
  <c r="BE42" i="14"/>
  <c r="AF50" i="28"/>
  <c r="AY36" i="26"/>
  <c r="I42" i="24"/>
  <c r="AJ42" i="24"/>
  <c r="AH60" i="27"/>
  <c r="U41" i="28"/>
  <c r="AM59" i="24"/>
  <c r="Q34" i="27"/>
  <c r="S60" i="28"/>
  <c r="AY45" i="26"/>
  <c r="AY57" i="28"/>
  <c r="AC35" i="14"/>
  <c r="AK58" i="25"/>
  <c r="O57" i="24"/>
  <c r="S60" i="14"/>
  <c r="G52" i="24"/>
  <c r="N60" i="14"/>
  <c r="AO40" i="27"/>
  <c r="AA38" i="28"/>
  <c r="BF46" i="24"/>
  <c r="L49" i="25"/>
  <c r="AG52" i="28"/>
  <c r="AG36" i="25"/>
  <c r="AW39" i="24"/>
  <c r="BA34" i="25"/>
  <c r="AA46" i="26"/>
  <c r="K48" i="27"/>
  <c r="AJ43" i="24"/>
  <c r="BG52" i="27"/>
  <c r="AA54" i="28"/>
  <c r="BF35" i="25"/>
  <c r="Q45" i="14"/>
  <c r="AQ34" i="25"/>
  <c r="C56" i="28"/>
  <c r="J36" i="14"/>
  <c r="BD33" i="24"/>
  <c r="T59" i="26"/>
  <c r="W36" i="25"/>
  <c r="AD54" i="25"/>
  <c r="BA44" i="28"/>
  <c r="AQ56" i="25"/>
  <c r="W41" i="26"/>
  <c r="AN56" i="25"/>
  <c r="B52" i="25"/>
  <c r="AK43" i="25"/>
  <c r="Y44" i="25"/>
  <c r="D37" i="27"/>
  <c r="AM33" i="26"/>
  <c r="AW47" i="14"/>
  <c r="AO50" i="25"/>
  <c r="AF58" i="25"/>
  <c r="S39" i="24"/>
  <c r="AU39" i="24"/>
  <c r="V37" i="14"/>
  <c r="AH58" i="27"/>
  <c r="AN55" i="27"/>
  <c r="AP37" i="27"/>
  <c r="AF41" i="24"/>
  <c r="I60" i="27"/>
  <c r="BD57" i="27"/>
  <c r="S41" i="14"/>
  <c r="Y40" i="25"/>
  <c r="AB35" i="25"/>
  <c r="AR52" i="26"/>
  <c r="BB55" i="28"/>
  <c r="S50" i="26"/>
  <c r="S51" i="24"/>
  <c r="AC47" i="28"/>
  <c r="BK50" i="14"/>
  <c r="AP39" i="14"/>
  <c r="AO35" i="25"/>
  <c r="BG56" i="14"/>
  <c r="J60" i="24"/>
  <c r="AB58" i="14"/>
  <c r="AD38" i="26"/>
  <c r="J39" i="14"/>
  <c r="M38" i="24"/>
  <c r="O50" i="26"/>
  <c r="AG58" i="25"/>
  <c r="AU60" i="28"/>
  <c r="BH45" i="26"/>
  <c r="AO55" i="28"/>
  <c r="AR57" i="28"/>
  <c r="B50" i="24"/>
  <c r="AR57" i="14"/>
  <c r="J55" i="28"/>
  <c r="AJ39" i="25"/>
  <c r="AA33" i="28"/>
  <c r="E53" i="28"/>
  <c r="BD34" i="25"/>
  <c r="BJ58" i="24"/>
  <c r="BG54" i="24"/>
  <c r="O54" i="25"/>
  <c r="BJ36" i="27"/>
  <c r="U37" i="27"/>
  <c r="Z45" i="28"/>
  <c r="AY48" i="14"/>
  <c r="BA54" i="14"/>
  <c r="AX58" i="28"/>
  <c r="X35" i="26"/>
  <c r="AK60" i="27"/>
  <c r="D38" i="26"/>
  <c r="AG38" i="24"/>
  <c r="BF35" i="26"/>
  <c r="BD48" i="26"/>
  <c r="I49" i="27"/>
  <c r="BH52" i="28"/>
  <c r="BA54" i="25"/>
  <c r="AJ35" i="25"/>
  <c r="N56" i="27"/>
  <c r="U50" i="24"/>
  <c r="G36" i="27"/>
  <c r="D39" i="28"/>
  <c r="E52" i="24"/>
  <c r="K57" i="27"/>
  <c r="AD60" i="27"/>
  <c r="AJ48" i="26"/>
  <c r="C56" i="26"/>
  <c r="D43" i="14"/>
  <c r="M60" i="14"/>
  <c r="BB51" i="27"/>
  <c r="BK56" i="28"/>
  <c r="S60" i="27"/>
  <c r="Z33" i="24"/>
  <c r="AV57" i="27"/>
  <c r="F40" i="28"/>
  <c r="AH36" i="24"/>
  <c r="F34" i="27"/>
  <c r="K51" i="14"/>
  <c r="I55" i="27"/>
  <c r="AL52" i="24"/>
  <c r="AK38" i="14"/>
  <c r="AZ42" i="26"/>
  <c r="N50" i="28"/>
  <c r="I39" i="14"/>
  <c r="AR53" i="14"/>
  <c r="BE60" i="14"/>
  <c r="AS35" i="28"/>
  <c r="AF35" i="14"/>
  <c r="BH59" i="24"/>
  <c r="Y40" i="26"/>
  <c r="AM34" i="14"/>
  <c r="BD47" i="27"/>
  <c r="AF42" i="27"/>
  <c r="AX57" i="25"/>
  <c r="AA60" i="26"/>
  <c r="BE35" i="25"/>
  <c r="O48" i="14"/>
  <c r="J50" i="25"/>
  <c r="H48" i="24"/>
  <c r="AV59" i="24"/>
  <c r="L39" i="25"/>
  <c r="AM45" i="25"/>
  <c r="I40" i="14"/>
  <c r="O58" i="28"/>
  <c r="V34" i="26"/>
  <c r="BI48" i="25"/>
  <c r="AP56" i="25"/>
  <c r="AA40" i="24"/>
  <c r="BG33" i="25"/>
  <c r="Z34" i="27"/>
  <c r="AD41" i="27"/>
  <c r="AC50" i="28"/>
  <c r="AH44" i="27"/>
  <c r="J34" i="25"/>
  <c r="AJ33" i="26"/>
  <c r="BE56" i="26"/>
  <c r="AG45" i="24"/>
  <c r="G33" i="14"/>
  <c r="G55" i="14"/>
  <c r="T54" i="24"/>
  <c r="AP57" i="28"/>
  <c r="AS53" i="27"/>
  <c r="AL43" i="28"/>
  <c r="AB58" i="27"/>
  <c r="AV51" i="27"/>
  <c r="G42" i="26"/>
  <c r="AN56" i="24"/>
  <c r="L42" i="27"/>
  <c r="AR51" i="14"/>
  <c r="AJ55" i="24"/>
  <c r="O46" i="14"/>
  <c r="R60" i="14"/>
  <c r="AH53" i="25"/>
  <c r="AN48" i="26"/>
  <c r="AQ40" i="24"/>
  <c r="H37" i="27"/>
  <c r="S52" i="24"/>
  <c r="L56" i="28"/>
  <c r="S56" i="28"/>
  <c r="AX40" i="14"/>
  <c r="T36" i="27"/>
  <c r="AQ51" i="28"/>
  <c r="Y41" i="14"/>
  <c r="O41" i="28"/>
  <c r="AP46" i="26"/>
  <c r="N42" i="28"/>
  <c r="G41" i="26"/>
  <c r="BE57" i="28"/>
  <c r="Y47" i="28"/>
  <c r="AZ37" i="27"/>
  <c r="AS57" i="28"/>
  <c r="BG45" i="28"/>
  <c r="AP55" i="25"/>
  <c r="T45" i="27"/>
  <c r="R44" i="25"/>
  <c r="W53" i="14"/>
  <c r="AN34" i="24"/>
  <c r="BB35" i="26"/>
  <c r="AI44" i="25"/>
  <c r="AI57" i="24"/>
  <c r="AL59" i="28"/>
  <c r="H55" i="14"/>
  <c r="T48" i="24"/>
  <c r="BE55" i="26"/>
  <c r="Y49" i="27"/>
  <c r="BB34" i="27"/>
  <c r="B36" i="26"/>
  <c r="I44" i="24"/>
  <c r="BC38" i="25"/>
  <c r="BD58" i="27"/>
  <c r="AI33" i="28"/>
  <c r="AV41" i="28"/>
  <c r="W36" i="14"/>
  <c r="AH37" i="28"/>
  <c r="BH50" i="25"/>
  <c r="BB57" i="14"/>
  <c r="AP40" i="26"/>
  <c r="AL57" i="25"/>
  <c r="AW45" i="27"/>
  <c r="BD33" i="25"/>
  <c r="G54" i="26"/>
  <c r="BI33" i="28"/>
  <c r="X36" i="14"/>
  <c r="BG57" i="24"/>
  <c r="AB33" i="28"/>
  <c r="F46" i="14"/>
  <c r="AR48" i="26"/>
  <c r="P34" i="24"/>
  <c r="AQ47" i="25"/>
  <c r="G44" i="26"/>
  <c r="AK47" i="27"/>
  <c r="AA38" i="26"/>
  <c r="AP60" i="24"/>
  <c r="I39" i="24"/>
  <c r="W55" i="28"/>
  <c r="AH41" i="27"/>
  <c r="AN60" i="24"/>
  <c r="AA48" i="28"/>
  <c r="S59" i="28"/>
  <c r="BK38" i="26"/>
  <c r="AD43" i="14"/>
  <c r="BC51" i="24"/>
  <c r="AN37" i="26"/>
  <c r="AB43" i="14"/>
  <c r="BI55" i="28"/>
  <c r="AC57" i="28"/>
  <c r="AB50" i="14"/>
  <c r="P43" i="24"/>
  <c r="BG57" i="28"/>
  <c r="AR45" i="24"/>
  <c r="P39" i="28"/>
  <c r="B43" i="14"/>
  <c r="M42" i="25"/>
  <c r="AP48" i="24"/>
  <c r="Q37" i="25"/>
  <c r="D39" i="24"/>
  <c r="AV54" i="26"/>
  <c r="P39" i="14"/>
  <c r="N52" i="25"/>
  <c r="AV59" i="25"/>
  <c r="BG38" i="25"/>
  <c r="E41" i="24"/>
  <c r="AA51" i="26"/>
  <c r="AV46" i="28"/>
  <c r="AB58" i="24"/>
  <c r="AR48" i="25"/>
  <c r="AI49" i="27"/>
  <c r="N33" i="14"/>
  <c r="AH43" i="24"/>
  <c r="AH42" i="14"/>
  <c r="AF43" i="28"/>
  <c r="H52" i="27"/>
  <c r="AN34" i="28"/>
  <c r="R34" i="25"/>
  <c r="F35" i="14"/>
  <c r="BK58" i="25"/>
  <c r="AE40" i="27"/>
  <c r="AQ39" i="28"/>
  <c r="AD48" i="24"/>
  <c r="P36" i="24"/>
  <c r="X34" i="27"/>
  <c r="BA45" i="24"/>
  <c r="AF57" i="26"/>
  <c r="T47" i="27"/>
  <c r="B55" i="27"/>
  <c r="AF43" i="25"/>
  <c r="K54" i="27"/>
  <c r="I38" i="26"/>
  <c r="AX49" i="28"/>
  <c r="AH51" i="25"/>
  <c r="I54" i="25"/>
  <c r="AI52" i="24"/>
  <c r="O51" i="27"/>
  <c r="C35" i="27"/>
  <c r="AR51" i="26"/>
  <c r="C55" i="26"/>
  <c r="AA54" i="27"/>
  <c r="AB48" i="14"/>
  <c r="J46" i="24"/>
  <c r="AM39" i="26"/>
  <c r="S54" i="24"/>
  <c r="AH57" i="28"/>
  <c r="X39" i="24"/>
  <c r="BK59" i="26"/>
  <c r="AS37" i="14"/>
  <c r="B38" i="24"/>
  <c r="AF36" i="28"/>
  <c r="AJ60" i="28"/>
  <c r="V33" i="24"/>
  <c r="AK56" i="25"/>
  <c r="BD37" i="28"/>
  <c r="AX42" i="24"/>
  <c r="Y60" i="26"/>
  <c r="BI37" i="27"/>
  <c r="AU60" i="27"/>
  <c r="AM47" i="27"/>
  <c r="BD60" i="27"/>
  <c r="AP38" i="26"/>
  <c r="J48" i="25"/>
  <c r="BG49" i="24"/>
  <c r="B52" i="27"/>
  <c r="BA34" i="27"/>
  <c r="Y57" i="25"/>
  <c r="BJ34" i="26"/>
  <c r="H49" i="25"/>
  <c r="AW45" i="26"/>
  <c r="M34" i="26"/>
  <c r="BA36" i="14"/>
  <c r="AE58" i="24"/>
  <c r="AK33" i="14"/>
  <c r="L36" i="24"/>
  <c r="BJ39" i="24"/>
  <c r="K51" i="28"/>
  <c r="BG34" i="27"/>
  <c r="Z56" i="14"/>
  <c r="AU47" i="14"/>
  <c r="D44" i="26"/>
  <c r="BJ33" i="25"/>
  <c r="AJ33" i="24"/>
  <c r="AZ56" i="28"/>
  <c r="AN45" i="26"/>
  <c r="I40" i="25"/>
  <c r="BF50" i="25"/>
  <c r="AR44" i="26"/>
  <c r="J56" i="28"/>
  <c r="AF33" i="14"/>
  <c r="O56" i="27"/>
  <c r="AA39" i="14"/>
  <c r="Z42" i="24"/>
  <c r="I46" i="27"/>
  <c r="AW56" i="26"/>
  <c r="AU45" i="28"/>
  <c r="BD60" i="26"/>
  <c r="AR33" i="27"/>
  <c r="U44" i="14"/>
  <c r="K41" i="27"/>
  <c r="Z59" i="27"/>
  <c r="Y60" i="27"/>
  <c r="AB42" i="27"/>
  <c r="AI58" i="27"/>
  <c r="O42" i="25"/>
  <c r="BH55" i="24"/>
  <c r="BF37" i="25"/>
  <c r="D41" i="26"/>
  <c r="Y49" i="26"/>
  <c r="AA37" i="26"/>
  <c r="BD38" i="26"/>
  <c r="H34" i="14"/>
  <c r="AA34" i="25"/>
  <c r="BA59" i="24"/>
  <c r="AD60" i="28"/>
  <c r="AJ46" i="28"/>
  <c r="I39" i="26"/>
  <c r="C41" i="14"/>
  <c r="AA47" i="26"/>
  <c r="AB59" i="28"/>
  <c r="AP42" i="24"/>
  <c r="AT39" i="24"/>
  <c r="Q51" i="25"/>
  <c r="AV46" i="27"/>
  <c r="AE43" i="27"/>
  <c r="BK39" i="26"/>
  <c r="Z35" i="27"/>
  <c r="AA45" i="26"/>
  <c r="AK43" i="26"/>
  <c r="L39" i="28"/>
  <c r="AA57" i="27"/>
  <c r="D40" i="24"/>
  <c r="J44" i="27"/>
  <c r="L56" i="27"/>
  <c r="M34" i="28"/>
  <c r="N49" i="25"/>
  <c r="AL44" i="24"/>
  <c r="AM55" i="28"/>
  <c r="BB59" i="27"/>
  <c r="W59" i="24"/>
  <c r="I47" i="14"/>
  <c r="H47" i="24"/>
  <c r="BE45" i="24"/>
  <c r="AS36" i="26"/>
  <c r="AL41" i="25"/>
  <c r="AR50" i="25"/>
  <c r="H35" i="14"/>
  <c r="AR48" i="27"/>
  <c r="BK36" i="25"/>
  <c r="AK58" i="26"/>
  <c r="L53" i="27"/>
  <c r="AO58" i="25"/>
  <c r="AT33" i="27"/>
  <c r="AR39" i="27"/>
  <c r="BE41" i="27"/>
  <c r="BC36" i="25"/>
  <c r="AH39" i="28"/>
  <c r="BF56" i="26"/>
  <c r="X48" i="26"/>
  <c r="H36" i="28"/>
  <c r="J56" i="27"/>
  <c r="L43" i="28"/>
  <c r="AZ45" i="27"/>
  <c r="AY48" i="27"/>
  <c r="BH46" i="26"/>
  <c r="G47" i="25"/>
  <c r="G56" i="25"/>
  <c r="AE35" i="14"/>
  <c r="AH53" i="24"/>
  <c r="AD58" i="26"/>
  <c r="B34" i="28"/>
  <c r="AZ33" i="26"/>
  <c r="N48" i="14"/>
  <c r="AB47" i="14"/>
  <c r="Q54" i="28"/>
  <c r="AS47" i="24"/>
  <c r="AA46" i="24"/>
  <c r="AI42" i="14"/>
  <c r="AG53" i="24"/>
  <c r="AJ44" i="26"/>
  <c r="AK44" i="25"/>
  <c r="AY42" i="14"/>
  <c r="AF60" i="27"/>
  <c r="B51" i="28"/>
  <c r="S40" i="27"/>
  <c r="Q55" i="27"/>
  <c r="BJ38" i="25"/>
  <c r="P57" i="24"/>
  <c r="AY56" i="24"/>
  <c r="J43" i="25"/>
  <c r="AW47" i="25"/>
  <c r="J38" i="28"/>
  <c r="AF37" i="26"/>
  <c r="AS38" i="28"/>
  <c r="BI52" i="28"/>
  <c r="AX37" i="14"/>
  <c r="AA49" i="27"/>
  <c r="R53" i="14"/>
  <c r="P60" i="25"/>
  <c r="AG35" i="14"/>
  <c r="AT54" i="25"/>
  <c r="AR59" i="14"/>
  <c r="F59" i="14"/>
  <c r="AD59" i="24"/>
  <c r="X50" i="25"/>
  <c r="AV49" i="27"/>
  <c r="AC50" i="26"/>
  <c r="M47" i="27"/>
  <c r="AO60" i="14"/>
  <c r="I45" i="27"/>
  <c r="AZ41" i="14"/>
  <c r="AR43" i="14"/>
  <c r="BI41" i="26"/>
  <c r="AN54" i="28"/>
  <c r="AL50" i="26"/>
  <c r="BJ58" i="14"/>
  <c r="AL45" i="27"/>
  <c r="AU48" i="24"/>
  <c r="AH39" i="27"/>
  <c r="BF58" i="28"/>
  <c r="K56" i="26"/>
  <c r="AW43" i="24"/>
  <c r="Z56" i="27"/>
  <c r="K48" i="25"/>
  <c r="L42" i="25"/>
  <c r="Q41" i="27"/>
  <c r="AY34" i="27"/>
  <c r="L51" i="24"/>
  <c r="AE57" i="28"/>
  <c r="J40" i="28"/>
  <c r="AW37" i="14"/>
  <c r="T54" i="28"/>
  <c r="Z34" i="28"/>
  <c r="AM38" i="14"/>
  <c r="T48" i="26"/>
  <c r="BE36" i="28"/>
  <c r="AQ59" i="14"/>
  <c r="AJ58" i="27"/>
  <c r="G42" i="25"/>
  <c r="BK48" i="14"/>
  <c r="AI56" i="24"/>
  <c r="AT56" i="28"/>
  <c r="AB55" i="14"/>
  <c r="BA43" i="26"/>
  <c r="AP53" i="24"/>
  <c r="BI47" i="27"/>
  <c r="BK59" i="25"/>
  <c r="AV58" i="26"/>
  <c r="AE46" i="14"/>
  <c r="Q41" i="25"/>
  <c r="AG51" i="27"/>
  <c r="L60" i="14"/>
  <c r="W36" i="28"/>
  <c r="BA46" i="28"/>
  <c r="BC40" i="14"/>
  <c r="AM57" i="14"/>
  <c r="AV41" i="14"/>
  <c r="AQ33" i="28"/>
  <c r="G57" i="27"/>
  <c r="BA50" i="14"/>
  <c r="W52" i="28"/>
  <c r="S51" i="26"/>
  <c r="AN50" i="27"/>
  <c r="Q34" i="26"/>
  <c r="R42" i="26"/>
  <c r="AM33" i="14"/>
  <c r="AD59" i="14"/>
  <c r="AP33" i="14"/>
  <c r="R50" i="28"/>
  <c r="J50" i="14"/>
  <c r="AZ46" i="26"/>
  <c r="AN44" i="28"/>
  <c r="AB38" i="14"/>
  <c r="AD33" i="28"/>
  <c r="AT38" i="28"/>
  <c r="BJ35" i="27"/>
  <c r="AX53" i="26"/>
  <c r="AB55" i="24"/>
  <c r="BA44" i="25"/>
  <c r="O34" i="24"/>
  <c r="Y51" i="25"/>
  <c r="P35" i="14"/>
  <c r="Y33" i="28"/>
  <c r="K58" i="25"/>
  <c r="O37" i="14"/>
  <c r="H48" i="27"/>
  <c r="N49" i="27"/>
  <c r="AL46" i="28"/>
  <c r="Y36" i="14"/>
  <c r="BF53" i="28"/>
  <c r="AW54" i="14"/>
  <c r="BD56" i="14"/>
  <c r="AX51" i="25"/>
  <c r="AE41" i="24"/>
  <c r="AL41" i="24"/>
  <c r="AR60" i="25"/>
  <c r="AR38" i="28"/>
  <c r="AE45" i="25"/>
  <c r="S54" i="26"/>
  <c r="BA57" i="26"/>
  <c r="BH43" i="26"/>
  <c r="V44" i="24"/>
  <c r="AS37" i="26"/>
  <c r="AO42" i="14"/>
  <c r="V41" i="24"/>
  <c r="O34" i="25"/>
  <c r="AX43" i="25"/>
  <c r="AB60" i="28"/>
  <c r="BC34" i="25"/>
  <c r="J35" i="14"/>
  <c r="I43" i="28"/>
  <c r="BE55" i="27"/>
  <c r="BI51" i="14"/>
  <c r="S58" i="26"/>
  <c r="W39" i="25"/>
  <c r="L42" i="24"/>
  <c r="Y53" i="14"/>
  <c r="L38" i="27"/>
  <c r="E42" i="27"/>
  <c r="O53" i="26"/>
  <c r="AU47" i="24"/>
  <c r="AR54" i="28"/>
  <c r="U48" i="27"/>
  <c r="AA43" i="28"/>
  <c r="N50" i="26"/>
  <c r="AI43" i="25"/>
  <c r="AV53" i="14"/>
  <c r="N41" i="24"/>
  <c r="S45" i="25"/>
  <c r="M48" i="27"/>
  <c r="AY59" i="28"/>
  <c r="BG41" i="27"/>
  <c r="F58" i="14"/>
  <c r="S43" i="24"/>
  <c r="AN38" i="28"/>
  <c r="W49" i="25"/>
  <c r="W34" i="26"/>
  <c r="AE39" i="27"/>
  <c r="E39" i="27"/>
  <c r="BE44" i="27"/>
  <c r="AM43" i="25"/>
  <c r="AS59" i="26"/>
  <c r="C39" i="25"/>
  <c r="AN37" i="27"/>
  <c r="AA35" i="25"/>
  <c r="AN54" i="14"/>
  <c r="BG55" i="25"/>
  <c r="BJ47" i="25"/>
  <c r="AG47" i="14"/>
  <c r="E34" i="24"/>
  <c r="U55" i="25"/>
  <c r="D58" i="27"/>
  <c r="AK57" i="14"/>
  <c r="AU35" i="26"/>
  <c r="H38" i="24"/>
  <c r="AE60" i="28"/>
  <c r="R35" i="24"/>
  <c r="K59" i="24"/>
  <c r="AG53" i="25"/>
  <c r="AE37" i="26"/>
  <c r="T48" i="27"/>
  <c r="F49" i="24"/>
  <c r="K53" i="14"/>
  <c r="AN60" i="25"/>
  <c r="BH40" i="14"/>
  <c r="AR33" i="25"/>
  <c r="R51" i="14"/>
  <c r="AD33" i="27"/>
  <c r="AY39" i="25"/>
  <c r="BI49" i="14"/>
  <c r="N53" i="26"/>
  <c r="AF38" i="24"/>
  <c r="Q46" i="27"/>
  <c r="AJ36" i="25"/>
  <c r="BI54" i="26"/>
  <c r="H44" i="25"/>
  <c r="BC55" i="26"/>
  <c r="M36" i="25"/>
  <c r="AY58" i="26"/>
  <c r="D55" i="28"/>
  <c r="L33" i="26"/>
  <c r="K33" i="24"/>
  <c r="AF53" i="26"/>
  <c r="V52" i="14"/>
  <c r="AN58" i="25"/>
  <c r="AK39" i="24"/>
  <c r="G39" i="26"/>
  <c r="E59" i="14"/>
  <c r="AU51" i="14"/>
  <c r="BB44" i="27"/>
  <c r="AL50" i="24"/>
  <c r="V35" i="14"/>
  <c r="AI55" i="28"/>
  <c r="BC58" i="25"/>
  <c r="AC49" i="26"/>
  <c r="BF54" i="25"/>
  <c r="BA40" i="28"/>
  <c r="Y40" i="27"/>
  <c r="AG44" i="26"/>
  <c r="Y52" i="28"/>
  <c r="BA60" i="24"/>
  <c r="AG38" i="26"/>
  <c r="AU35" i="27"/>
  <c r="AN44" i="24"/>
  <c r="AF40" i="14"/>
  <c r="L49" i="27"/>
  <c r="AW34" i="24"/>
  <c r="AL47" i="28"/>
  <c r="BE55" i="14"/>
  <c r="AE47" i="28"/>
  <c r="AO38" i="28"/>
  <c r="AT58" i="14"/>
  <c r="W49" i="14"/>
  <c r="AV50" i="26"/>
  <c r="AI58" i="25"/>
  <c r="L59" i="24"/>
  <c r="BJ57" i="24"/>
  <c r="BB58" i="28"/>
  <c r="AP41" i="25"/>
  <c r="AF51" i="14"/>
  <c r="AY50" i="28"/>
  <c r="AI51" i="28"/>
  <c r="BH52" i="14"/>
  <c r="X54" i="27"/>
  <c r="Y50" i="28"/>
  <c r="J40" i="26"/>
  <c r="M50" i="14"/>
  <c r="AG51" i="14"/>
  <c r="D46" i="25"/>
  <c r="AQ47" i="28"/>
  <c r="AK55" i="24"/>
  <c r="T48" i="28"/>
  <c r="AT57" i="28"/>
  <c r="BC35" i="24"/>
  <c r="AX55" i="28"/>
  <c r="AA44" i="14"/>
  <c r="B33" i="24"/>
  <c r="BI47" i="24"/>
  <c r="AD59" i="26"/>
  <c r="G47" i="26"/>
  <c r="AP47" i="25"/>
  <c r="D33" i="28"/>
  <c r="BE52" i="27"/>
  <c r="AE40" i="24"/>
  <c r="G38" i="26"/>
  <c r="F51" i="28"/>
  <c r="C36" i="14"/>
  <c r="V43" i="28"/>
  <c r="Y56" i="25"/>
  <c r="BG40" i="26"/>
  <c r="G46" i="14"/>
  <c r="BH51" i="27"/>
  <c r="AZ34" i="28"/>
  <c r="M60" i="28"/>
  <c r="H51" i="27"/>
  <c r="BD33" i="28"/>
  <c r="AZ35" i="27"/>
  <c r="U60" i="27"/>
  <c r="AK40" i="26"/>
  <c r="BB43" i="24"/>
  <c r="BE54" i="24"/>
  <c r="BE33" i="25"/>
  <c r="C43" i="26"/>
  <c r="AU36" i="25"/>
  <c r="AG50" i="24"/>
  <c r="AT36" i="14"/>
  <c r="BI42" i="14"/>
  <c r="AO50" i="14"/>
  <c r="AC55" i="25"/>
  <c r="BC41" i="25"/>
  <c r="BK59" i="24"/>
  <c r="BB47" i="25"/>
  <c r="Q33" i="28"/>
  <c r="AE38" i="27"/>
  <c r="X33" i="26"/>
  <c r="L41" i="24"/>
  <c r="F50" i="14"/>
  <c r="AG49" i="24"/>
  <c r="AI54" i="28"/>
  <c r="B57" i="24"/>
  <c r="BH38" i="28"/>
  <c r="AN35" i="25"/>
  <c r="T35" i="27"/>
  <c r="B48" i="26"/>
  <c r="T56" i="14"/>
  <c r="E46" i="26"/>
  <c r="BH59" i="28"/>
  <c r="T44" i="27"/>
  <c r="AG60" i="14"/>
  <c r="T41" i="25"/>
  <c r="AE33" i="25"/>
  <c r="AS50" i="14"/>
  <c r="J49" i="14"/>
  <c r="AY51" i="14"/>
  <c r="F42" i="28"/>
  <c r="Y49" i="28"/>
  <c r="G42" i="14"/>
  <c r="AL43" i="27"/>
  <c r="AJ49" i="24"/>
  <c r="AW43" i="28"/>
  <c r="P56" i="14"/>
  <c r="AI56" i="27"/>
  <c r="AC38" i="28"/>
  <c r="V48" i="25"/>
  <c r="J51" i="25"/>
  <c r="AY41" i="28"/>
  <c r="X38" i="14"/>
  <c r="BK53" i="28"/>
  <c r="AA40" i="25"/>
  <c r="AU41" i="25"/>
  <c r="E35" i="28"/>
  <c r="AB39" i="28"/>
  <c r="AV35" i="26"/>
  <c r="AM59" i="28"/>
  <c r="BE43" i="25"/>
  <c r="AK33" i="24"/>
  <c r="X53" i="26"/>
  <c r="BJ45" i="27"/>
  <c r="AT38" i="25"/>
  <c r="AT60" i="26"/>
  <c r="H50" i="14"/>
  <c r="L52" i="25"/>
  <c r="G47" i="14"/>
  <c r="AL36" i="24"/>
  <c r="AW48" i="24"/>
  <c r="AB46" i="25"/>
  <c r="S53" i="28"/>
  <c r="AW42" i="27"/>
  <c r="I50" i="27"/>
  <c r="E45" i="14"/>
  <c r="I34" i="28"/>
  <c r="AK39" i="27"/>
  <c r="BF46" i="26"/>
  <c r="T47" i="26"/>
  <c r="G48" i="26"/>
  <c r="BC55" i="25"/>
  <c r="AU46" i="25"/>
  <c r="E52" i="14"/>
  <c r="BB59" i="24"/>
  <c r="X38" i="28"/>
  <c r="P34" i="26"/>
  <c r="E52" i="25"/>
  <c r="P38" i="14"/>
  <c r="P35" i="24"/>
  <c r="M51" i="26"/>
  <c r="AY33" i="25"/>
  <c r="AR53" i="28"/>
  <c r="W50" i="28"/>
  <c r="X58" i="28"/>
  <c r="AB34" i="25"/>
  <c r="AY37" i="26"/>
  <c r="AC41" i="28"/>
  <c r="AU43" i="24"/>
  <c r="AW46" i="26"/>
  <c r="AV44" i="24"/>
  <c r="AO36" i="25"/>
  <c r="BD53" i="24"/>
  <c r="Q53" i="26"/>
  <c r="I48" i="28"/>
  <c r="Z50" i="28"/>
  <c r="S35" i="27"/>
  <c r="I36" i="25"/>
  <c r="BH47" i="27"/>
  <c r="AZ56" i="27"/>
  <c r="AF53" i="24"/>
  <c r="AJ40" i="26"/>
  <c r="AB45" i="25"/>
  <c r="Q47" i="24"/>
  <c r="E55" i="26"/>
  <c r="AO57" i="14"/>
  <c r="BK36" i="26"/>
  <c r="BF58" i="24"/>
  <c r="AB46" i="14"/>
  <c r="L33" i="27"/>
  <c r="AM55" i="14"/>
  <c r="H57" i="28"/>
  <c r="L38" i="28"/>
  <c r="AP45" i="14"/>
  <c r="AV51" i="28"/>
  <c r="C38" i="26"/>
  <c r="AV59" i="27"/>
  <c r="AO45" i="14"/>
  <c r="BK34" i="24"/>
  <c r="AP51" i="27"/>
  <c r="E38" i="27"/>
  <c r="AR37" i="14"/>
  <c r="D59" i="25"/>
  <c r="BA55" i="27"/>
  <c r="AG33" i="26"/>
  <c r="W55" i="24"/>
  <c r="AE43" i="25"/>
  <c r="AC47" i="24"/>
  <c r="BE58" i="27"/>
  <c r="J52" i="28"/>
  <c r="BE48" i="27"/>
  <c r="BB37" i="27"/>
  <c r="E59" i="26"/>
  <c r="AW33" i="24"/>
  <c r="AB41" i="14"/>
  <c r="AE44" i="24"/>
  <c r="AH48" i="26"/>
  <c r="AU48" i="25"/>
  <c r="O51" i="25"/>
  <c r="AV52" i="25"/>
  <c r="F44" i="27"/>
  <c r="AQ45" i="28"/>
  <c r="P46" i="27"/>
  <c r="BH59" i="27"/>
  <c r="BE36" i="14"/>
  <c r="N53" i="25"/>
  <c r="BA56" i="28"/>
  <c r="F53" i="14"/>
  <c r="T47" i="25"/>
  <c r="R45" i="27"/>
  <c r="I59" i="24"/>
  <c r="AC38" i="26"/>
  <c r="AQ55" i="27"/>
  <c r="AQ44" i="28"/>
  <c r="BJ46" i="14"/>
  <c r="AM44" i="27"/>
  <c r="AO39" i="26"/>
  <c r="AH42" i="25"/>
  <c r="BF40" i="14"/>
  <c r="V34" i="24"/>
  <c r="AL36" i="25"/>
  <c r="AR60" i="27"/>
  <c r="Z47" i="25"/>
  <c r="AF50" i="14"/>
  <c r="T35" i="24"/>
  <c r="AB56" i="28"/>
  <c r="K36" i="25"/>
  <c r="Z35" i="28"/>
  <c r="AO53" i="28"/>
  <c r="AE60" i="27"/>
  <c r="L40" i="26"/>
  <c r="O45" i="26"/>
  <c r="O41" i="27"/>
  <c r="I51" i="26"/>
  <c r="AU37" i="14"/>
  <c r="K46" i="14"/>
  <c r="O49" i="27"/>
  <c r="D33" i="27"/>
  <c r="AS49" i="24"/>
  <c r="H38" i="28"/>
  <c r="R55" i="25"/>
  <c r="BG53" i="28"/>
  <c r="N39" i="24"/>
  <c r="AI39" i="27"/>
  <c r="AV56" i="14"/>
  <c r="AU39" i="14"/>
  <c r="G35" i="24"/>
  <c r="G44" i="28"/>
  <c r="F33" i="24"/>
  <c r="R56" i="25"/>
  <c r="AR58" i="27"/>
  <c r="AV53" i="24"/>
  <c r="BH42" i="28"/>
  <c r="AD37" i="26"/>
  <c r="AI53" i="25"/>
  <c r="K59" i="26"/>
  <c r="P41" i="26"/>
  <c r="E51" i="27"/>
  <c r="AU60" i="24"/>
  <c r="BD46" i="24"/>
  <c r="AX36" i="28"/>
  <c r="AU48" i="26"/>
  <c r="N44" i="24"/>
  <c r="BF40" i="27"/>
  <c r="Y60" i="28"/>
  <c r="AD38" i="27"/>
  <c r="J37" i="25"/>
  <c r="AF46" i="28"/>
  <c r="I39" i="28"/>
  <c r="BK37" i="14"/>
  <c r="I43" i="14"/>
  <c r="I57" i="28"/>
  <c r="AZ45" i="14"/>
  <c r="AI36" i="24"/>
  <c r="C44" i="24"/>
  <c r="BF34" i="28"/>
  <c r="J42" i="26"/>
  <c r="O50" i="24"/>
  <c r="H34" i="24"/>
  <c r="AL33" i="14"/>
  <c r="P44" i="28"/>
  <c r="AG44" i="25"/>
  <c r="BB39" i="14"/>
  <c r="V44" i="28"/>
  <c r="K44" i="24"/>
  <c r="P39" i="27"/>
  <c r="N53" i="28"/>
  <c r="U44" i="26"/>
  <c r="AH54" i="28"/>
  <c r="P52" i="14"/>
  <c r="BJ53" i="28"/>
  <c r="F55" i="25"/>
  <c r="AB50" i="27"/>
  <c r="AD40" i="24"/>
  <c r="Q41" i="28"/>
  <c r="C60" i="28"/>
  <c r="AK49" i="26"/>
  <c r="X56" i="28"/>
  <c r="J43" i="24"/>
  <c r="M46" i="14"/>
  <c r="BF44" i="24"/>
  <c r="G43" i="27"/>
  <c r="O50" i="25"/>
  <c r="BA42" i="25"/>
  <c r="AJ41" i="24"/>
  <c r="BC36" i="24"/>
  <c r="AQ56" i="28"/>
  <c r="AC41" i="25"/>
  <c r="AV46" i="24"/>
  <c r="S46" i="28"/>
  <c r="BF54" i="26"/>
  <c r="L46" i="25"/>
  <c r="H33" i="25"/>
  <c r="P59" i="14"/>
  <c r="AM50" i="24"/>
  <c r="AY52" i="25"/>
  <c r="AO47" i="28"/>
  <c r="AX37" i="27"/>
  <c r="G46" i="26"/>
  <c r="BF39" i="27"/>
  <c r="Y33" i="24"/>
  <c r="AV36" i="27"/>
  <c r="AL56" i="26"/>
  <c r="AE42" i="24"/>
  <c r="AF35" i="27"/>
  <c r="AB38" i="24"/>
  <c r="P58" i="27"/>
  <c r="AK38" i="28"/>
  <c r="BA40" i="14"/>
  <c r="AM53" i="27"/>
  <c r="AQ39" i="27"/>
  <c r="AG59" i="27"/>
  <c r="AL48" i="28"/>
  <c r="AV43" i="26"/>
  <c r="AD56" i="25"/>
  <c r="N54" i="24"/>
  <c r="AP50" i="24"/>
  <c r="T43" i="27"/>
  <c r="U60" i="26"/>
  <c r="Y54" i="27"/>
  <c r="AI50" i="26"/>
  <c r="BF40" i="24"/>
  <c r="V39" i="26"/>
  <c r="AV40" i="24"/>
  <c r="AV51" i="24"/>
  <c r="BF40" i="25"/>
  <c r="AO49" i="26"/>
  <c r="AH54" i="26"/>
  <c r="Q42" i="25"/>
  <c r="R59" i="28"/>
  <c r="J38" i="14"/>
  <c r="AY35" i="26"/>
  <c r="BK44" i="25"/>
  <c r="BA40" i="26"/>
  <c r="BH34" i="14"/>
  <c r="BF35" i="24"/>
  <c r="BB35" i="25"/>
  <c r="AN47" i="27"/>
  <c r="M45" i="24"/>
  <c r="T41" i="28"/>
  <c r="AP50" i="28"/>
  <c r="F45" i="27"/>
  <c r="M33" i="27"/>
  <c r="AC39" i="14"/>
  <c r="R52" i="25"/>
  <c r="I54" i="26"/>
  <c r="J39" i="24"/>
  <c r="AA47" i="27"/>
  <c r="AY46" i="14"/>
  <c r="M37" i="28"/>
  <c r="D53" i="27"/>
  <c r="L35" i="28"/>
  <c r="AY47" i="25"/>
  <c r="BI50" i="27"/>
  <c r="AV49" i="25"/>
  <c r="BK43" i="26"/>
  <c r="AX47" i="24"/>
  <c r="BH60" i="26"/>
  <c r="AJ48" i="25"/>
  <c r="C54" i="28"/>
  <c r="AR35" i="14"/>
  <c r="BH55" i="14"/>
  <c r="BI38" i="28"/>
  <c r="AM48" i="25"/>
  <c r="BG37" i="14"/>
  <c r="AW36" i="28"/>
  <c r="AD46" i="27"/>
  <c r="BA41" i="26"/>
  <c r="AY57" i="27"/>
  <c r="R34" i="26"/>
  <c r="AK38" i="27"/>
  <c r="BK51" i="28"/>
  <c r="AK50" i="27"/>
  <c r="W55" i="27"/>
  <c r="AR49" i="26"/>
  <c r="BF56" i="14"/>
  <c r="Y34" i="25"/>
  <c r="G56" i="26"/>
  <c r="BI38" i="27"/>
  <c r="O44" i="14"/>
  <c r="N42" i="26"/>
  <c r="BK41" i="27"/>
  <c r="BI42" i="25"/>
  <c r="N38" i="14"/>
  <c r="AS56" i="24"/>
  <c r="AI50" i="27"/>
  <c r="D43" i="26"/>
  <c r="Z35" i="24"/>
  <c r="O37" i="26"/>
  <c r="AC40" i="28"/>
  <c r="AZ51" i="27"/>
  <c r="AI42" i="27"/>
  <c r="AP56" i="14"/>
  <c r="D51" i="27"/>
  <c r="AB49" i="28"/>
  <c r="U46" i="28"/>
  <c r="AW34" i="28"/>
  <c r="E33" i="26"/>
  <c r="BC54" i="14"/>
  <c r="BH43" i="28"/>
  <c r="AN45" i="28"/>
  <c r="V37" i="28"/>
  <c r="AF54" i="25"/>
  <c r="M35" i="28"/>
  <c r="AW36" i="27"/>
  <c r="K39" i="25"/>
  <c r="R41" i="28"/>
  <c r="AC49" i="28"/>
  <c r="C37" i="27"/>
  <c r="AK42" i="27"/>
  <c r="P41" i="28"/>
  <c r="N34" i="28"/>
  <c r="Z49" i="25"/>
  <c r="I60" i="24"/>
  <c r="X45" i="27"/>
  <c r="AZ55" i="24"/>
  <c r="BA52" i="25"/>
  <c r="AW34" i="14"/>
  <c r="AX57" i="26"/>
  <c r="BC42" i="27"/>
  <c r="AU49" i="28"/>
  <c r="BB46" i="26"/>
  <c r="AL51" i="28"/>
  <c r="Y33" i="27"/>
  <c r="K53" i="24"/>
  <c r="BC38" i="14"/>
  <c r="AQ45" i="27"/>
  <c r="C38" i="14"/>
  <c r="AN60" i="27"/>
  <c r="AV53" i="28"/>
  <c r="R44" i="27"/>
  <c r="AK46" i="28"/>
  <c r="X51" i="14"/>
  <c r="M56" i="26"/>
  <c r="D46" i="28"/>
  <c r="AD33" i="26"/>
  <c r="Q38" i="27"/>
  <c r="AS48" i="24"/>
  <c r="Z42" i="26"/>
  <c r="L46" i="27"/>
  <c r="D56" i="28"/>
  <c r="AW38" i="14"/>
  <c r="BD46" i="26"/>
  <c r="C42" i="27"/>
  <c r="BF53" i="26"/>
  <c r="X53" i="14"/>
  <c r="BB54" i="25"/>
  <c r="BB41" i="24"/>
  <c r="D53" i="28"/>
  <c r="E39" i="25"/>
  <c r="Z44" i="28"/>
  <c r="B56" i="27"/>
  <c r="C57" i="25"/>
  <c r="AT45" i="26"/>
  <c r="AU37" i="26"/>
  <c r="AY35" i="25"/>
  <c r="AU35" i="24"/>
  <c r="D54" i="26"/>
  <c r="BF40" i="28"/>
  <c r="P58" i="26"/>
  <c r="Q58" i="27"/>
  <c r="R37" i="26"/>
  <c r="E53" i="25"/>
  <c r="AP41" i="24"/>
  <c r="J50" i="27"/>
  <c r="BB37" i="28"/>
  <c r="N41" i="14"/>
  <c r="Z58" i="28"/>
  <c r="AH54" i="25"/>
  <c r="AZ46" i="14"/>
  <c r="BF36" i="24"/>
  <c r="S34" i="25"/>
  <c r="AD52" i="26"/>
  <c r="C37" i="25"/>
  <c r="K48" i="24"/>
  <c r="AE49" i="26"/>
  <c r="F60" i="28"/>
  <c r="AF40" i="27"/>
  <c r="U48" i="28"/>
  <c r="H33" i="24"/>
  <c r="BK48" i="28"/>
  <c r="AV48" i="28"/>
  <c r="AD57" i="24"/>
  <c r="AS33" i="28"/>
  <c r="B43" i="28"/>
  <c r="AU60" i="14"/>
  <c r="Q54" i="25"/>
  <c r="BG34" i="14"/>
  <c r="G39" i="28"/>
  <c r="BC49" i="27"/>
  <c r="AB41" i="24"/>
  <c r="AY51" i="27"/>
  <c r="V48" i="24"/>
  <c r="C47" i="26"/>
  <c r="BK34" i="27"/>
  <c r="AL56" i="14"/>
  <c r="F49" i="28"/>
  <c r="C58" i="28"/>
  <c r="AH45" i="14"/>
  <c r="F36" i="25"/>
  <c r="BJ48" i="25"/>
  <c r="BE35" i="28"/>
  <c r="T38" i="24"/>
  <c r="AO37" i="14"/>
  <c r="Q56" i="27"/>
  <c r="M34" i="24"/>
  <c r="AN49" i="28"/>
  <c r="BC46" i="28"/>
  <c r="S59" i="27"/>
  <c r="X44" i="25"/>
  <c r="AE57" i="14"/>
  <c r="AP36" i="25"/>
  <c r="AD56" i="14"/>
  <c r="AY49" i="28"/>
  <c r="BE54" i="27"/>
  <c r="Z60" i="25"/>
  <c r="BD55" i="28"/>
  <c r="H45" i="28"/>
  <c r="BH53" i="14"/>
  <c r="AI51" i="26"/>
  <c r="AT52" i="28"/>
  <c r="AJ49" i="26"/>
  <c r="C91" i="32"/>
  <c r="C62" i="32"/>
  <c r="F62" i="32"/>
  <c r="F91" i="32"/>
  <c r="E62" i="32"/>
  <c r="E91" i="32"/>
  <c r="D62" i="32"/>
  <c r="D91" i="32"/>
  <c r="H62" i="32"/>
  <c r="H91" i="32"/>
  <c r="E50" i="30"/>
  <c r="C147" i="30"/>
  <c r="BD32" i="25" l="1"/>
  <c r="N11" i="2" s="1"/>
  <c r="AL32" i="24"/>
  <c r="D39" i="2" s="1"/>
  <c r="F32" i="25"/>
  <c r="E9" i="2" s="1"/>
  <c r="AD32" i="28"/>
  <c r="H31" i="2" s="1"/>
  <c r="AU32" i="24"/>
  <c r="D48" i="2" s="1"/>
  <c r="Y32" i="27"/>
  <c r="G28" i="2" s="1"/>
  <c r="E32" i="28"/>
  <c r="H8" i="2" s="1"/>
  <c r="M32" i="27"/>
  <c r="G16" i="2" s="1"/>
  <c r="H32" i="24"/>
  <c r="D11" i="2" s="1"/>
  <c r="AW32" i="24"/>
  <c r="M6" i="2" s="1"/>
  <c r="AI32" i="24"/>
  <c r="D36" i="2" s="1"/>
  <c r="AK32" i="24"/>
  <c r="D38" i="2" s="1"/>
  <c r="E32" i="26"/>
  <c r="F8" i="2" s="1"/>
  <c r="AB32" i="28"/>
  <c r="AI32" i="28"/>
  <c r="H36" i="2" s="1"/>
  <c r="AE32" i="28"/>
  <c r="H32" i="2" s="1"/>
  <c r="AC32" i="28"/>
  <c r="H30" i="2" s="1"/>
  <c r="AK32" i="28"/>
  <c r="H38" i="2" s="1"/>
  <c r="AJ32" i="28"/>
  <c r="H37" i="2" s="1"/>
  <c r="AM32" i="28"/>
  <c r="H40" i="2" s="1"/>
  <c r="AF32" i="28"/>
  <c r="H33" i="2" s="1"/>
  <c r="AL32" i="28"/>
  <c r="H39" i="2" s="1"/>
  <c r="AG32" i="28"/>
  <c r="H34" i="2" s="1"/>
  <c r="AO32" i="27"/>
  <c r="G42" i="2" s="1"/>
  <c r="AO32" i="26"/>
  <c r="F42" i="2" s="1"/>
  <c r="AO32" i="25"/>
  <c r="E42" i="2" s="1"/>
  <c r="AN32" i="28"/>
  <c r="H41" i="2" s="1"/>
  <c r="AO32" i="28"/>
  <c r="H42" i="2" s="1"/>
  <c r="AN32" i="27"/>
  <c r="G41" i="2" s="1"/>
  <c r="AN32" i="26"/>
  <c r="F41" i="2" s="1"/>
  <c r="AN32" i="25"/>
  <c r="E41" i="2" s="1"/>
  <c r="AM32" i="27"/>
  <c r="G40" i="2" s="1"/>
  <c r="AM32" i="26"/>
  <c r="F40" i="2" s="1"/>
  <c r="AM32" i="25"/>
  <c r="E40" i="2" s="1"/>
  <c r="AL32" i="27"/>
  <c r="G39" i="2" s="1"/>
  <c r="AL32" i="26"/>
  <c r="F39" i="2" s="1"/>
  <c r="AL32" i="25"/>
  <c r="E39" i="2" s="1"/>
  <c r="AK32" i="27"/>
  <c r="G38" i="2" s="1"/>
  <c r="AK32" i="26"/>
  <c r="F38" i="2" s="1"/>
  <c r="AK32" i="25"/>
  <c r="E38" i="2" s="1"/>
  <c r="AJ32" i="27"/>
  <c r="G37" i="2" s="1"/>
  <c r="AJ32" i="26"/>
  <c r="F37" i="2" s="1"/>
  <c r="AJ32" i="25"/>
  <c r="E37" i="2" s="1"/>
  <c r="AI32" i="27"/>
  <c r="G36" i="2" s="1"/>
  <c r="AI32" i="26"/>
  <c r="F36" i="2" s="1"/>
  <c r="AI32" i="25"/>
  <c r="E36" i="2" s="1"/>
  <c r="AH32" i="28"/>
  <c r="H35" i="2" s="1"/>
  <c r="AH32" i="27"/>
  <c r="G35" i="2" s="1"/>
  <c r="AH32" i="26"/>
  <c r="F35" i="2" s="1"/>
  <c r="AH32" i="25"/>
  <c r="E35" i="2" s="1"/>
  <c r="AG32" i="27"/>
  <c r="G34" i="2" s="1"/>
  <c r="AG32" i="26"/>
  <c r="F34" i="2" s="1"/>
  <c r="AG32" i="25"/>
  <c r="E34" i="2" s="1"/>
  <c r="AF32" i="27"/>
  <c r="G33" i="2" s="1"/>
  <c r="AF32" i="26"/>
  <c r="F33" i="2" s="1"/>
  <c r="AF32" i="25"/>
  <c r="E33" i="2" s="1"/>
  <c r="AE32" i="27"/>
  <c r="G32" i="2" s="1"/>
  <c r="AE32" i="26"/>
  <c r="F32" i="2" s="1"/>
  <c r="AE32" i="25"/>
  <c r="E32" i="2" s="1"/>
  <c r="AD32" i="27"/>
  <c r="G31" i="2" s="1"/>
  <c r="AD32" i="26"/>
  <c r="F31" i="2" s="1"/>
  <c r="AD32" i="25"/>
  <c r="E31" i="2" s="1"/>
  <c r="AC32" i="27"/>
  <c r="G30" i="2" s="1"/>
  <c r="AC32" i="26"/>
  <c r="F30" i="2" s="1"/>
  <c r="AC32" i="25"/>
  <c r="E30" i="2" s="1"/>
  <c r="AB32" i="27"/>
  <c r="AB32" i="26"/>
  <c r="X32" i="26"/>
  <c r="F27" i="2" s="1"/>
  <c r="Y32" i="28"/>
  <c r="H28" i="2" s="1"/>
  <c r="BG32" i="25"/>
  <c r="N14" i="2" s="1"/>
  <c r="AA32" i="28"/>
  <c r="V32" i="28"/>
  <c r="H25" i="2" s="1"/>
  <c r="X32" i="28"/>
  <c r="H27" i="2" s="1"/>
  <c r="BG32" i="28"/>
  <c r="Q14" i="2" s="1"/>
  <c r="Z32" i="28"/>
  <c r="H29" i="2" s="1"/>
  <c r="BG32" i="26"/>
  <c r="O14" i="2" s="1"/>
  <c r="AB32" i="25"/>
  <c r="BG32" i="27"/>
  <c r="P14" i="2" s="1"/>
  <c r="AA32" i="27"/>
  <c r="AA32" i="26"/>
  <c r="AA32" i="25"/>
  <c r="Z32" i="27"/>
  <c r="G29" i="2" s="1"/>
  <c r="Z32" i="26"/>
  <c r="F29" i="2" s="1"/>
  <c r="Z32" i="25"/>
  <c r="E29" i="2" s="1"/>
  <c r="Y32" i="26"/>
  <c r="F28" i="2" s="1"/>
  <c r="Y32" i="25"/>
  <c r="E28" i="2" s="1"/>
  <c r="X32" i="27"/>
  <c r="G27" i="2" s="1"/>
  <c r="X32" i="25"/>
  <c r="E27" i="2" s="1"/>
  <c r="W32" i="27"/>
  <c r="G26" i="2" s="1"/>
  <c r="W32" i="26"/>
  <c r="F26" i="2" s="1"/>
  <c r="W32" i="25"/>
  <c r="E26" i="2" s="1"/>
  <c r="V32" i="27"/>
  <c r="G25" i="2" s="1"/>
  <c r="V32" i="26"/>
  <c r="F25" i="2" s="1"/>
  <c r="V32" i="25"/>
  <c r="E25" i="2" s="1"/>
  <c r="AG32" i="24"/>
  <c r="D34" i="2" s="1"/>
  <c r="BF32" i="28"/>
  <c r="Q13" i="2" s="1"/>
  <c r="BH32" i="28"/>
  <c r="Q15" i="2" s="1"/>
  <c r="BH32" i="27"/>
  <c r="P15" i="2" s="1"/>
  <c r="BH32" i="26"/>
  <c r="O15" i="2" s="1"/>
  <c r="BH32" i="25"/>
  <c r="N15" i="2" s="1"/>
  <c r="BH32" i="24"/>
  <c r="M15" i="2" s="1"/>
  <c r="AU32" i="14"/>
  <c r="C48" i="2" s="1"/>
  <c r="BC32" i="26"/>
  <c r="O10" i="2" s="1"/>
  <c r="BF32" i="27"/>
  <c r="P13" i="2" s="1"/>
  <c r="BE32" i="26"/>
  <c r="O12" i="2" s="1"/>
  <c r="AV32" i="28"/>
  <c r="H49" i="2" s="1"/>
  <c r="BG32" i="14"/>
  <c r="L14" i="2" s="1"/>
  <c r="BG32" i="24"/>
  <c r="M14" i="2" s="1"/>
  <c r="AV32" i="14"/>
  <c r="C49" i="2" s="1"/>
  <c r="AV32" i="24"/>
  <c r="D49" i="2" s="1"/>
  <c r="BE32" i="28"/>
  <c r="Q12" i="2" s="1"/>
  <c r="BC32" i="28"/>
  <c r="Q10" i="2" s="1"/>
  <c r="BB32" i="28"/>
  <c r="BE32" i="24"/>
  <c r="M12" i="2" s="1"/>
  <c r="AU32" i="28"/>
  <c r="H48" i="2" s="1"/>
  <c r="BF32" i="25"/>
  <c r="N13" i="2" s="1"/>
  <c r="BF32" i="24"/>
  <c r="M13" i="2" s="1"/>
  <c r="W32" i="28"/>
  <c r="H26" i="2" s="1"/>
  <c r="BE32" i="27"/>
  <c r="P12" i="2" s="1"/>
  <c r="BF32" i="26"/>
  <c r="O13" i="2" s="1"/>
  <c r="BD32" i="28"/>
  <c r="Q11" i="2" s="1"/>
  <c r="BD32" i="27"/>
  <c r="P11" i="2" s="1"/>
  <c r="BE32" i="25"/>
  <c r="N12" i="2" s="1"/>
  <c r="BD32" i="26"/>
  <c r="O11" i="2" s="1"/>
  <c r="BD32" i="24"/>
  <c r="M11" i="2" s="1"/>
  <c r="BC32" i="27"/>
  <c r="P10" i="2" s="1"/>
  <c r="BC32" i="25"/>
  <c r="N10" i="2" s="1"/>
  <c r="BC32" i="24"/>
  <c r="M10" i="2" s="1"/>
  <c r="BB32" i="27"/>
  <c r="BB32" i="26"/>
  <c r="BB32" i="25"/>
  <c r="BB32" i="24"/>
  <c r="BA32" i="28"/>
  <c r="BA32" i="27"/>
  <c r="BA32" i="26"/>
  <c r="BA32" i="25"/>
  <c r="BA32" i="24"/>
  <c r="AZ32" i="28"/>
  <c r="Q9" i="2" s="1"/>
  <c r="AZ32" i="27"/>
  <c r="P9" i="2" s="1"/>
  <c r="AZ32" i="26"/>
  <c r="O9" i="2" s="1"/>
  <c r="AZ32" i="25"/>
  <c r="N9" i="2" s="1"/>
  <c r="AZ32" i="24"/>
  <c r="M9" i="2" s="1"/>
  <c r="AY32" i="28"/>
  <c r="Q8" i="2" s="1"/>
  <c r="AY32" i="27"/>
  <c r="P8" i="2" s="1"/>
  <c r="AY32" i="26"/>
  <c r="O8" i="2" s="1"/>
  <c r="AY32" i="25"/>
  <c r="N8" i="2" s="1"/>
  <c r="AY32" i="24"/>
  <c r="M8" i="2" s="1"/>
  <c r="AX32" i="28"/>
  <c r="Q7" i="2" s="1"/>
  <c r="AX32" i="27"/>
  <c r="P7" i="2" s="1"/>
  <c r="AX32" i="26"/>
  <c r="O7" i="2" s="1"/>
  <c r="AX32" i="25"/>
  <c r="N7" i="2" s="1"/>
  <c r="AX32" i="24"/>
  <c r="M7" i="2" s="1"/>
  <c r="AW32" i="28"/>
  <c r="Q6" i="2" s="1"/>
  <c r="AW32" i="27"/>
  <c r="P6" i="2" s="1"/>
  <c r="AW32" i="26"/>
  <c r="O6" i="2" s="1"/>
  <c r="AW32" i="25"/>
  <c r="N6" i="2" s="1"/>
  <c r="AV32" i="27"/>
  <c r="G49" i="2" s="1"/>
  <c r="AV32" i="26"/>
  <c r="F49" i="2" s="1"/>
  <c r="AV32" i="25"/>
  <c r="E49" i="2" s="1"/>
  <c r="I49" i="2" s="1" a="1"/>
  <c r="I49" i="2" s="1"/>
  <c r="AU32" i="27"/>
  <c r="G48" i="2" s="1"/>
  <c r="AU32" i="26"/>
  <c r="F48" i="2" s="1"/>
  <c r="AU32" i="25"/>
  <c r="E48" i="2" s="1"/>
  <c r="BH32" i="14"/>
  <c r="L15" i="2" s="1"/>
  <c r="BF32" i="14"/>
  <c r="L13" i="2" s="1"/>
  <c r="BE32" i="14"/>
  <c r="L12" i="2" s="1"/>
  <c r="BD32" i="14"/>
  <c r="L11" i="2" s="1"/>
  <c r="BC32" i="14"/>
  <c r="L10" i="2" s="1"/>
  <c r="BB32" i="14"/>
  <c r="BA32" i="14"/>
  <c r="AY32" i="14"/>
  <c r="L8" i="2" s="1"/>
  <c r="AX32" i="14"/>
  <c r="L7" i="2" s="1"/>
  <c r="R7" i="2" s="1" a="1"/>
  <c r="R7" i="2" s="1"/>
  <c r="AZ32" i="14"/>
  <c r="L9" i="2" s="1"/>
  <c r="AW32" i="14"/>
  <c r="L6" i="2" s="1"/>
  <c r="U32" i="28"/>
  <c r="H24" i="2" s="1"/>
  <c r="U32" i="27"/>
  <c r="G24" i="2" s="1"/>
  <c r="U32" i="26"/>
  <c r="F24" i="2" s="1"/>
  <c r="U32" i="25"/>
  <c r="E24" i="2" s="1"/>
  <c r="U32" i="24"/>
  <c r="D24" i="2" s="1"/>
  <c r="T32" i="28"/>
  <c r="H23" i="2" s="1"/>
  <c r="S32" i="28"/>
  <c r="H22" i="2" s="1"/>
  <c r="T32" i="27"/>
  <c r="G23" i="2" s="1"/>
  <c r="T32" i="26"/>
  <c r="F23" i="2" s="1"/>
  <c r="T32" i="25"/>
  <c r="E23" i="2" s="1"/>
  <c r="T32" i="24"/>
  <c r="D23" i="2" s="1"/>
  <c r="S32" i="27"/>
  <c r="G22" i="2" s="1"/>
  <c r="S32" i="26"/>
  <c r="F22" i="2" s="1"/>
  <c r="S32" i="25"/>
  <c r="E22" i="2" s="1"/>
  <c r="S32" i="24"/>
  <c r="D22" i="2" s="1"/>
  <c r="R32" i="28"/>
  <c r="H21" i="2" s="1"/>
  <c r="R32" i="27"/>
  <c r="G21" i="2" s="1"/>
  <c r="R32" i="26"/>
  <c r="F21" i="2" s="1"/>
  <c r="R32" i="25"/>
  <c r="E21" i="2" s="1"/>
  <c r="R32" i="24"/>
  <c r="D21" i="2" s="1"/>
  <c r="Q32" i="28"/>
  <c r="H20" i="2" s="1"/>
  <c r="Q32" i="27"/>
  <c r="G20" i="2" s="1"/>
  <c r="Q32" i="26"/>
  <c r="F20" i="2" s="1"/>
  <c r="Q32" i="25"/>
  <c r="E20" i="2" s="1"/>
  <c r="Q32" i="24"/>
  <c r="D20" i="2" s="1"/>
  <c r="P32" i="28"/>
  <c r="H19" i="2" s="1"/>
  <c r="P32" i="27"/>
  <c r="G19" i="2" s="1"/>
  <c r="P32" i="26"/>
  <c r="F19" i="2" s="1"/>
  <c r="P32" i="25"/>
  <c r="E19" i="2" s="1"/>
  <c r="P32" i="24"/>
  <c r="D19" i="2" s="1"/>
  <c r="O32" i="28"/>
  <c r="H18" i="2" s="1"/>
  <c r="O32" i="27"/>
  <c r="G18" i="2" s="1"/>
  <c r="O32" i="26"/>
  <c r="F18" i="2" s="1"/>
  <c r="O32" i="25"/>
  <c r="E18" i="2" s="1"/>
  <c r="O32" i="24"/>
  <c r="D18" i="2" s="1"/>
  <c r="N32" i="28"/>
  <c r="H17" i="2" s="1"/>
  <c r="N32" i="27"/>
  <c r="G17" i="2" s="1"/>
  <c r="N32" i="26"/>
  <c r="F17" i="2" s="1"/>
  <c r="N32" i="25"/>
  <c r="E17" i="2" s="1"/>
  <c r="N32" i="24"/>
  <c r="D17" i="2" s="1"/>
  <c r="M32" i="28"/>
  <c r="H16" i="2" s="1"/>
  <c r="M32" i="26"/>
  <c r="F16" i="2" s="1"/>
  <c r="M32" i="25"/>
  <c r="E16" i="2" s="1"/>
  <c r="M32" i="24"/>
  <c r="D16" i="2" s="1"/>
  <c r="L32" i="28"/>
  <c r="H15" i="2" s="1"/>
  <c r="L32" i="27"/>
  <c r="G15" i="2" s="1"/>
  <c r="L32" i="26"/>
  <c r="F15" i="2" s="1"/>
  <c r="L32" i="25"/>
  <c r="E15" i="2" s="1"/>
  <c r="L32" i="24"/>
  <c r="D15" i="2" s="1"/>
  <c r="K32" i="28"/>
  <c r="H14" i="2" s="1"/>
  <c r="K32" i="27"/>
  <c r="G14" i="2" s="1"/>
  <c r="I32" i="28"/>
  <c r="H12" i="2" s="1"/>
  <c r="K32" i="25"/>
  <c r="E14" i="2" s="1"/>
  <c r="K32" i="24"/>
  <c r="D14" i="2" s="1"/>
  <c r="J32" i="28"/>
  <c r="H13" i="2" s="1"/>
  <c r="J32" i="27"/>
  <c r="G13" i="2" s="1"/>
  <c r="K32" i="26"/>
  <c r="F14" i="2" s="1"/>
  <c r="J32" i="26"/>
  <c r="F13" i="2" s="1"/>
  <c r="J32" i="25"/>
  <c r="E13" i="2" s="1"/>
  <c r="J32" i="24"/>
  <c r="D13" i="2" s="1"/>
  <c r="I32" i="27"/>
  <c r="G12" i="2" s="1"/>
  <c r="I32" i="25"/>
  <c r="E12" i="2" s="1"/>
  <c r="I32" i="24"/>
  <c r="D12" i="2" s="1"/>
  <c r="H32" i="28"/>
  <c r="H11" i="2" s="1"/>
  <c r="H32" i="27"/>
  <c r="G11" i="2" s="1"/>
  <c r="I32" i="26"/>
  <c r="F12" i="2" s="1"/>
  <c r="H32" i="26"/>
  <c r="F11" i="2" s="1"/>
  <c r="G32" i="28"/>
  <c r="H10" i="2" s="1"/>
  <c r="G32" i="27"/>
  <c r="G10" i="2" s="1"/>
  <c r="G32" i="26"/>
  <c r="F10" i="2" s="1"/>
  <c r="H32" i="25"/>
  <c r="E11" i="2" s="1"/>
  <c r="G32" i="25"/>
  <c r="E10" i="2" s="1"/>
  <c r="G32" i="24"/>
  <c r="D10" i="2" s="1"/>
  <c r="F32" i="28"/>
  <c r="H9" i="2" s="1"/>
  <c r="F32" i="27"/>
  <c r="G9" i="2" s="1"/>
  <c r="F32" i="26"/>
  <c r="F9" i="2" s="1"/>
  <c r="F32" i="24"/>
  <c r="D9" i="2" s="1"/>
  <c r="E32" i="27"/>
  <c r="G8" i="2" s="1"/>
  <c r="E32" i="25"/>
  <c r="E8" i="2" s="1"/>
  <c r="D32" i="28"/>
  <c r="H7" i="2" s="1"/>
  <c r="D32" i="27"/>
  <c r="G7" i="2" s="1"/>
  <c r="D32" i="26"/>
  <c r="F7" i="2" s="1"/>
  <c r="D32" i="25"/>
  <c r="E7" i="2" s="1"/>
  <c r="E32" i="24"/>
  <c r="D8" i="2" s="1"/>
  <c r="D32" i="24"/>
  <c r="D7" i="2" s="1"/>
  <c r="C32" i="28"/>
  <c r="H6" i="2" s="1"/>
  <c r="C32" i="27"/>
  <c r="G6" i="2" s="1"/>
  <c r="C32" i="26"/>
  <c r="F6" i="2" s="1"/>
  <c r="C32" i="25"/>
  <c r="E6" i="2" s="1"/>
  <c r="C32" i="24"/>
  <c r="D6" i="2" s="1"/>
  <c r="U32" i="14"/>
  <c r="C24" i="2" s="1"/>
  <c r="T32" i="14"/>
  <c r="C23" i="2" s="1"/>
  <c r="S32" i="14"/>
  <c r="C22" i="2" s="1"/>
  <c r="R32" i="14"/>
  <c r="C21" i="2" s="1"/>
  <c r="Q32" i="14"/>
  <c r="C20" i="2" s="1"/>
  <c r="P32" i="14"/>
  <c r="C19" i="2" s="1"/>
  <c r="O32" i="14"/>
  <c r="C18" i="2" s="1"/>
  <c r="N32" i="14"/>
  <c r="C17" i="2" s="1"/>
  <c r="M32" i="14"/>
  <c r="C16" i="2" s="1"/>
  <c r="L32" i="14"/>
  <c r="C15" i="2" s="1"/>
  <c r="K32" i="14"/>
  <c r="C14" i="2" s="1"/>
  <c r="J32" i="14"/>
  <c r="C13" i="2" s="1"/>
  <c r="I32" i="14"/>
  <c r="C12" i="2" s="1"/>
  <c r="H32" i="14"/>
  <c r="C11" i="2" s="1"/>
  <c r="G32" i="14"/>
  <c r="C10" i="2" s="1"/>
  <c r="F32" i="14"/>
  <c r="C9" i="2" s="1"/>
  <c r="E32" i="14"/>
  <c r="C8" i="2" s="1"/>
  <c r="D32" i="14"/>
  <c r="C7" i="2" s="1"/>
  <c r="C32" i="14"/>
  <c r="C6" i="2" s="1"/>
  <c r="I6" i="2" s="1" a="1"/>
  <c r="I6" i="2" s="1"/>
  <c r="E56" i="30" s="1"/>
  <c r="E55" i="30" s="1"/>
  <c r="E54" i="30" s="1"/>
  <c r="E53" i="30" s="1"/>
  <c r="E52" i="30" s="1"/>
  <c r="E51" i="30" s="1"/>
  <c r="AO32" i="24"/>
  <c r="D42" i="2" s="1"/>
  <c r="AN32" i="24"/>
  <c r="D41" i="2" s="1"/>
  <c r="AM32" i="24"/>
  <c r="D40" i="2" s="1"/>
  <c r="AJ32" i="24"/>
  <c r="D37" i="2" s="1"/>
  <c r="AH32" i="24"/>
  <c r="D35" i="2" s="1"/>
  <c r="AF32" i="24"/>
  <c r="D33" i="2" s="1"/>
  <c r="AE32" i="24"/>
  <c r="D32" i="2" s="1"/>
  <c r="AD32" i="24"/>
  <c r="D31" i="2" s="1"/>
  <c r="AC32" i="24"/>
  <c r="D30" i="2" s="1"/>
  <c r="AB32" i="24"/>
  <c r="AA32" i="24"/>
  <c r="Z32" i="24"/>
  <c r="D29" i="2" s="1"/>
  <c r="AM32" i="14"/>
  <c r="C40" i="2" s="1"/>
  <c r="AC32" i="14"/>
  <c r="C30" i="2" s="1"/>
  <c r="Y32" i="24"/>
  <c r="D28" i="2" s="1"/>
  <c r="X32" i="24"/>
  <c r="D27" i="2" s="1"/>
  <c r="W32" i="24"/>
  <c r="D26" i="2" s="1"/>
  <c r="V32" i="24"/>
  <c r="D25" i="2" s="1"/>
  <c r="AO32" i="14"/>
  <c r="C42" i="2" s="1"/>
  <c r="AN32" i="14"/>
  <c r="C41" i="2" s="1"/>
  <c r="AL32" i="14"/>
  <c r="C39" i="2" s="1"/>
  <c r="AK32" i="14"/>
  <c r="C38" i="2" s="1"/>
  <c r="AJ32" i="14"/>
  <c r="C37" i="2" s="1"/>
  <c r="AI32" i="14"/>
  <c r="C36" i="2" s="1"/>
  <c r="AH32" i="14"/>
  <c r="C35" i="2" s="1"/>
  <c r="AG32" i="14"/>
  <c r="C34" i="2" s="1"/>
  <c r="AF32" i="14"/>
  <c r="C33" i="2" s="1"/>
  <c r="AE32" i="14"/>
  <c r="C32" i="2" s="1"/>
  <c r="AD32" i="14"/>
  <c r="C31" i="2" s="1"/>
  <c r="AB32" i="14"/>
  <c r="AA32" i="14"/>
  <c r="Z32" i="14"/>
  <c r="C29" i="2" s="1"/>
  <c r="Y32" i="14"/>
  <c r="C28" i="2" s="1"/>
  <c r="X32" i="14"/>
  <c r="C27" i="2" s="1"/>
  <c r="W32" i="14"/>
  <c r="C26" i="2" s="1"/>
  <c r="I26" i="2" s="1" a="1"/>
  <c r="I26" i="2" s="1"/>
  <c r="V32" i="14"/>
  <c r="C25" i="2" s="1"/>
  <c r="I25" i="2" s="1" a="1"/>
  <c r="I25" i="2" s="1"/>
  <c r="B32" i="24"/>
  <c r="B32" i="26"/>
  <c r="B32" i="14"/>
  <c r="B32" i="28"/>
  <c r="B32" i="25"/>
  <c r="B32" i="27"/>
  <c r="I42" i="2" l="1" a="1"/>
  <c r="I42" i="2" s="1"/>
  <c r="R9" i="2" a="1"/>
  <c r="R9" i="2" s="1"/>
  <c r="I41" i="2" a="1"/>
  <c r="I41" i="2" s="1"/>
  <c r="I48" i="2" a="1"/>
  <c r="I48" i="2" s="1"/>
  <c r="I14" i="2" a="1"/>
  <c r="I14" i="2" s="1"/>
  <c r="I36" i="2" a="1"/>
  <c r="I36" i="2" s="1"/>
  <c r="I37" i="2" a="1"/>
  <c r="I37" i="2" s="1"/>
  <c r="R6" i="2" a="1"/>
  <c r="R6" i="2" s="1"/>
  <c r="I20" i="2" a="1"/>
  <c r="I20" i="2" s="1"/>
  <c r="I30" i="2" a="1"/>
  <c r="I30" i="2" s="1"/>
  <c r="R8" i="2" a="1"/>
  <c r="R8" i="2" s="1"/>
  <c r="I40" i="2" a="1"/>
  <c r="I40" i="2" s="1"/>
  <c r="I8" i="2" a="1"/>
  <c r="I8" i="2" s="1"/>
  <c r="R11" i="2" a="1"/>
  <c r="R11" i="2" s="1"/>
  <c r="I38" i="2" a="1"/>
  <c r="I38" i="2" s="1"/>
  <c r="I39" i="2" a="1"/>
  <c r="I39" i="2" s="1"/>
  <c r="R10" i="2" a="1"/>
  <c r="R10" i="2" s="1"/>
  <c r="I11" i="2" a="1"/>
  <c r="I11" i="2" s="1"/>
  <c r="R12" i="2" a="1"/>
  <c r="R12" i="2" s="1"/>
  <c r="I22" i="2" a="1"/>
  <c r="I22" i="2" s="1"/>
  <c r="R13" i="2" a="1"/>
  <c r="R13" i="2" s="1"/>
  <c r="I21" i="2" a="1"/>
  <c r="I21" i="2" s="1"/>
  <c r="I7" i="2" a="1"/>
  <c r="I7" i="2" s="1"/>
  <c r="I31" i="2" a="1"/>
  <c r="I31" i="2" s="1"/>
  <c r="I34" i="2" a="1"/>
  <c r="I34" i="2" s="1"/>
  <c r="R15" i="2" a="1"/>
  <c r="R15" i="2" s="1"/>
  <c r="I27" i="2" a="1"/>
  <c r="I27" i="2" s="1"/>
  <c r="I28" i="2" a="1"/>
  <c r="I28" i="2" s="1"/>
  <c r="I29" i="2" a="1"/>
  <c r="I29" i="2" s="1"/>
  <c r="I23" i="2" a="1"/>
  <c r="I23" i="2" s="1"/>
  <c r="I24" i="2" a="1"/>
  <c r="I24" i="2" s="1"/>
  <c r="I9" i="2" a="1"/>
  <c r="I9" i="2" s="1"/>
  <c r="I32" i="2" a="1"/>
  <c r="I32" i="2" s="1"/>
  <c r="I10" i="2" a="1"/>
  <c r="I10" i="2" s="1"/>
  <c r="I33" i="2" a="1"/>
  <c r="I33" i="2" s="1"/>
  <c r="I12" i="2" a="1"/>
  <c r="I12" i="2" s="1"/>
  <c r="I13" i="2" a="1"/>
  <c r="I13" i="2" s="1"/>
  <c r="I35" i="2" a="1"/>
  <c r="I35" i="2" s="1"/>
  <c r="I15" i="2" a="1"/>
  <c r="I15" i="2" s="1"/>
  <c r="I16" i="2" a="1"/>
  <c r="I16" i="2" s="1"/>
  <c r="I17" i="2" a="1"/>
  <c r="I17" i="2" s="1"/>
  <c r="I18" i="2" a="1"/>
  <c r="I18" i="2" s="1"/>
  <c r="I19" i="2" a="1"/>
  <c r="I19" i="2" s="1"/>
  <c r="H90" i="32"/>
  <c r="H89" i="32" s="1"/>
  <c r="H88" i="32" s="1"/>
  <c r="H87" i="32" s="1"/>
  <c r="H86" i="32" s="1"/>
  <c r="H85" i="32" s="1"/>
  <c r="H84" i="32" s="1"/>
  <c r="H83" i="32" s="1"/>
  <c r="H82" i="32" s="1"/>
  <c r="H81" i="32" s="1"/>
  <c r="H80" i="32" s="1"/>
  <c r="H79" i="32" s="1"/>
  <c r="H78" i="32" s="1"/>
  <c r="H77" i="32" s="1"/>
  <c r="H76" i="32" s="1"/>
  <c r="H75" i="32" s="1"/>
  <c r="H74" i="32" s="1"/>
  <c r="H73" i="32" s="1"/>
  <c r="H72" i="32" s="1"/>
  <c r="H71" i="32" s="1"/>
  <c r="H70" i="32" s="1"/>
  <c r="H69" i="32" s="1"/>
  <c r="H68" i="32" s="1"/>
  <c r="H67" i="32" s="1"/>
  <c r="H66" i="32" s="1"/>
  <c r="H65" i="32" s="1"/>
  <c r="G91" i="32" s="1"/>
  <c r="G90" i="32" s="1"/>
  <c r="G89" i="32" s="1"/>
  <c r="G88" i="32" s="1"/>
  <c r="G87" i="32" s="1"/>
  <c r="G86" i="32" s="1"/>
  <c r="G85" i="32" s="1"/>
  <c r="G84" i="32" s="1"/>
  <c r="G83" i="32" s="1"/>
  <c r="G82" i="32" s="1"/>
  <c r="G81" i="32" s="1"/>
  <c r="G80" i="32" s="1"/>
  <c r="G79" i="32" s="1"/>
  <c r="G78" i="32" s="1"/>
  <c r="G77" i="32" s="1"/>
  <c r="G76" i="32" s="1"/>
  <c r="G75" i="32" s="1"/>
  <c r="G74" i="32" s="1"/>
  <c r="G73" i="32" s="1"/>
  <c r="G72" i="32" s="1"/>
  <c r="G71" i="32" s="1"/>
  <c r="G70" i="32" s="1"/>
  <c r="G69" i="32" s="1"/>
  <c r="G68" i="32" s="1"/>
  <c r="G67" i="32" s="1"/>
  <c r="G66" i="32" s="1"/>
  <c r="G65" i="32" s="1"/>
  <c r="F90" i="32" s="1"/>
  <c r="F89" i="32" s="1"/>
  <c r="F88" i="32" s="1"/>
  <c r="F87" i="32" s="1"/>
  <c r="F86" i="32" s="1"/>
  <c r="F85" i="32" s="1"/>
  <c r="F84" i="32" s="1"/>
  <c r="F83" i="32" s="1"/>
  <c r="F82" i="32" s="1"/>
  <c r="F81" i="32" s="1"/>
  <c r="F80" i="32" s="1"/>
  <c r="F79" i="32" s="1"/>
  <c r="F78" i="32" s="1"/>
  <c r="F77" i="32" s="1"/>
  <c r="F76" i="32" s="1"/>
  <c r="F75" i="32" s="1"/>
  <c r="F74" i="32" s="1"/>
  <c r="F73" i="32" s="1"/>
  <c r="F72" i="32" s="1"/>
  <c r="F71" i="32" s="1"/>
  <c r="F70" i="32" s="1"/>
  <c r="F69" i="32" s="1"/>
  <c r="F68" i="32" s="1"/>
  <c r="F67" i="32" s="1"/>
  <c r="F66" i="32" s="1"/>
  <c r="F65" i="32" s="1"/>
  <c r="E90" i="32" s="1"/>
  <c r="E89" i="32" s="1"/>
  <c r="E88" i="32" s="1"/>
  <c r="E87" i="32" s="1"/>
  <c r="E86" i="32" s="1"/>
  <c r="E85" i="32" s="1"/>
  <c r="E84" i="32" s="1"/>
  <c r="E83" i="32" s="1"/>
  <c r="E82" i="32" s="1"/>
  <c r="E81" i="32" s="1"/>
  <c r="E80" i="32" s="1"/>
  <c r="E79" i="32" s="1"/>
  <c r="E78" i="32" s="1"/>
  <c r="E77" i="32" s="1"/>
  <c r="E76" i="32" s="1"/>
  <c r="E75" i="32" s="1"/>
  <c r="E74" i="32" s="1"/>
  <c r="E73" i="32" s="1"/>
  <c r="E72" i="32" s="1"/>
  <c r="E71" i="32" s="1"/>
  <c r="E70" i="32" s="1"/>
  <c r="E69" i="32" s="1"/>
  <c r="E68" i="32" s="1"/>
  <c r="E67" i="32" s="1"/>
  <c r="E66" i="32" s="1"/>
  <c r="E65" i="32" s="1"/>
  <c r="D90" i="32" s="1"/>
  <c r="D89" i="32" s="1"/>
  <c r="D88" i="32" s="1"/>
  <c r="D87" i="32" s="1"/>
  <c r="D86" i="32" s="1"/>
  <c r="D85" i="32" s="1"/>
  <c r="D84" i="32" s="1"/>
  <c r="D83" i="32" s="1"/>
  <c r="D82" i="32" s="1"/>
  <c r="D81" i="32" s="1"/>
  <c r="D80" i="32" s="1"/>
  <c r="D79" i="32" s="1"/>
  <c r="D78" i="32" s="1"/>
  <c r="D77" i="32" s="1"/>
  <c r="D76" i="32" s="1"/>
  <c r="D75" i="32" s="1"/>
  <c r="D74" i="32" s="1"/>
  <c r="D73" i="32" s="1"/>
  <c r="D72" i="32" s="1"/>
  <c r="D71" i="32" s="1"/>
  <c r="D70" i="32" s="1"/>
  <c r="D69" i="32" s="1"/>
  <c r="D68" i="32" s="1"/>
  <c r="D67" i="32" s="1"/>
  <c r="D66" i="32" s="1"/>
  <c r="D65" i="32" s="1"/>
  <c r="C90" i="32" s="1"/>
  <c r="C89" i="32" s="1"/>
  <c r="C88" i="32" s="1"/>
  <c r="C87" i="32" s="1"/>
  <c r="C86" i="32" s="1"/>
  <c r="C85" i="32" s="1"/>
  <c r="C84" i="32" s="1"/>
  <c r="C83" i="32" s="1"/>
  <c r="C82" i="32" s="1"/>
  <c r="C81" i="32" s="1"/>
  <c r="C80" i="32" s="1"/>
  <c r="C79" i="32" s="1"/>
  <c r="C78" i="32" s="1"/>
  <c r="C77" i="32" s="1"/>
  <c r="C76" i="32" s="1"/>
  <c r="C75" i="32" s="1"/>
  <c r="C74" i="32" s="1"/>
  <c r="C73" i="32" s="1"/>
  <c r="C72" i="32" s="1"/>
  <c r="C71" i="32" s="1"/>
  <c r="C70" i="32" s="1"/>
  <c r="C69" i="32" s="1"/>
  <c r="C68" i="32" s="1"/>
  <c r="C67" i="32" s="1"/>
  <c r="C66" i="32" s="1"/>
  <c r="C65" i="32" s="1"/>
  <c r="E147" i="30"/>
  <c r="L6" i="30" s="1"/>
  <c r="V20" i="33" s="1"/>
  <c r="R14" i="2" a="1"/>
  <c r="R14" i="2" s="1"/>
  <c r="H31" i="32"/>
  <c r="H30" i="32"/>
  <c r="H29" i="32"/>
  <c r="H28" i="32"/>
  <c r="H27" i="32"/>
  <c r="H26" i="32"/>
  <c r="H25" i="32"/>
  <c r="H24" i="32"/>
  <c r="H23" i="32"/>
  <c r="H22" i="32"/>
  <c r="H21" i="32"/>
  <c r="H20" i="32"/>
  <c r="H19" i="32"/>
  <c r="H18" i="32"/>
  <c r="H17" i="32"/>
  <c r="H16" i="32"/>
  <c r="H15" i="32"/>
  <c r="H14" i="32"/>
  <c r="H13" i="32"/>
  <c r="H12" i="32"/>
  <c r="H11" i="32"/>
  <c r="H10" i="32"/>
  <c r="H9" i="32"/>
  <c r="H8" i="32"/>
  <c r="H7" i="32"/>
  <c r="H6" i="32"/>
  <c r="H5" i="32"/>
  <c r="G31" i="32"/>
  <c r="G30" i="32"/>
  <c r="G29" i="32"/>
  <c r="G28" i="32"/>
  <c r="G27" i="32"/>
  <c r="G26" i="32"/>
  <c r="G25" i="32"/>
  <c r="G24" i="32"/>
  <c r="G23" i="32"/>
  <c r="G22" i="32"/>
  <c r="G21" i="32"/>
  <c r="G20" i="32"/>
  <c r="G19" i="32"/>
  <c r="G18" i="32"/>
  <c r="G17" i="32"/>
  <c r="G16" i="32"/>
  <c r="G15" i="32"/>
  <c r="G14" i="32"/>
  <c r="G13" i="32"/>
  <c r="G12" i="32"/>
  <c r="G11" i="32"/>
  <c r="G10" i="32"/>
  <c r="G9" i="32"/>
  <c r="G8" i="32"/>
  <c r="G7" i="32"/>
  <c r="G6" i="32"/>
  <c r="G5" i="32"/>
  <c r="F31" i="32"/>
  <c r="F30" i="32"/>
  <c r="F29" i="32"/>
  <c r="F28" i="32"/>
  <c r="F27" i="32"/>
  <c r="F26" i="32"/>
  <c r="F25" i="32"/>
  <c r="F24" i="32"/>
  <c r="F23" i="32"/>
  <c r="F22" i="32"/>
  <c r="F21" i="32"/>
  <c r="F20" i="32"/>
  <c r="F19" i="32"/>
  <c r="F18" i="32"/>
  <c r="F17" i="32"/>
  <c r="F16" i="32"/>
  <c r="F15" i="32"/>
  <c r="F14" i="32"/>
  <c r="F13" i="32"/>
  <c r="F12" i="32"/>
  <c r="F11" i="32"/>
  <c r="F10" i="32"/>
  <c r="F9" i="32"/>
  <c r="F8" i="32"/>
  <c r="F7" i="32"/>
  <c r="F6" i="32"/>
  <c r="F5" i="32"/>
  <c r="E31" i="32"/>
  <c r="E30" i="32"/>
  <c r="E29" i="32"/>
  <c r="E28" i="32"/>
  <c r="E27" i="32"/>
  <c r="E26" i="32"/>
  <c r="E25" i="32"/>
  <c r="E24" i="32"/>
  <c r="E23" i="32"/>
  <c r="E22" i="32"/>
  <c r="E21" i="32"/>
  <c r="E20" i="32"/>
  <c r="E19" i="32"/>
  <c r="E18" i="32"/>
  <c r="E17" i="32"/>
  <c r="E16" i="32"/>
  <c r="E15" i="32"/>
  <c r="E14" i="32"/>
  <c r="E13" i="32"/>
  <c r="E12" i="32"/>
  <c r="E11" i="32"/>
  <c r="E10" i="32"/>
  <c r="E9" i="32"/>
  <c r="E8" i="32"/>
  <c r="E7" i="32"/>
  <c r="E6" i="32"/>
  <c r="E5" i="32"/>
  <c r="D31" i="32"/>
  <c r="D30" i="32"/>
  <c r="D29" i="32"/>
  <c r="D28" i="32"/>
  <c r="D27" i="32"/>
  <c r="D26" i="32"/>
  <c r="D25" i="32"/>
  <c r="D24" i="32"/>
  <c r="D23" i="32"/>
  <c r="D22" i="32"/>
  <c r="D21" i="32"/>
  <c r="D20" i="32"/>
  <c r="D19" i="32"/>
  <c r="D18" i="32"/>
  <c r="D17" i="32"/>
  <c r="D16" i="32"/>
  <c r="D15" i="32"/>
  <c r="D14" i="32"/>
  <c r="D13" i="32"/>
  <c r="D12" i="32"/>
  <c r="D11" i="32"/>
  <c r="D10" i="32"/>
  <c r="D9" i="32"/>
  <c r="D8" i="32"/>
  <c r="D7" i="32"/>
  <c r="D6" i="32"/>
  <c r="D5" i="32"/>
  <c r="C31" i="32"/>
  <c r="C30" i="32"/>
  <c r="C29" i="32"/>
  <c r="C28" i="32"/>
  <c r="C27" i="32"/>
  <c r="C26" i="32"/>
  <c r="C25" i="32"/>
  <c r="C24" i="32"/>
  <c r="C23" i="32"/>
  <c r="C22" i="32"/>
  <c r="C21" i="32"/>
  <c r="C20" i="32"/>
  <c r="C19" i="32"/>
  <c r="C18" i="32"/>
  <c r="C17" i="32"/>
  <c r="C16" i="32"/>
  <c r="C15" i="32"/>
  <c r="C14" i="32"/>
  <c r="C13" i="32"/>
  <c r="C12" i="32"/>
  <c r="C11" i="32"/>
  <c r="C10" i="32"/>
  <c r="C9" i="32"/>
  <c r="C8" i="32"/>
  <c r="C7" i="32"/>
  <c r="C6" i="32"/>
  <c r="C5" i="32"/>
  <c r="R19" i="2" l="1" a="1"/>
  <c r="R19" i="2" s="1"/>
  <c r="V30" i="33" s="1"/>
  <c r="I50" i="2" a="1"/>
  <c r="I50" i="2" s="1"/>
  <c r="V29"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Peña, Beronika</author>
  </authors>
  <commentList>
    <comment ref="B3" authorId="0" shapeId="0" xr:uid="{00000000-0006-0000-0900-000001000000}">
      <text>
        <r>
          <rPr>
            <b/>
            <sz val="9"/>
            <color indexed="81"/>
            <rFont val="Tahoma"/>
            <family val="2"/>
          </rPr>
          <t>Type:
NO CLASS - before the first class and after the last class
VACANT - if the room is available in between classes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Peña, Beronika</author>
  </authors>
  <commentList>
    <comment ref="B3" authorId="0" shapeId="0" xr:uid="{00000000-0006-0000-0A00-000001000000}">
      <text>
        <r>
          <rPr>
            <b/>
            <sz val="9"/>
            <color indexed="81"/>
            <rFont val="Tahoma"/>
            <family val="2"/>
          </rPr>
          <t>Type:
NO CLASS - before the first class and after the last class
VACANT - if the room is available in between classes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Peña, Beronika</author>
  </authors>
  <commentList>
    <comment ref="B3" authorId="0" shapeId="0" xr:uid="{00000000-0006-0000-0B00-000001000000}">
      <text>
        <r>
          <rPr>
            <b/>
            <sz val="9"/>
            <color indexed="81"/>
            <rFont val="Tahoma"/>
            <family val="2"/>
          </rPr>
          <t>Type:
NO CLASS - before the first class and after the last class
VACANT - if the room is available in between classes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Peña, Beronika</author>
  </authors>
  <commentList>
    <comment ref="B3" authorId="0" shapeId="0" xr:uid="{00000000-0006-0000-0C00-000001000000}">
      <text>
        <r>
          <rPr>
            <b/>
            <sz val="9"/>
            <color indexed="81"/>
            <rFont val="Tahoma"/>
            <family val="2"/>
          </rPr>
          <t>Type:
NO CLASS - before the first class and after the last class
VACANT - if the room is available in between classes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Peña, Beronika</author>
  </authors>
  <commentList>
    <comment ref="B3" authorId="0" shapeId="0" xr:uid="{00000000-0006-0000-0D00-000001000000}">
      <text>
        <r>
          <rPr>
            <b/>
            <sz val="9"/>
            <color indexed="81"/>
            <rFont val="Tahoma"/>
            <family val="2"/>
          </rPr>
          <t>Type:
NO CLASS - before the first class and after the last class
VACANT - if the room is available in between classes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Peña, Beronika</author>
  </authors>
  <commentList>
    <comment ref="B3" authorId="0" shapeId="0" xr:uid="{00000000-0006-0000-0E00-000001000000}">
      <text>
        <r>
          <rPr>
            <b/>
            <sz val="9"/>
            <color indexed="81"/>
            <rFont val="Tahoma"/>
            <family val="2"/>
          </rPr>
          <t>Type:
NO CLASS - before the first class and after the last class
VACANT - if the room is available in between classes</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<sst xmlns="http://schemas.openxmlformats.org/spreadsheetml/2006/main" count="17709" uniqueCount="3163">
  <si>
    <t>STI</t>
  </si>
  <si>
    <t>Novaliches</t>
  </si>
  <si>
    <t>&lt;-- indicate Campus</t>
  </si>
  <si>
    <t>School Year</t>
  </si>
  <si>
    <t>2024-2025</t>
  </si>
  <si>
    <t>&lt;-- indicate School Year</t>
  </si>
  <si>
    <t>Term</t>
  </si>
  <si>
    <t>&lt;-- indicate Term</t>
  </si>
  <si>
    <t>Section Count Projection</t>
  </si>
  <si>
    <t>Projected Faculty Count: Tertiary</t>
  </si>
  <si>
    <t>Projected Faculty Count: High School</t>
  </si>
  <si>
    <t>Room Projections</t>
  </si>
  <si>
    <t>Class Density</t>
  </si>
  <si>
    <t>Projected NS/OS</t>
  </si>
  <si>
    <t>Section Count</t>
  </si>
  <si>
    <t>Full-time FM</t>
  </si>
  <si>
    <t>Excess Units</t>
  </si>
  <si>
    <t>Lecture Rooms</t>
  </si>
  <si>
    <t>Highschool</t>
  </si>
  <si>
    <t>Information &amp; Communication Tech.</t>
  </si>
  <si>
    <t xml:space="preserve">Business and Management </t>
  </si>
  <si>
    <t>4-Year Degree</t>
  </si>
  <si>
    <t>Business and Management</t>
  </si>
  <si>
    <t>Electrical/Electronics</t>
  </si>
  <si>
    <t>Available Lecture Sessions</t>
  </si>
  <si>
    <t>2-Year Degree</t>
  </si>
  <si>
    <t>Tourism &amp; Hospitality Management</t>
  </si>
  <si>
    <t>English</t>
  </si>
  <si>
    <t>Projected Lecture Sessions</t>
  </si>
  <si>
    <t>General Education</t>
  </si>
  <si>
    <t>Filipino</t>
  </si>
  <si>
    <t>Arts &amp; Sciences</t>
  </si>
  <si>
    <t>Hospitality/Culinary Mgt</t>
  </si>
  <si>
    <t>Computer Laboratory</t>
  </si>
  <si>
    <t>Information Technology</t>
  </si>
  <si>
    <t>*For a more detailed breakdown refer to the faculty count projection sheet</t>
  </si>
  <si>
    <t>Mathematics</t>
  </si>
  <si>
    <t>Available Lab Sessions</t>
  </si>
  <si>
    <t>Physical Education</t>
  </si>
  <si>
    <t>Projected Lab Sessions</t>
  </si>
  <si>
    <t>Sciences</t>
  </si>
  <si>
    <t>Social and Behavioral Sciences</t>
  </si>
  <si>
    <t>Culinary Laboratory</t>
  </si>
  <si>
    <t>Tourism Management</t>
  </si>
  <si>
    <t>Room Utilization</t>
  </si>
  <si>
    <t>Laboratories</t>
  </si>
  <si>
    <t>High School Programs</t>
  </si>
  <si>
    <t>4-Year Degree Programs</t>
  </si>
  <si>
    <t>Instruction: Fill-out only the GREEN cells</t>
  </si>
  <si>
    <t>Track / Strand</t>
  </si>
  <si>
    <t>Year Level Term</t>
  </si>
  <si>
    <t>Current OGS</t>
  </si>
  <si>
    <t>Projected NS /OS</t>
  </si>
  <si>
    <t>Remarks</t>
  </si>
  <si>
    <t>Program</t>
  </si>
  <si>
    <t>Current OS</t>
  </si>
  <si>
    <t>Projected NS / OS</t>
  </si>
  <si>
    <t>Junior High School</t>
  </si>
  <si>
    <t>BS in Information Techology (BSIT)</t>
  </si>
  <si>
    <t>1-1</t>
  </si>
  <si>
    <t>Retention Rate:</t>
  </si>
  <si>
    <t>1-2</t>
  </si>
  <si>
    <t>2-1</t>
  </si>
  <si>
    <t>Migration Rate:</t>
  </si>
  <si>
    <t>2-2</t>
  </si>
  <si>
    <t>Total</t>
  </si>
  <si>
    <t>3-1</t>
  </si>
  <si>
    <t>STEM</t>
  </si>
  <si>
    <t>11-1</t>
  </si>
  <si>
    <t>3-2</t>
  </si>
  <si>
    <t>11-2</t>
  </si>
  <si>
    <t>4-1</t>
  </si>
  <si>
    <t>12-1</t>
  </si>
  <si>
    <t>4-2</t>
  </si>
  <si>
    <t>12-2</t>
  </si>
  <si>
    <t>BS in Computer Science (BSCS)</t>
  </si>
  <si>
    <t>ABM</t>
  </si>
  <si>
    <t>General Academic (GA)</t>
  </si>
  <si>
    <t>BS in Information System (BSIS)</t>
  </si>
  <si>
    <t>HUMSS</t>
  </si>
  <si>
    <t>IT-MAWD</t>
  </si>
  <si>
    <t>BS in Computer Engineering (BSCPE)</t>
  </si>
  <si>
    <t>IT-DA</t>
  </si>
  <si>
    <t>IT -CCTECH</t>
  </si>
  <si>
    <t>BS in Hospitality Management (BSHM)</t>
  </si>
  <si>
    <t>HE - CA</t>
  </si>
  <si>
    <t>HE - RCO</t>
  </si>
  <si>
    <t>BS in Culinary Management (BSCM)</t>
  </si>
  <si>
    <t>HE - TO</t>
  </si>
  <si>
    <t>BS in Tourism Management (BSTM)</t>
  </si>
  <si>
    <t>IA - CE</t>
  </si>
  <si>
    <t xml:space="preserve"> 2-Year Degree Programs</t>
  </si>
  <si>
    <t>BS in Business Administration (BSBA)</t>
  </si>
  <si>
    <t>Hosp. and Res. Services (HRS)</t>
  </si>
  <si>
    <t>BS in Accounting Information System (BSAIS)</t>
  </si>
  <si>
    <t>Tourism and Events Mgt (TEM)</t>
  </si>
  <si>
    <t>Information Technology (IT)</t>
  </si>
  <si>
    <t>BS in Accountancy (BSA)</t>
  </si>
  <si>
    <t>Assoc in Comp. Tech. (ACT)</t>
  </si>
  <si>
    <t>BS in Management Accounting (BSMA)</t>
  </si>
  <si>
    <t>Assoc in Retail Tech (ART)</t>
  </si>
  <si>
    <t>Bachelor in Multimedia Arts (BMMA)</t>
  </si>
  <si>
    <t>BA in Communication (BACOMM)</t>
  </si>
  <si>
    <t>BS in Retail Technology and Consumer Science (BSRTCS)</t>
  </si>
  <si>
    <t>BA in Psychology (BAPSYC)</t>
  </si>
  <si>
    <t>BS in Criminology (BSCRIM)</t>
  </si>
  <si>
    <t>Hotel and Restaurant Administration</t>
  </si>
  <si>
    <t>Year - Term</t>
  </si>
  <si>
    <t>Course Code</t>
  </si>
  <si>
    <t>Course Title</t>
  </si>
  <si>
    <t>Field of Specialization</t>
  </si>
  <si>
    <t>LEC</t>
  </si>
  <si>
    <t>LAB</t>
  </si>
  <si>
    <t>TOTAL</t>
  </si>
  <si>
    <t>Teaching Load</t>
  </si>
  <si>
    <t>BSIT-24-01</t>
  </si>
  <si>
    <t>BSIT</t>
  </si>
  <si>
    <t>CITE1004</t>
  </si>
  <si>
    <t>Introduction to Computing</t>
  </si>
  <si>
    <t>CITE1003</t>
  </si>
  <si>
    <t>Computer Programming 1</t>
  </si>
  <si>
    <t>GEDC1002</t>
  </si>
  <si>
    <t>The Contemporary World</t>
  </si>
  <si>
    <t>STIC1002</t>
  </si>
  <si>
    <t>Euthenics 1</t>
  </si>
  <si>
    <t>GEDC1016</t>
  </si>
  <si>
    <t>Purposive Communication</t>
  </si>
  <si>
    <t>English/Foreign Language</t>
  </si>
  <si>
    <t>NSTP1008</t>
  </si>
  <si>
    <t>National Service Training Program 1</t>
  </si>
  <si>
    <t>PHED1005</t>
  </si>
  <si>
    <t>P.E./PATHFIT 1: Movement Competency Training</t>
  </si>
  <si>
    <t>GEDC1041</t>
  </si>
  <si>
    <t>Philippine Popular Culture</t>
  </si>
  <si>
    <t>GEDC1008</t>
  </si>
  <si>
    <t>Understanding the Self</t>
  </si>
  <si>
    <t>BSIT-22-01</t>
  </si>
  <si>
    <t>COSC1003</t>
  </si>
  <si>
    <t>Data Structures and Algorithms</t>
  </si>
  <si>
    <t>GEDC1006</t>
  </si>
  <si>
    <t>Readings in Philippine History</t>
  </si>
  <si>
    <t>Social and Behavioral Science</t>
  </si>
  <si>
    <t>PHED1007</t>
  </si>
  <si>
    <t>P.E./PATHFIT 3: Individual-Dual Sports</t>
  </si>
  <si>
    <t>GEDC1014</t>
  </si>
  <si>
    <t>Rizal's Life and Works</t>
  </si>
  <si>
    <t>COSC1007</t>
  </si>
  <si>
    <t>Human-Computer Interaction</t>
  </si>
  <si>
    <t>IT Elective 1</t>
  </si>
  <si>
    <t>COSC1001</t>
  </si>
  <si>
    <t>Principles of Communication</t>
  </si>
  <si>
    <t>COSC1008</t>
  </si>
  <si>
    <t>Platform Technology (Operating Systems)</t>
  </si>
  <si>
    <t>CITE1008</t>
  </si>
  <si>
    <t>Application Development and Emerging Technologies</t>
  </si>
  <si>
    <t>INSY1011</t>
  </si>
  <si>
    <t>Advanced Database Systems</t>
  </si>
  <si>
    <t>INSY1024</t>
  </si>
  <si>
    <t>Event-Driven Programming</t>
  </si>
  <si>
    <t>INTE1025</t>
  </si>
  <si>
    <t>Data and Digital Communications (Data Communications)</t>
  </si>
  <si>
    <t>INSY1003</t>
  </si>
  <si>
    <t>Professional Issues in Information Systems and Technology</t>
  </si>
  <si>
    <t>IT Elective 2</t>
  </si>
  <si>
    <t>INTE1056</t>
  </si>
  <si>
    <t>Advanced Systems Integration and Architecture</t>
  </si>
  <si>
    <t>BSIT-20-01</t>
  </si>
  <si>
    <t>STIC1007</t>
  </si>
  <si>
    <t>Euthenics 2</t>
  </si>
  <si>
    <t>INTE1039</t>
  </si>
  <si>
    <t>IT Capstone Project 2</t>
  </si>
  <si>
    <t>IT Elective 4</t>
  </si>
  <si>
    <t>INTE1041</t>
  </si>
  <si>
    <t>Computer Graphics Programming</t>
  </si>
  <si>
    <t>INTE1013</t>
  </si>
  <si>
    <t>IT Service Management</t>
  </si>
  <si>
    <t>INSY1005</t>
  </si>
  <si>
    <t>Information Assurance and Security (Data Privacy)</t>
  </si>
  <si>
    <t>INTE1030</t>
  </si>
  <si>
    <t>Network Technology 2</t>
  </si>
  <si>
    <t>BSCS-24-01</t>
  </si>
  <si>
    <t>BSCS</t>
  </si>
  <si>
    <t>BSCS-22-01</t>
  </si>
  <si>
    <t>COSC1006</t>
  </si>
  <si>
    <t>Discrete Structures 2</t>
  </si>
  <si>
    <t>GEDC1003</t>
  </si>
  <si>
    <t>The Entrepreneurial Mind</t>
  </si>
  <si>
    <t>CITE1010</t>
  </si>
  <si>
    <t>Computer Programming 3</t>
  </si>
  <si>
    <t>COSC1014</t>
  </si>
  <si>
    <t>Theory of Computations with Automata</t>
  </si>
  <si>
    <t>INSY1010</t>
  </si>
  <si>
    <t>Information Assurance and Security (Cybersecurity Fundamentals)</t>
  </si>
  <si>
    <t>INTE1007</t>
  </si>
  <si>
    <t>Quantitative Methods (Data Analysis)</t>
  </si>
  <si>
    <t>CS Elective 2</t>
  </si>
  <si>
    <t>COSC1028</t>
  </si>
  <si>
    <t>Artificial Intelligence</t>
  </si>
  <si>
    <t>COSC1021</t>
  </si>
  <si>
    <t>Software Engineering 1</t>
  </si>
  <si>
    <t>COSC1048</t>
  </si>
  <si>
    <t>Methods of Research</t>
  </si>
  <si>
    <t>BSCS-20-01</t>
  </si>
  <si>
    <t>INTE1005</t>
  </si>
  <si>
    <t>Network Technology</t>
  </si>
  <si>
    <t>COSC1050</t>
  </si>
  <si>
    <t>CS Thesis 2</t>
  </si>
  <si>
    <t>BUSS1013</t>
  </si>
  <si>
    <t>Technopreneurship</t>
  </si>
  <si>
    <t>INSY1027</t>
  </si>
  <si>
    <t>Software Quality Assurance</t>
  </si>
  <si>
    <t>BSCPE-22-01</t>
  </si>
  <si>
    <t>BSCPE</t>
  </si>
  <si>
    <t>ENGR1001</t>
  </si>
  <si>
    <t>Programming Logic and Design</t>
  </si>
  <si>
    <t>The Contemporaray World</t>
  </si>
  <si>
    <t>Euthenics  1</t>
  </si>
  <si>
    <t>GEDC1005</t>
  </si>
  <si>
    <t>Mathematics in the Modern World</t>
  </si>
  <si>
    <t>ENGR1002</t>
  </si>
  <si>
    <t>College Calculus (Differential)</t>
  </si>
  <si>
    <t>Engineering</t>
  </si>
  <si>
    <t>ENGR1003</t>
  </si>
  <si>
    <t>Chemistry for Engineers</t>
  </si>
  <si>
    <t>ENGR1004</t>
  </si>
  <si>
    <t>Computer Engineering as a Discipline</t>
  </si>
  <si>
    <t>ENGR1008</t>
  </si>
  <si>
    <t>Fundamentals of Electrical Circuits</t>
  </si>
  <si>
    <t>ENGR1009</t>
  </si>
  <si>
    <t>Operating Systems</t>
  </si>
  <si>
    <t>COSC1004</t>
  </si>
  <si>
    <t>ENGR1010</t>
  </si>
  <si>
    <t>Emerging Technologies in CpE</t>
  </si>
  <si>
    <t>ENGR1011</t>
  </si>
  <si>
    <t>Differential Equations</t>
  </si>
  <si>
    <t>ENGR1015</t>
  </si>
  <si>
    <t>Fundamentals of Mixed Signals and Sensors</t>
  </si>
  <si>
    <t>CpE Elective 1</t>
  </si>
  <si>
    <t>ENGR1017</t>
  </si>
  <si>
    <t>Logic Circuits and Design</t>
  </si>
  <si>
    <t>INTE1026</t>
  </si>
  <si>
    <t>ENGR1018</t>
  </si>
  <si>
    <t>Computer-Aided Drafting</t>
  </si>
  <si>
    <t>ENGR1019</t>
  </si>
  <si>
    <t>Computer Engineering Drafting and Design</t>
  </si>
  <si>
    <t>ENGR1020</t>
  </si>
  <si>
    <t>Engineering Economics</t>
  </si>
  <si>
    <t>ENGR1021</t>
  </si>
  <si>
    <t>Feedback and Control Systems</t>
  </si>
  <si>
    <t>ENGR1051</t>
  </si>
  <si>
    <t>BSCPE-20-01</t>
  </si>
  <si>
    <t>ENGR1050</t>
  </si>
  <si>
    <t>Computer Architecture and Organization</t>
  </si>
  <si>
    <t>INTE1038</t>
  </si>
  <si>
    <t>Computer Network and Security</t>
  </si>
  <si>
    <t>ENGR1029</t>
  </si>
  <si>
    <t>CpE Laws and Professional Practice</t>
  </si>
  <si>
    <t>ENGR1030</t>
  </si>
  <si>
    <t>CpE Elective 3</t>
  </si>
  <si>
    <t>ENGR1031</t>
  </si>
  <si>
    <t>Embedded Systems</t>
  </si>
  <si>
    <t>ENGR1032</t>
  </si>
  <si>
    <t>Capstone Design 2</t>
  </si>
  <si>
    <t>ENGR1033</t>
  </si>
  <si>
    <t>Seminars and Field Trips</t>
  </si>
  <si>
    <t>BSIS-24-01</t>
  </si>
  <si>
    <t>BSIS</t>
  </si>
  <si>
    <t>BSIS-22-01</t>
  </si>
  <si>
    <t>BUSS1006</t>
  </si>
  <si>
    <t>Organization and Management Concepts</t>
  </si>
  <si>
    <t>INSY1002</t>
  </si>
  <si>
    <t>Systems Analysis and Design 1</t>
  </si>
  <si>
    <t>INSY1009</t>
  </si>
  <si>
    <t>Enterprise Architecture</t>
  </si>
  <si>
    <t>GEDC1045</t>
  </si>
  <si>
    <t>Great Books</t>
  </si>
  <si>
    <t>IS Elective 2</t>
  </si>
  <si>
    <t>BUSS1018</t>
  </si>
  <si>
    <t>Business Process Management</t>
  </si>
  <si>
    <t>INSY1041</t>
  </si>
  <si>
    <t>Financial Management</t>
  </si>
  <si>
    <t>INSY1014</t>
  </si>
  <si>
    <t>Systems Analysis and Design 2</t>
  </si>
  <si>
    <t>INSY1015</t>
  </si>
  <si>
    <t xml:space="preserve">Computer Security </t>
  </si>
  <si>
    <t>BSIS-20-01</t>
  </si>
  <si>
    <t>INSY1023</t>
  </si>
  <si>
    <t>IS Project Management 2</t>
  </si>
  <si>
    <t>IS Capstone Project 2</t>
  </si>
  <si>
    <t>IS Elective 4</t>
  </si>
  <si>
    <t>BSHM-22-01</t>
  </si>
  <si>
    <t>BSHM</t>
  </si>
  <si>
    <t>P.E/PATHFIT 1: Movement Competency Training</t>
  </si>
  <si>
    <t>CHTHC1003</t>
  </si>
  <si>
    <t>Macro Perspective of Tourism and Hospitality</t>
  </si>
  <si>
    <t>CHTC1004</t>
  </si>
  <si>
    <t>Risk Management as Applied to Safety, Security, and Sanitation</t>
  </si>
  <si>
    <t>GEDC1010</t>
  </si>
  <si>
    <t>Art Appreciation</t>
  </si>
  <si>
    <t>HOSP1007</t>
  </si>
  <si>
    <t>Hotel Front Office Operations Management</t>
  </si>
  <si>
    <t>HOSP1005</t>
  </si>
  <si>
    <t>Philippine Regional Cuisines with Food Styling and Design</t>
  </si>
  <si>
    <t>HOSP1008</t>
  </si>
  <si>
    <t>Fundamentals in Lodging Operations</t>
  </si>
  <si>
    <t>CTHC1010</t>
  </si>
  <si>
    <t>Foreign Language 1</t>
  </si>
  <si>
    <t>CTHC1008</t>
  </si>
  <si>
    <t>Quality Service Management in Tourism and Hospitality</t>
  </si>
  <si>
    <t>CBMC1001</t>
  </si>
  <si>
    <t>Operations Management (TQM)</t>
  </si>
  <si>
    <t>HOSP1016</t>
  </si>
  <si>
    <t>Pastry Arts and Bakery Management</t>
  </si>
  <si>
    <t>HOSP1019</t>
  </si>
  <si>
    <t>Applied Business Tools and Technologies in Hospitality</t>
  </si>
  <si>
    <t>CTHC1013</t>
  </si>
  <si>
    <t>Professional Development and Applied Ethics</t>
  </si>
  <si>
    <t>CTHC1014</t>
  </si>
  <si>
    <t>Tourism and Hospitality Marketing</t>
  </si>
  <si>
    <t>CTHC1015</t>
  </si>
  <si>
    <t>Multicultural Diversity in Workplace for the Tourism Professional</t>
  </si>
  <si>
    <t>BSHM-20-01</t>
  </si>
  <si>
    <t>HOSP1024</t>
  </si>
  <si>
    <t>Specialty Cuisine with Food Exhibit</t>
  </si>
  <si>
    <t>HOSP1025</t>
  </si>
  <si>
    <t>Research in Hospitality</t>
  </si>
  <si>
    <t>BSTM-22-01</t>
  </si>
  <si>
    <t>BSTM</t>
  </si>
  <si>
    <t>TOUR1007</t>
  </si>
  <si>
    <t>Accommodation Operations and Management</t>
  </si>
  <si>
    <t>TOUR1008</t>
  </si>
  <si>
    <t>Tour and Travel Management</t>
  </si>
  <si>
    <t>TOUR1009</t>
  </si>
  <si>
    <t>Sustainable Tourism</t>
  </si>
  <si>
    <t>TOUR1016</t>
  </si>
  <si>
    <t>Applied Business Tools and Technologies in Tourism</t>
  </si>
  <si>
    <t>BSTM-20-01</t>
  </si>
  <si>
    <t>TOUR1020</t>
  </si>
  <si>
    <t>Airline/Flight Operations Management</t>
  </si>
  <si>
    <t>TOUR1021</t>
  </si>
  <si>
    <t>Research in Tourism</t>
  </si>
  <si>
    <t>BSCM-22-01</t>
  </si>
  <si>
    <t>BSCM</t>
  </si>
  <si>
    <t>HOSP1003</t>
  </si>
  <si>
    <t>Menu Planning and Merchandising</t>
  </si>
  <si>
    <t>BSCM-20-01</t>
  </si>
  <si>
    <t>BSBA-24-01</t>
  </si>
  <si>
    <t>BSBA</t>
  </si>
  <si>
    <t>BUSS1001 </t>
  </si>
  <si>
    <t>Basic Microeconomics </t>
  </si>
  <si>
    <t>GEDC1002 </t>
  </si>
  <si>
    <t>The Contemporary World </t>
  </si>
  <si>
    <t>STIC1002 </t>
  </si>
  <si>
    <t>Euthenics 1 </t>
  </si>
  <si>
    <t>NSTP1008 </t>
  </si>
  <si>
    <t>National Service Training Program 1 </t>
  </si>
  <si>
    <t>PHED1005 </t>
  </si>
  <si>
    <t>P.E./PATHFIT 1: Movement Competency Training </t>
  </si>
  <si>
    <t>GEDC1006 </t>
  </si>
  <si>
    <t>Readings in Philippine History </t>
  </si>
  <si>
    <t>GEDC1008 </t>
  </si>
  <si>
    <t>Understanding the Self </t>
  </si>
  <si>
    <t>BSBA-22-01</t>
  </si>
  <si>
    <t xml:space="preserve">GEDC1014 </t>
  </si>
  <si>
    <t xml:space="preserve">Mathematics in the Modern World </t>
  </si>
  <si>
    <t xml:space="preserve">PHED1007	</t>
  </si>
  <si>
    <t>BUSS1005</t>
  </si>
  <si>
    <t>Costing and Pricing</t>
  </si>
  <si>
    <t>BUSS1007</t>
  </si>
  <si>
    <t>Facilities Management</t>
  </si>
  <si>
    <t>BUSS1015</t>
  </si>
  <si>
    <t>Business Research</t>
  </si>
  <si>
    <t>BUSS1016</t>
  </si>
  <si>
    <t>Good Governance and Social Responsibility</t>
  </si>
  <si>
    <t>BUSS1017</t>
  </si>
  <si>
    <t>International Business and Trade</t>
  </si>
  <si>
    <t>BUSS1019</t>
  </si>
  <si>
    <t>Managerial Accounting</t>
  </si>
  <si>
    <t>Accounting</t>
  </si>
  <si>
    <t>BSBA-20-01</t>
  </si>
  <si>
    <t>BUSS1024</t>
  </si>
  <si>
    <t>Feasibility Study</t>
  </si>
  <si>
    <t>BUSS1025</t>
  </si>
  <si>
    <t>Entrepreneurial Management</t>
  </si>
  <si>
    <t>BUSS1020</t>
  </si>
  <si>
    <t>BUSS1026</t>
  </si>
  <si>
    <t xml:space="preserve">Marketing Management </t>
  </si>
  <si>
    <t>BUSS1027</t>
  </si>
  <si>
    <t>Special Topics in Operations Management</t>
  </si>
  <si>
    <t>BSAIS-24-01</t>
  </si>
  <si>
    <t>BSAIS</t>
  </si>
  <si>
    <t>ACCT1001</t>
  </si>
  <si>
    <t>Basic Accounting</t>
  </si>
  <si>
    <t>GEDC1013</t>
  </si>
  <si>
    <t>Science, Technology and Society</t>
  </si>
  <si>
    <t>BSAIS-22-01</t>
  </si>
  <si>
    <t>ACCT1004</t>
  </si>
  <si>
    <t>Business Laws and Regulations</t>
  </si>
  <si>
    <t>Law</t>
  </si>
  <si>
    <t>ACCT1005</t>
  </si>
  <si>
    <t>Intermediate Accounting 1</t>
  </si>
  <si>
    <t>INTE1011</t>
  </si>
  <si>
    <t>IT Application Tools in Business</t>
  </si>
  <si>
    <t>ACCT1006</t>
  </si>
  <si>
    <t>Managerial Economics</t>
  </si>
  <si>
    <t>CBMC1002</t>
  </si>
  <si>
    <t>Strategic Management</t>
  </si>
  <si>
    <t>ACCT1013</t>
  </si>
  <si>
    <t>Cost Accounting and Control</t>
  </si>
  <si>
    <t>ACCT1014</t>
  </si>
  <si>
    <t>Economic Development</t>
  </si>
  <si>
    <t>ACCT1015</t>
  </si>
  <si>
    <t>Financial Markets</t>
  </si>
  <si>
    <t>ACCT1016</t>
  </si>
  <si>
    <t>Governance, Business Ethics, Risk Management and Internal Control</t>
  </si>
  <si>
    <t>ACCT1017</t>
  </si>
  <si>
    <t>Intermediate Accounting 3</t>
  </si>
  <si>
    <t>ACCT1018</t>
  </si>
  <si>
    <t>Statistical Analysis with Software Application</t>
  </si>
  <si>
    <t>INTE1028</t>
  </si>
  <si>
    <t>Information Systems Analysis and Design</t>
  </si>
  <si>
    <t>BSAIS-20-01</t>
  </si>
  <si>
    <t>ACCT1030</t>
  </si>
  <si>
    <t>Management Science</t>
  </si>
  <si>
    <t>ACCT1031</t>
  </si>
  <si>
    <t>Strategic Business Analysis</t>
  </si>
  <si>
    <t>ACCT1032</t>
  </si>
  <si>
    <t>Business Analytics</t>
  </si>
  <si>
    <t>ACCT1033</t>
  </si>
  <si>
    <t>Financial Modeling</t>
  </si>
  <si>
    <t>BUSS1009</t>
  </si>
  <si>
    <t>Human Resource Management</t>
  </si>
  <si>
    <t>ACCT1034</t>
  </si>
  <si>
    <t>Management Reporting</t>
  </si>
  <si>
    <t>INTE1042</t>
  </si>
  <si>
    <t>Information Security and Management</t>
  </si>
  <si>
    <t>BSA-24-01</t>
  </si>
  <si>
    <t>BSA</t>
  </si>
  <si>
    <t>BSA-22-01</t>
  </si>
  <si>
    <r>
      <t xml:space="preserve">Business </t>
    </r>
    <r>
      <rPr>
        <sz val="11"/>
        <rFont val="Calibri Light"/>
        <family val="2"/>
        <scheme val="major"/>
      </rPr>
      <t>Laws and Regulations</t>
    </r>
  </si>
  <si>
    <t>lntermediate Accounting 1</t>
  </si>
  <si>
    <r>
      <t xml:space="preserve">Managerial </t>
    </r>
    <r>
      <rPr>
        <sz val="11"/>
        <rFont val="Calibri Light"/>
        <family val="2"/>
        <scheme val="major"/>
      </rPr>
      <t>Economics</t>
    </r>
  </si>
  <si>
    <r>
      <t xml:space="preserve">Strategic </t>
    </r>
    <r>
      <rPr>
        <sz val="11"/>
        <rFont val="Calibri Light"/>
        <family val="2"/>
        <scheme val="major"/>
      </rPr>
      <t>Management</t>
    </r>
  </si>
  <si>
    <t>Governance, Business Ethics, Risk Management, and Internal Control</t>
  </si>
  <si>
    <t>ACCT1019</t>
  </si>
  <si>
    <t>Auditing and Assurance: Concepts and Applications 1</t>
  </si>
  <si>
    <t>BSA-20-01</t>
  </si>
  <si>
    <t>ACCT1042</t>
  </si>
  <si>
    <t>Professional Elective 1</t>
  </si>
  <si>
    <t>ACCT1043</t>
  </si>
  <si>
    <t>Professional Elective 2</t>
  </si>
  <si>
    <t>ACCT1044</t>
  </si>
  <si>
    <t>Professional Elective 3</t>
  </si>
  <si>
    <t>ACCT1045</t>
  </si>
  <si>
    <t>Professional Elective 4</t>
  </si>
  <si>
    <t>ACCT1035</t>
  </si>
  <si>
    <t>Auditing and Assurance: Specialized Industries</t>
  </si>
  <si>
    <t>BSMA-24-01</t>
  </si>
  <si>
    <t>BSMA</t>
  </si>
  <si>
    <t>BSMA-22-01</t>
  </si>
  <si>
    <t>ACCT1020</t>
  </si>
  <si>
    <t>Performance Management Systems</t>
  </si>
  <si>
    <t>BSMA-20-01</t>
  </si>
  <si>
    <t>BUSS1010</t>
  </si>
  <si>
    <t>ACCT1036</t>
  </si>
  <si>
    <t>Valuation Methods</t>
  </si>
  <si>
    <t>BACOMM-22-01</t>
  </si>
  <si>
    <t>BACOMM</t>
  </si>
  <si>
    <t>ACOM1001</t>
  </si>
  <si>
    <t>Introduction to Communication Media</t>
  </si>
  <si>
    <t>Communications</t>
  </si>
  <si>
    <t>ACOM1003</t>
  </si>
  <si>
    <t>Broadcasting Principles and Practices</t>
  </si>
  <si>
    <t>ACOM1004</t>
  </si>
  <si>
    <t>Journalism Principles and Practices</t>
  </si>
  <si>
    <t>ACOM1007</t>
  </si>
  <si>
    <t>Communication Media Laws and Ethics</t>
  </si>
  <si>
    <t>ACOM1008</t>
  </si>
  <si>
    <t>Risk, Disaster, and Humanitarian Communication</t>
  </si>
  <si>
    <t>ACOM1009</t>
  </si>
  <si>
    <t>Social Media Principles and Practices</t>
  </si>
  <si>
    <t>ACOM1010</t>
  </si>
  <si>
    <t>Advertising Principles and Practices</t>
  </si>
  <si>
    <t>ACOM1011</t>
  </si>
  <si>
    <t>Multimedia Journalism</t>
  </si>
  <si>
    <t>BACOMM-20-01</t>
  </si>
  <si>
    <t>ACOM1015</t>
  </si>
  <si>
    <t>Communication Planning</t>
  </si>
  <si>
    <t>ACOM1016</t>
  </si>
  <si>
    <t>Digital Publishing</t>
  </si>
  <si>
    <t>ACOM1017</t>
  </si>
  <si>
    <t>Web Content Management</t>
  </si>
  <si>
    <t>ACOM1018</t>
  </si>
  <si>
    <t>Thesis/Special Project 1</t>
  </si>
  <si>
    <t>GEDC1035</t>
  </si>
  <si>
    <t>World Literature</t>
  </si>
  <si>
    <t>BMMA-22-01</t>
  </si>
  <si>
    <t>BMMA</t>
  </si>
  <si>
    <t>MMAR1001</t>
  </si>
  <si>
    <t>Drawing 1</t>
  </si>
  <si>
    <t>Multimedia Arts</t>
  </si>
  <si>
    <t>MMAR1002</t>
  </si>
  <si>
    <t>Introduction to Multimedia Arts</t>
  </si>
  <si>
    <r>
      <rPr>
        <sz val="11"/>
        <color rgb="FF2F3737"/>
        <rFont val="Calibri Light"/>
        <family val="2"/>
      </rPr>
      <t>P.E./PATHFIT</t>
    </r>
    <r>
      <rPr>
        <sz val="11"/>
        <color rgb="FF000000"/>
        <rFont val="Calibri Light"/>
        <family val="2"/>
      </rPr>
      <t xml:space="preserve"> 3: </t>
    </r>
    <r>
      <rPr>
        <sz val="11"/>
        <color rgb="FF343B3B"/>
        <rFont val="Calibri Light"/>
        <family val="2"/>
      </rPr>
      <t>Individual-Dual Sports</t>
    </r>
  </si>
  <si>
    <t>MMAR1006</t>
  </si>
  <si>
    <t>2D Animation</t>
  </si>
  <si>
    <t>MMAR1007</t>
  </si>
  <si>
    <t>3D Modeling</t>
  </si>
  <si>
    <t>MMAR1008</t>
  </si>
  <si>
    <t>Color Theory</t>
  </si>
  <si>
    <t>MMAR1011</t>
  </si>
  <si>
    <t>Business Ventures in Multimedia</t>
  </si>
  <si>
    <t>CASC1004</t>
  </si>
  <si>
    <t>Digital Photography</t>
  </si>
  <si>
    <t>MMA Elective 2</t>
  </si>
  <si>
    <t>MMA Free Elective 1</t>
  </si>
  <si>
    <t>MMAR1014</t>
  </si>
  <si>
    <t>Typography and Layout</t>
  </si>
  <si>
    <t>BMMA-20-01</t>
  </si>
  <si>
    <t>MMAR1019</t>
  </si>
  <si>
    <t>Capstone Project 1</t>
  </si>
  <si>
    <t>MMAR1020</t>
  </si>
  <si>
    <t>Interactive Media Design</t>
  </si>
  <si>
    <t>MMAR1021</t>
  </si>
  <si>
    <t>Multimedia Seminars</t>
  </si>
  <si>
    <t>MMAR1022</t>
  </si>
  <si>
    <t>Digital Sound Production</t>
  </si>
  <si>
    <t>BSRTCS-24-01</t>
  </si>
  <si>
    <t>BSRTCS</t>
  </si>
  <si>
    <t>STIC1003</t>
  </si>
  <si>
    <t>Computer Productivity Tools</t>
  </si>
  <si>
    <t>BUSS1062</t>
  </si>
  <si>
    <t>Retail Principles</t>
  </si>
  <si>
    <t>BUSS1065</t>
  </si>
  <si>
    <t>Behavioral Economics</t>
  </si>
  <si>
    <t>BSRTCS-22-01</t>
  </si>
  <si>
    <t>BUSS1066</t>
  </si>
  <si>
    <t>Building and Managing Customer Relationships</t>
  </si>
  <si>
    <t>DSCI1001</t>
  </si>
  <si>
    <t>Introduction to Data Science</t>
  </si>
  <si>
    <t>INTE1068</t>
  </si>
  <si>
    <t>Digital Graphics and Image Manipulation</t>
  </si>
  <si>
    <t>BUSS1068</t>
  </si>
  <si>
    <t>Operations Retail Management</t>
  </si>
  <si>
    <t>INTE1069</t>
  </si>
  <si>
    <t>Introduction to FinTech</t>
  </si>
  <si>
    <t>BUSS1075</t>
  </si>
  <si>
    <t>Retail Channel Strategies</t>
  </si>
  <si>
    <t>DSCI1003</t>
  </si>
  <si>
    <t>Exploratory Data Analysis</t>
  </si>
  <si>
    <t>BUSS1074</t>
  </si>
  <si>
    <t>Quantitative Methods</t>
  </si>
  <si>
    <t>BSRTCS-20-01</t>
  </si>
  <si>
    <t>ELEC1002</t>
  </si>
  <si>
    <t>Elective 2</t>
  </si>
  <si>
    <t>BUSS1072</t>
  </si>
  <si>
    <t>Strategic Retail Management</t>
  </si>
  <si>
    <t>DSCI1004</t>
  </si>
  <si>
    <t>Big Data Analytics</t>
  </si>
  <si>
    <t>BUSS1076</t>
  </si>
  <si>
    <t>Business Ethics and Consumer Protection</t>
  </si>
  <si>
    <t>BUSS1089</t>
  </si>
  <si>
    <t>HRS-18-01</t>
  </si>
  <si>
    <t>HRS</t>
  </si>
  <si>
    <t>GEDC1001</t>
  </si>
  <si>
    <t>Practical Math Applications</t>
  </si>
  <si>
    <t>STIC1001</t>
  </si>
  <si>
    <t>NSTP1007</t>
  </si>
  <si>
    <t>CTHC1002</t>
  </si>
  <si>
    <t>Tourism and Hospitality Principles 1</t>
  </si>
  <si>
    <t>CTHC1001</t>
  </si>
  <si>
    <t>Sanitation and Hygiene</t>
  </si>
  <si>
    <t>HOSP1004</t>
  </si>
  <si>
    <t>Culinary of Asian Countries</t>
  </si>
  <si>
    <t>HOSP1006</t>
  </si>
  <si>
    <t>Baking and Pastry Production</t>
  </si>
  <si>
    <t>CTHC1009</t>
  </si>
  <si>
    <t>TQM as Applied in Tourism and Hospitality</t>
  </si>
  <si>
    <t>HRA-18-01</t>
  </si>
  <si>
    <t>HRA</t>
  </si>
  <si>
    <t>HOSP1015</t>
  </si>
  <si>
    <t>Front Office Principles and Procedures</t>
  </si>
  <si>
    <t>HOSP1017</t>
  </si>
  <si>
    <t>Advanced Office Productivity Tools in Hospitality</t>
  </si>
  <si>
    <t>HOSP1018</t>
  </si>
  <si>
    <t>Introduction to Hotel Operations</t>
  </si>
  <si>
    <t>HOSP1020</t>
  </si>
  <si>
    <t>Understanding Culture</t>
  </si>
  <si>
    <t>TEM-18-01</t>
  </si>
  <si>
    <t>TEM</t>
  </si>
  <si>
    <t>TOUR1004</t>
  </si>
  <si>
    <t>Tour Guiding Principles and Techniques</t>
  </si>
  <si>
    <t>TOUR1005</t>
  </si>
  <si>
    <t>Travel Agency and Tour Operations</t>
  </si>
  <si>
    <t>TOUR1006</t>
  </si>
  <si>
    <t>Tourism Sustainability for the Future</t>
  </si>
  <si>
    <t>ITP-18-01</t>
  </si>
  <si>
    <t>ITP</t>
  </si>
  <si>
    <t>CITE1001</t>
  </si>
  <si>
    <t>Foundations of Computing</t>
  </si>
  <si>
    <t>CITE1002</t>
  </si>
  <si>
    <t>Introduction to Java Programming</t>
  </si>
  <si>
    <t>COSC1005</t>
  </si>
  <si>
    <t>Data Structures</t>
  </si>
  <si>
    <t>CITE1009</t>
  </si>
  <si>
    <t>Application Design and Development</t>
  </si>
  <si>
    <t>STIC1005</t>
  </si>
  <si>
    <t>INTE1012</t>
  </si>
  <si>
    <t>Advanced C# Programming</t>
  </si>
  <si>
    <t>INTE1014</t>
  </si>
  <si>
    <t>Advanced Java Programming</t>
  </si>
  <si>
    <t>ACT-22-01</t>
  </si>
  <si>
    <t>ACT</t>
  </si>
  <si>
    <t>PATHFIT 1: Movement Competency Training</t>
  </si>
  <si>
    <t>INTE1116</t>
  </si>
  <si>
    <t>Information Management</t>
  </si>
  <si>
    <t>INTE1117</t>
  </si>
  <si>
    <t>Professional Issues in Computing</t>
  </si>
  <si>
    <t>ACT Elective 3</t>
  </si>
  <si>
    <t>ACT Elective 4</t>
  </si>
  <si>
    <t>ART-22-01</t>
  </si>
  <si>
    <t>ART</t>
  </si>
  <si>
    <t xml:space="preserve">Computer Productivity Tools </t>
  </si>
  <si>
    <t>PE/PATHFIT 1: Movement Competency Training</t>
  </si>
  <si>
    <t>BAPSYCH-22-01</t>
  </si>
  <si>
    <t>BAPSYCH</t>
  </si>
  <si>
    <t>GEDC1005 </t>
  </si>
  <si>
    <t>Mathematics in the Modern World </t>
  </si>
  <si>
    <t>STIC1003 </t>
  </si>
  <si>
    <t>Computer Productivity Tools </t>
  </si>
  <si>
    <t>PSYC1043 </t>
  </si>
  <si>
    <t>Introduction to Psychology </t>
  </si>
  <si>
    <t>Psychology</t>
  </si>
  <si>
    <t>GEDC1003 </t>
  </si>
  <si>
    <t>PSYC1045</t>
  </si>
  <si>
    <t>Developmental Psychology</t>
  </si>
  <si>
    <t>PSYC1046</t>
  </si>
  <si>
    <t>Physiological/Biological Psychology</t>
  </si>
  <si>
    <t>PSYC1050</t>
  </si>
  <si>
    <t>Abnormal Psychology</t>
  </si>
  <si>
    <t>PSYC1051</t>
  </si>
  <si>
    <t>Field Methods in Psychology</t>
  </si>
  <si>
    <t>PSYC1052</t>
  </si>
  <si>
    <t>Social Psychology</t>
  </si>
  <si>
    <t>BSCRIM-22-01</t>
  </si>
  <si>
    <t>BSCRIM</t>
  </si>
  <si>
    <t>CRIM1001</t>
  </si>
  <si>
    <t>Introduction to Criminology</t>
  </si>
  <si>
    <t>Criminology</t>
  </si>
  <si>
    <t>PHED1009</t>
  </si>
  <si>
    <t>ROTC1001</t>
  </si>
  <si>
    <t>National Service Training Program 1 (ROTC 1)</t>
  </si>
  <si>
    <t>Life and Works of Rizal</t>
  </si>
  <si>
    <t>CRIM1003</t>
  </si>
  <si>
    <t>Fundamentals of Criminal Investigation and Intelligence</t>
  </si>
  <si>
    <t>CRIM1004</t>
  </si>
  <si>
    <t>Law Enforcement Organization and Administration (Inter-Agency Approach)</t>
  </si>
  <si>
    <t>CRIM1005</t>
  </si>
  <si>
    <t>Comparative Models in Policing</t>
  </si>
  <si>
    <t>CRIM1006</t>
  </si>
  <si>
    <t>Theories of Crime Causation</t>
  </si>
  <si>
    <t>P.E./PATHFIT 3: Outdoor and Adventure Activities 1</t>
  </si>
  <si>
    <t>CRIM1007</t>
  </si>
  <si>
    <t>Introduction to Computing (with Computing Productivity Tools)</t>
  </si>
  <si>
    <t>CITE1006</t>
  </si>
  <si>
    <t>Computer Programming 2</t>
  </si>
  <si>
    <t>COSC1002</t>
  </si>
  <si>
    <t>Discrete Structures 1 (Discrete Mathematics)</t>
  </si>
  <si>
    <t>NSTP1010</t>
  </si>
  <si>
    <t>National Service Training Program 2</t>
  </si>
  <si>
    <t>PHED1006</t>
  </si>
  <si>
    <t>PE/PATHFIT 2: Exercise-based Fitness Activities</t>
  </si>
  <si>
    <t>Science, Technology, and Society</t>
  </si>
  <si>
    <t>GEDC1009</t>
  </si>
  <si>
    <t>Ethics</t>
  </si>
  <si>
    <t>INTE1006</t>
  </si>
  <si>
    <t>Systems Administration and Maintenance</t>
  </si>
  <si>
    <t>CITE1011</t>
  </si>
  <si>
    <t>PHED1008</t>
  </si>
  <si>
    <t>P.E./PATHFIT 4:  Team Sports</t>
  </si>
  <si>
    <t>Network Technology 1</t>
  </si>
  <si>
    <t>INTE1020</t>
  </si>
  <si>
    <t>INTE1021</t>
  </si>
  <si>
    <t>Systems Integration and Architecture</t>
  </si>
  <si>
    <t>INTE1010</t>
  </si>
  <si>
    <t>Integrative Programming</t>
  </si>
  <si>
    <t>INTE1083</t>
  </si>
  <si>
    <t>Web Systems and Technologies</t>
  </si>
  <si>
    <t>INSY1007</t>
  </si>
  <si>
    <t>Management Information Systems</t>
  </si>
  <si>
    <t>INTE1031</t>
  </si>
  <si>
    <t>IT Capstone Project 1</t>
  </si>
  <si>
    <t>IT Elective 3</t>
  </si>
  <si>
    <t>INTE1084</t>
  </si>
  <si>
    <t>Mobile Systems and Technologies</t>
  </si>
  <si>
    <t>Information Assurance and Security (Cybersecurity Fundamentals )</t>
  </si>
  <si>
    <t>INTE1043</t>
  </si>
  <si>
    <t>IT Practicum (486 hours)</t>
  </si>
  <si>
    <t>P.E./PATHFIT 2: Exercise-based Fitness Activities</t>
  </si>
  <si>
    <t>COSC1046</t>
  </si>
  <si>
    <t>College Calculus</t>
  </si>
  <si>
    <t>COSC1009</t>
  </si>
  <si>
    <t>Design and Analysis of Algorithms</t>
  </si>
  <si>
    <t>P.E./PATHFIT 4: Team Sports</t>
  </si>
  <si>
    <t>INTE1023</t>
  </si>
  <si>
    <t>Computer Systems Architecture</t>
  </si>
  <si>
    <t>CS Elective 1</t>
  </si>
  <si>
    <t>COSC1016</t>
  </si>
  <si>
    <t>Modeling and Simulation</t>
  </si>
  <si>
    <t>COSC1042</t>
  </si>
  <si>
    <t>Game Programming</t>
  </si>
  <si>
    <t>COSC1020</t>
  </si>
  <si>
    <t>Programming Languages</t>
  </si>
  <si>
    <t>CITE1013</t>
  </si>
  <si>
    <t>Computer Organization</t>
  </si>
  <si>
    <t>COSC1025</t>
  </si>
  <si>
    <t>Software Engineering 2</t>
  </si>
  <si>
    <t>CS Elective 3</t>
  </si>
  <si>
    <t>COSC1049</t>
  </si>
  <si>
    <t>CS Thesis 1</t>
  </si>
  <si>
    <t>COSC1051</t>
  </si>
  <si>
    <t>CS Practicum (300 hours)</t>
  </si>
  <si>
    <t>INTE1001</t>
  </si>
  <si>
    <t>Object-Oriented Programming</t>
  </si>
  <si>
    <t>ENGR1048</t>
  </si>
  <si>
    <t>Discrete Mathematics</t>
  </si>
  <si>
    <t>ENGR1005</t>
  </si>
  <si>
    <t>College Calculus (Integral)</t>
  </si>
  <si>
    <t>ENGR1007</t>
  </si>
  <si>
    <t>Physics for Engineers</t>
  </si>
  <si>
    <t>ENGR1012</t>
  </si>
  <si>
    <t>Numerical Methods</t>
  </si>
  <si>
    <t>ENGR1013</t>
  </si>
  <si>
    <r>
      <rPr>
        <sz val="11"/>
        <color rgb="FF000000"/>
        <rFont val="Calibri Light"/>
        <family val="2"/>
      </rPr>
      <t xml:space="preserve">Fundamentals </t>
    </r>
    <r>
      <rPr>
        <sz val="11"/>
        <color rgb="FF000000"/>
        <rFont val="Calibri"/>
        <family val="2"/>
      </rPr>
      <t>of Electronic Circuits</t>
    </r>
  </si>
  <si>
    <t>ENGR1014</t>
  </si>
  <si>
    <t>Software Design</t>
  </si>
  <si>
    <t>GED1009</t>
  </si>
  <si>
    <t>ENGR1049</t>
  </si>
  <si>
    <t>Engineering Data Analysis</t>
  </si>
  <si>
    <t>ENGR1022</t>
  </si>
  <si>
    <t>Basic Occupational Health and Safety</t>
  </si>
  <si>
    <t>ENGR1023</t>
  </si>
  <si>
    <t>Microprocessors</t>
  </si>
  <si>
    <t>CpE Elective 2</t>
  </si>
  <si>
    <t>ENGR1025</t>
  </si>
  <si>
    <t>Introduction to HDL</t>
  </si>
  <si>
    <t>ENGR1026</t>
  </si>
  <si>
    <t>Digital Signal Processing</t>
  </si>
  <si>
    <t>ENGR1052</t>
  </si>
  <si>
    <t>Capstone Design 1</t>
  </si>
  <si>
    <t>ENGR1027</t>
  </si>
  <si>
    <t>CpE Practicum (300 hours)</t>
  </si>
  <si>
    <t>INSY1001</t>
  </si>
  <si>
    <t>Information Systems Fundamentals</t>
  </si>
  <si>
    <t>IS Elective 1</t>
  </si>
  <si>
    <t>INSY1006</t>
  </si>
  <si>
    <t>Electronic Business</t>
  </si>
  <si>
    <t>INSY1016</t>
  </si>
  <si>
    <t>Enterprise Systems</t>
  </si>
  <si>
    <t>INSY1017</t>
  </si>
  <si>
    <t>IS Project Management 1</t>
  </si>
  <si>
    <t>INSY1018</t>
  </si>
  <si>
    <t>IS Capstone Project 1</t>
  </si>
  <si>
    <t>INSY1019</t>
  </si>
  <si>
    <t>Data Warehousing</t>
  </si>
  <si>
    <t>IS Elective 3</t>
  </si>
  <si>
    <t>INSY1021</t>
  </si>
  <si>
    <t>IS Strategy, Management and Acquisition</t>
  </si>
  <si>
    <t>BUSS1023</t>
  </si>
  <si>
    <t>Evaluation of Business Performance</t>
  </si>
  <si>
    <t>INSY1022</t>
  </si>
  <si>
    <t>Systems Analysis and Design 3</t>
  </si>
  <si>
    <t>INSY1026</t>
  </si>
  <si>
    <t>IS Practicum (486 hours)</t>
  </si>
  <si>
    <t>HOSP1002</t>
  </si>
  <si>
    <t>Kitchen Essentials and Basic Food Preparation</t>
  </si>
  <si>
    <t>CTHC1006</t>
  </si>
  <si>
    <t>Philippine Culture and Tourism Geography</t>
  </si>
  <si>
    <t>CTHC1007</t>
  </si>
  <si>
    <t>Micro Perspective of Tourism and Hospitality</t>
  </si>
  <si>
    <t>GEOC1009</t>
  </si>
  <si>
    <t>HOSP1009</t>
  </si>
  <si>
    <t>International Cuisines with Food Styling and Design</t>
  </si>
  <si>
    <t>HOSP1013</t>
  </si>
  <si>
    <t>Supply Chain Management in Hospitality Industry</t>
  </si>
  <si>
    <t>HOSP1014</t>
  </si>
  <si>
    <t>Fundamentals in Food Service Operations</t>
  </si>
  <si>
    <t>CTHC1011</t>
  </si>
  <si>
    <t>lntroduction to Meetings lneentives, Conferenees, and Events Management (MICE)</t>
  </si>
  <si>
    <t>CTHC1012</t>
  </si>
  <si>
    <t>Foreign Language 2</t>
  </si>
  <si>
    <t>CBMC1003</t>
  </si>
  <si>
    <t>HOSP1021</t>
  </si>
  <si>
    <t>Catering Operations Management</t>
  </si>
  <si>
    <t>HOSP1022</t>
  </si>
  <si>
    <t>Modern Gastronomy with Fusion of Cuisines</t>
  </si>
  <si>
    <t>HOSP1023</t>
  </si>
  <si>
    <t>Ergonomics and Facilities Planning for the Hospitality Industry</t>
  </si>
  <si>
    <t>CTHC1016</t>
  </si>
  <si>
    <t>Legal Aspects in Tourism and Hospitality</t>
  </si>
  <si>
    <t>CTHC1017</t>
  </si>
  <si>
    <t>Entrepreneurship in Tourism and Hospitality</t>
  </si>
  <si>
    <t>OJTC1003</t>
  </si>
  <si>
    <t>BSHM Practicum (600 hours)</t>
  </si>
  <si>
    <t>TOUR1003</t>
  </si>
  <si>
    <t>Global Culture and Tourism Geography</t>
  </si>
  <si>
    <t>TOUR1012</t>
  </si>
  <si>
    <t>Tour Planning, Packaging, and Pricing</t>
  </si>
  <si>
    <t>TOUR1014</t>
  </si>
  <si>
    <t>Tourism Policy Planning and Development</t>
  </si>
  <si>
    <t>Introduction to Meetings lncentives, Conferences, and Events Management (MICE)</t>
  </si>
  <si>
    <t>TOUR1022</t>
  </si>
  <si>
    <t>Travel Writing and Photography</t>
  </si>
  <si>
    <t>TOUR1018</t>
  </si>
  <si>
    <t>Professional Tour Guiding</t>
  </si>
  <si>
    <t>TOUR1019</t>
  </si>
  <si>
    <t>Transportation Management</t>
  </si>
  <si>
    <t>OJTC1004</t>
  </si>
  <si>
    <t>BSTM Practicum (600 hours)</t>
  </si>
  <si>
    <t>Introduction to Meetings Incentives, Conferences, and Events Management (MICE)</t>
  </si>
  <si>
    <t>OJTC1006</t>
  </si>
  <si>
    <t>BSCM Practicum (600 hours)</t>
  </si>
  <si>
    <t>BUSS1004</t>
  </si>
  <si>
    <t>Productivity and Quality Tools</t>
  </si>
  <si>
    <t>BUSS1008</t>
  </si>
  <si>
    <t>Business Law (Obligations and Contracts)</t>
  </si>
  <si>
    <t>BUSS1011</t>
  </si>
  <si>
    <t>Taxation (Income Taxation)</t>
  </si>
  <si>
    <t>BUSS1014</t>
  </si>
  <si>
    <t>Logistics Management</t>
  </si>
  <si>
    <t>Management Information System</t>
  </si>
  <si>
    <t>BUSS1021</t>
  </si>
  <si>
    <t>Environmental Management System</t>
  </si>
  <si>
    <t>BUSS1022</t>
  </si>
  <si>
    <t>Inventory Management and Control</t>
  </si>
  <si>
    <t>INTE1035</t>
  </si>
  <si>
    <t>Project Management</t>
  </si>
  <si>
    <t>OJTC1005</t>
  </si>
  <si>
    <t>Practicum (600 hours)</t>
  </si>
  <si>
    <t>ACCT1002</t>
  </si>
  <si>
    <t>Conceptual Framework and Accounting Standards</t>
  </si>
  <si>
    <t>ACCT1003</t>
  </si>
  <si>
    <t>Financial Accounting and Reporting</t>
  </si>
  <si>
    <t>BUSS1002</t>
  </si>
  <si>
    <t>Income Taxation</t>
  </si>
  <si>
    <t>BUSS1003</t>
  </si>
  <si>
    <t>Law on Obligations and Contracts</t>
  </si>
  <si>
    <t>ACCT1007</t>
  </si>
  <si>
    <t>Accounting Information System</t>
  </si>
  <si>
    <t>ACCT1008</t>
  </si>
  <si>
    <t>Business Taxation</t>
  </si>
  <si>
    <t>BUSS1012</t>
  </si>
  <si>
    <t>ACCT1009</t>
  </si>
  <si>
    <t>Intermediate Accounting 2</t>
  </si>
  <si>
    <t>ACCT1010</t>
  </si>
  <si>
    <t>Regulatory Framework and Legal Issues in Business</t>
  </si>
  <si>
    <t>INTE1022</t>
  </si>
  <si>
    <t>Managing Information and Technology</t>
  </si>
  <si>
    <t>ACCT1021</t>
  </si>
  <si>
    <t>Accounting Research Methods</t>
  </si>
  <si>
    <t>ACCT1022</t>
  </si>
  <si>
    <t>Strategic Cost Management</t>
  </si>
  <si>
    <t>INTE1032</t>
  </si>
  <si>
    <t>Data Warehousing and Management</t>
  </si>
  <si>
    <t>INTE1033</t>
  </si>
  <si>
    <t>Enterprise Resource Planning Management</t>
  </si>
  <si>
    <t>INTE1036</t>
  </si>
  <si>
    <t>Information Systems Operations and Maintenance</t>
  </si>
  <si>
    <t>ACCT1037</t>
  </si>
  <si>
    <t>Accounting Research</t>
  </si>
  <si>
    <t>OJTC1007</t>
  </si>
  <si>
    <t>Accounting Intership (600 hours)</t>
  </si>
  <si>
    <t>ACCT1011</t>
  </si>
  <si>
    <t>Auditing and Assurance Principles</t>
  </si>
  <si>
    <t>ACCT1023</t>
  </si>
  <si>
    <t>Accounting for Business Combinations</t>
  </si>
  <si>
    <t>ACCT1024</t>
  </si>
  <si>
    <t>Auditing in a CIS Environment</t>
  </si>
  <si>
    <t>ACCT1025</t>
  </si>
  <si>
    <t>Accounting for Government and Non-profit Organizations</t>
  </si>
  <si>
    <t>ACCT1026</t>
  </si>
  <si>
    <t>Accounting for Special Transactions</t>
  </si>
  <si>
    <t>ACCT1027</t>
  </si>
  <si>
    <t>Auditing and Assurance: Concepts and Applications 2</t>
  </si>
  <si>
    <t>Accounting Internship (600 hours)</t>
  </si>
  <si>
    <t>ACCT1012</t>
  </si>
  <si>
    <t>Human Behavior in Organization</t>
  </si>
  <si>
    <t>ACCT1028</t>
  </si>
  <si>
    <t>Sustainability and Strategic Audit</t>
  </si>
  <si>
    <t>ACCT1029</t>
  </si>
  <si>
    <t>Strategic Tax Management</t>
  </si>
  <si>
    <t>ACOM1002</t>
  </si>
  <si>
    <t>Communication, Culture, and Society</t>
  </si>
  <si>
    <t>CASC1001</t>
  </si>
  <si>
    <t>ACOM1005</t>
  </si>
  <si>
    <r>
      <rPr>
        <sz val="11"/>
        <color rgb="FF000000"/>
        <rFont val="Calibri Light"/>
        <family val="2"/>
      </rPr>
      <t xml:space="preserve">Communication </t>
    </r>
    <r>
      <rPr>
        <sz val="11"/>
        <color rgb="FF464F4D"/>
        <rFont val="Calibri Light"/>
        <family val="2"/>
      </rPr>
      <t>Theory</t>
    </r>
  </si>
  <si>
    <t>ACOM1006</t>
  </si>
  <si>
    <t>Development Communication</t>
  </si>
  <si>
    <r>
      <rPr>
        <sz val="11"/>
        <color rgb="FF000000"/>
        <rFont val="Calibri Light"/>
        <family val="2"/>
      </rPr>
      <t xml:space="preserve">P.E./PATHFIT </t>
    </r>
    <r>
      <rPr>
        <sz val="11"/>
        <color rgb="FF333A3A"/>
        <rFont val="Calibri Light"/>
        <family val="2"/>
      </rPr>
      <t>4: Team Sports</t>
    </r>
  </si>
  <si>
    <r>
      <t xml:space="preserve">Science, Technoloav, </t>
    </r>
    <r>
      <rPr>
        <sz val="11"/>
        <color rgb="FF464F4D"/>
        <rFont val="Calibri Light"/>
        <family val="2"/>
        <scheme val="major"/>
      </rPr>
      <t xml:space="preserve">and </t>
    </r>
    <r>
      <rPr>
        <sz val="11"/>
        <color rgb="FF333A3A"/>
        <rFont val="Calibri Light"/>
        <family val="2"/>
        <scheme val="major"/>
      </rPr>
      <t>Society</t>
    </r>
  </si>
  <si>
    <t>CASC1002</t>
  </si>
  <si>
    <t>Brand Communication and Design</t>
  </si>
  <si>
    <t>ACOM1012</t>
  </si>
  <si>
    <t>Communication Research</t>
  </si>
  <si>
    <t>GEDC1007</t>
  </si>
  <si>
    <t>Panitikang Pilipino</t>
  </si>
  <si>
    <t>CASC1003</t>
  </si>
  <si>
    <t>Writing for New Media</t>
  </si>
  <si>
    <t>ACOM1013</t>
  </si>
  <si>
    <t>Digital Learning Materials Development</t>
  </si>
  <si>
    <t>ACOM1014</t>
  </si>
  <si>
    <t>Social Media and Mobile Technology for Communication Campaigns</t>
  </si>
  <si>
    <t>ACOM1019</t>
  </si>
  <si>
    <t>Communication Management</t>
  </si>
  <si>
    <t>ACOM1020</t>
  </si>
  <si>
    <t>Knowledge Management</t>
  </si>
  <si>
    <t>ACOM1021</t>
  </si>
  <si>
    <t>Thesis/Special Project 2</t>
  </si>
  <si>
    <t>MMAR1003</t>
  </si>
  <si>
    <t>Drawing 2</t>
  </si>
  <si>
    <t>Multimedia</t>
  </si>
  <si>
    <t>MMAR1004</t>
  </si>
  <si>
    <t>Elements and Principles of Design</t>
  </si>
  <si>
    <t>MMAR1005</t>
  </si>
  <si>
    <t>History of Graphic Design</t>
  </si>
  <si>
    <t>MMAR1009</t>
  </si>
  <si>
    <t>3D Animation</t>
  </si>
  <si>
    <t>MMA Elective 1</t>
  </si>
  <si>
    <t>MMA Elective 3</t>
  </si>
  <si>
    <t>MMA Free Elective 2</t>
  </si>
  <si>
    <t>MMAR1017</t>
  </si>
  <si>
    <t>Fundamentals in Film and Video Production</t>
  </si>
  <si>
    <t>MMAR1018</t>
  </si>
  <si>
    <t>Multimedia Publishing</t>
  </si>
  <si>
    <t>MMAR1031</t>
  </si>
  <si>
    <t>MMAR1023</t>
  </si>
  <si>
    <t>Capstone Project 2</t>
  </si>
  <si>
    <t>MMAR1024</t>
  </si>
  <si>
    <t>Portfolio Preparation and Exhibit Design</t>
  </si>
  <si>
    <t>MMAR1025</t>
  </si>
  <si>
    <t>Post-Production Techniques</t>
  </si>
  <si>
    <t>BUSS1063</t>
  </si>
  <si>
    <t>Retail Finance</t>
  </si>
  <si>
    <t>COSC1034</t>
  </si>
  <si>
    <t>Web Technologies 1</t>
  </si>
  <si>
    <t>BUSS1088</t>
  </si>
  <si>
    <t>Organizational Behavior</t>
  </si>
  <si>
    <t>DSCI1002</t>
  </si>
  <si>
    <t>Introduction to Business Analytics</t>
  </si>
  <si>
    <t>COSC1035</t>
  </si>
  <si>
    <t>Web Technologies 2</t>
  </si>
  <si>
    <t>BUSS1067</t>
  </si>
  <si>
    <t>Retail Promotion and Visual Merchandizing</t>
  </si>
  <si>
    <t>INSY1033</t>
  </si>
  <si>
    <t>E-Business Platforms</t>
  </si>
  <si>
    <t>INSY1034</t>
  </si>
  <si>
    <t>Database Design</t>
  </si>
  <si>
    <t>DSCI1005</t>
  </si>
  <si>
    <t>Machine Learning and Data Mining</t>
  </si>
  <si>
    <t>BUSS1073</t>
  </si>
  <si>
    <t>Supply Chain Management</t>
  </si>
  <si>
    <t>Elective 1</t>
  </si>
  <si>
    <t>OJTC1020</t>
  </si>
  <si>
    <t>Practicum 2 - 300 Hours (Retail Technology and Analytics)</t>
  </si>
  <si>
    <t>BUSS1090</t>
  </si>
  <si>
    <t>NSTP1009</t>
  </si>
  <si>
    <t>HOSP1001</t>
  </si>
  <si>
    <t>Foundations of Culinary Arts</t>
  </si>
  <si>
    <t>STIC1004</t>
  </si>
  <si>
    <t>Basic Office Productivity Tools</t>
  </si>
  <si>
    <t>CTHC1005</t>
  </si>
  <si>
    <t>Tourism and Hospitality Principles 2</t>
  </si>
  <si>
    <t>HOSP1010</t>
  </si>
  <si>
    <t>Culinary of Western Countries</t>
  </si>
  <si>
    <t>HOSP1011</t>
  </si>
  <si>
    <t>Banquet/Catering Management</t>
  </si>
  <si>
    <t>HOSP1012</t>
  </si>
  <si>
    <t>Introduction to Food and Beverage Services</t>
  </si>
  <si>
    <t xml:space="preserve">Basic Office Productivity Tools </t>
  </si>
  <si>
    <t>TOUR1001</t>
  </si>
  <si>
    <t>International Tourism</t>
  </si>
  <si>
    <t>TOUR1002</t>
  </si>
  <si>
    <t>Domestic Tourism</t>
  </si>
  <si>
    <t>TOUR1010</t>
  </si>
  <si>
    <t>Destination Selling and Management</t>
  </si>
  <si>
    <t>TOUR1011</t>
  </si>
  <si>
    <t>Developing Tourism Industry</t>
  </si>
  <si>
    <t>TOUR1013</t>
  </si>
  <si>
    <t>Advanced Office Productivity Tools in Tourism</t>
  </si>
  <si>
    <t>TOUR1015</t>
  </si>
  <si>
    <t>Events Planning and Organizing</t>
  </si>
  <si>
    <t>CITE1005</t>
  </si>
  <si>
    <t>Intermediate Java Programming</t>
  </si>
  <si>
    <t>INTE1002</t>
  </si>
  <si>
    <t>Discrete Structures Fundamentals</t>
  </si>
  <si>
    <t>NSTP009</t>
  </si>
  <si>
    <t>National Service Training Programs 2</t>
  </si>
  <si>
    <t>INTE1003</t>
  </si>
  <si>
    <t>Information Technology Issues and Trends</t>
  </si>
  <si>
    <t>INTE1004</t>
  </si>
  <si>
    <t>Fundamentals of C# Programming</t>
  </si>
  <si>
    <t>CITE1012</t>
  </si>
  <si>
    <t>Fundamentals of Managing Information</t>
  </si>
  <si>
    <t>INTE1016</t>
  </si>
  <si>
    <t>Internship (300 hours)</t>
  </si>
  <si>
    <t>INTE1017</t>
  </si>
  <si>
    <t>Mobile Programming Essentials in Android Studio</t>
  </si>
  <si>
    <t>INTE1018</t>
  </si>
  <si>
    <t>Web Programming Essentials using HTML, JavaScript, and CSS</t>
  </si>
  <si>
    <t xml:space="preserve">Purposive Communication </t>
  </si>
  <si>
    <t>ACT Elective 1</t>
  </si>
  <si>
    <t>ACT Elective 2</t>
  </si>
  <si>
    <t>INTE1120</t>
  </si>
  <si>
    <t>ACT Practicum (320 hours)</t>
  </si>
  <si>
    <t>ACT Elective 5</t>
  </si>
  <si>
    <t>ACT Elective 6</t>
  </si>
  <si>
    <t>Retail Promotion and Visual Merchandising</t>
  </si>
  <si>
    <t>BPSY-22-01</t>
  </si>
  <si>
    <t>BPSY</t>
  </si>
  <si>
    <t>PATHFIT 2: Exercise-based Fitness Activities</t>
  </si>
  <si>
    <t>PSYC1044</t>
  </si>
  <si>
    <t>Psychological Statistics</t>
  </si>
  <si>
    <t>PSYC1047</t>
  </si>
  <si>
    <t>Cognitive Psychology</t>
  </si>
  <si>
    <t>PSYC1048</t>
  </si>
  <si>
    <t>Experimental Psychology</t>
  </si>
  <si>
    <t>PSYC1049</t>
  </si>
  <si>
    <t>Theories of Personality</t>
  </si>
  <si>
    <t>PSYC1053</t>
  </si>
  <si>
    <t>Filipino Psychology</t>
  </si>
  <si>
    <t>PSYC1054</t>
  </si>
  <si>
    <t>Industrial/Organizational Psychology</t>
  </si>
  <si>
    <t>PSYC1055</t>
  </si>
  <si>
    <t>Psychological Assessment</t>
  </si>
  <si>
    <t>Psychology Elective 1</t>
  </si>
  <si>
    <t>PSYC1058</t>
  </si>
  <si>
    <t>Research in Psychology</t>
  </si>
  <si>
    <t>BCRIM-22-02</t>
  </si>
  <si>
    <t>BCRIM</t>
  </si>
  <si>
    <t>CRIM1002</t>
  </si>
  <si>
    <t>Introduction to Philippine Criminal Justice System</t>
  </si>
  <si>
    <t>PHED1010</t>
  </si>
  <si>
    <t>ROTC1002</t>
  </si>
  <si>
    <t>National Service Training Program 2 (ROTC 2)</t>
  </si>
  <si>
    <t>CRIM1008</t>
  </si>
  <si>
    <t>Institutional Corrections</t>
  </si>
  <si>
    <t>CRIM1009</t>
  </si>
  <si>
    <t>Forensic Photography</t>
  </si>
  <si>
    <t>CRIM1010</t>
  </si>
  <si>
    <t>Character Formation 1-Nationalism and Patriotism</t>
  </si>
  <si>
    <t>CRIM1011</t>
  </si>
  <si>
    <t>Specialized Crime Investigation 1 with Legal Medicine</t>
  </si>
  <si>
    <t>CRIM1012</t>
  </si>
  <si>
    <t>Personal Identification Technique</t>
  </si>
  <si>
    <t>GEDC1052</t>
  </si>
  <si>
    <t>General Chemistry (Organic)</t>
  </si>
  <si>
    <t>Chemistry</t>
  </si>
  <si>
    <t>CRIM1013</t>
  </si>
  <si>
    <t>Human Behavior and Victimology</t>
  </si>
  <si>
    <t>CRIM1014</t>
  </si>
  <si>
    <t>Introductrion to Industrial Security Concepts</t>
  </si>
  <si>
    <t>PHED1012</t>
  </si>
  <si>
    <t>P.E./PATHFIT 4: Outdoor and Adventure Activities 2</t>
  </si>
  <si>
    <t>OJTC1009</t>
  </si>
  <si>
    <t>Practicum 2 (300 hours Hotel Operations/Services)</t>
  </si>
  <si>
    <t>Strand/Track</t>
  </si>
  <si>
    <t>Grade Level Term</t>
  </si>
  <si>
    <t>Subject Classification</t>
  </si>
  <si>
    <t>Subject Title</t>
  </si>
  <si>
    <t>Core</t>
  </si>
  <si>
    <t>Oral Communication</t>
  </si>
  <si>
    <t>General Mathematics</t>
  </si>
  <si>
    <t>21st Century Literature from the Philippines and the World</t>
  </si>
  <si>
    <t>Media and Information Literacy</t>
  </si>
  <si>
    <t>Introduction to the Philosophy of the Human Person</t>
  </si>
  <si>
    <t>Physical Education and Health 1</t>
  </si>
  <si>
    <t>Specialized</t>
  </si>
  <si>
    <t>Business Mathematics</t>
  </si>
  <si>
    <t>Organization and Management</t>
  </si>
  <si>
    <t>Homeroom</t>
  </si>
  <si>
    <t>Student Club and Org</t>
  </si>
  <si>
    <t>Personal Development</t>
  </si>
  <si>
    <t>Pagbasa at Pagsusuri ng Iba't Ibang Teksto Tungo sa Pananaliksik</t>
  </si>
  <si>
    <t>Physical Science</t>
  </si>
  <si>
    <t>Physical Education and Health 3</t>
  </si>
  <si>
    <t>Applied</t>
  </si>
  <si>
    <t>Practical Research 2</t>
  </si>
  <si>
    <t>Filipino sa Piling Larangan</t>
  </si>
  <si>
    <t>English for Academic and Professional Purposes</t>
  </si>
  <si>
    <t>Business Finance</t>
  </si>
  <si>
    <t>Fundamentals of Accountancy, Business and Management 2</t>
  </si>
  <si>
    <r>
      <t>21</t>
    </r>
    <r>
      <rPr>
        <vertAlign val="superscript"/>
        <sz val="9"/>
        <rFont val="Arial"/>
        <family val="2"/>
      </rPr>
      <t>st</t>
    </r>
    <r>
      <rPr>
        <sz val="9"/>
        <rFont val="Arial"/>
        <family val="2"/>
      </rPr>
      <t xml:space="preserve"> Century Literature from the Philippines and the World</t>
    </r>
  </si>
  <si>
    <t>Pre-Calculus</t>
  </si>
  <si>
    <t>General Biology 1</t>
  </si>
  <si>
    <t>Disaster Readiness and Risk Reduction</t>
  </si>
  <si>
    <t xml:space="preserve">General Physics 1 </t>
  </si>
  <si>
    <t>General Chemistry 1</t>
  </si>
  <si>
    <t>GA</t>
  </si>
  <si>
    <t>Humanities 1 Elective (from HUMSS Strand Subjects)</t>
  </si>
  <si>
    <t>Elective 1 (from any Track/Strand Subjects)</t>
  </si>
  <si>
    <t>Introduction to World Religions and Belief Systems</t>
  </si>
  <si>
    <t>Disciplines and Ideas in the Social Sciences</t>
  </si>
  <si>
    <t>Creative Nonfiction</t>
  </si>
  <si>
    <t>Philippine Politics and Governance</t>
  </si>
  <si>
    <t>Computer/Web Programming 1</t>
  </si>
  <si>
    <t>Computer/Web Programming 2</t>
  </si>
  <si>
    <t>Computer/Web Programming 4</t>
  </si>
  <si>
    <t>Computer/Web Programming 5</t>
  </si>
  <si>
    <t>2D Concepts</t>
  </si>
  <si>
    <t>Basic Drawing and Drafting</t>
  </si>
  <si>
    <t>Computer Animation</t>
  </si>
  <si>
    <t>IT-CCTECH</t>
  </si>
  <si>
    <t>Fundamentals of Electricity and Electronics</t>
  </si>
  <si>
    <t>Electronic Communications</t>
  </si>
  <si>
    <t>Data Communications</t>
  </si>
  <si>
    <t>HE-CULARTS</t>
  </si>
  <si>
    <t>Introduction to Culinary Operations</t>
  </si>
  <si>
    <t>Basic Food Production 101</t>
  </si>
  <si>
    <t>Introduction to Commercial Cookery</t>
  </si>
  <si>
    <t>Local and International Cuisines</t>
  </si>
  <si>
    <t>HE-RESCO</t>
  </si>
  <si>
    <t>Introduction to Food and Beverage Operations</t>
  </si>
  <si>
    <t>Bread and Pastry Production 101</t>
  </si>
  <si>
    <t>Introduction to Bar Management and Operations</t>
  </si>
  <si>
    <t>Cocktail Mixology with Flairtending</t>
  </si>
  <si>
    <t>HE-TOPER</t>
  </si>
  <si>
    <t>Introduction to Travel and Tourism Industry</t>
  </si>
  <si>
    <t>Front Office Services 1</t>
  </si>
  <si>
    <t>Introduction to Travel Services</t>
  </si>
  <si>
    <t>Tourism Sales and Marketing Principles</t>
  </si>
  <si>
    <t>IA-CONEL</t>
  </si>
  <si>
    <t>TV Electronics</t>
  </si>
  <si>
    <t>Mobile Technology</t>
  </si>
  <si>
    <t>Reading and Writing</t>
  </si>
  <si>
    <t>Statistics and Probability</t>
  </si>
  <si>
    <t>Understanding Culture, Society and Politics</t>
  </si>
  <si>
    <t>Earth and Life Science</t>
  </si>
  <si>
    <t>Komunikasyon at Pananaliksik sa Wika at Kulturang Pilipino</t>
  </si>
  <si>
    <t>Physical Education and Health 2</t>
  </si>
  <si>
    <t>Practical Research 1</t>
  </si>
  <si>
    <t>Principles of Marketing</t>
  </si>
  <si>
    <t>Fundamentals of Accountancy, Business and Management 1</t>
  </si>
  <si>
    <t>Contemporary Philippine Arts from the Regions</t>
  </si>
  <si>
    <t>Physical Education and Health 4</t>
  </si>
  <si>
    <t>Empowerment Technologies</t>
  </si>
  <si>
    <t>Entrepreneurship</t>
  </si>
  <si>
    <t xml:space="preserve">Inquiries, Investigations and Immersion </t>
  </si>
  <si>
    <t>Work Immersion/Research/Career Advocacy/Culminating Activity
(Business Enterprise Simulation)</t>
  </si>
  <si>
    <t>Applied Economics</t>
  </si>
  <si>
    <t>Business Ethics and Social Responsibility</t>
  </si>
  <si>
    <t>Earth Science</t>
  </si>
  <si>
    <t>Basic Calculus</t>
  </si>
  <si>
    <t>General Biology 2</t>
  </si>
  <si>
    <t>Inquiries, Investigations and Immersion</t>
  </si>
  <si>
    <t>Work Immersion/Research/Career Advocacy/Culminating Activity
(Capstone Project)</t>
  </si>
  <si>
    <t>General Physics 2</t>
  </si>
  <si>
    <t>General Chemistry 2</t>
  </si>
  <si>
    <t>Humanities 2 Elective (from HUMSS Strand Subjects)</t>
  </si>
  <si>
    <t>Social Science 1 Elective (from HUMSS Strand Subjects)</t>
  </si>
  <si>
    <t>Work Immersion/Research/Career Advocacy/Culminating Activity</t>
  </si>
  <si>
    <t>Elective 2 (from any Track/Strand Subjects)</t>
  </si>
  <si>
    <t>Creative Writing</t>
  </si>
  <si>
    <t>Disciplines and Ideas in the Applied Social Sciences</t>
  </si>
  <si>
    <t xml:space="preserve">Trends, Networks, and Critical Thinking in the 21st Century </t>
  </si>
  <si>
    <t>Community Engagement, Solidarity and Citizenship</t>
  </si>
  <si>
    <t>Computer/Web Programming 3</t>
  </si>
  <si>
    <t>Mobile App Programming 1</t>
  </si>
  <si>
    <t>Computer/Web Programming 6</t>
  </si>
  <si>
    <t>Mobile App Programming 2</t>
  </si>
  <si>
    <t>Fundamentals of Computer Drawing</t>
  </si>
  <si>
    <t>Digital Graphics Design and Image Manipulation</t>
  </si>
  <si>
    <t>Digital Video and Audio Production</t>
  </si>
  <si>
    <t>3D Modelling</t>
  </si>
  <si>
    <t>Computer Hardware Fundamentals</t>
  </si>
  <si>
    <t>Basic Computer Technology</t>
  </si>
  <si>
    <t>Broadband Technology</t>
  </si>
  <si>
    <t>Computer Networks</t>
  </si>
  <si>
    <t>Basic Food Production 102</t>
  </si>
  <si>
    <t>Basic Food Production 103</t>
  </si>
  <si>
    <t>Catering Management and Control System</t>
  </si>
  <si>
    <t>Introduction to Bread and Pastry Production</t>
  </si>
  <si>
    <t>Food and Beverage Services</t>
  </si>
  <si>
    <t>Bread and Pastry Production 102</t>
  </si>
  <si>
    <t>Bar Service Management</t>
  </si>
  <si>
    <t>Wine Service Management</t>
  </si>
  <si>
    <t>Tour Guiding and Escorting</t>
  </si>
  <si>
    <t>Front Office Services 2</t>
  </si>
  <si>
    <t>Tourism Information Management</t>
  </si>
  <si>
    <t>Internet and E-Travel Commerce</t>
  </si>
  <si>
    <t>Radio Electronics</t>
  </si>
  <si>
    <t>Projected Faculty Count</t>
  </si>
  <si>
    <t>Tertiary Level</t>
  </si>
  <si>
    <t>High School Level</t>
  </si>
  <si>
    <t>Teaching Load
Term 1</t>
  </si>
  <si>
    <t>Teaching Load
Term 2</t>
  </si>
  <si>
    <t>Fulltime FM 
24 units</t>
  </si>
  <si>
    <t>Fulltime FM</t>
  </si>
  <si>
    <t>For PT or Overload</t>
  </si>
  <si>
    <t>27 units</t>
  </si>
  <si>
    <t>Biological Sciences</t>
  </si>
  <si>
    <t>Computer Graphics</t>
  </si>
  <si>
    <t>Philosophy</t>
  </si>
  <si>
    <t>Physical Sciences</t>
  </si>
  <si>
    <t>SHS Schedule</t>
  </si>
  <si>
    <t>SECTION</t>
  </si>
  <si>
    <t>SUBJECT CODE</t>
  </si>
  <si>
    <t>SUBJECT DESCRIPTION</t>
  </si>
  <si>
    <t>DAY</t>
  </si>
  <si>
    <t>TIME</t>
  </si>
  <si>
    <t>ROOM</t>
  </si>
  <si>
    <t>TEACHER</t>
  </si>
  <si>
    <t>ABM101</t>
  </si>
  <si>
    <t>21st Century Literature</t>
  </si>
  <si>
    <t>M/TH</t>
  </si>
  <si>
    <t>Mark Joseph Tan</t>
  </si>
  <si>
    <t>John Paul Cabanero</t>
  </si>
  <si>
    <t>Intro to the Philo of Human</t>
  </si>
  <si>
    <t>Elvira Sigua</t>
  </si>
  <si>
    <t>T/F</t>
  </si>
  <si>
    <t>Math PTFL</t>
  </si>
  <si>
    <t>Physical Education &amp; Health 1</t>
  </si>
  <si>
    <t>COURT</t>
  </si>
  <si>
    <t>Mary Rose Batan</t>
  </si>
  <si>
    <t>Homeroom G11-1st Term</t>
  </si>
  <si>
    <t>M</t>
  </si>
  <si>
    <t>Organization &amp; Management</t>
  </si>
  <si>
    <t>W</t>
  </si>
  <si>
    <t>Joshua Uclusin</t>
  </si>
  <si>
    <t>Media and Information Literarcy</t>
  </si>
  <si>
    <t>Aiza Mae Akkang</t>
  </si>
  <si>
    <t>ABM102</t>
  </si>
  <si>
    <t>ABM103</t>
  </si>
  <si>
    <t>English PTFL</t>
  </si>
  <si>
    <t>CULART101</t>
  </si>
  <si>
    <t>Evelyn Quarteros</t>
  </si>
  <si>
    <t xml:space="preserve">  </t>
  </si>
  <si>
    <t>Ramon Alila</t>
  </si>
  <si>
    <t>Intro to Culinary Operations</t>
  </si>
  <si>
    <t>CULART102</t>
  </si>
  <si>
    <t>CORE1013</t>
  </si>
  <si>
    <t>PE PTFL</t>
  </si>
  <si>
    <t>CORE1021</t>
  </si>
  <si>
    <t>SPECIAL1008</t>
  </si>
  <si>
    <t>MTh</t>
  </si>
  <si>
    <t>RM505</t>
  </si>
  <si>
    <t>CORE1001</t>
  </si>
  <si>
    <t>CORE1006</t>
  </si>
  <si>
    <t>TF</t>
  </si>
  <si>
    <t>CORE1007</t>
  </si>
  <si>
    <t>Jeramie Poche</t>
  </si>
  <si>
    <t>CORE1009</t>
  </si>
  <si>
    <t>Reychelle Finez</t>
  </si>
  <si>
    <t>CORE1010</t>
  </si>
  <si>
    <t>SPECIAL1054</t>
  </si>
  <si>
    <t>RM504</t>
  </si>
  <si>
    <t>DIGI101</t>
  </si>
  <si>
    <t>SPECIAL1001</t>
  </si>
  <si>
    <t>MO2</t>
  </si>
  <si>
    <t>Cyrus Barquilla</t>
  </si>
  <si>
    <t>SPECIAL1007</t>
  </si>
  <si>
    <t>Basic Drawing &amp; Drafting</t>
  </si>
  <si>
    <t>RM512</t>
  </si>
  <si>
    <t>IT PTFL</t>
  </si>
  <si>
    <t>RM506</t>
  </si>
  <si>
    <t>SOCSCI PTFL</t>
  </si>
  <si>
    <t>RM502</t>
  </si>
  <si>
    <t>HUMSS101</t>
  </si>
  <si>
    <t>TH</t>
  </si>
  <si>
    <t>Daryl Eunice Cabauatan</t>
  </si>
  <si>
    <t>SPECIAL1057</t>
  </si>
  <si>
    <t>Intro to World Rel &amp; BS</t>
  </si>
  <si>
    <t>RM507</t>
  </si>
  <si>
    <t>SPECIAL1034</t>
  </si>
  <si>
    <t>Disciplines &amp; Ideas in the SS</t>
  </si>
  <si>
    <t>MATH PTFL</t>
  </si>
  <si>
    <t>HUMSS102</t>
  </si>
  <si>
    <t>RM508</t>
  </si>
  <si>
    <t>Monalyn Fedelino</t>
  </si>
  <si>
    <t>Carel Macalinao</t>
  </si>
  <si>
    <t>HUMSS103</t>
  </si>
  <si>
    <t>T</t>
  </si>
  <si>
    <t>Sharmaine Villasenor</t>
  </si>
  <si>
    <t>RM503</t>
  </si>
  <si>
    <t>Nilidyn Donio</t>
  </si>
  <si>
    <t>IT101</t>
  </si>
  <si>
    <t>F</t>
  </si>
  <si>
    <t>SPECIAL1093</t>
  </si>
  <si>
    <t>RM509/LAB209</t>
  </si>
  <si>
    <t>SPECIAL1094</t>
  </si>
  <si>
    <t>LAB209/RM509</t>
  </si>
  <si>
    <t>RM509</t>
  </si>
  <si>
    <t>RM604</t>
  </si>
  <si>
    <t>IT102</t>
  </si>
  <si>
    <t>11:30AM</t>
  </si>
  <si>
    <t>2:30PM</t>
  </si>
  <si>
    <t>LAB209/RM502</t>
  </si>
  <si>
    <t>RM510/LAB209</t>
  </si>
  <si>
    <t>RM510</t>
  </si>
  <si>
    <t>IT103</t>
  </si>
  <si>
    <t>RM511</t>
  </si>
  <si>
    <t>Marion Ocumen</t>
  </si>
  <si>
    <t>RM511/LAB209</t>
  </si>
  <si>
    <t>STEM101</t>
  </si>
  <si>
    <t>RM601</t>
  </si>
  <si>
    <t>SPECIAL1043</t>
  </si>
  <si>
    <t>RM401</t>
  </si>
  <si>
    <t>Science PTFL</t>
  </si>
  <si>
    <t>SPECIAL1068</t>
  </si>
  <si>
    <t>STEM102</t>
  </si>
  <si>
    <t>RM602</t>
  </si>
  <si>
    <t>Mark Ian Marabe</t>
  </si>
  <si>
    <t>10:00AM</t>
  </si>
  <si>
    <t>Ryan Ramos</t>
  </si>
  <si>
    <t>STEM103</t>
  </si>
  <si>
    <t>8:30AM</t>
  </si>
  <si>
    <t>RM603</t>
  </si>
  <si>
    <t>1:00PM</t>
  </si>
  <si>
    <t>7:00AM</t>
  </si>
  <si>
    <t>STEM104</t>
  </si>
  <si>
    <t>STEM105</t>
  </si>
  <si>
    <t>RM605</t>
  </si>
  <si>
    <t>STEM106</t>
  </si>
  <si>
    <t>RM606</t>
  </si>
  <si>
    <t>STEM107</t>
  </si>
  <si>
    <t>RM607</t>
  </si>
  <si>
    <t>LAB401</t>
  </si>
  <si>
    <t>RM608</t>
  </si>
  <si>
    <t>STEM108</t>
  </si>
  <si>
    <t>9:00AM</t>
  </si>
  <si>
    <t>TOP101</t>
  </si>
  <si>
    <t>SPECIAL1037</t>
  </si>
  <si>
    <t>4:00PM</t>
  </si>
  <si>
    <t>SPECIAL1059</t>
  </si>
  <si>
    <t>Intro to Travel &amp; Tour Ind</t>
  </si>
  <si>
    <t>TM PTFL</t>
  </si>
  <si>
    <t>ABM201</t>
  </si>
  <si>
    <t>CORE1011</t>
  </si>
  <si>
    <t>Pagbasa at Pagsusuri</t>
  </si>
  <si>
    <t>RM501</t>
  </si>
  <si>
    <t>Joseph Manook</t>
  </si>
  <si>
    <t>CORE1012</t>
  </si>
  <si>
    <t>APPLIED1014</t>
  </si>
  <si>
    <t>Stephanie Cambe</t>
  </si>
  <si>
    <t>APPLIED1008</t>
  </si>
  <si>
    <t>English for Academic &amp; Prof</t>
  </si>
  <si>
    <t>APPLIED1010</t>
  </si>
  <si>
    <t>Fil sa Piling Larang (Akad)</t>
  </si>
  <si>
    <t>SPECIAL1040</t>
  </si>
  <si>
    <t>Funda of Accountancy, BM 2</t>
  </si>
  <si>
    <t>Kenneth Mateo</t>
  </si>
  <si>
    <t>SPECIAL1014</t>
  </si>
  <si>
    <t>5:30PM</t>
  </si>
  <si>
    <t>CORE1017</t>
  </si>
  <si>
    <t>2:30AM</t>
  </si>
  <si>
    <t>5:30AM</t>
  </si>
  <si>
    <t>Maria Socorro Frank</t>
  </si>
  <si>
    <t>CORE1023</t>
  </si>
  <si>
    <t>Homeroom G12-1st Term</t>
  </si>
  <si>
    <t>11:00AM</t>
  </si>
  <si>
    <t>CORE1015</t>
  </si>
  <si>
    <t>Physical Education &amp; Health 3</t>
  </si>
  <si>
    <t>12:00PM</t>
  </si>
  <si>
    <t>2:00PM</t>
  </si>
  <si>
    <t>COURT1</t>
  </si>
  <si>
    <t>ABM202</t>
  </si>
  <si>
    <t>Marianne Padre</t>
  </si>
  <si>
    <t>ABM203</t>
  </si>
  <si>
    <t>4:00AM</t>
  </si>
  <si>
    <t>CULART201</t>
  </si>
  <si>
    <t>RM409</t>
  </si>
  <si>
    <t>APPLIED1011</t>
  </si>
  <si>
    <t>Fil sa Piling Larang (Tech)</t>
  </si>
  <si>
    <t>SPECIAL1061</t>
  </si>
  <si>
    <t>Local &amp; International Cuisines</t>
  </si>
  <si>
    <t>COURT2</t>
  </si>
  <si>
    <t>SPECIAL1053</t>
  </si>
  <si>
    <t>Intro to Commercial Cookery</t>
  </si>
  <si>
    <t>CUART202</t>
  </si>
  <si>
    <t>DIGI201</t>
  </si>
  <si>
    <t>SPECIAL1020</t>
  </si>
  <si>
    <t>RM101</t>
  </si>
  <si>
    <t>SPECIAL1030</t>
  </si>
  <si>
    <t>GAS201</t>
  </si>
  <si>
    <t>RM410</t>
  </si>
  <si>
    <t>SPECIAL1032</t>
  </si>
  <si>
    <t>Disaster Readiness &amp; Risk Redu</t>
  </si>
  <si>
    <t>COURT3</t>
  </si>
  <si>
    <t>HUMSS201</t>
  </si>
  <si>
    <t>SPECIAL1067</t>
  </si>
  <si>
    <t>Philippine Politics &amp; Gov</t>
  </si>
  <si>
    <t>RM408</t>
  </si>
  <si>
    <t>9:30AM</t>
  </si>
  <si>
    <t>SPECIAL1026</t>
  </si>
  <si>
    <t>4:30PM</t>
  </si>
  <si>
    <t>HUMSS202</t>
  </si>
  <si>
    <t>COURT4</t>
  </si>
  <si>
    <t>IT201</t>
  </si>
  <si>
    <t>SPECIAL1097</t>
  </si>
  <si>
    <t>SPECIAL1098</t>
  </si>
  <si>
    <t>COURT5</t>
  </si>
  <si>
    <t>IT202</t>
  </si>
  <si>
    <t>RM209</t>
  </si>
  <si>
    <t>3:00PM</t>
  </si>
  <si>
    <t>IT203</t>
  </si>
  <si>
    <t>STEM201</t>
  </si>
  <si>
    <t>CORE1003</t>
  </si>
  <si>
    <t>SPECIAL1047</t>
  </si>
  <si>
    <t>General Physics 1</t>
  </si>
  <si>
    <t>SPECIAL1045</t>
  </si>
  <si>
    <t>STEM202</t>
  </si>
  <si>
    <t>STEM203</t>
  </si>
  <si>
    <t>STEM204</t>
  </si>
  <si>
    <t>STEM205</t>
  </si>
  <si>
    <t>STEM206</t>
  </si>
  <si>
    <t>RM201</t>
  </si>
  <si>
    <t>8:00AM</t>
  </si>
  <si>
    <t>RM307</t>
  </si>
  <si>
    <t>RM305</t>
  </si>
  <si>
    <t>3:30PM</t>
  </si>
  <si>
    <t>STEM207</t>
  </si>
  <si>
    <t>AUDI</t>
  </si>
  <si>
    <t>RM203</t>
  </si>
  <si>
    <t>RM204</t>
  </si>
  <si>
    <t>STEM208</t>
  </si>
  <si>
    <t>RM407</t>
  </si>
  <si>
    <t>1:30PM</t>
  </si>
  <si>
    <t>TOP201</t>
  </si>
  <si>
    <t>SPECIAL1060</t>
  </si>
  <si>
    <t>Introduction to Travel Service</t>
  </si>
  <si>
    <t>SPECIAL1073</t>
  </si>
  <si>
    <t>Tourism Sales &amp; Market Princ</t>
  </si>
  <si>
    <t>TOP202</t>
  </si>
  <si>
    <t>RM212</t>
  </si>
  <si>
    <t xml:space="preserve">Tertiary Schedule </t>
  </si>
  <si>
    <t>COURSE CODE</t>
  </si>
  <si>
    <t>COURSE DESCRIPTION</t>
  </si>
  <si>
    <t>INSTRUCTOR</t>
  </si>
  <si>
    <t>BT101</t>
  </si>
  <si>
    <t>6:00PM</t>
  </si>
  <si>
    <t>203/LAB209</t>
  </si>
  <si>
    <t>ITFT1</t>
  </si>
  <si>
    <t>RESULLAR</t>
  </si>
  <si>
    <t>LAB210</t>
  </si>
  <si>
    <t>S</t>
  </si>
  <si>
    <t>12:30PM</t>
  </si>
  <si>
    <t>SOC SCI FT4</t>
  </si>
  <si>
    <t>MTH</t>
  </si>
  <si>
    <t>BONCAN</t>
  </si>
  <si>
    <t>PALMERO</t>
  </si>
  <si>
    <t>SABORIENDO-GARCIA</t>
  </si>
  <si>
    <t>SOC SCI FT2</t>
  </si>
  <si>
    <t>BT102</t>
  </si>
  <si>
    <t>207/LAB211</t>
  </si>
  <si>
    <t>AGUILA</t>
  </si>
  <si>
    <t>ROSALES</t>
  </si>
  <si>
    <t>CAGADO</t>
  </si>
  <si>
    <t>BAGOL</t>
  </si>
  <si>
    <t>BT103</t>
  </si>
  <si>
    <t>LAB210/M02</t>
  </si>
  <si>
    <t>IT FT1</t>
  </si>
  <si>
    <t>IT FT 2</t>
  </si>
  <si>
    <t>MAGABILIN</t>
  </si>
  <si>
    <t>SINDICO</t>
  </si>
  <si>
    <t>BT104</t>
  </si>
  <si>
    <t>M01/LAB211</t>
  </si>
  <si>
    <t>LAB209</t>
  </si>
  <si>
    <t>SOC SCI FT1</t>
  </si>
  <si>
    <t>ENGLISH FT</t>
  </si>
  <si>
    <t>TAGURMACON</t>
  </si>
  <si>
    <t>BT105</t>
  </si>
  <si>
    <t>THF</t>
  </si>
  <si>
    <t>LAB211/M01</t>
  </si>
  <si>
    <t>IT FT2</t>
  </si>
  <si>
    <t>CASTILLO</t>
  </si>
  <si>
    <t>BT106</t>
  </si>
  <si>
    <t>BT301</t>
  </si>
  <si>
    <t>DOMINGUEZ</t>
  </si>
  <si>
    <t>CONDINO</t>
  </si>
  <si>
    <t>FELICEN</t>
  </si>
  <si>
    <t>INTE1015</t>
  </si>
  <si>
    <t>GAID</t>
  </si>
  <si>
    <t>M01</t>
  </si>
  <si>
    <t>COE FT1</t>
  </si>
  <si>
    <t>LLENO</t>
  </si>
  <si>
    <t>BT302</t>
  </si>
  <si>
    <t>PE PT</t>
  </si>
  <si>
    <t>TTH</t>
  </si>
  <si>
    <t>BT303</t>
  </si>
  <si>
    <t>SABORIENDO</t>
  </si>
  <si>
    <t>SOC SCI FT3</t>
  </si>
  <si>
    <t>LAB208</t>
  </si>
  <si>
    <t>M02</t>
  </si>
  <si>
    <t>COE PT1</t>
  </si>
  <si>
    <t>BT304</t>
  </si>
  <si>
    <t>LAB211</t>
  </si>
  <si>
    <t>REFUERZO</t>
  </si>
  <si>
    <t>MORAL</t>
  </si>
  <si>
    <t>201/206</t>
  </si>
  <si>
    <t>BT305</t>
  </si>
  <si>
    <t>BT501</t>
  </si>
  <si>
    <t>7:00PM</t>
  </si>
  <si>
    <t>LAB210/201</t>
  </si>
  <si>
    <t>CIFRA</t>
  </si>
  <si>
    <t>LAB208/201</t>
  </si>
  <si>
    <t>203/LAB208</t>
  </si>
  <si>
    <t>DOMONDON</t>
  </si>
  <si>
    <t>LAB211/204</t>
  </si>
  <si>
    <t>IT FT3</t>
  </si>
  <si>
    <t>M01/201</t>
  </si>
  <si>
    <t>BT502</t>
  </si>
  <si>
    <t>LAB211/205</t>
  </si>
  <si>
    <t>LAB211/203</t>
  </si>
  <si>
    <t>LAB101/203</t>
  </si>
  <si>
    <t>THS</t>
  </si>
  <si>
    <t>202/LAB209</t>
  </si>
  <si>
    <t>BT503</t>
  </si>
  <si>
    <t>FS</t>
  </si>
  <si>
    <t>LAB210/203</t>
  </si>
  <si>
    <t>LAB210/204</t>
  </si>
  <si>
    <t>MS</t>
  </si>
  <si>
    <t>LAB210/205</t>
  </si>
  <si>
    <t>MT</t>
  </si>
  <si>
    <t>LAB210/202</t>
  </si>
  <si>
    <t>BT504</t>
  </si>
  <si>
    <t>WTH</t>
  </si>
  <si>
    <t>10:00PM</t>
  </si>
  <si>
    <t>205/LAB211</t>
  </si>
  <si>
    <t>212/LAB209</t>
  </si>
  <si>
    <t>LAB211/M02</t>
  </si>
  <si>
    <t>207/M02</t>
  </si>
  <si>
    <t>TS</t>
  </si>
  <si>
    <t>LAB208/307</t>
  </si>
  <si>
    <t>BT701</t>
  </si>
  <si>
    <t>MF</t>
  </si>
  <si>
    <t>WS</t>
  </si>
  <si>
    <t>205/LAB208</t>
  </si>
  <si>
    <t>LAB209/205</t>
  </si>
  <si>
    <t>306/512</t>
  </si>
  <si>
    <t>11:30PM</t>
  </si>
  <si>
    <t>LAB210/207</t>
  </si>
  <si>
    <t>MW</t>
  </si>
  <si>
    <t>206/LAB211</t>
  </si>
  <si>
    <t>BT702</t>
  </si>
  <si>
    <t>TW</t>
  </si>
  <si>
    <t>303/LAB101</t>
  </si>
  <si>
    <t>LAB211/201</t>
  </si>
  <si>
    <t>201/LAB211</t>
  </si>
  <si>
    <t>BT703</t>
  </si>
  <si>
    <t>512/LAB209</t>
  </si>
  <si>
    <t>206/LAB208</t>
  </si>
  <si>
    <t>WF</t>
  </si>
  <si>
    <t>LAB211/509</t>
  </si>
  <si>
    <t>BS101</t>
  </si>
  <si>
    <t>LAB209/201</t>
  </si>
  <si>
    <t>BS301</t>
  </si>
  <si>
    <t>MATH FT</t>
  </si>
  <si>
    <t>ESPIRITU</t>
  </si>
  <si>
    <t>201/LAB208</t>
  </si>
  <si>
    <t>BS501</t>
  </si>
  <si>
    <t>LAB208/M01</t>
  </si>
  <si>
    <t>LAB209/202</t>
  </si>
  <si>
    <t>COSC1023</t>
  </si>
  <si>
    <t>BS701</t>
  </si>
  <si>
    <t>205/LAB209</t>
  </si>
  <si>
    <t>COE101</t>
  </si>
  <si>
    <t>LAB208/LAB209</t>
  </si>
  <si>
    <t>BURGOS</t>
  </si>
  <si>
    <t>Chemistry for Engineers LEC</t>
  </si>
  <si>
    <t>NAVARRO</t>
  </si>
  <si>
    <t>Chemistry for Engineers LAB</t>
  </si>
  <si>
    <t>COE301</t>
  </si>
  <si>
    <t>LAB409/402</t>
  </si>
  <si>
    <t>BERTUBIN</t>
  </si>
  <si>
    <t>207/M01</t>
  </si>
  <si>
    <t>JOTOJOT</t>
  </si>
  <si>
    <t>COE501</t>
  </si>
  <si>
    <t>LAB409</t>
  </si>
  <si>
    <t>410/LAB211</t>
  </si>
  <si>
    <t>204/306</t>
  </si>
  <si>
    <t>BARRIENTOS</t>
  </si>
  <si>
    <t>COE701</t>
  </si>
  <si>
    <t>308/LAB211</t>
  </si>
  <si>
    <t>6:30PM</t>
  </si>
  <si>
    <t>LAB208/203</t>
  </si>
  <si>
    <t>BH101</t>
  </si>
  <si>
    <t>M-TH</t>
  </si>
  <si>
    <t>BH102</t>
  </si>
  <si>
    <t>BH103</t>
  </si>
  <si>
    <t>BH104</t>
  </si>
  <si>
    <t>T-F</t>
  </si>
  <si>
    <t>BH301</t>
  </si>
  <si>
    <t>KITCHEN1</t>
  </si>
  <si>
    <t>SUITE ROOM</t>
  </si>
  <si>
    <t>BH302</t>
  </si>
  <si>
    <t>BH303</t>
  </si>
  <si>
    <t>BH304</t>
  </si>
  <si>
    <t>BH501</t>
  </si>
  <si>
    <t>KITCHEN LAB 2</t>
  </si>
  <si>
    <t>BH502</t>
  </si>
  <si>
    <t>BH701</t>
  </si>
  <si>
    <t>BH702</t>
  </si>
  <si>
    <t>TM101</t>
  </si>
  <si>
    <t>TM102</t>
  </si>
  <si>
    <t>TM103</t>
  </si>
  <si>
    <t>TM104</t>
  </si>
  <si>
    <t>TM301</t>
  </si>
  <si>
    <t>TM302</t>
  </si>
  <si>
    <t>TM303</t>
  </si>
  <si>
    <t>TM304</t>
  </si>
  <si>
    <t>TM501</t>
  </si>
  <si>
    <t>10:30AM</t>
  </si>
  <si>
    <t>TM502</t>
  </si>
  <si>
    <t>TM701</t>
  </si>
  <si>
    <t>TM702</t>
  </si>
  <si>
    <t>BAOM101</t>
  </si>
  <si>
    <t>BUSS 1001</t>
  </si>
  <si>
    <t>Basic Microeconomics</t>
  </si>
  <si>
    <t>SAN DIEGO</t>
  </si>
  <si>
    <t>GEDC 1002</t>
  </si>
  <si>
    <t>STIC 1002</t>
  </si>
  <si>
    <t>NSTP 1008</t>
  </si>
  <si>
    <t>PHED 1005</t>
  </si>
  <si>
    <t>GEDC 1006</t>
  </si>
  <si>
    <t>GEDC 1008</t>
  </si>
  <si>
    <t>BADENAS</t>
  </si>
  <si>
    <t>BAOM102</t>
  </si>
  <si>
    <t>BAOM301</t>
  </si>
  <si>
    <t>MATEO</t>
  </si>
  <si>
    <t>Costing and Pricing LECTURE</t>
  </si>
  <si>
    <t>Costing and Pricing LAB</t>
  </si>
  <si>
    <t>ALMAZAR</t>
  </si>
  <si>
    <t>BAOM302</t>
  </si>
  <si>
    <t>UCLUSIN</t>
  </si>
  <si>
    <t>BAOM501</t>
  </si>
  <si>
    <t>MANALANG</t>
  </si>
  <si>
    <t>ATTY - PT</t>
  </si>
  <si>
    <t>Managerial Accounting LECTURE</t>
  </si>
  <si>
    <t>CANGAO</t>
  </si>
  <si>
    <t>Managerial Accounting LAB</t>
  </si>
  <si>
    <t>MEDALLADA</t>
  </si>
  <si>
    <t>BAOM502</t>
  </si>
  <si>
    <t>BAOM701</t>
  </si>
  <si>
    <t>PASION</t>
  </si>
  <si>
    <t>Marketing Management</t>
  </si>
  <si>
    <t>BAOM702</t>
  </si>
  <si>
    <t>BSA101</t>
  </si>
  <si>
    <t>ACCT 1001</t>
  </si>
  <si>
    <t>SOC SCI FT 1</t>
  </si>
  <si>
    <t>GEDC 1041</t>
  </si>
  <si>
    <t>SOC SCI FT 2</t>
  </si>
  <si>
    <t>GEDC 1013</t>
  </si>
  <si>
    <t>BSA301</t>
  </si>
  <si>
    <t>ATTY. PT</t>
  </si>
  <si>
    <t>IT Application Tools in Business LECTURE</t>
  </si>
  <si>
    <t>IT FT</t>
  </si>
  <si>
    <t>IT Application Tools in Business LAB</t>
  </si>
  <si>
    <t>BUSTALINIO</t>
  </si>
  <si>
    <t>BSA501</t>
  </si>
  <si>
    <t>AMALOSA</t>
  </si>
  <si>
    <t>BSA701</t>
  </si>
  <si>
    <t>11;30AM</t>
  </si>
  <si>
    <t>BMA101</t>
  </si>
  <si>
    <t>SOC SCI PT</t>
  </si>
  <si>
    <t>Drawing 1 LEC</t>
  </si>
  <si>
    <t>7:30AM</t>
  </si>
  <si>
    <t>Drawing 1 LAB</t>
  </si>
  <si>
    <t>BMA PT2</t>
  </si>
  <si>
    <t>BMA102</t>
  </si>
  <si>
    <t>BMA103</t>
  </si>
  <si>
    <t>MANALO</t>
  </si>
  <si>
    <t>BAUTISTA</t>
  </si>
  <si>
    <t>BMA104</t>
  </si>
  <si>
    <t>BMA301</t>
  </si>
  <si>
    <t>202/LAB101</t>
  </si>
  <si>
    <t>BMMA FT1</t>
  </si>
  <si>
    <t>BMA FT1</t>
  </si>
  <si>
    <t>BMA302</t>
  </si>
  <si>
    <t>LAB101/512</t>
  </si>
  <si>
    <t>BMA303</t>
  </si>
  <si>
    <t>BMA PT1</t>
  </si>
  <si>
    <t>LAB101/202</t>
  </si>
  <si>
    <t>BMA304</t>
  </si>
  <si>
    <t>202.LAB101</t>
  </si>
  <si>
    <t>201/LAB101</t>
  </si>
  <si>
    <t>BMA501</t>
  </si>
  <si>
    <t>LAB101/207</t>
  </si>
  <si>
    <t>MMAR1012</t>
  </si>
  <si>
    <t>MMA Elective 2: Brand Communication and Design</t>
  </si>
  <si>
    <t>202/LAB208</t>
  </si>
  <si>
    <t>MMAR1013</t>
  </si>
  <si>
    <t>MMA Free Elective 1: Web Programming</t>
  </si>
  <si>
    <t>DOMNIGUEZ</t>
  </si>
  <si>
    <t>BMA502</t>
  </si>
  <si>
    <t>204/LAB211</t>
  </si>
  <si>
    <t>BMA503</t>
  </si>
  <si>
    <t>512/207</t>
  </si>
  <si>
    <t>201/LAB209</t>
  </si>
  <si>
    <t>BMA701</t>
  </si>
  <si>
    <t>LAB210/206</t>
  </si>
  <si>
    <t>SALVADOR</t>
  </si>
  <si>
    <t>BMA702</t>
  </si>
  <si>
    <t>AVR1/LAB211</t>
  </si>
  <si>
    <t>BMA703</t>
  </si>
  <si>
    <t>M01/M02</t>
  </si>
  <si>
    <t>LAB210/AVR</t>
  </si>
  <si>
    <t>ARGUELLES</t>
  </si>
  <si>
    <t>MONDAY</t>
  </si>
  <si>
    <t>SAMPLE</t>
  </si>
  <si>
    <t>&lt;Room&gt;</t>
  </si>
  <si>
    <t>KITCHEN 1</t>
  </si>
  <si>
    <t>KITCHEN 2</t>
  </si>
  <si>
    <t>BAR</t>
  </si>
  <si>
    <t>&lt;Lab&gt;</t>
  </si>
  <si>
    <t>7:00 - 7:30 AM</t>
  </si>
  <si>
    <t>&lt;SUBJECT&gt;
&lt;SECTION&gt;
&lt;INSTRUCTOR&gt;</t>
  </si>
  <si>
    <t>Euthenics 1
BMA102
MATH FT</t>
  </si>
  <si>
    <t>VACANT</t>
  </si>
  <si>
    <t>Human-Computer Interaction
LEC
BT302
FELICEN</t>
  </si>
  <si>
    <t>Mathematics in the Modern World
BH102
JOTOJOT</t>
  </si>
  <si>
    <t>Rizal's Life &amp; Works BA301
REFUERZO</t>
  </si>
  <si>
    <t>The Entrepreneurial Mind BAOM302 RM 302</t>
  </si>
  <si>
    <t>Science, Technology and Society
BSA101
SOC SCI FT1</t>
  </si>
  <si>
    <t>The Contemporary World
BA101
SOC SCI FT4</t>
  </si>
  <si>
    <t>Macro Perspective of Tourism and Hospitality
BH104</t>
  </si>
  <si>
    <t>National Service Training Program 1
BT102
PALMERO</t>
  </si>
  <si>
    <t>Readings in Philippine History
BT305
CONDINO</t>
  </si>
  <si>
    <t>Macro Perspective of Tourism and Hospitality
TM101</t>
  </si>
  <si>
    <t>21st Century Lit
ABM101
&lt;INSTRUCTOR&gt;</t>
  </si>
  <si>
    <t>Business Mathematics
ABM103
&lt;INSTRUCTOR&gt;</t>
  </si>
  <si>
    <t>2D Concepts
DIGI101
&lt;INSTRUCTOR&gt;</t>
  </si>
  <si>
    <t>Comp Prog 1 
IT101
&lt;INSTRUCTOR&gt;</t>
  </si>
  <si>
    <t>General Mathematics 
STEM101
&lt;INSTRUCTOR&gt;</t>
  </si>
  <si>
    <t>21st Century Lit
STEM102 &lt;INSTRUCTOR&gt;</t>
  </si>
  <si>
    <t>Oral Communication
STEM106 &lt;INSTRUCTOR&gt;</t>
  </si>
  <si>
    <t>NO CLASS</t>
  </si>
  <si>
    <t xml:space="preserve">Color Theory
LAB
BMA302
BMA FT1
</t>
  </si>
  <si>
    <t xml:space="preserve">Embedded Systems
LAB
COE701
LLENO
</t>
  </si>
  <si>
    <t xml:space="preserve">Computer/Web Programming 2 IT102
</t>
  </si>
  <si>
    <t xml:space="preserve">Computer Programming 1
LAB
BT103
IT FT1
</t>
  </si>
  <si>
    <t xml:space="preserve">Disaster Readiness &amp; Risk Redu STEM206
</t>
  </si>
  <si>
    <t>National Service Training Program 1
BH103
ROSALES</t>
  </si>
  <si>
    <t xml:space="preserve">Disaster Readiness &amp; Risk Redu STEM207
</t>
  </si>
  <si>
    <t>Fundamentals in Lodging Operations
LEC
BH301</t>
  </si>
  <si>
    <t>7:30 - 8:00 AM</t>
  </si>
  <si>
    <t>8:00 - 8:30 AM</t>
  </si>
  <si>
    <t>Computer Programming 1
LEC
BT101
RESULLAR</t>
  </si>
  <si>
    <t>2D Animation
LEC
BMA301
MANALO</t>
  </si>
  <si>
    <t>Philippine Regional Cuisines with Food Styling and Design
LEC
BH303</t>
  </si>
  <si>
    <t>8:30 - 9:00 AM</t>
  </si>
  <si>
    <t>Readings in Philippine History
BH102
CONDINO</t>
  </si>
  <si>
    <t>Mathematics in the Modern World
BH101
JOTOJOT</t>
  </si>
  <si>
    <t>Personal Development TOP201</t>
  </si>
  <si>
    <t>Introduction to Multimedia Arts
BMA101
BMA PT2</t>
  </si>
  <si>
    <t xml:space="preserve">Basic Microeconomics BAOM101 RM 212
</t>
  </si>
  <si>
    <t>Mathematics in the Modern World
BMA104
MATH FT</t>
  </si>
  <si>
    <t>The Contemporary World
BT102
SOC SCI FT4</t>
  </si>
  <si>
    <t>The Entrepreneurial Mind BAOM301 RM 303
MATEO</t>
  </si>
  <si>
    <t>Understanding the Self
TM101
CAGADO</t>
  </si>
  <si>
    <t>Mathematics in the Modern World
BMA102
BURGOS</t>
  </si>
  <si>
    <t>Philippine Popular Culture
BSA101
SOC SCI FT2</t>
  </si>
  <si>
    <t>Entrepreneurial Management BAOM702 RM 307 MANALANG</t>
  </si>
  <si>
    <t>Rizal's Life &amp; Works BA302
BAGOL"</t>
  </si>
  <si>
    <t>Macro Perspective of Tourism and Hospitality
TM102</t>
  </si>
  <si>
    <t>Understanding the Self
BH104
MAGABILIN</t>
  </si>
  <si>
    <t>The Contemporary World
BA102
SOC SCI FT1</t>
  </si>
  <si>
    <t>General Mathematics ABM101
&lt;INSTRUCTOR&gt;</t>
  </si>
  <si>
    <t>21st Century Lit
ABM102
&lt;INSTRUCTOR&gt;</t>
  </si>
  <si>
    <t>21st Century Lit
ABM103
&lt;INSTRUCTOR&gt;</t>
  </si>
  <si>
    <t>Basic Food Production 101
CULART101
&lt;INSTRUCTOR&gt;</t>
  </si>
  <si>
    <t>Media and Info Literacy
STEM109
&lt;INSTRUCTOR&gt;</t>
  </si>
  <si>
    <t>Intro to Philosophy
TOP102
&lt;INSTRUCTOR&gt;</t>
  </si>
  <si>
    <t>Oral Communication
HUMSS101
&lt;INSTRUCTOR&gt;</t>
  </si>
  <si>
    <t>Oral Communication
HUMSS102
&lt;INSTRUCTOR&gt;</t>
  </si>
  <si>
    <t>Computer Animation
DIGI201
&lt;INSTRUCTOR&gt;</t>
  </si>
  <si>
    <t>Comp Prog 1 
IT102
&lt;INSTRUCTOR&gt;</t>
  </si>
  <si>
    <t>Intro to Philo 
IT103
&lt;INSTRUCTOR&gt;</t>
  </si>
  <si>
    <t>Basic Drawing 
DIGI101
&lt;INSTRUCTOR&gt;</t>
  </si>
  <si>
    <t>General Mathematics 
STEM102
&lt;INSTRUCTOR&gt;</t>
  </si>
  <si>
    <t>21st Century Lit
STEM103 &lt;INSTRUCTOR&gt;</t>
  </si>
  <si>
    <t>Pre-Calculus
STEM104 &lt;INSTRUCTOR&gt;</t>
  </si>
  <si>
    <t>Personal Development
IT201    &lt;INSTRUCTOR&gt;</t>
  </si>
  <si>
    <t>Oral Communication
STEM107 &lt;INSTRUCTOR&gt;</t>
  </si>
  <si>
    <t>Media and Info Literacy
STEM108
&lt;INSTRUCTOR&gt;</t>
  </si>
  <si>
    <t>Computer/Web Programming 2 IT101</t>
  </si>
  <si>
    <t>General Biology 1 STEM101</t>
  </si>
  <si>
    <t xml:space="preserve">Physical Science IT202
</t>
  </si>
  <si>
    <t>General Physics 1 STEM207</t>
  </si>
  <si>
    <t>9:00 - 9:30 AM</t>
  </si>
  <si>
    <t>Euthenics 1
COE101
SOC SCI FT3</t>
  </si>
  <si>
    <t>Philippine Regional Cuisines with Food Styling and Design
LAB
BH303</t>
  </si>
  <si>
    <t>Fundamentals in Lodging Operations
LAB
BH301</t>
  </si>
  <si>
    <t>9:30 - 10:00 AM</t>
  </si>
  <si>
    <t>10:00 - 10:30 AM</t>
  </si>
  <si>
    <t>Computer Programming 1
LEC
BT103
IT FT1</t>
  </si>
  <si>
    <t>2D Animation
LEC
BMA303</t>
  </si>
  <si>
    <t>Advanced Database Systems
LEC
BT502
DOMINGUEZ</t>
  </si>
  <si>
    <t>Interactive Media Design
LEC
BMA703
BARRIENTOS</t>
  </si>
  <si>
    <t>Applied Business Tools and Technologies in Tourism
LEC BH502</t>
  </si>
  <si>
    <t>Software Engineering 1
BS501
CIFRA</t>
  </si>
  <si>
    <t>Introduction to Multimedia Arts
BMA102
BMA PT2</t>
  </si>
  <si>
    <t xml:space="preserve">Basic Microeconomics BAOM102 RM 212
</t>
  </si>
  <si>
    <t>Understanding the Self
BMA103
MAGABILIN</t>
  </si>
  <si>
    <t>International Business &amp; Trade BAOM502 RM 302</t>
  </si>
  <si>
    <t>Readings in Philippine History
TM102
SOC SCI FT3</t>
  </si>
  <si>
    <t>Rizal's Life and Works
BT305
BAGOL</t>
  </si>
  <si>
    <t>Understanding the Self
BH103
SOC SCI FT2</t>
  </si>
  <si>
    <t>Mathematics in the Modern World
BMA101
MATH FT</t>
  </si>
  <si>
    <t>Great Books BAOM501 RM 307
ENGLISH FT</t>
  </si>
  <si>
    <t>Macro Perspective of Tourism and Hospitality
BH101</t>
  </si>
  <si>
    <t>Macro Perspective of Tourism and Hospitality
TM103</t>
  </si>
  <si>
    <t>Feasibility Study BAOM702 RM 407 ALMAZAR</t>
  </si>
  <si>
    <t>Pastry Arts and Bakery Management
LEC
BH501
ALILA</t>
  </si>
  <si>
    <t>Pagbasa at Pagsusuri ABM201
&lt;INSTRUCTOR&gt;</t>
  </si>
  <si>
    <t>General Mathematics ABM102
&lt;INSTRUCTOR&gt;</t>
  </si>
  <si>
    <t>Funda of Accountancy
ABM103
&lt;INSTRUCTOR&gt;</t>
  </si>
  <si>
    <t>Practical Research 2 CULART201
&lt;INSTRUCTOR&gt;</t>
  </si>
  <si>
    <t>Basic Food Production 101
CULART102
&lt;INSTRUCTOR&gt;</t>
  </si>
  <si>
    <t>Media and Info Literacy
TOP101
&lt;INSTRUCTOR&gt;</t>
  </si>
  <si>
    <t>Discipline &amp; Ideas
HUMSS101
&lt;INSTRUCTOR&gt;</t>
  </si>
  <si>
    <t>Fil sa Piling Larang
HUMSS201
&lt;INSTRUCTOR&gt;</t>
  </si>
  <si>
    <t>Comp Prog 1 
IT103
&lt;INSTRUCTOR&gt;</t>
  </si>
  <si>
    <t>Pagbasa at Pagsusuri IT203
&lt;INSTRUCTOR&gt;</t>
  </si>
  <si>
    <t>Pagbasa at Pagsusuri STEM201
&lt;INSTRUCTOR&gt;</t>
  </si>
  <si>
    <t>General Mathematics 
STEM103
&lt;INSTRUCTOR&gt;</t>
  </si>
  <si>
    <t>Oral Communication
STEM108 &lt;INSTRUCTOR&gt;</t>
  </si>
  <si>
    <t>Principles of Communication
BT301
COE FT1</t>
  </si>
  <si>
    <t xml:space="preserve">2D Animation
LAB
BMA301
</t>
  </si>
  <si>
    <t>Programming Logic and Design
LAB
RM208
GAID</t>
  </si>
  <si>
    <t xml:space="preserve">Digital Photography  DIGI201
</t>
  </si>
  <si>
    <t>Computer Programming 1
LAB
BT101
RESULLAR</t>
  </si>
  <si>
    <t>Human-Computer Interaction
LAB
BT302
FELICEN</t>
  </si>
  <si>
    <t>Physical Science  TOP201</t>
  </si>
  <si>
    <t>Physical Science HUMSS202</t>
  </si>
  <si>
    <t>General Chemistry 1 STEM203</t>
  </si>
  <si>
    <t>10:30 - 11:00 AM</t>
  </si>
  <si>
    <t>11:00 - 11:30 AM</t>
  </si>
  <si>
    <t>11:30 - 12:00 PM</t>
  </si>
  <si>
    <t>The Contemporary World
BT104
SOC SCI FT1</t>
  </si>
  <si>
    <t>Artificial Intelligence
BS501
CIFRA</t>
  </si>
  <si>
    <t>National Service Training Program 1
BH104
PALMERO</t>
  </si>
  <si>
    <t>Readings in Philippine History
TM101
CONDINO</t>
  </si>
  <si>
    <t>National Service Training Program 1
BSA201
PALMERO</t>
  </si>
  <si>
    <t>Mathematics in the Modern World
BA301
JOTOJOT</t>
  </si>
  <si>
    <t>Understanding the Self
BMA102
CAGADO</t>
  </si>
  <si>
    <t>Macro Perspective of Tourism and Hospitality
TM104</t>
  </si>
  <si>
    <t>Technopreneurship BS701 RM 306 SAN DIEGO</t>
  </si>
  <si>
    <t>Business Research BAOM501 RM 307 SAN DIEGO</t>
  </si>
  <si>
    <t>Purposive Communication
BT102
BONCAN</t>
  </si>
  <si>
    <t>Rizal's Life and Works
BT302
BAGOL</t>
  </si>
  <si>
    <t>Principles of Communication
BS301
COE FT1</t>
  </si>
  <si>
    <t>Intro to Philosophy ABM101
&lt;INSTRUCTOR&gt;</t>
  </si>
  <si>
    <t>Pagbasa at Pagsusuri ABM202
&lt;INSTRUCTOR&gt;</t>
  </si>
  <si>
    <t>General Mathematics ABM103
&lt;INSTRUCTOR&gt;</t>
  </si>
  <si>
    <t>21st Century Lit
CULART101
&lt;INSTRUCTOR&gt;</t>
  </si>
  <si>
    <t>Oral Communication
STEM109
&lt;INSTRUCTOR&gt;</t>
  </si>
  <si>
    <t>Media and Info Literacy
TOP102
&lt;INSTRUCTOR&gt;</t>
  </si>
  <si>
    <t>Fil sa Piling Larang
CULART202
&lt;INSTRUCTOR&gt;</t>
  </si>
  <si>
    <t>Intro to World Religion HUMSS102
&lt;INSTRUCTOR&gt;</t>
  </si>
  <si>
    <t>Oral Communication
IT101
&lt;INSTRUCTOR&gt;</t>
  </si>
  <si>
    <t>Media and Info Literacy
IT102
&lt;INSTRUCTOR&gt;</t>
  </si>
  <si>
    <t>Personal Development
HUMSS202 &lt;INSTRUCTOR&gt;</t>
  </si>
  <si>
    <t>Intro to Philo 
STEM101
&lt;INSTRUCTOR&gt;</t>
  </si>
  <si>
    <t>Pagbasa at Pagsusuri STEM202
&lt;INSTRUCTOR&gt;</t>
  </si>
  <si>
    <t>Computer Prog 4 IT201
&lt;INSTRUCTOR&gt;</t>
  </si>
  <si>
    <t>General Mathematics 
STEM104
&lt;INSTRUCTOR&gt;</t>
  </si>
  <si>
    <t>Pre-Calculus
STEM105 &lt;INSTRUCTOR&gt;</t>
  </si>
  <si>
    <t>21st Century Lit
STEM106 &lt;INSTRUCTOR&gt;</t>
  </si>
  <si>
    <t>21st Century Lit
STEM107 &lt;INSTRUCTOR&gt;</t>
  </si>
  <si>
    <t>Fil sa Piling Larang
STEM203 
&lt;INSTRUCTOR&gt;</t>
  </si>
  <si>
    <t>National Service Training Program 1
BMA103
ROSALES</t>
  </si>
  <si>
    <t>Computer/Web Programming 4 IT202</t>
  </si>
  <si>
    <t>Human-Computer Interaction
LAB
RM209
FELICEN</t>
  </si>
  <si>
    <t>General Biology 1 STEM102</t>
  </si>
  <si>
    <t>Physical Science IT203</t>
  </si>
  <si>
    <t>Logic Circuits and Design
COE501
LLENO</t>
  </si>
  <si>
    <t>12:00 - 12:30 PM</t>
  </si>
  <si>
    <t>12:30 - 1:00 PM</t>
  </si>
  <si>
    <t>1:00 - 1:30 PM</t>
  </si>
  <si>
    <t>Fil sa Piling Larang (Akad) STEM206</t>
  </si>
  <si>
    <t>Personal Development STEM208</t>
  </si>
  <si>
    <t>Euthenics 1
BSA101
PALMERO</t>
  </si>
  <si>
    <t>Understanding the Self
TM104
SOC SCI FT2</t>
  </si>
  <si>
    <t>Purposive Communication
BT104
ENGLISH FT</t>
  </si>
  <si>
    <t>Introduction to Multimedia Arts
BMA103
BAUTISTA</t>
  </si>
  <si>
    <t>Readings in Philippine History
TM103
SOC SCI FT3</t>
  </si>
  <si>
    <t>Mathematics in the Modern World
COE101
MATH FT</t>
  </si>
  <si>
    <t>Business Research BAOM502 RM 302 ESPIRITU</t>
  </si>
  <si>
    <t>Purposive Communication
BS101
BONCAN</t>
  </si>
  <si>
    <t>Rizal's Life and Works
BS301
REFUERZO</t>
  </si>
  <si>
    <t>Rizal's Life and Works
BSA301
BUSTALINIO</t>
  </si>
  <si>
    <t>Art Appreciation
BH303
CONDINO</t>
  </si>
  <si>
    <t>Risk Management as Applied to Safety, Security, and Sanitation
BH101</t>
  </si>
  <si>
    <t>Euthenics 2
BA702/BS701
MAGABILIN</t>
  </si>
  <si>
    <t xml:space="preserve">Tourism and Hospitality Marketing
TM501
</t>
  </si>
  <si>
    <t>Quality Service Management in Tourism and Hospitality
BH302</t>
  </si>
  <si>
    <t>Mathematics in the Modern World
TM102
JOTOJOT</t>
  </si>
  <si>
    <t>Personal Development ABM201
&lt;INSTRUCTOR&gt;</t>
  </si>
  <si>
    <t>Intro to Philosophy ABM102
&lt;INSTRUCTOR&gt;</t>
  </si>
  <si>
    <t>Pagbasa at Pagsusuri ABM203
&lt;INSTRUCTOR&gt;</t>
  </si>
  <si>
    <t>General Mathematics CULART101
&lt;INSTRUCTOR&gt;</t>
  </si>
  <si>
    <t>21st Century Lit
CULART102
&lt;INSTRUCTOR&gt;</t>
  </si>
  <si>
    <t>Oral Communication
TOP101
&lt;INSTRUCTOR&gt;</t>
  </si>
  <si>
    <t>Intro to World Religion HUMSS101
&lt;INSTRUCTOR&gt;</t>
  </si>
  <si>
    <t>Front Office Services 2
TOP102
&lt;INSTRUCTOR&gt;</t>
  </si>
  <si>
    <t>Pagbasa at Pagsusuri CULART201
&lt;INSTRUCTOR&gt;</t>
  </si>
  <si>
    <t>Local and Intl Cuisines CULART202
&lt;INSTRUCTOR&gt;</t>
  </si>
  <si>
    <t>Media and Info Literacy
IT103
&lt;INSTRUCTOR&gt;</t>
  </si>
  <si>
    <t>Eng for Acad  &amp; Prof
DIGI201  &lt;INSTRUCTOR&gt;</t>
  </si>
  <si>
    <t>Eng for Acad  &amp; Prof
HJUMSS201   &lt;INSTRUCTOR&gt;</t>
  </si>
  <si>
    <t>Computer Prog 5 IT201
&lt;INSTRUCTOR&gt;</t>
  </si>
  <si>
    <t>General Mathematics 
STEM105
&lt;INSTRUCTOR&gt;</t>
  </si>
  <si>
    <t>Pre-Calculus
STEM108  &lt;INSTRUCTOR&gt;</t>
  </si>
  <si>
    <t xml:space="preserve">Interactive Media Design
LAB
BMA703
BARRIENTOS
</t>
  </si>
  <si>
    <t>Advanced Database Systems
LAB
BT502
DOMINGUEZ</t>
  </si>
  <si>
    <t>IT Elective 2: Introduction to Computer Animation
LAB
BT503
IT FT2</t>
  </si>
  <si>
    <t>Information Assurance and Security (Data Privacy)
LAB
BT702
CIFRA</t>
  </si>
  <si>
    <t>General Biology 1 STEM103</t>
  </si>
  <si>
    <t>Disaster Readiness &amp; Risk Redu STEM201</t>
  </si>
  <si>
    <t xml:space="preserve">General Chemistry 1 STEM204 </t>
  </si>
  <si>
    <t>Pastry Arts and Bakery Management
LAB
BH501
ALILA</t>
  </si>
  <si>
    <t>Research in Hospitality
LEC
TM702</t>
  </si>
  <si>
    <t>1:30 - 2:00 PM</t>
  </si>
  <si>
    <t>2:00 - 2:30 PM</t>
  </si>
  <si>
    <t>2D Animation
LEC
BMA303
MANALO</t>
  </si>
  <si>
    <t>Human-Computer Interaction
LEC
BT301
FELICEN</t>
  </si>
  <si>
    <t>Computer Network and Security
LEC
COE701
COE FT1</t>
  </si>
  <si>
    <t>2:30 - 3:00 PM</t>
  </si>
  <si>
    <t>Operations Management (TQM) BAOM501 RM 201 ALMAZAR</t>
  </si>
  <si>
    <t>Accommodation Operations and Management
TM302</t>
  </si>
  <si>
    <t>Platform Technology (Operating Systems)
LEC
BS701
LLENO</t>
  </si>
  <si>
    <t>international Business &amp; Trade BAOM501 RM 206 ALMAZAR</t>
  </si>
  <si>
    <t>Great Books
BMA501
ENGLISH FT</t>
  </si>
  <si>
    <t>Basic Accounting BSA101 RM 212 MATEO</t>
  </si>
  <si>
    <t>Purposive Communication
BT101
BONCAN</t>
  </si>
  <si>
    <t xml:space="preserve">Business Ventures in Multimedia
BMA503
BARRIENTOS
</t>
  </si>
  <si>
    <t>Business Analytics BSA701 RM 303 ESPIRITU</t>
  </si>
  <si>
    <t>Discrete Structures 2
BS301
MATH FT</t>
  </si>
  <si>
    <t>Art Appreciation
BH302
SOC SCI FT4</t>
  </si>
  <si>
    <t>Data and Digital Communications (Data Communications)
COE501
AGUILA</t>
  </si>
  <si>
    <t>Understanding the Self
BT102
BAGOL</t>
  </si>
  <si>
    <t>Quality Service Management in Tourism and Hospitality
TM301</t>
  </si>
  <si>
    <t>Accommodation Operations and Management
TM303</t>
  </si>
  <si>
    <t>Practical Research 2 ABM201
&lt;INSTRUCTOR&gt;</t>
  </si>
  <si>
    <t>Personal Development ABM202
&lt;INSTRUCTOR&gt;</t>
  </si>
  <si>
    <t>Personal Development ABM203
&lt;INSTRUCTOR&gt;</t>
  </si>
  <si>
    <t>Personal Development CULART201
&lt;INSTRUCTOR&gt;</t>
  </si>
  <si>
    <t>Front Office Services 2
TOP101
&lt;INSTRUCTOR&gt;</t>
  </si>
  <si>
    <t>Fil sa Piling Larang
HUMSS202
&lt;INSTRUCTOR&gt;</t>
  </si>
  <si>
    <t>Eng for Acad  &amp; Prof
IT203
&lt;INSTRUCTOR&gt;</t>
  </si>
  <si>
    <t>Phil Politics and Governance
HJUMSS201   &lt;INSTRUCTOR&gt;</t>
  </si>
  <si>
    <t>Eng for Acad  &amp; Prof
STEM201   &lt;INSTRUCTOR&gt;</t>
  </si>
  <si>
    <t>Pagbasa at Pagsusuri
STEM203  &lt;INSTRUCTOR&gt;</t>
  </si>
  <si>
    <t>Information Assurance &amp; Security (Cybersecurity Fundamentals)
LAB
BS501
MORAL</t>
  </si>
  <si>
    <t>General Chemistry 1 STEM205</t>
  </si>
  <si>
    <t xml:space="preserve">Disaster Readiness &amp; Risk Redu STEM202
</t>
  </si>
  <si>
    <t>National Service Training Program 1
TM103
ROSALES</t>
  </si>
  <si>
    <t>3:00 - 3:30 PM</t>
  </si>
  <si>
    <t>Research in Hospitality
LAB
TM702</t>
  </si>
  <si>
    <t>3:30 - 4:00 PM</t>
  </si>
  <si>
    <t>4:00 - 4:30 PM</t>
  </si>
  <si>
    <t>Information Assurance and Security (Data Privacy)
LEC
BT702
CIFRA</t>
  </si>
  <si>
    <t>Information Assurance &amp; Security (Cybersecurity Fundamentals)
LEC
BS501
MORAL</t>
  </si>
  <si>
    <t>Understanding the Self
BT101
MAGABILIN</t>
  </si>
  <si>
    <t>Euthenics 1
BT102
PALMERO</t>
  </si>
  <si>
    <t>Network Technology 2
LEC
BT701
IT FT3</t>
  </si>
  <si>
    <t xml:space="preserve">Management Science BSA701 RM 212
</t>
  </si>
  <si>
    <t>Great Books
BH501
BONCAN</t>
  </si>
  <si>
    <t>Readings in Philippine History
BT304
SOC SCI FT3</t>
  </si>
  <si>
    <t>Quality Service Management in Tourism and Hospitality
TM303</t>
  </si>
  <si>
    <t>Accommodation Operations and Management
TM301</t>
  </si>
  <si>
    <t>Practical Research 2 ABM202
&lt;INSTRUCTOR&gt;</t>
  </si>
  <si>
    <t>Pagbasa at Pagsusuri CULART202
&lt;INSTRUCTOR&gt;</t>
  </si>
  <si>
    <t>Eng for Acad  &amp; Prof
HUMSS202
&lt;INSTRUCTOR&gt;</t>
  </si>
  <si>
    <t>Eng for Acad  &amp; Prof
STEM202
&lt;INSTRUCTOR&gt;</t>
  </si>
  <si>
    <t xml:space="preserve">2D Animation
LAB
BMA303
MANALO
</t>
  </si>
  <si>
    <t>Advanced Database Systems
LAB
BT501
DOMINGUEZ</t>
  </si>
  <si>
    <t>IT Elective 4: Game Development
LAB
BT703
RESULLAR</t>
  </si>
  <si>
    <t>Advanced Systems Integration and Architecture
LAB
BT503
FELICEN</t>
  </si>
  <si>
    <t>Computer Network and Security
LAB
COE701
COE FT1</t>
  </si>
  <si>
    <t>Disaster Readiness &amp; Risk Redu STEM203</t>
  </si>
  <si>
    <t>4:30 - 5:00 PM</t>
  </si>
  <si>
    <t>5:00 - 5:30 PM</t>
  </si>
  <si>
    <t>5:30 - 6:00 PM</t>
  </si>
  <si>
    <t>6:00 - 6:30 PM</t>
  </si>
  <si>
    <t>6:30 - 7:00 PM</t>
  </si>
  <si>
    <t>7:00 - 7:30 PM</t>
  </si>
  <si>
    <t>7:30 - 8:00 PM</t>
  </si>
  <si>
    <t>8:00 - 8:30 PM</t>
  </si>
  <si>
    <t>8:30 - 9:00 PM</t>
  </si>
  <si>
    <t>Utilization %</t>
  </si>
  <si>
    <t>TUESDAY</t>
  </si>
  <si>
    <t>Euthenics 1
BMA103
MATH FT</t>
  </si>
  <si>
    <t xml:space="preserve">VACANT </t>
  </si>
  <si>
    <t xml:space="preserve">Human Resource Management BSA701 RM 207 PASION
</t>
  </si>
  <si>
    <t>Digital Sound Production
LEC
RM303
ARGUELLES</t>
  </si>
  <si>
    <t>Readings in Philippine History
BA201
REFUERZO</t>
  </si>
  <si>
    <t>Understanding the Self
BH101
MAGABILIN</t>
  </si>
  <si>
    <t>Rizal's Life and Works
BMA303
SOC SCI FT3</t>
  </si>
  <si>
    <t>Mathematics in the Modern World
BA302
JOTOJOT</t>
  </si>
  <si>
    <t>Risk Management as Applied to Safety, Security, and Sanitation
TM101</t>
  </si>
  <si>
    <t>Understanding the Self
BT103
BAGOL</t>
  </si>
  <si>
    <t>Oral Communication
ABM101
&lt;INSTRUCTOR&gt;</t>
  </si>
  <si>
    <t>Intro to Philosophy
ABM103
&lt;INSTRUCTOR&gt;</t>
  </si>
  <si>
    <t>General Mathematics 
CULART102
&lt;INSTRUCTOR&gt;</t>
  </si>
  <si>
    <t>21st Century Lit
DIGI101 &lt;INSTRUCTOR&gt;</t>
  </si>
  <si>
    <t>Media and Info Literacy
IT101
&lt;INSTRUCTOR&gt;</t>
  </si>
  <si>
    <t>Oral Communication
IT102
&lt;INSTRUCTOR&gt;</t>
  </si>
  <si>
    <t>Computer Programming 2
IT103
&lt;INSTRUCTOR&gt;</t>
  </si>
  <si>
    <t>Drawing 1
LAB
BMA101
BARRIENTOS</t>
  </si>
  <si>
    <t>Media and Info Literacy
STEM101
&lt;INSTRUCTOR&gt;</t>
  </si>
  <si>
    <t>Intro to Philosophy
STEM104
&lt;INSTRUCTOR&gt;</t>
  </si>
  <si>
    <t>21st Century Lit
STEM106  &lt;INSTRUCTOR&gt;</t>
  </si>
  <si>
    <t>Digital Photography
LAB
BMA501
BMA FT1</t>
  </si>
  <si>
    <t>Advanced Systems Integration and Architecture
LAB
BT504
FELICEN</t>
  </si>
  <si>
    <t>IT Elective 1: Object-Oriented Programming
LAB
BT305
GAID"</t>
  </si>
  <si>
    <t>Managerial Accounting LAB BAOM502 RM 208 CANGAO</t>
  </si>
  <si>
    <t>National Service Training Program 1
BH102
PALMERO</t>
  </si>
  <si>
    <t xml:space="preserve">General Physics 1  STEM208
</t>
  </si>
  <si>
    <t>Fundamentals in Lodging Operations
LEC
BH302
BARRIENTOS</t>
  </si>
  <si>
    <t>Computer Programming 1
LEC
BT102
RESULLAR</t>
  </si>
  <si>
    <t>Data Structures and Algorithms
LEC
BS301
DOMINGUEZ</t>
  </si>
  <si>
    <t>Platform Technology (Operating Systems)
LEC
BT302
LLENO</t>
  </si>
  <si>
    <t xml:space="preserve">Costing &amp; Pricing LECTURE BAOM301 RM 301
</t>
  </si>
  <si>
    <t>Readings in Philippine History
BA102
BAGOL</t>
  </si>
  <si>
    <t>Introduction to Computing
LEC
BT104
RM MO1</t>
  </si>
  <si>
    <t>Understanding the Self
BH102
SOC SCI FT2</t>
  </si>
  <si>
    <t>The Contemporary World
COE101
MAGABILIN</t>
  </si>
  <si>
    <t>Readings in Philippine History
BH101
CONDINO</t>
  </si>
  <si>
    <t>The Contemporary World
BSA101
SOC SCI FT1</t>
  </si>
  <si>
    <t>Understanding the Self
BA101
BADENAS</t>
  </si>
  <si>
    <t>Managerial Economics BSA301 RM 305 LAZARIN</t>
  </si>
  <si>
    <t>Risk Management as Applied to Safety, Security, and Sanitation
BH104</t>
  </si>
  <si>
    <t>The Entrepreneurial Mind
BMA303
UCLUSIN</t>
  </si>
  <si>
    <t>Risk Management as Applied to Safety, Security, and Sanitation
TM102</t>
  </si>
  <si>
    <t>Readings in Philippine History
BH103
REFUERZO</t>
  </si>
  <si>
    <t xml:space="preserve">Disaster Readiness &amp; Risk Redu STEM208
</t>
  </si>
  <si>
    <t>Rizal's Life and Works
BT303
SOC SCI FT3</t>
  </si>
  <si>
    <t>Business Mathematics 
ABM101
&lt;INSTRUCTOR&gt;</t>
  </si>
  <si>
    <t>Oral Communication
ABM102
&lt;INSTRUCTOR&gt;</t>
  </si>
  <si>
    <t>Media and Info Literacy
ABM103
&lt;INSTRUCTOR&gt;</t>
  </si>
  <si>
    <t>Intro to Philosophy
CULART101
&lt;INSTRUCTOR&gt;</t>
  </si>
  <si>
    <t>Intro to Philosophy
CULART102
&lt;INSTRUCTOR&gt;</t>
  </si>
  <si>
    <t>General Mathematics 
DIGI101
&lt;INSTRUCTOR&gt;</t>
  </si>
  <si>
    <t>21st Century Lit
HUMSS101
&lt;INSTRUCTOR&gt;</t>
  </si>
  <si>
    <t>21st Century Lit
HUMSS102  &lt;INSTRUCTOR&gt;</t>
  </si>
  <si>
    <t>Pre-Calculus
STEM109
&lt;INSTRUCTOR&gt;</t>
  </si>
  <si>
    <t>Computer Programming 3
IT202
&lt;INSTRUCTOR&gt;</t>
  </si>
  <si>
    <t>Oral Communication
IT103       &lt;INSTRUCTOR&gt;</t>
  </si>
  <si>
    <t>Oral Communication
STEM101       &lt;INSTRUCTOR&gt;</t>
  </si>
  <si>
    <t>Media and Info Literacy
STEM102
&lt;INSTRUCTOR&gt;</t>
  </si>
  <si>
    <t>Media and Info Literacy
STEM103
&lt;INSTRUCTOR&gt;</t>
  </si>
  <si>
    <t>General Mathematics
IT101
&lt;INSTRUCTOR&gt;</t>
  </si>
  <si>
    <t>Intro to Philosophy
STEM105
&lt;INSTRUCTOR&gt;</t>
  </si>
  <si>
    <t>Eng for Acad &amp; Prof 
IT202
&lt;INSTRUCTOR&gt;</t>
  </si>
  <si>
    <t>General Mathematics
STEM107
&lt;INSTRUCTOR&gt;</t>
  </si>
  <si>
    <t>Pagbasa at Pagsusuri
IT201 &lt;INSTRUCTOR&gt;</t>
  </si>
  <si>
    <t xml:space="preserve">Physical Science HUMSS201
</t>
  </si>
  <si>
    <t>National Service Training Program 1
TM101
CASTILLO</t>
  </si>
  <si>
    <t>Drawing 1
LEC
BMA105
MANALO</t>
  </si>
  <si>
    <t>Fundamentals in Lodging Operations
LAB
BH302
BARRIENTOS</t>
  </si>
  <si>
    <t>Facilities Management BAOM302 RM 302</t>
  </si>
  <si>
    <t>Computer Programming 1
LEC
BS101
IT FT1</t>
  </si>
  <si>
    <t>Interactive Media Design
LEC
BMA701
BARRIENTOS</t>
  </si>
  <si>
    <t>Event-Driven Programming
LEC
BT501
DOMONDON</t>
  </si>
  <si>
    <t>IT Elective 1: Object-Oriented Programming
LEC
BT301
GAID</t>
  </si>
  <si>
    <t>Readings in Philippine History
COE301</t>
  </si>
  <si>
    <t>Art Appreciation
TM303
BUSTALINIO</t>
  </si>
  <si>
    <t>Digital Photography
LEC
BMA501
BMA FT1</t>
  </si>
  <si>
    <t>Readings in the Philippine History BSA101
BADENAS</t>
  </si>
  <si>
    <t xml:space="preserve">Managerial Economics BSA301 RM 301
</t>
  </si>
  <si>
    <t xml:space="preserve">Managerial Accounting LECTURE BAOM502 RM 303
</t>
  </si>
  <si>
    <t>The Contemporary World
BMA104
SOC SCI FT4</t>
  </si>
  <si>
    <t>Mathematics in the Modern World
BH103
JOTOJOT</t>
  </si>
  <si>
    <t>Special Topics in Operations Management BAOM701 RM 306 SAN DIEGO</t>
  </si>
  <si>
    <t>Understanding the Self
BMA101
CAGADO</t>
  </si>
  <si>
    <t>National Service Training Program 1
BMA102
PALMERO</t>
  </si>
  <si>
    <t>Strategic Management BSA301 RM 402 MANALANG</t>
  </si>
  <si>
    <t>National Service Training Program 1
BT103
ROSALES</t>
  </si>
  <si>
    <t>Euthenics 1
BH104
MATH FT</t>
  </si>
  <si>
    <t>Eng for Acad &amp; Prof 
ABM201
&lt;INSTRUCTOR&gt;</t>
  </si>
  <si>
    <t>Org and Management
ABM102 &lt;INSTRUCTOR&gt;</t>
  </si>
  <si>
    <t>Intro to Philosophy
IT102
&lt;INSTRUCTOR&gt;</t>
  </si>
  <si>
    <t>Media and Info Literacy
CULART101
&lt;INSTRUCTOR&gt;</t>
  </si>
  <si>
    <t>21st Century Lit
STEM109
&lt;INSTRUCTOR&gt;</t>
  </si>
  <si>
    <t>Oral Communication
TOP102 &lt;INSTRUCTOR&gt;</t>
  </si>
  <si>
    <t>General Mathematics 
HUMSS101
&lt;INSTRUCTOR&gt;</t>
  </si>
  <si>
    <t>Pagbasa at Pagsusuri
DIGI201 &lt;INSTRUCTOR&gt;</t>
  </si>
  <si>
    <t>Practical Research 2 
HUMSS201
&lt;INSTRUCTOR&gt;</t>
  </si>
  <si>
    <t>Computer Programming 4
IT202
&lt;INSTRUCTOR&gt;</t>
  </si>
  <si>
    <t>Drawing 1
LAB
BMA105
MANALO</t>
  </si>
  <si>
    <t>Personal Development
STEM202      &lt;INSTRUCTOR&gt;</t>
  </si>
  <si>
    <t>Oral Communication
STEM102     &lt;INSTRUCTOR&gt;</t>
  </si>
  <si>
    <t>Fil sa Piling Larang
STEM201      &lt;INSTRUCTOR&gt;</t>
  </si>
  <si>
    <t>Fil sa Piling Larang
IT202    &lt;INSTRUCTOR&gt;</t>
  </si>
  <si>
    <t>Pre-Calculus
STEM106
&lt;INSTRUCTOR&gt;</t>
  </si>
  <si>
    <t>General Mathematics
STEM108 &lt;INSTRUCTOR&gt;</t>
  </si>
  <si>
    <t>2D Animation
LAB
BMA302</t>
  </si>
  <si>
    <t>Data Structures and Algorithms
LAB
BT303
FELICEN</t>
  </si>
  <si>
    <t>Computer Programming 1
LAB
BT102
RESULLAR</t>
  </si>
  <si>
    <t>Platform Technology (Operating Systems)
LAB
BT302
LLENO</t>
  </si>
  <si>
    <t xml:space="preserve">Physical Science IT201
</t>
  </si>
  <si>
    <t xml:space="preserve">
Physical Science CULART201</t>
  </si>
  <si>
    <t>Mathematics in the Modern World
BMA103
MATH FT</t>
  </si>
  <si>
    <t>CpE Elective 1: Computer Systems Architecture
LAB
COE501
COE FT1</t>
  </si>
  <si>
    <t>Introduction to Computing
LEC
BT105
IT FT2</t>
  </si>
  <si>
    <t>Understanding the Self
TM103
MAGABILIN</t>
  </si>
  <si>
    <t>Readings in Philippine History
BMA102
SOC SCI FT3</t>
  </si>
  <si>
    <t>Pagbasa at Pagsusuri TOP202</t>
  </si>
  <si>
    <t>Facilities Management BAOM301 RM 301</t>
  </si>
  <si>
    <t>Operations Management (TQM) BH502
ESPIRITU</t>
  </si>
  <si>
    <t xml:space="preserve">Pagbasa at Pagsusuri STEM207 </t>
  </si>
  <si>
    <t>Purposive Communication
BT103
SINDICO</t>
  </si>
  <si>
    <t>Personal Development STEM206</t>
  </si>
  <si>
    <t>Great Books
BMA502
ENGLISH FT</t>
  </si>
  <si>
    <t>Tour and Travel Management
TM301</t>
  </si>
  <si>
    <t>Introduction to Multimedia Arts
BMA104
BAUTISTA</t>
  </si>
  <si>
    <t>Fil sa Piling Larang
ABM201
&lt;INSTRUCTOR&gt;</t>
  </si>
  <si>
    <t>Eng for Acad &amp; Prof 
ABM202
&lt;INSTRUCTOR&gt;</t>
  </si>
  <si>
    <t>Oral Communication
ABM103
&lt;INSTRUCTOR&gt;</t>
  </si>
  <si>
    <t>Practical Research 2
ABM203
&lt;INSTRUCTOR&gt;</t>
  </si>
  <si>
    <t>Media and Info Literacy
CULART102
&lt;INSTRUCTOR&gt;</t>
  </si>
  <si>
    <t>Intro to Philosophy
DIGI101
&lt;INSTRUCTOR&gt;</t>
  </si>
  <si>
    <t>21st Century Lit
TOP101 &lt;INSTRUCTOR&gt;</t>
  </si>
  <si>
    <t>General Mathematics 
HUMSS102
&lt;INSTRUCTOR&gt;</t>
  </si>
  <si>
    <t>21st Century Lit
IT101      &lt;INSTRUCTOR&gt;</t>
  </si>
  <si>
    <t>21st Century Lit
IT102
&lt;INSTRUCTOR&gt;</t>
  </si>
  <si>
    <t>Eng for Acad &amp; Prof 
CULART201
&lt;INSTRUCTOR&gt;</t>
  </si>
  <si>
    <t>Personal Development
CULART202      &lt;INSTRUCTOR&gt;</t>
  </si>
  <si>
    <t>Phil Politics and Governance
HUMSS202 &lt;INSTRUCTOR&gt;</t>
  </si>
  <si>
    <t>Pre-Calculus
STEM103
&lt;INSTRUCTOR&gt;</t>
  </si>
  <si>
    <t>Media and Info Literacy
STEM104
&lt;INSTRUCTOR&gt;</t>
  </si>
  <si>
    <t>Fil sa Piling Larang
STEM202   &lt;INSTRUCTOR&gt;</t>
  </si>
  <si>
    <t>Introduction to Computing
LAB
BT104
AGUILA</t>
  </si>
  <si>
    <t>Pagbasa at Pagsusuri STEM201</t>
  </si>
  <si>
    <t>General Physics 1 STEM203</t>
  </si>
  <si>
    <t>Differential Equations
COE301
JOTOJOT</t>
  </si>
  <si>
    <t>Costing &amp; Pricing LECTURE BAOM302  RM204
MATEO</t>
  </si>
  <si>
    <t>Philippine Popular Culture
BT104
SOC SCI FT2</t>
  </si>
  <si>
    <t>National Service Training Program 1
BT101
PALMERO</t>
  </si>
  <si>
    <t>Fil sa Piling Larang (Akad) STEM207</t>
  </si>
  <si>
    <t>The Contemporary World
BMA103
SOC SCI FT1</t>
  </si>
  <si>
    <t>The Contemporary World
BS101
SOC SCI FT4</t>
  </si>
  <si>
    <t>Multicultural Diversity in Workplace for the Tourism Professional
TM501</t>
  </si>
  <si>
    <t>Understanding the Self
BSA101
MAGABILIN</t>
  </si>
  <si>
    <t>English for Academic &amp;Prof            STEM206</t>
  </si>
  <si>
    <t>Readings in Philippine History
BT302
CONDINO</t>
  </si>
  <si>
    <t>Readings in Philippine History
TM104
BADENAS</t>
  </si>
  <si>
    <t>Rizal's Life and Works
BMA301
REFUERZO</t>
  </si>
  <si>
    <t>Marketing Management BAOM702 RM 402 ALMAZAR</t>
  </si>
  <si>
    <t>Understanding the Self
COE101
CAGADO</t>
  </si>
  <si>
    <t>Business Finance GAS201</t>
  </si>
  <si>
    <t>Practical Research 2 
CULART202
&lt;INSTRUCTOR&gt;</t>
  </si>
  <si>
    <t>Media and Info Literacy
ABM102
&lt;INSTRUCTOR&gt;</t>
  </si>
  <si>
    <t>21st Century Lit
TOP102
&lt;INSTRUCTOR&gt;</t>
  </si>
  <si>
    <t>Oral Communication
CULART101
&lt;INSTRUCTOR&gt;</t>
  </si>
  <si>
    <t>General Mathematics 
STEM109
&lt;INSTRUCTOR&gt;</t>
  </si>
  <si>
    <t>Media and Info Literacy
DIGI101
&lt;INSTRUCTOR&gt;</t>
  </si>
  <si>
    <t>Intro to Philosophy
HUMSS101
&lt;INSTRUCTOR&gt;</t>
  </si>
  <si>
    <t>Discipline &amp; Ideas
HUMSS102
&lt;INSTRUCTOR&gt;</t>
  </si>
  <si>
    <t>Personal Development
DIGI201      &lt;INSTRUCTOR&gt;</t>
  </si>
  <si>
    <t>Personal Development
IT203      &lt;INSTRUCTOR&gt;</t>
  </si>
  <si>
    <t>General Mathematics 
TOP101
&lt;INSTRUCTOR&gt;</t>
  </si>
  <si>
    <t>National Service Training Program 1
BMA101
ROSALES</t>
  </si>
  <si>
    <t>Pagbasa at Pagsusuri
HUMSS201 &lt;INSTRUCTOR&gt;</t>
  </si>
  <si>
    <t>Intro to Philosophy
STEM102
&lt;INSTRUCTOR&gt;</t>
  </si>
  <si>
    <t>Eng for Acad &amp; Prof 
IT201
&lt;INSTRUCTOR&gt;</t>
  </si>
  <si>
    <t>Personal Development
IT202      &lt;INSTRUCTOR&gt;</t>
  </si>
  <si>
    <t>Media and Info Literacy
STEM105
&lt;INSTRUCTOR&gt;</t>
  </si>
  <si>
    <t>Pre-Calculus
STEM107
&lt;INSTRUCTOR&gt;</t>
  </si>
  <si>
    <t>Interactive Media Design
LAB
BMA701
BARRIENTOS</t>
  </si>
  <si>
    <t>Event-Driven Programming
LAB
BT501
DOMONDON</t>
  </si>
  <si>
    <t>IT Application Tools in Business LAB BSA301 RM 210</t>
  </si>
  <si>
    <t xml:space="preserve">
General Physics 1 STEM203 </t>
  </si>
  <si>
    <t xml:space="preserve">Disaster Readiness &amp; Risk Redu GAS201
</t>
  </si>
  <si>
    <t>Research in Hospitality
LEC
BH702</t>
  </si>
  <si>
    <t>Typography and Layout
LEC
BMA503
BAUTISTA</t>
  </si>
  <si>
    <t>2D Animation
LEC
BMA304
MANALO</t>
  </si>
  <si>
    <t>Network Technology 1
LEC
BS701
IT FT3</t>
  </si>
  <si>
    <t>MMA Free Elective 1: Web Programming
BMA502
DOMINGUEZ</t>
  </si>
  <si>
    <t>Sustainable Tourism
TM302</t>
  </si>
  <si>
    <t>Purposive Communication
BT105
ENGLISH FT</t>
  </si>
  <si>
    <t>Operating Systems
COE301
LLENO</t>
  </si>
  <si>
    <t>Mathematics in the Modern World
TM103
JOTOJOT</t>
  </si>
  <si>
    <t>National Service Training Program 1
BT104
PALMERO</t>
  </si>
  <si>
    <t>Rizal's Life and Works
BMA302
BAGOL</t>
  </si>
  <si>
    <t>The Entrepreneurial Mind
BMA301
MANALANG</t>
  </si>
  <si>
    <t>Rizal's Life and Works
TM702
REFUERZO</t>
  </si>
  <si>
    <t>Special Topics in Operations Management BAOM701 RM 307</t>
  </si>
  <si>
    <t>Art Appreciation
TM301
BUSTALINIO</t>
  </si>
  <si>
    <t>Multicultural Diversity in Workplace for the Tourism Professional
TM502</t>
  </si>
  <si>
    <t>Philippine Popular Culture
BT101
SOC SCI FT2</t>
  </si>
  <si>
    <t>Professional Development and Applied Ethics
BH502</t>
  </si>
  <si>
    <t>Fund of Accountancy
ABM201 &lt;INSTRUCTOR&gt;</t>
  </si>
  <si>
    <t>Fil sa Piling Larang
ABM202
&lt;INSTRUCTOR&gt;</t>
  </si>
  <si>
    <t>Eng for Acad &amp; Prof 
ABM203
&lt;INSTRUCTOR&gt;</t>
  </si>
  <si>
    <t>Fil sa Piling Larang
CULART201
&lt;INSTRUCTOR&gt;</t>
  </si>
  <si>
    <t>Practical Research 2
DIGI201 &lt;INSTRUCTOR&gt;</t>
  </si>
  <si>
    <t>Media and Info Literacy
HUMSS101
&lt;INSTRUCTOR&gt;</t>
  </si>
  <si>
    <t>Fil sa Piling Larang
IT203      &lt;INSTRUCTOR&gt;</t>
  </si>
  <si>
    <t>Pagbasa at Pagsusuri
HUMSS202 &lt;INSTRUCTOR&gt;</t>
  </si>
  <si>
    <t xml:space="preserve">International Business and Trade BSA501 RM 512 ESPIRITU
</t>
  </si>
  <si>
    <t>Personal Development
HUMSS201      &lt;INSTRUCTOR&gt;</t>
  </si>
  <si>
    <t>Fil sa Piling Larang
IT201      &lt;INSTRUCTOR&gt;</t>
  </si>
  <si>
    <t>Practical Research 2
IT202      &lt;INSTRUCTOR&gt;</t>
  </si>
  <si>
    <t xml:space="preserve">General Chemistry 1 STEM201
</t>
  </si>
  <si>
    <t xml:space="preserve">General Physics 1 STEM202
</t>
  </si>
  <si>
    <t>Foreign Language 1 TM303
RM302</t>
  </si>
  <si>
    <t>Research in Hospitality
LAB
BH702</t>
  </si>
  <si>
    <t>IT Application Tools in Business BSA301 LEC RM 201</t>
  </si>
  <si>
    <t>Advanced Systems Integration and Architecture
LEC
BT503
FELICEN</t>
  </si>
  <si>
    <t>The Contemporary World
BT105
SOC SCI FT4</t>
  </si>
  <si>
    <t>Tourism and Hospitality Marketing
BH501</t>
  </si>
  <si>
    <t>IT Elective 4: Game Development
LEC
BT702
RESULLAR</t>
  </si>
  <si>
    <t>Professional Development and Applied Ethics
TM502</t>
  </si>
  <si>
    <t>The Contemporary World
TM702
SOC SCI FT</t>
  </si>
  <si>
    <t>Art Appreciation
TM302
CONDINO</t>
  </si>
  <si>
    <t>Marketing Management BAOM701 RM 307 ALMAZAR</t>
  </si>
  <si>
    <t>The Entrepreneurial Mind
BH502
UCLUSIN</t>
  </si>
  <si>
    <t>Professional Development and Applied Ethics
TM501</t>
  </si>
  <si>
    <t>Sustainable Tourism
TM301</t>
  </si>
  <si>
    <t>Risk Management as Applied to Safety, Security, and Sanitation
TM103</t>
  </si>
  <si>
    <t>Business Finance
ABM201 &lt;INSTRUCTOR&gt;</t>
  </si>
  <si>
    <t>Fund of Accountancy
ABM202 &lt;INSTRUCTOR&gt;</t>
  </si>
  <si>
    <t>Fil sa Piling Larang
ABM203
&lt;INSTRUCTOR&gt;</t>
  </si>
  <si>
    <t>Local and Int'l Cuisine
CULART201
&lt;INSTRUCTOR&gt;</t>
  </si>
  <si>
    <t>Eng for Acad &amp; Prof 
CULART202
&lt;INSTRUCTOR&gt;</t>
  </si>
  <si>
    <t>Personal Development
HUMSS202      &lt;INSTRUCTOR&gt;</t>
  </si>
  <si>
    <t>Personal Development
STEM201      &lt;INSTRUCTOR&gt;</t>
  </si>
  <si>
    <t>2D Animation
LAB
BMA304
MANALO</t>
  </si>
  <si>
    <t>MMA Free Elective 1: Web Programming
LAB
BMA502
DOMINGUEZ</t>
  </si>
  <si>
    <t>Network Technology 1
LAB
BS401
IT FT3</t>
  </si>
  <si>
    <t>IT Elective 2: Introduction to Computer Animation
LAB
BT501
IT FT3</t>
  </si>
  <si>
    <t xml:space="preserve">General Chemistry 1 STEM202
</t>
  </si>
  <si>
    <t xml:space="preserve">General Chemistry 1 STEM206
</t>
  </si>
  <si>
    <t>Euthenics 2
TM702
SOC SCI FT1</t>
  </si>
  <si>
    <t>WEDNESDAY</t>
  </si>
  <si>
    <t xml:space="preserve">The Contemporary World
BMA101
SOC SCI FT3
</t>
  </si>
  <si>
    <t>Statistical Analysis with Software Application LECTURE BSA501 RM 205</t>
  </si>
  <si>
    <t xml:space="preserve">Mathematics in the Modern World
TM101
BURGOS
</t>
  </si>
  <si>
    <t xml:space="preserve">Great Books
BSA301
ENGLISH FT
</t>
  </si>
  <si>
    <t xml:space="preserve">Basic Accounting BSA101 RM 212
</t>
  </si>
  <si>
    <t xml:space="preserve">Multicultural Diversity in Workplace for the Tourism Professional
BH501
</t>
  </si>
  <si>
    <t>Philippine Popular Culture
BT102
CAGADO</t>
  </si>
  <si>
    <t xml:space="preserve">Risk Management as Applied to Safety, Security, and Sanitation
BH103
</t>
  </si>
  <si>
    <t xml:space="preserve">Macro Perspective of Tourism and Hospitality
BH102
</t>
  </si>
  <si>
    <t xml:space="preserve">Understanding the Self
BS101
REFUERZO
</t>
  </si>
  <si>
    <t>Risk Management as Applied to Safety, Security, and Sanitation
TM104</t>
  </si>
  <si>
    <t xml:space="preserve">The Contemporary World
BT103
MAGABILIN
</t>
  </si>
  <si>
    <t xml:space="preserve">Mathematics in the Modern World
BH104
MATH FT
</t>
  </si>
  <si>
    <t xml:space="preserve">The Entrepreneurial Mind
TM501
SAN DIEGO
</t>
  </si>
  <si>
    <t xml:space="preserve">Physical Science GAS201 FRANK
</t>
  </si>
  <si>
    <t xml:space="preserve">Organization and Management ABM101
</t>
  </si>
  <si>
    <t xml:space="preserve">Introduction to the Philosophy of Human ABM102
</t>
  </si>
  <si>
    <t>General Mathematics HUMSS103</t>
  </si>
  <si>
    <t xml:space="preserve">Introduction to Culinary Operations CULART101
</t>
  </si>
  <si>
    <t xml:space="preserve">Oral Communication CULART102
</t>
  </si>
  <si>
    <t xml:space="preserve">Introduction to Travel &amp; Tour Industy TOP101
</t>
  </si>
  <si>
    <t>The Entrepreneurial Mind
BMA302
ESPIRITU</t>
  </si>
  <si>
    <t>Introduction to the Philosophy of Human HUMSS102</t>
  </si>
  <si>
    <t>General Mathematics IT102</t>
  </si>
  <si>
    <t>21st Century Literature  IT103</t>
  </si>
  <si>
    <t>Drawing 1
LAB
BMA102
BARRIENTOS</t>
  </si>
  <si>
    <t>Pre-Calculus STEM101</t>
  </si>
  <si>
    <t>21st Century Literature STEM102</t>
  </si>
  <si>
    <t>Media and Information Literacy STEM103</t>
  </si>
  <si>
    <t xml:space="preserve">Oral Communication STEM104
</t>
  </si>
  <si>
    <t>21st Century Literature STEM105</t>
  </si>
  <si>
    <t xml:space="preserve">General Biology 1 STEM106
</t>
  </si>
  <si>
    <t xml:space="preserve">Introduction to the Philosophy of Human STEM107
</t>
  </si>
  <si>
    <t xml:space="preserve">21st Century Literature  STEM108
</t>
  </si>
  <si>
    <t>Color Theory
LAB 
BMA301
BMA FT1</t>
  </si>
  <si>
    <t>Application Development and Emerging Technologies
LAB
BS501
CIFRA</t>
  </si>
  <si>
    <t>Multimedia Seminars
LAB
BMA703
BAUTISTA</t>
  </si>
  <si>
    <t>General Biology 1 STEM109</t>
  </si>
  <si>
    <t xml:space="preserve">General Chemistry 1 STEM208
</t>
  </si>
  <si>
    <t>Fundamentals of Electrical Circuits
LAB
COE301
BERTUBIN</t>
  </si>
  <si>
    <t>Tour and Travel Management
TM302</t>
  </si>
  <si>
    <t>Computer Programming 1
LEC
BT105
RESULLAR</t>
  </si>
  <si>
    <t>Data Structures and Algorithms
LEC
BT302
DOMINGUEZ</t>
  </si>
  <si>
    <t xml:space="preserve">Practical Research 2 STEM207
</t>
  </si>
  <si>
    <t xml:space="preserve">
Physical Science  TOP202 RM505 
</t>
  </si>
  <si>
    <t xml:space="preserve">Pagbasa at Pagsusuri IT202
</t>
  </si>
  <si>
    <t>Computer Engineering as a Discipline
COE101
COE FT1</t>
  </si>
  <si>
    <t>Drawing 1
LEC
BMA104
MANALO</t>
  </si>
  <si>
    <t>Computer Programming 1
LEC
BT104
IT FT1</t>
  </si>
  <si>
    <t>Human-Computer Interaction
LEC
BT304
MORAL</t>
  </si>
  <si>
    <t>Color Theory
LEC
BMA301
BMA FT1</t>
  </si>
  <si>
    <t>Application Development and Emerging Technologies
LEC
BT504
AGUILA</t>
  </si>
  <si>
    <t xml:space="preserve">Fil sa Piling Larang (Akad) DIGI201
</t>
  </si>
  <si>
    <t>Euthenics 1
TM101
SOC SCI FT3</t>
  </si>
  <si>
    <t>Euthenics 1
BH102
MATH FT</t>
  </si>
  <si>
    <t xml:space="preserve">Rizal's Life and Works
BH701
BUSTALINIO
</t>
  </si>
  <si>
    <t>Fundamentals of Electrical Circuits
LEC
COE301
BERTUBIN</t>
  </si>
  <si>
    <t xml:space="preserve">Introduction to Commercial Cookery CULART202
</t>
  </si>
  <si>
    <t xml:space="preserve">Business Finance ABM203
</t>
  </si>
  <si>
    <t xml:space="preserve">Creative Nonfiction HUMSS201
</t>
  </si>
  <si>
    <t xml:space="preserve">Introduction to Commercial Cookery CULART202
</t>
  </si>
  <si>
    <t>Drawing 1
LAB
BMA104
MANALO</t>
  </si>
  <si>
    <t>Application Development and Emerging Technologies
BS501
CIFRA</t>
  </si>
  <si>
    <t xml:space="preserve">Embedded Systems
LEC
RM MO2
LLENO
</t>
  </si>
  <si>
    <t>Digital Photography
LAB
BMA503
BARRIENTOS</t>
  </si>
  <si>
    <t>Introduction to Computing
LAB
BS101
IT FT1</t>
  </si>
  <si>
    <t>Computer Programming 1
LAB
BT105
RESULLAR</t>
  </si>
  <si>
    <t>Data Structures and Algorithms
LAB
BT302
DOMINGUEZ</t>
  </si>
  <si>
    <t xml:space="preserve">General Physics 1 STEM206
</t>
  </si>
  <si>
    <t>Tour and Travel Management
TM303</t>
  </si>
  <si>
    <t>Tourism and Hospitality Marketing
BH502</t>
  </si>
  <si>
    <t>Euthenics 1
BT103
MAGABILIN</t>
  </si>
  <si>
    <t>Macro Perspective of Tourism and Hospitality
BH103</t>
  </si>
  <si>
    <t>Operations Management (TQM)
TM501
MANALANG</t>
  </si>
  <si>
    <t>The Entrepreneurial Mind
BH501
MATEO</t>
  </si>
  <si>
    <t>Euthenics 2
BT702
CAGADO</t>
  </si>
  <si>
    <t>Physical Science ABM202</t>
  </si>
  <si>
    <t>Great Books
TM502
ENGLISH FT</t>
  </si>
  <si>
    <t xml:space="preserve">English for Academic &amp; Prof STEM208
</t>
  </si>
  <si>
    <t xml:space="preserve">The Entrepreneurial Mind
BS301
ESPIRITU
</t>
  </si>
  <si>
    <t>Mathematics in the Modern World
BSA301
MATH FT</t>
  </si>
  <si>
    <t xml:space="preserve">
Organization &amp; Management ABM103
</t>
  </si>
  <si>
    <t>Euthenics 2
BS701
CAGADO</t>
  </si>
  <si>
    <t>Media and Information Literacy ABM101</t>
  </si>
  <si>
    <t>Organization &amp; Management ABM103</t>
  </si>
  <si>
    <t>Intro to World Rel &amp; BS HUMSS103</t>
  </si>
  <si>
    <t>Introduction to Culinary Operations CULART102</t>
  </si>
  <si>
    <t xml:space="preserve">Media and Information Literacy HUMSS102 </t>
  </si>
  <si>
    <t>Introduction to the Philosophy of Human IT101</t>
  </si>
  <si>
    <t>Introduction to the Philosophy of Human TOP101</t>
  </si>
  <si>
    <t>General Mathematics IT103</t>
  </si>
  <si>
    <t>21st Century Literature STEM101</t>
  </si>
  <si>
    <t>Pre-Calculus STEM102</t>
  </si>
  <si>
    <t>Oral Communication STEM103</t>
  </si>
  <si>
    <t>21st Century Literature  STEM104</t>
  </si>
  <si>
    <t>Oral Communication STEM105</t>
  </si>
  <si>
    <t>Introduction to the Philosophy of Human STEM106</t>
  </si>
  <si>
    <t>Media and Information Literacy STEM107</t>
  </si>
  <si>
    <t>Introduction to the Philosophy of Human STEM108</t>
  </si>
  <si>
    <t>General Biology 1 STEM108</t>
  </si>
  <si>
    <t>Network Technology 2
LEC
BT702
IT FT3</t>
  </si>
  <si>
    <t>Multimedia Seminars
LEC
COE703
BAUTISTA</t>
  </si>
  <si>
    <t>IT Elective 4: Game Development
LEC
BT701
RESULLAR</t>
  </si>
  <si>
    <t xml:space="preserve">Rizal's Life and Works
BMA304
REFUERZO
</t>
  </si>
  <si>
    <t>Risk Management as Applied to Safety, Security, and Sanitation
BH102</t>
  </si>
  <si>
    <t>Philippine Popular Culture
BT103
CAGADO</t>
  </si>
  <si>
    <t xml:space="preserve">Business Ventures in Multimedia
BMA501
BARRIENTOS
</t>
  </si>
  <si>
    <t xml:space="preserve">Great Books
BA502
BONCAN
</t>
  </si>
  <si>
    <t>Introduction to the Philosophy of Human STEM109</t>
  </si>
  <si>
    <t>Engineering Economics
COE501
BERTUBIN</t>
  </si>
  <si>
    <t>Professional Issues in Information Systems and Technology
BS701
MORAL</t>
  </si>
  <si>
    <t>Color Theory
LAB
BMA303
BMA FT1</t>
  </si>
  <si>
    <t>IT Elective 1: Object-Oriented Programming
LAB
BT304
GAID</t>
  </si>
  <si>
    <t>Application Development and Emerging Technologies
LAB
BT501
CIFRA</t>
  </si>
  <si>
    <t>Network Technology 2
LAB
BT703
IT FT3</t>
  </si>
  <si>
    <t>Hotel Front Office Operations Management
BH302</t>
  </si>
  <si>
    <t>Good Governance &amp; Social Responsibility BAOM501 RM 302 ATTY. PT</t>
  </si>
  <si>
    <t>MMA Elective 2: Brand Communication and Design
LEC
BMA502
MANALO</t>
  </si>
  <si>
    <t>MMA Free Elective 1: Web Programming
LEC
BMA503
DOMINGUEZ</t>
  </si>
  <si>
    <t>IT Elective 2: Introduction to Computer Animation
LEC
BT503
IT FT2</t>
  </si>
  <si>
    <t xml:space="preserve">Rizal's Life and Works
TM701
BUSTALINIO
</t>
  </si>
  <si>
    <t>CpE Elective 3: Robot Assembly and Programming
COE 701
COE FT1</t>
  </si>
  <si>
    <t xml:space="preserve">The Entrepreneurial Mind
TM502
 MATEO
</t>
  </si>
  <si>
    <t xml:space="preserve">Practical Research 2 STEM203
</t>
  </si>
  <si>
    <t xml:space="preserve">Readings in Philippine History
BMA104
SOC SCI FT3
</t>
  </si>
  <si>
    <t xml:space="preserve">Understanding the Self
BT105
MAGABILIN
</t>
  </si>
  <si>
    <t>Readings in Philippine History
BT303
CONDINO</t>
  </si>
  <si>
    <t xml:space="preserve">Economic Development         BSA501 RM 303             SAN DIEGO
</t>
  </si>
  <si>
    <t>Understanding the Self
BT104
BAGOL</t>
  </si>
  <si>
    <t>Physical Science ABM201</t>
  </si>
  <si>
    <t>Business Finance ABM202</t>
  </si>
  <si>
    <t>English for Academic and Professional Purposes STEM207</t>
  </si>
  <si>
    <t>Rizal's Life and Works
BH702
SOC SCI FT2</t>
  </si>
  <si>
    <t>Personal Development TOP202</t>
  </si>
  <si>
    <t>Great Books
TM501
ENGLISH FT</t>
  </si>
  <si>
    <t>Practical Research 2 IT203</t>
  </si>
  <si>
    <t>Creative Nonfiction HUMSS202</t>
  </si>
  <si>
    <t>Pagbasa at Pagsusuri STEM205</t>
  </si>
  <si>
    <t>Practical Research 2 STEM202</t>
  </si>
  <si>
    <t>Practical Research 2 IT201</t>
  </si>
  <si>
    <t>Practical Research 2  STEM201</t>
  </si>
  <si>
    <t>Personal Development GAS201</t>
  </si>
  <si>
    <t>Practical Research 2  TOP201</t>
  </si>
  <si>
    <t>Quality Service Management in Tourism and Hospitality
BH303
CELESTINO</t>
  </si>
  <si>
    <t>Filipino sa Piling Larang STEM204</t>
  </si>
  <si>
    <t xml:space="preserve">Physical Science ABM203 </t>
  </si>
  <si>
    <t>Chemistry for Engineers
LAB
COE101</t>
  </si>
  <si>
    <t>Physical Science CULART202</t>
  </si>
  <si>
    <t>Quantitative Methods (Data Analysis)
BS501
MATH FT</t>
  </si>
  <si>
    <t xml:space="preserve">Multicultural Diversity in Workplace for the Tourism Professional
BH502
</t>
  </si>
  <si>
    <t>The Entrepreneurial Mind
BMA304
MANALANG</t>
  </si>
  <si>
    <t>Readings in Philippine History
BS301
REFUERZO</t>
  </si>
  <si>
    <t>Application Development and Emerging Technologies
LEC
BT501
CIFRA</t>
  </si>
  <si>
    <t>Euthenics 2
BT703
CAGADO</t>
  </si>
  <si>
    <t>CpE Elective 3: Robot Assembly and Programming
COE701
COE FT1</t>
  </si>
  <si>
    <t>Foreign Language 1TM301</t>
  </si>
  <si>
    <t>IT Elective 4: Game Development
BT702
RESULLAR</t>
  </si>
  <si>
    <t>MMA Elective 2: Brand Communication and Design
LAB
BMA502
MANALO</t>
  </si>
  <si>
    <t>Multimedia Seminars
LAB
BMA701
BAUTISTA</t>
  </si>
  <si>
    <t>Network Technology 2
LAB 
BT701
IT FT3</t>
  </si>
  <si>
    <t>THURSDAY</t>
  </si>
  <si>
    <t>Euthenics 1
BMA101
MATH FT</t>
  </si>
  <si>
    <t>21st Century Literature ABM101</t>
  </si>
  <si>
    <t>Introduction to the Philosophy of Human ABM103</t>
  </si>
  <si>
    <t>Great Books
BH502
ENGLISH FT</t>
  </si>
  <si>
    <t>College Calculus (Differential)
COE101
BURGOS</t>
  </si>
  <si>
    <t>Disciplines &amp; Ideas in the SS HUMSS103</t>
  </si>
  <si>
    <t>Computer/Web Programming 2 IT102</t>
  </si>
  <si>
    <t>Understanding the Self
BMA104
CAGADO</t>
  </si>
  <si>
    <t>General Mathematics STEM101</t>
  </si>
  <si>
    <t>Introduction to the Philosophy of Human STEM104</t>
  </si>
  <si>
    <t>Oral Communication  STEM106</t>
  </si>
  <si>
    <t>Readings in Philippine History
BMA103
SOC SCI FT3</t>
  </si>
  <si>
    <t xml:space="preserve">Emerging Technologies in CpE
COE301
LLENO
</t>
  </si>
  <si>
    <t>Software Engineering 1
LAB
BS501
CIFRA</t>
  </si>
  <si>
    <t>Computer/Web Programming 1 IT101</t>
  </si>
  <si>
    <t>Introduction to Computing
LAB
BT103
IT FT1</t>
  </si>
  <si>
    <t>Disaster Readiness &amp; Risk Redu STEM206</t>
  </si>
  <si>
    <t>Fundamentals in Lodging Operations
LEC
BH303
BARRIENTOS</t>
  </si>
  <si>
    <t>Drawing 1
LEC
BMA102
BARRIENTOS</t>
  </si>
  <si>
    <t>Computer Programming 1
LEC
BT106
RESULLAR</t>
  </si>
  <si>
    <t>3D Modeling
LEC
BMA301
BMMA FT1</t>
  </si>
  <si>
    <t>2D Animation
LEC
BMA302
MANALO</t>
  </si>
  <si>
    <t>Multimedia Seminars
LEC
BMA702
BAUTISTA</t>
  </si>
  <si>
    <t>Philippine Regional Cuisines with Food Styling and Design
LEC
BH301</t>
  </si>
  <si>
    <t>Basic Microeconomics BAOM101 RM 212</t>
  </si>
  <si>
    <t>Rizal's Life &amp; Works BA302
BAGOL</t>
  </si>
  <si>
    <t>General Mathematics ABM101</t>
  </si>
  <si>
    <t>21st Century Literature ABM102</t>
  </si>
  <si>
    <t>21st Century Literature ABM103</t>
  </si>
  <si>
    <t>Basic Food Production 101 CULART101</t>
  </si>
  <si>
    <t>Pagbasa at Pagsusuri  STEM206</t>
  </si>
  <si>
    <t>Introduction to the Philosophy of Human HUMSS103</t>
  </si>
  <si>
    <t>Oral Communication HUMSS101</t>
  </si>
  <si>
    <t>Oral Communication HUMSS102</t>
  </si>
  <si>
    <t xml:space="preserve">Pagbasa at Pagsusuri STEM208
</t>
  </si>
  <si>
    <t>Introduction to the Philosophy of Human IT103</t>
  </si>
  <si>
    <t>Basic Drawing &amp; Drafting DIGI101</t>
  </si>
  <si>
    <t>Practical Research 2  STEM205</t>
  </si>
  <si>
    <t>Introduction to the Philosophy of Human STEM102</t>
  </si>
  <si>
    <t>21st Century Literature STEM103</t>
  </si>
  <si>
    <t>Pre-Calculus STEM104</t>
  </si>
  <si>
    <t>Personal Development IT201</t>
  </si>
  <si>
    <t>English for Academic &amp; Prof GAS201</t>
  </si>
  <si>
    <t>Pre-Calculus STEM107</t>
  </si>
  <si>
    <t>Media and Information Literacy STEM108</t>
  </si>
  <si>
    <t xml:space="preserve">Computer Animation DIGI201
</t>
  </si>
  <si>
    <t>Computer/Web Programming 1 IT102</t>
  </si>
  <si>
    <t>Human-Computer Interaction
LAB
BT305
MORAL</t>
  </si>
  <si>
    <t>Introduction to Computing
LAB
BT105
IT FT2</t>
  </si>
  <si>
    <t>Physical Science IT202</t>
  </si>
  <si>
    <t xml:space="preserve">Basic Food Production 101 CULART101  </t>
  </si>
  <si>
    <t>Philippine Regional Cuisines with Food Styling and Design
LAB
BH301</t>
  </si>
  <si>
    <t>Fundamentals in Lodging Operations
LAB
BH303
BARRIENTOS</t>
  </si>
  <si>
    <t>Human-Computer Interaction
LEC
BT303
MORAL</t>
  </si>
  <si>
    <t>Interactive Media Design
LEC
BMA702
BARRIENTOS</t>
  </si>
  <si>
    <t>Event-Driven Programming
LEC
BT502
DOMONDON</t>
  </si>
  <si>
    <t xml:space="preserve">Tourism Sales &amp; Market Princ TOP202
</t>
  </si>
  <si>
    <t>Applied Business Tools and Technologies in Tourism
LEC BH501</t>
  </si>
  <si>
    <t>Pastry Arts and Bakery Management
LEC
BH502
ALILA</t>
  </si>
  <si>
    <t>Pagbasa at Pagsusuri ABM201</t>
  </si>
  <si>
    <t>General Mathematics ABM102</t>
  </si>
  <si>
    <t>Funda of Accountancy ABM203
MATEO</t>
  </si>
  <si>
    <t>Practical Research 2 CULART201</t>
  </si>
  <si>
    <t>Basic Food Production 101 CULART102</t>
  </si>
  <si>
    <t>Media and Information Literacy TOP101</t>
  </si>
  <si>
    <t>Disciplines &amp; Ideas in the SS HUMSS101</t>
  </si>
  <si>
    <t>Media and Information Literacy STEM106</t>
  </si>
  <si>
    <t>Fil sa Piling Larang STEM208</t>
  </si>
  <si>
    <t>Fil sa Piling Larang (Akad) HUMSS201</t>
  </si>
  <si>
    <t>Digital Photography DIGI201</t>
  </si>
  <si>
    <t>Pagbasa at Pagsusuri IT203</t>
  </si>
  <si>
    <t>General Physics 1  STEM201</t>
  </si>
  <si>
    <t>General Mathematics STEM103</t>
  </si>
  <si>
    <t>Fil sa Piling Larang (Akad) STEM205</t>
  </si>
  <si>
    <t>National Service Training Program 1
BS101
ROSALES</t>
  </si>
  <si>
    <t>Practical Research 2 GAS201</t>
  </si>
  <si>
    <t>Practical Research 2 STEM204</t>
  </si>
  <si>
    <t>Oral Communication  STEM108</t>
  </si>
  <si>
    <t>Introduction to Computing
LEC
BT103
IT FT1</t>
  </si>
  <si>
    <t>2D Animation
LAB
BMA302
MANALO</t>
  </si>
  <si>
    <t>Data Structures and Algorithms
LAB
COE301
DOMINGUEZ</t>
  </si>
  <si>
    <t xml:space="preserve">Computer/Web Programming 1 IT103
</t>
  </si>
  <si>
    <t>Computer Programming 1
LAB
BT106
RESULLAR</t>
  </si>
  <si>
    <t>Application Development and Emerging Technologies
LAB
BT504
AGUILA</t>
  </si>
  <si>
    <t xml:space="preserve">Basic Food Production 101 CULART102 </t>
  </si>
  <si>
    <t>Purposive Communication
BT102</t>
  </si>
  <si>
    <t>Introduction to the Philosophy of Human ABM101</t>
  </si>
  <si>
    <t>Pagbasa at Pagsusuri ABM202</t>
  </si>
  <si>
    <t>General Mathematics ABM103</t>
  </si>
  <si>
    <t>21st Century Literature  CULART101</t>
  </si>
  <si>
    <t>Practical Research 2 STEM206</t>
  </si>
  <si>
    <t>Media and Information Literacy HUMSS103</t>
  </si>
  <si>
    <t>Fil sa Piling Larang (Akad) CULART202</t>
  </si>
  <si>
    <t>Introduction to World Religion HUMSS102</t>
  </si>
  <si>
    <t>Oral Communication IT101</t>
  </si>
  <si>
    <t>Media and Information Literacy IT102</t>
  </si>
  <si>
    <t>Personal Development HUMSS202</t>
  </si>
  <si>
    <t>2D Concepts DIGI101 BARQUILLA</t>
  </si>
  <si>
    <t>Introduction to the Philosophy of Human STEM101</t>
  </si>
  <si>
    <t>Pagbasa at Pagsusuri STEM202</t>
  </si>
  <si>
    <t>General Mathematics STEM104</t>
  </si>
  <si>
    <t>Pre-Calculus STEM105</t>
  </si>
  <si>
    <t>21st Century Literature  STEM106</t>
  </si>
  <si>
    <t>21st Century Literature STEM107</t>
  </si>
  <si>
    <t>Fil sa Piling Larang (Akad) STEM203</t>
  </si>
  <si>
    <t xml:space="preserve">Computer/Web Programming 4 IT201
</t>
  </si>
  <si>
    <t>Data Structures and Algorithms
LEC
BT303
FELICEN</t>
  </si>
  <si>
    <t>Euthenics 2
BA701
REFUERZO</t>
  </si>
  <si>
    <t>Euthenics 2
COE701
MAGABILIN</t>
  </si>
  <si>
    <t>Euthenics 2
BSA701
CAGADO</t>
  </si>
  <si>
    <t>Tourism and Hospitality Marketing
TM502</t>
  </si>
  <si>
    <t>Funda of Accountancy, BM 2 ABM201</t>
  </si>
  <si>
    <t>Business Mathematics ABM102</t>
  </si>
  <si>
    <t>Pagbasa at Pagsusuri ABM203</t>
  </si>
  <si>
    <t>General Mathematics CULART101</t>
  </si>
  <si>
    <t>21st Century Literature  CULART102</t>
  </si>
  <si>
    <t>Oral Communication TOP101</t>
  </si>
  <si>
    <t>Introduction to World Religion HUMSS101</t>
  </si>
  <si>
    <t>Pagbasa at Pagsusuri CULART201</t>
  </si>
  <si>
    <t>Local and International Cuisines CULART202</t>
  </si>
  <si>
    <t>Media and Information Literacy IT103</t>
  </si>
  <si>
    <t>English for Academic &amp; Prof DIGI201</t>
  </si>
  <si>
    <t>English for Academic &amp; Prof  HUMSS201</t>
  </si>
  <si>
    <t>Computer/Web Programming 5 IT202</t>
  </si>
  <si>
    <t>General Physics 1  STEM205</t>
  </si>
  <si>
    <t>General Mathematics RM605</t>
  </si>
  <si>
    <t>English for Academic &amp; Prof TOP201</t>
  </si>
  <si>
    <t>Pre-Calculus STEM108</t>
  </si>
  <si>
    <t>Theory of Computations with Automata
BS501
CIFRA</t>
  </si>
  <si>
    <t>Interactive Media Design
LAB
BMA702
BARRIENTOS</t>
  </si>
  <si>
    <t>Event-Driven Programming
LAB
BT502
DOMONDON</t>
  </si>
  <si>
    <t>Computer/Web Programming 5 IT201</t>
  </si>
  <si>
    <t>Advanced Database Systems
LAB
BT503
RESULLAR</t>
  </si>
  <si>
    <t>Network Technology 2
LAB
BT702
IT FT3</t>
  </si>
  <si>
    <t>Pastry Arts and Bakery Management
LAB
BH502
ALILA</t>
  </si>
  <si>
    <t>Research in Hospitality
LEC
TM701</t>
  </si>
  <si>
    <t>MMA Elective 2: Brand Communication and Design
LEC
BMA501
MANALO</t>
  </si>
  <si>
    <t>IT Elective 2: Introduction to Computer Animation
LEC
BT501
IT FT3</t>
  </si>
  <si>
    <t>Computer Architecture and Organization
LEC
COE701
COE FT1</t>
  </si>
  <si>
    <t>Data Structures and Algorithms
LEC
BT301
DOMINGUEZ</t>
  </si>
  <si>
    <t>International Business &amp; Trade BAOM501 RM 206 ALMAZAR</t>
  </si>
  <si>
    <t xml:space="preserve">Great Books
BMA503
ENGLISH FT
</t>
  </si>
  <si>
    <t>Philippine Popular Culture
BT105
SOC SCI FT2</t>
  </si>
  <si>
    <t xml:space="preserve">
Practical Research 2 ABM201</t>
  </si>
  <si>
    <t>Personal Development ABM202</t>
  </si>
  <si>
    <t>Personal Development ABM203</t>
  </si>
  <si>
    <t>Personal Development CULART201</t>
  </si>
  <si>
    <t>Introduction to Travel Service TOP202</t>
  </si>
  <si>
    <t>Front Office Services 1 TOP101</t>
  </si>
  <si>
    <t>Introduction to Travel Services TOP201</t>
  </si>
  <si>
    <t>Operations Management (TQM) BAOM502 RM 508</t>
  </si>
  <si>
    <t>Feasibility Study BAOM701 RM 509</t>
  </si>
  <si>
    <t>Practical Research 2 STEM208</t>
  </si>
  <si>
    <t>Fil sa Piling Larang (Akad) HUMSS202</t>
  </si>
  <si>
    <t>Euthenics 2
BT701
CAGADO</t>
  </si>
  <si>
    <t>English for Academic &amp; Prof  IT203</t>
  </si>
  <si>
    <t>Philippine Politics &amp; Gov HUMSS201</t>
  </si>
  <si>
    <t>English for Academic &amp; Prof  STEM201</t>
  </si>
  <si>
    <t>Physical Science DIGI201</t>
  </si>
  <si>
    <t>Fil sa Piling Larang (Akad) GAS201</t>
  </si>
  <si>
    <t>General Physics 1 RM607</t>
  </si>
  <si>
    <t>English for Academic &amp; Prof STEM203</t>
  </si>
  <si>
    <t>Platform Technology (Operating Systems)
LAB
BS701
LLENO</t>
  </si>
  <si>
    <t>Disaster Readiness &amp; Risk Redu STEM202</t>
  </si>
  <si>
    <t>Research in Hospitality
LAB
TM701</t>
  </si>
  <si>
    <t>Advanced Database Systems
LEC
BT501
DOMINGUEZ</t>
  </si>
  <si>
    <t>Advanced Systems Integration and Architecture
LEC
BT502
FELICEN</t>
  </si>
  <si>
    <t>Advanced Database Systems
LAB
RM210
RESULLAR
LEC
BT503
RESULLAR</t>
  </si>
  <si>
    <t>Multimedia Seminars
LEC
BMA701
BAUTISTA</t>
  </si>
  <si>
    <t>Management Science BSA701 RM 212</t>
  </si>
  <si>
    <t>The Entrepreneurial Mind
TM502 MATEO</t>
  </si>
  <si>
    <t>Euthenics 1
TM103
ROSALES</t>
  </si>
  <si>
    <t>Practical Research 2 ABM202</t>
  </si>
  <si>
    <t>Pagbasa at Pagsusuri CULART202</t>
  </si>
  <si>
    <t>Operations Management (TQM) BAOM501 RM 505</t>
  </si>
  <si>
    <t>Mathematics in the Modern World
BH104
JOTOJOT</t>
  </si>
  <si>
    <t>Entrepreneurial Management BAOM701 RM 509</t>
  </si>
  <si>
    <t>English for Academic &amp; Prof  HUMSS202</t>
  </si>
  <si>
    <t>Foreign Language 1
TM302</t>
  </si>
  <si>
    <t>Digital Photography
LAB
BMA502
BMA FT1</t>
  </si>
  <si>
    <t>MMA Elective 2: Brand Communication and Design
LAB
BMA501
MANALO</t>
  </si>
  <si>
    <t>Computer Graphics Programming
LAB
BT701
IT FT3</t>
  </si>
  <si>
    <t>Information Assurance and Security (Data Privacy)
LAB
BT703
CIFRA</t>
  </si>
  <si>
    <t>Computer Architecture and Organization
LAB
COE701
COE FT1</t>
  </si>
  <si>
    <t>Logic Circuits and Design
LAB
COE501
LLENO</t>
  </si>
  <si>
    <t>FRIDAY</t>
  </si>
  <si>
    <t>Euthenics 1
BH103
MATH FT</t>
  </si>
  <si>
    <t>IT Elective 1: Object-Oriented Programming
LEC
BT302
GAID</t>
  </si>
  <si>
    <t>Cost Accounting and Control BSA501 RM 301 AMALOSA</t>
  </si>
  <si>
    <t>Oral Communication ABM101</t>
  </si>
  <si>
    <t>Understanding the Self
BA102
CAGADO</t>
  </si>
  <si>
    <t>Business Mathematics ABM103
MATH FT</t>
  </si>
  <si>
    <t>Understanding the Self
TM102
SOC SCI FT2</t>
  </si>
  <si>
    <t>General Mathematics CULART102</t>
  </si>
  <si>
    <t>21st Century Literature DIGI101</t>
  </si>
  <si>
    <t>National Service Training Program 1
COE101
ROSALES</t>
  </si>
  <si>
    <t>The Entrepreneurial Mind COE301 RM 508 ESPIRITU</t>
  </si>
  <si>
    <t>Media and Information Literacy IT101</t>
  </si>
  <si>
    <t>Oral Communication IT102</t>
  </si>
  <si>
    <t>Drawing 1
LAB
BMA103
MANALO</t>
  </si>
  <si>
    <t>Media and Information Literacy STEM101</t>
  </si>
  <si>
    <t>21st Century Literature STEM106</t>
  </si>
  <si>
    <t>The Contemporary World
MA102
SOC SCI FT1</t>
  </si>
  <si>
    <t>Digital Sound Production
LAB
RM101
ARGUELLES</t>
  </si>
  <si>
    <t>Data Structures and Algorithms
LAB
BT305
FELICEN</t>
  </si>
  <si>
    <t>Computer Programming 2 IT103</t>
  </si>
  <si>
    <t>Costing &amp; Pricing BAOM301 RM 210
MATEO</t>
  </si>
  <si>
    <t>Multimedia Seminars
LAB
BMA702
BAUTISTA</t>
  </si>
  <si>
    <t>General Chemistry 1 STEM207</t>
  </si>
  <si>
    <t>Hotel Front Office Operations Management
SUITE ROOM
BH301</t>
  </si>
  <si>
    <t>Introduction to Computing
LEC
BS101
IT FT1</t>
  </si>
  <si>
    <t>3D Modeling
LEC
BMA302
BMA FT1</t>
  </si>
  <si>
    <t>Philippine Regional Cuisines with Food Styling and Design
LEC
BH302</t>
  </si>
  <si>
    <t xml:space="preserve">Business Ventures in Multimedia
BMA502
BARRIENTOS
</t>
  </si>
  <si>
    <t>Business Mathematics ABM101</t>
  </si>
  <si>
    <t>Oral Communication ABM102</t>
  </si>
  <si>
    <t>Media and Information Literacy ABM103</t>
  </si>
  <si>
    <t>Introduction to the Philosophy of Human CULART101</t>
  </si>
  <si>
    <t>Introduction to the Philosophy of Human CULART102</t>
  </si>
  <si>
    <t>General Mathematics DIGI101</t>
  </si>
  <si>
    <t>21st Century Literature HUMSS101</t>
  </si>
  <si>
    <t>21st Century Literature HUMSS102</t>
  </si>
  <si>
    <t>Pre-Calculus STEM109</t>
  </si>
  <si>
    <t>Personal Development STEM207</t>
  </si>
  <si>
    <t>Oral Communication IT103</t>
  </si>
  <si>
    <t>Oral Communication STEM101</t>
  </si>
  <si>
    <t>Media and Information Literacy STEM102</t>
  </si>
  <si>
    <t>Introduction to the Philosophy of Human STEM103</t>
  </si>
  <si>
    <t>General Mathematics IT101</t>
  </si>
  <si>
    <t>Introduction to the Philosophy of Human STEM105</t>
  </si>
  <si>
    <t>English for Academic &amp; Prof  IT202</t>
  </si>
  <si>
    <t>General Mathematics STEM107</t>
  </si>
  <si>
    <t>Pagbasa at Pagsusuri IT201</t>
  </si>
  <si>
    <t xml:space="preserve">Computer/Web Programming 3 IT203
</t>
  </si>
  <si>
    <t>General Biology 1 STEM104</t>
  </si>
  <si>
    <t>Philippine Regional Cuisines with Food Styling and Design
LAB
BH302</t>
  </si>
  <si>
    <t>Software Quality Assurance
BS701
CIFRA</t>
  </si>
  <si>
    <t>Data Structures and Algorithms
LEC
BT305
FELICEN</t>
  </si>
  <si>
    <t>Event-Driven Programming
LEC
BT503
DOMONDON</t>
  </si>
  <si>
    <t>Platform Technology (Operating Systems)
LEC
BT301
LLENO</t>
  </si>
  <si>
    <t xml:space="preserve">Intermediate Accounting 3 BSA501 RM 303 AMALOSA
</t>
  </si>
  <si>
    <t>Managerial Accounting LECTURE BAOM501 RM 410
CANGAO</t>
  </si>
  <si>
    <t>English for Academic &amp; Prof ABM201</t>
  </si>
  <si>
    <t>Organization &amp; Management ABM102</t>
  </si>
  <si>
    <t>Introduction to the Philosophy of Human IT102</t>
  </si>
  <si>
    <t>Media and Information Literacy CULART101</t>
  </si>
  <si>
    <t>Practical Research 2 TOP202 CAMBE</t>
  </si>
  <si>
    <t>Oral Communication HUMSS103</t>
  </si>
  <si>
    <t>General Mathematics HUMSS101</t>
  </si>
  <si>
    <t>Pagbasa at Pagsusuri GAS201</t>
  </si>
  <si>
    <t>Pagbasa at Pagsusuri DIGI201</t>
  </si>
  <si>
    <t>Practical Research 2  HUMSS201</t>
  </si>
  <si>
    <t>Drawing 1
LEC
BMA103
MANALO</t>
  </si>
  <si>
    <t>Personal Development STEM202</t>
  </si>
  <si>
    <t>Oral Communication STEM102</t>
  </si>
  <si>
    <t>Fil sa Piling Larang (Akad) STEM201</t>
  </si>
  <si>
    <t>Fil sa Piling Larang (Akad) IT202</t>
  </si>
  <si>
    <t>Pagbasa at Pagsusuri TOP201</t>
  </si>
  <si>
    <t xml:space="preserve">Pre-Calculus STEM106
</t>
  </si>
  <si>
    <t>Disaster Readiness &amp; Risk Redu STEM204</t>
  </si>
  <si>
    <t>General Mathematics  STEM108</t>
  </si>
  <si>
    <t>3D Modeling
LAB
BMA302
BMA FT1</t>
  </si>
  <si>
    <t>Computer Graphics Programming
LAB
BT703
IT FT3</t>
  </si>
  <si>
    <t xml:space="preserve">Computer/Web Programming 4 IT203
</t>
  </si>
  <si>
    <t>Human-Computer Interaction
LAB
BT303
MORAL</t>
  </si>
  <si>
    <t>IT Elective 1: Object-Oriented Programming
LAB
BT302
GAID</t>
  </si>
  <si>
    <t>General Biology 1 STEM107</t>
  </si>
  <si>
    <t>Physical Science IT201</t>
  </si>
  <si>
    <t>Hotel Front Office Operations Management
SUITE ROOM
BH303</t>
  </si>
  <si>
    <t>Euthenics 1
BS101
SOC SCI FT3</t>
  </si>
  <si>
    <t xml:space="preserve">Facilities Management BAOM301 RM 301
</t>
  </si>
  <si>
    <t xml:space="preserve">Personal Development STEM206
</t>
  </si>
  <si>
    <t>Fil sa Piling Larang (Akad) ABM201</t>
  </si>
  <si>
    <t>English for Academic &amp; Prof ABM202</t>
  </si>
  <si>
    <t>Oral Communication ABM103</t>
  </si>
  <si>
    <t>Practical Research 2 ABM203</t>
  </si>
  <si>
    <t>Media and Information Literacy CULART102</t>
  </si>
  <si>
    <t>Introduction to the Philosophy of Human DIGI101</t>
  </si>
  <si>
    <t>21st Century Literature TOP101</t>
  </si>
  <si>
    <t>General Mathematics HUMSS102</t>
  </si>
  <si>
    <t>21st Century Literature  IT101</t>
  </si>
  <si>
    <t>21st Century Literature  IT102</t>
  </si>
  <si>
    <t>English for Academic &amp; Prof CULART201</t>
  </si>
  <si>
    <t>Introduction to Commercial Cookery CULART202</t>
  </si>
  <si>
    <t>Philippine Politics &amp; Gov HUMSS202</t>
  </si>
  <si>
    <t xml:space="preserve">Pre-Calculus STEM103
</t>
  </si>
  <si>
    <t>Media and Information Literacy STEM104</t>
  </si>
  <si>
    <t>Disaster Readiness &amp; Risk Redu  STEM205</t>
  </si>
  <si>
    <t>Fil sa Piling Larang (Akad)  STEM202</t>
  </si>
  <si>
    <t>Pagbasa at Pagsusuri STEM204</t>
  </si>
  <si>
    <t>Pagbasa at Pagsusuri STEM203</t>
  </si>
  <si>
    <t>Introduction to Computing
LAB
BT101
IT FT1</t>
  </si>
  <si>
    <t>Human-Computer Interaction
LAB
BT304
MORAL</t>
  </si>
  <si>
    <t>General Biology 1 STEM105</t>
  </si>
  <si>
    <t>Introduction to Computing
LEC
BT102
AGUILA</t>
  </si>
  <si>
    <t>Euthenics 2
COE701</t>
  </si>
  <si>
    <t>Business Laws and Regulations BSA301 RM 301</t>
  </si>
  <si>
    <t>English for Academic &amp;Prof                STEM206</t>
  </si>
  <si>
    <t>Practical Research 2 CULART202</t>
  </si>
  <si>
    <t>Media and Information Literacy ABM102</t>
  </si>
  <si>
    <t>21st Century Literature HUMSS103</t>
  </si>
  <si>
    <t>Oral Communication CULART101</t>
  </si>
  <si>
    <t>General Mathematics STEM109</t>
  </si>
  <si>
    <t>Media and Information Literacy DIGI101</t>
  </si>
  <si>
    <t>Introduction to the Philosophy of Human HUMSS101</t>
  </si>
  <si>
    <t>Disciplines &amp; Ideas in the SS HUMSS102</t>
  </si>
  <si>
    <t>Personal Development  DIGI201</t>
  </si>
  <si>
    <t>Personal Development IT203</t>
  </si>
  <si>
    <t>General Mathematics TOP101</t>
  </si>
  <si>
    <t>Pagbasa at Pagsusuri HUMSS201</t>
  </si>
  <si>
    <t>General Mathematics STEM102</t>
  </si>
  <si>
    <t>English for Academic &amp; Prof  IT201</t>
  </si>
  <si>
    <t>Personal Development IT202</t>
  </si>
  <si>
    <t>Media and Information Literacy RM605</t>
  </si>
  <si>
    <t>Fil sa Piling Larang (Akad) TOP201</t>
  </si>
  <si>
    <t>Oral Communication STEM107</t>
  </si>
  <si>
    <t>English for Academic &amp; Prof  STEM205</t>
  </si>
  <si>
    <t>IT Elective 2: Introduction to Computer Animation
LAB
BT502
IT FT2</t>
  </si>
  <si>
    <t>Event-Driven Programming
LAB
BT503
DOMONDON</t>
  </si>
  <si>
    <t>Managerial Accounting LAB BAOM501 RM 209</t>
  </si>
  <si>
    <t>Costing &amp; Pricing BAOM302 RM 210</t>
  </si>
  <si>
    <t>Platform Technology (Operating Systems)
LAB
BT301
LLENO</t>
  </si>
  <si>
    <t xml:space="preserve">
General Physics 1 STEM203 </t>
  </si>
  <si>
    <t>Research in Hospitality
LEC
BH701</t>
  </si>
  <si>
    <t xml:space="preserve">Principles of Communication 
BT303
COE FT1
</t>
  </si>
  <si>
    <t>Color Theory
LEC
BMA304
BMA FT1</t>
  </si>
  <si>
    <t>MMA Elective 2: Brand Communication and Design
LEC
BMA503
MANALO</t>
  </si>
  <si>
    <t>Typography and Layout
LEC
BT502
BAUTISTA</t>
  </si>
  <si>
    <t>Information Assurance and Security (Data Privacy)
LEC
BS701
MORAL</t>
  </si>
  <si>
    <t>Digital Photography
LEC
BMA502
BMA FT1</t>
  </si>
  <si>
    <t>Personal Development ABM201</t>
  </si>
  <si>
    <t>Fil sa Piling Larang (Akad) ABM202</t>
  </si>
  <si>
    <t>English for Academic &amp; Prof ABM203</t>
  </si>
  <si>
    <t>Fil sa Piling Larang (Akad) CULART201</t>
  </si>
  <si>
    <t>Practical Research 2 DIGI201</t>
  </si>
  <si>
    <t>Fil sa Piling Larang (Akad) TOP202</t>
  </si>
  <si>
    <t>Media and Information Literacy HUMSS101</t>
  </si>
  <si>
    <t>Professional Development and Applied Ethics
BH501</t>
  </si>
  <si>
    <t>Network Technology 2
LEC
BT703
IT FT3</t>
  </si>
  <si>
    <t>Fil sa Piling Larang (Akad) IT203</t>
  </si>
  <si>
    <t>Pagbasa at Pagsusuri HUMSS202</t>
  </si>
  <si>
    <t>National Service Training Program 1
BMA104
ROSALES</t>
  </si>
  <si>
    <t>Personal Development HUMSS201</t>
  </si>
  <si>
    <t>Fil sa Piling Larang (Akad) IT201</t>
  </si>
  <si>
    <t>Practical Research 2 IT202</t>
  </si>
  <si>
    <t>Readings in Philippine History
BMA101
BADENAS</t>
  </si>
  <si>
    <t>Personal Development  TOP201</t>
  </si>
  <si>
    <t>Personal Development STEM204</t>
  </si>
  <si>
    <t>Personal Development STEM203</t>
  </si>
  <si>
    <t>Introduction to Computing
LAB
BT102
IT FT1</t>
  </si>
  <si>
    <t>Disaster Readiness &amp; Risk Redu GAS201</t>
  </si>
  <si>
    <t>General Chemistry 1 STEM201</t>
  </si>
  <si>
    <t>General Physics 1 STEM202</t>
  </si>
  <si>
    <t>Foreign Language 1 BH303
RM302</t>
  </si>
  <si>
    <t>Research in Hospitality
LAB
BH701</t>
  </si>
  <si>
    <t>Advanced Systems Integration and Architecture
LEC
BT501
FELICEN</t>
  </si>
  <si>
    <t>Platform Technology (Operating Systems)
LEC
BT304
GAID</t>
  </si>
  <si>
    <t>IT Elective 2: Introduction to Computer Animation
LEC
BT502
IT FT2</t>
  </si>
  <si>
    <t xml:space="preserve">Good Governance &amp; Social Responsibility BAOM502 RM 207 ATTY-PT
</t>
  </si>
  <si>
    <t>Strategic Business Analysis BSA701 RM 303 MANALANG</t>
  </si>
  <si>
    <t>The Contemporary World
TM702
SOC SCI FT1</t>
  </si>
  <si>
    <t>Business Finance ABM201</t>
  </si>
  <si>
    <t>Funda of Accountancy, BM 2 ABM202</t>
  </si>
  <si>
    <t>Fil sa Piling Larang (Akad) ABM203</t>
  </si>
  <si>
    <t>Local and International Cuisines CULART201</t>
  </si>
  <si>
    <t>English for Academic &amp; Prof CULART202</t>
  </si>
  <si>
    <t>English for Academic &amp; Prof TOP202</t>
  </si>
  <si>
    <t>Practical Research 2 HUMSS202 CAMBE</t>
  </si>
  <si>
    <t>Euthenics 1
BMA104</t>
  </si>
  <si>
    <t>Rizal's Life and Works
BT301
BAGOL</t>
  </si>
  <si>
    <t>Personal Development STEM201</t>
  </si>
  <si>
    <t>Personal Development STEM205</t>
  </si>
  <si>
    <t>English for Academic &amp; Prof STEM204</t>
  </si>
  <si>
    <t>Seminars and Fieldtrips
COE701
LLENO</t>
  </si>
  <si>
    <t>Color Theory
LAB
BMA304
BMA FT1</t>
  </si>
  <si>
    <t>MMA Elective 2: Brand Communication and Design
LAB
BMA503
MANALO</t>
  </si>
  <si>
    <t>Information Assurance and Security (Data Privacy)
LAB
BS701
MORAL</t>
  </si>
  <si>
    <t>Application Development and Emerging Technologies
LAB
BT503
AGUILA</t>
  </si>
  <si>
    <t>Typography and Layout
LAB
BMA502
BAUTISTA</t>
  </si>
  <si>
    <t>General Chemistry 1 STEM202</t>
  </si>
  <si>
    <t>General Chemistry 1 STEM206</t>
  </si>
  <si>
    <t>Information Assurance and Security (Data Privacy)
LEC
BT703
CIFRA</t>
  </si>
  <si>
    <t>NO CALASS</t>
  </si>
  <si>
    <t>SATURDAY</t>
  </si>
  <si>
    <t xml:space="preserve">Management Reporting BSA701 RM 206
</t>
  </si>
  <si>
    <t xml:space="preserve">Governance, Business Ethics, Risk Management and Internal Control BSA501 RM 301
</t>
  </si>
  <si>
    <t xml:space="preserve">Foreign Language 1 BH301
</t>
  </si>
  <si>
    <t>NO  CLASS</t>
  </si>
  <si>
    <t>3D Modeling
LAB
BMA304
BMA PT1</t>
  </si>
  <si>
    <t>IT Elective 4: Game Development
LAB
BT701
RESULLAR</t>
  </si>
  <si>
    <t>Applied Business Tools and Technologies in Tourism
TM501</t>
  </si>
  <si>
    <t>Application Development and Emerging Technologies
LAB
BT502
CIFRA</t>
  </si>
  <si>
    <t>Euthenics 2
BH702
SOC SCI FT1</t>
  </si>
  <si>
    <t>Specialty Cuisine with Food Exhibit
LEC
BH701</t>
  </si>
  <si>
    <t>Computer Programming 3
LEC
BS301
IT FT3</t>
  </si>
  <si>
    <t>Digital Sound Production
LAB
BMA701
SALVADOR</t>
  </si>
  <si>
    <t>IT Elective 1: Object-Oriented Programming
LEC
BT305
GAID</t>
  </si>
  <si>
    <t>MMA Free Elective 1: Web Programming
LEC
BMA501
DOMINGUEZ</t>
  </si>
  <si>
    <t>Advanced Systems Integration and Architecture
LEC
BT504
FELICEN</t>
  </si>
  <si>
    <t xml:space="preserve">National Service Training Program 1
BA102
PALMERO
</t>
  </si>
  <si>
    <t xml:space="preserve">National Service Training Program 1
BA101
ROSALES
</t>
  </si>
  <si>
    <t>Euthenics 2
TM701
SOC SCI FT4</t>
  </si>
  <si>
    <t xml:space="preserve">National Service Training Program 1
TM104
CASTILLO
</t>
  </si>
  <si>
    <t>Readings in Philippine History
BT301
CONDINO</t>
  </si>
  <si>
    <t>The Contemporary World
BH702
SOC SCI FT1</t>
  </si>
  <si>
    <t>Specialty Cuisine with Food Exhibit
LAB
BH701</t>
  </si>
  <si>
    <t xml:space="preserve">The Contemporary World
TM701
SOC SCI FT4
</t>
  </si>
  <si>
    <t>World Literature
BMA702
MEDALLADA</t>
  </si>
  <si>
    <t>Airline/Flight Operations Management SUITEROOM TM702</t>
  </si>
  <si>
    <t>Typography and Layout
LAB
BMA501
BAUTISTA</t>
  </si>
  <si>
    <t>3D Modeling
LEC
BMA304</t>
  </si>
  <si>
    <t>Human-Computer Interaction
LEC
BT305
MORAL</t>
  </si>
  <si>
    <t>Application Development and Emerging Technologies
LEC
BT502
CIFRA</t>
  </si>
  <si>
    <t>Embedded Systems
LEC
COE701
COE FT1</t>
  </si>
  <si>
    <t>Advanced Database Systems
LEC
BT504
RESULLAR</t>
  </si>
  <si>
    <t xml:space="preserve">Auditing and Assurance: Concepts and Applications 1 BSA501 RM 301
</t>
  </si>
  <si>
    <t xml:space="preserve">Financial Management BAOM702 RM 302 PASION
</t>
  </si>
  <si>
    <t>Applied Business Tools and Technologies in Tourism
LEC TM501</t>
  </si>
  <si>
    <t>Computer Programming 3
LAB
BS301
IT FT3</t>
  </si>
  <si>
    <t>Platform Technology (Operating Systems)
LAB
BT303
GAID</t>
  </si>
  <si>
    <t>Data Structures and Algorithms
LAB
BT304
FELICEN</t>
  </si>
  <si>
    <t>Fundamentals of Mixed Signals and Sensors
COE501
BERTUBIN</t>
  </si>
  <si>
    <t>Euthenics 1
BA102
PALMERO</t>
  </si>
  <si>
    <t>Euthenics 1
BA101
ROSALES</t>
  </si>
  <si>
    <t>Euthenics 1
TM104
CASTILLO</t>
  </si>
  <si>
    <t xml:space="preserve">Auditing and Assurance: Specialized Industries  BSA701 RM 206
</t>
  </si>
  <si>
    <t>Information Assurance and Security (Data Privacy)
LAB
BT701
CIFRA</t>
  </si>
  <si>
    <t>Platform Technology (Operating Systems)
LEC
BT303
GAID</t>
  </si>
  <si>
    <t>Information Assurance and Security (Data Privacy)
LEC
BT701
CIFRA</t>
  </si>
  <si>
    <t>Euthenics 2
BH701
SOC SCI FT1</t>
  </si>
  <si>
    <t>Airline/Flight Operations Management SUITEROOM TM701</t>
  </si>
  <si>
    <t xml:space="preserve">Financial Markets BSA501 RM 301
</t>
  </si>
  <si>
    <t>Financial Management BAOM701 RM 302 PASION</t>
  </si>
  <si>
    <t>National Service Training Program 1
TM102
PALMERO</t>
  </si>
  <si>
    <t>National Service Training Program 1
BH101
ROSALES</t>
  </si>
  <si>
    <t xml:space="preserve">The Contemporary World
BT101
SOC SCI FT3
</t>
  </si>
  <si>
    <t xml:space="preserve">National Service Training Program 1
BT105
CASTILLO
</t>
  </si>
  <si>
    <t>Digital Sound Production
LAB
BMA702
SALVADOR</t>
  </si>
  <si>
    <t>Data Structures and Algorithms
LAB
BT301
DOMINGUEZ</t>
  </si>
  <si>
    <t>Applied Business Tools and Technologies in Tourism
TM502</t>
  </si>
  <si>
    <t>Feedback and Control Systems
COE501
BERTUBIN</t>
  </si>
  <si>
    <t xml:space="preserve">Multicultural Diversity in Workplace for the Tourism Professional
TM501
</t>
  </si>
  <si>
    <t>The Contemporary World
BH701
SOC SCI FT1</t>
  </si>
  <si>
    <t>Specialty Cuisine with Food Exhibit
LEC
BH702</t>
  </si>
  <si>
    <t>CS Elective 2: Intermediate Web Programming
LEC
BS501
IT FT3</t>
  </si>
  <si>
    <t>3D Modeling
LEC
BMA303</t>
  </si>
  <si>
    <t>Data Structures and Algorithms
LEC
BT304
FELICEN</t>
  </si>
  <si>
    <t xml:space="preserve">Rizal's Life and Works
COE301
SOC SCI FT2
</t>
  </si>
  <si>
    <t>World Literature
BMA701
MEDALLADA</t>
  </si>
  <si>
    <t>Financial Modeling BSA701 RM 212</t>
  </si>
  <si>
    <t>Specialty Cuisine with Food Exhibit
LAB
BH702</t>
  </si>
  <si>
    <t>Digital Sound Production
LEC
BMA702
SALVADOR</t>
  </si>
  <si>
    <t>Application Development and Emerging Technologies
LEC
RM205
AGUILA</t>
  </si>
  <si>
    <t>Euthenics 1
TM102
PALMERO</t>
  </si>
  <si>
    <t>Euthenics 1
BH101
ROSALES</t>
  </si>
  <si>
    <t>Euthenics 1
BT105
CASTILLO</t>
  </si>
  <si>
    <t>Applied Business Tools and Technologies in Tourism
LEC TM502</t>
  </si>
  <si>
    <t>3D Modeling
LAB
BMA303
BMA PT 1</t>
  </si>
  <si>
    <t>Advanced Systems Integration and Architecture
LAB
BT502
FELICEN</t>
  </si>
  <si>
    <t>MMA Free Elective 1: Web Programming
LAB
BMA501
DOMINGUEZ</t>
  </si>
  <si>
    <t>CpE Elective 3: Robot Assembly and Programming
LAB
COE701
COE FT1</t>
  </si>
  <si>
    <t>Lecture Room and Laboratory Utilization Efficiency</t>
  </si>
  <si>
    <t>Utilization</t>
  </si>
  <si>
    <t>Average Utilization %</t>
  </si>
  <si>
    <t>Monday</t>
  </si>
  <si>
    <t>Tuesday</t>
  </si>
  <si>
    <t>Wednesday</t>
  </si>
  <si>
    <t>Thursday</t>
  </si>
  <si>
    <t>Friday</t>
  </si>
  <si>
    <t>Saturday</t>
  </si>
  <si>
    <t>Average Lab Utilization per Week:</t>
  </si>
  <si>
    <t>Average Lecture Utilization per Week:</t>
  </si>
  <si>
    <t>Capacity</t>
  </si>
  <si>
    <t>Projected</t>
  </si>
  <si>
    <t>Select Room</t>
  </si>
  <si>
    <t>Computer Lab Capacity Calculator</t>
  </si>
  <si>
    <t>Start Time of Operation</t>
  </si>
  <si>
    <t>Input start time (e.g. 7:00 AM)</t>
  </si>
  <si>
    <t xml:space="preserve">Your school can accommodate </t>
  </si>
  <si>
    <t>computer lab sessions</t>
  </si>
  <si>
    <t>End Time of Operation</t>
  </si>
  <si>
    <t>Input end time (e.g. 7:00 PM)</t>
  </si>
  <si>
    <t>Your projected number of lab sessions is</t>
  </si>
  <si>
    <t>School Operating Hours</t>
  </si>
  <si>
    <t>Days of School Operation:</t>
  </si>
  <si>
    <t>Input number of school days per week</t>
  </si>
  <si>
    <t>Number of Computer Lab:</t>
  </si>
  <si>
    <t>Input number of computer laboratories</t>
  </si>
  <si>
    <t xml:space="preserve">Tertiary Computer Lab </t>
  </si>
  <si>
    <t>High School Computer Lab</t>
  </si>
  <si>
    <t>Year Level</t>
  </si>
  <si>
    <t>Target # Section</t>
  </si>
  <si>
    <t>Lab Units</t>
  </si>
  <si>
    <t>Hours of Session/Week</t>
  </si>
  <si>
    <t>Track/Strand</t>
  </si>
  <si>
    <t>Grade Level</t>
  </si>
  <si>
    <t>Lab Session</t>
  </si>
  <si>
    <t>Gen. Acad</t>
  </si>
  <si>
    <t>SHS Subtotal</t>
  </si>
  <si>
    <t>Tertiary Subtotal</t>
  </si>
  <si>
    <t>Culinary Lab Capacity Calculator</t>
  </si>
  <si>
    <t>Input start time</t>
  </si>
  <si>
    <t>culinary lab sessions</t>
  </si>
  <si>
    <t>Input end time</t>
  </si>
  <si>
    <t>Number of Culinary Lab Session</t>
  </si>
  <si>
    <t>Input number of sections that can be accommodated simultaneously in the lab</t>
  </si>
  <si>
    <t>Tertiary Culinary Lab Sessions</t>
  </si>
  <si>
    <t>High School Culinary Lab Sessions</t>
  </si>
  <si>
    <t>HE - RESCO</t>
  </si>
  <si>
    <t>Column1</t>
  </si>
  <si>
    <t>Tertiary Fields</t>
  </si>
  <si>
    <t>SHS Fields</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</si>
  <si>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</si>
  <si>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</si>
  <si>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</si>
  <si>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</si>
  <si>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</si>
  <si>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</si>
  <si>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</si>
  <si>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</si>
  <si>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</si>
  <si>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</si>
  <si>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</si>
  <si>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</si>
  <si>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</si>
  <si>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</si>
  <si>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</si>
  <si>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</si>
  <si>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</si>
  <si>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</si>
  <si>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</si>
  <si>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</si>
  <si>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</si>
  <si>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</si>
  <si>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</si>
  <si>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</si>
  <si>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</si>
  <si>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</si>
  <si>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</si>
  <si>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</si>
  <si>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</si>
  <si>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</si>
  <si>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</si>
  <si>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</si>
  <si>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</si>
  <si>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</si>
  <si>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</si>
  <si>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</si>
  <si>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</si>
  <si>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</si>
  <si>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</si>
  <si>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</si>
  <si>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</si>
  <si>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</si>
  <si>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</si>
  <si>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</si>
  <si>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</si>
  <si>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</si>
  <si>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</si>
  <si>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</si>
  <si>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</si>
  <si>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</si>
  <si>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</si>
  <si>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</si>
  <si>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</si>
  <si>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</si>
  <si>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</si>
  <si>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</si>
  <si>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</si>
  <si>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</si>
  <si>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</si>
  <si>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</si>
  <si>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</si>
  <si>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</si>
  <si>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</si>
  <si>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</si>
  <si>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</si>
  <si>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</si>
  <si>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</si>
  <si>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</si>
  <si>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</si>
  <si>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</si>
  <si>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</si>
  <si>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</si>
  <si>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</si>
  <si>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</si>
  <si>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</si>
  <si>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</si>
  <si>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</si>
  <si>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</si>
  <si>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</si>
  <si>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</si>
  <si>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</si>
  <si>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</si>
  <si>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</si>
  <si>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</si>
  <si>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</si>
  <si>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</si>
  <si>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</si>
  <si>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</si>
  <si>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</si>
  <si>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</si>
  <si>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</si>
  <si>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</si>
  <si>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</si>
  <si>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</si>
  <si>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</si>
  <si>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</si>
  <si>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</si>
  <si>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</si>
  <si>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</si>
  <si>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</si>
  <si>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</si>
  <si>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</si>
  <si>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</si>
  <si>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</si>
  <si>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</si>
  <si>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</si>
  <si>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</si>
  <si>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</si>
  <si>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</si>
  <si>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</si>
  <si>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</si>
  <si>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</si>
  <si>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</si>
  <si>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</si>
  <si>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</si>
  <si>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</si>
  <si>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</si>
  <si>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</si>
  <si>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</si>
  <si>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</si>
  <si>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</si>
  <si>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</si>
  <si>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</si>
  <si>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</si>
  <si>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</si>
  <si>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</si>
  <si>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</si>
  <si>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</si>
  <si>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</si>
  <si>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</si>
  <si>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</si>
  <si>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</si>
  <si>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</si>
  <si>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</si>
  <si>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</si>
  <si>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</si>
  <si>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</si>
  <si>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</si>
  <si>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</si>
  <si>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</si>
  <si>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</si>
  <si>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</si>
  <si>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</si>
  <si>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</si>
  <si>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</si>
  <si>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</si>
  <si>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</si>
  <si>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</si>
  <si>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</si>
  <si>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</si>
  <si>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</si>
  <si>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</si>
  <si>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</si>
  <si>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</si>
  <si>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</si>
  <si>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</si>
  <si>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</si>
  <si>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</si>
  <si>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</si>
  <si>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</si>
  <si>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</si>
  <si>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</si>
  <si>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</si>
  <si>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</si>
  <si>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</si>
  <si>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</si>
  <si>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</si>
  <si>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</si>
  <si>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</si>
  <si>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</si>
  <si>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</si>
  <si>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</si>
  <si>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</si>
  <si>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</si>
  <si>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</si>
  <si>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</si>
  <si>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</si>
  <si>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</si>
  <si>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</si>
  <si>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</si>
  <si>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</si>
  <si>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</si>
  <si>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</si>
  <si>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</si>
  <si>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</si>
  <si>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</si>
  <si>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</si>
  <si>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</si>
  <si>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</si>
  <si>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</si>
  <si>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</si>
  <si>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</si>
  <si>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</si>
  <si>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</si>
  <si>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</si>
  <si>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</si>
  <si>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</si>
  <si>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</si>
  <si>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</si>
  <si>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</si>
  <si>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</si>
  <si>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</si>
  <si>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</si>
  <si>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</si>
  <si>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</si>
  <si>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</si>
  <si>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</si>
  <si>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</si>
  <si>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</si>
  <si>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</si>
  <si>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</si>
  <si>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</si>
  <si>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</si>
  <si>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</si>
  <si>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</si>
  <si>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</si>
  <si>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</si>
  <si>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</si>
  <si>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</si>
  <si>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</si>
  <si>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</si>
  <si>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</si>
  <si>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</si>
  <si>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</si>
  <si>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</si>
  <si>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</si>
  <si>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</si>
  <si>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</si>
  <si>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</si>
  <si>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</si>
  <si>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</si>
  <si>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</si>
  <si>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</si>
  <si>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</si>
  <si>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</si>
  <si>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</si>
  <si>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</si>
  <si>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</si>
  <si>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</si>
  <si>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</si>
  <si>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</si>
  <si>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</si>
  <si>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</si>
  <si>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</si>
  <si>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</si>
  <si>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</si>
  <si>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</si>
  <si>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</si>
  <si>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</si>
  <si>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</si>
  <si>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</si>
  <si>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</si>
  <si>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</si>
  <si>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Eugene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</si>
</sst>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h:mm\ AM/PM;@"/>
  </numFmts>
  <fonts count="70" x14ac:knownFonts="1">
    <font>
      <sz val="11"/>
      <color theme="1"/>
      <name val="Calibri"/>
      <family val="2"/>
      <scheme val="minor"/>
    </font>
    <font>
      <sz val="8"/>
      <name val="Calibri"/>
      <family val="2"/>
    </font>
    <font>
      <sz val="11"/>
      <color theme="1"/>
      <name val="Calibri"/>
      <family val="2"/>
      <scheme val="minor"/>
    </font>
    <font>
      <sz val="11"/>
      <color rgb="FF000000"/>
      <name val="Calibri"/>
      <family val="2"/>
      <scheme val="minor"/>
    </font>
    <font>
      <sz val="10"/>
      <color rgb="FF000000"/>
      <name val="Arial"/>
      <family val="2"/>
    </font>
    <font>
      <sz val="11"/>
      <color theme="1"/>
      <name val="Calibri Light"/>
      <family val="2"/>
      <scheme val="major"/>
    </font>
    <font>
      <sz val="11"/>
      <name val="Calibri Light"/>
      <family val="2"/>
      <scheme val="major"/>
    </font>
    <font>
      <sz val="11"/>
      <color rgb="FF2F3838"/>
      <name val="Calibri Light"/>
      <family val="2"/>
      <scheme val="major"/>
    </font>
    <font>
      <sz val="11"/>
      <color rgb="FF2F3737"/>
      <name val="Calibri Light"/>
      <family val="2"/>
      <scheme val="major"/>
    </font>
    <font>
      <sz val="11"/>
      <color rgb="FF000000"/>
      <name val="Calibri Light"/>
      <family val="2"/>
      <scheme val="major"/>
    </font>
    <font>
      <sz val="14"/>
      <color theme="1"/>
      <name val="Calibri"/>
      <family val="2"/>
      <scheme val="minor"/>
    </font>
    <font>
      <b/>
      <sz val="11"/>
      <color theme="1"/>
      <name val="Calibri"/>
      <family val="2"/>
      <scheme val="minor"/>
    </font>
    <font>
      <b/>
      <sz val="16"/>
      <color theme="1"/>
      <name val="Calibri"/>
      <family val="2"/>
      <scheme val="minor"/>
    </font>
    <font>
      <sz val="20"/>
      <name val="Calibri"/>
      <family val="2"/>
      <scheme val="minor"/>
    </font>
    <font>
      <sz val="11"/>
      <name val="Calibri"/>
      <family val="2"/>
      <scheme val="minor"/>
    </font>
    <font>
      <b/>
      <sz val="18"/>
      <name val="Calibri"/>
      <family val="2"/>
      <scheme val="minor"/>
    </font>
    <font>
      <sz val="12"/>
      <name val="Calibri"/>
      <family val="2"/>
      <scheme val="minor"/>
    </font>
    <font>
      <b/>
      <sz val="14"/>
      <color theme="1"/>
      <name val="Calibri"/>
      <family val="2"/>
      <scheme val="minor"/>
    </font>
    <font>
      <sz val="10"/>
      <color rgb="FF000000"/>
      <name val="Calibri"/>
      <family val="2"/>
      <scheme val="minor"/>
    </font>
    <font>
      <b/>
      <sz val="9"/>
      <color rgb="FF000000"/>
      <name val="Calibri"/>
      <family val="2"/>
      <scheme val="minor"/>
    </font>
    <font>
      <sz val="8"/>
      <color rgb="FF000000"/>
      <name val="Calibri"/>
      <family val="2"/>
      <scheme val="minor"/>
    </font>
    <font>
      <sz val="10"/>
      <color rgb="FFFF0000"/>
      <name val="Calibri"/>
      <family val="2"/>
      <scheme val="minor"/>
    </font>
    <font>
      <b/>
      <sz val="14"/>
      <color rgb="FF000000"/>
      <name val="Calibri"/>
      <family val="2"/>
      <scheme val="minor"/>
    </font>
    <font>
      <sz val="9"/>
      <color theme="1"/>
      <name val="Arial"/>
      <family val="2"/>
    </font>
    <font>
      <sz val="8"/>
      <color theme="1"/>
      <name val="Times New Roman"/>
      <family val="1"/>
    </font>
    <font>
      <sz val="8"/>
      <name val="Calibri"/>
      <family val="2"/>
      <scheme val="minor"/>
    </font>
    <font>
      <sz val="11"/>
      <color theme="0"/>
      <name val="Calibri"/>
      <family val="2"/>
      <scheme val="minor"/>
    </font>
    <font>
      <b/>
      <sz val="14"/>
      <name val="Calibri"/>
      <family val="2"/>
      <scheme val="minor"/>
    </font>
    <font>
      <b/>
      <sz val="16"/>
      <name val="Calibri"/>
      <family val="2"/>
      <scheme val="minor"/>
    </font>
    <font>
      <b/>
      <sz val="11"/>
      <name val="Calibri Light"/>
      <family val="2"/>
      <scheme val="major"/>
    </font>
    <font>
      <sz val="11"/>
      <color rgb="FFFF0000"/>
      <name val="Calibri"/>
      <family val="2"/>
      <scheme val="minor"/>
    </font>
    <font>
      <sz val="11"/>
      <color rgb="FF333A3A"/>
      <name val="Calibri Light"/>
      <family val="2"/>
      <scheme val="major"/>
    </font>
    <font>
      <sz val="11"/>
      <color rgb="FF464F4D"/>
      <name val="Calibri Light"/>
      <family val="2"/>
      <scheme val="major"/>
    </font>
    <font>
      <sz val="9"/>
      <name val="Arial"/>
      <family val="2"/>
    </font>
    <font>
      <vertAlign val="superscript"/>
      <sz val="9"/>
      <name val="Arial"/>
      <family val="2"/>
    </font>
    <font>
      <b/>
      <sz val="11"/>
      <color theme="1"/>
      <name val="Calibri Light"/>
      <family val="2"/>
      <scheme val="major"/>
    </font>
    <font>
      <sz val="11"/>
      <color rgb="FFFF0000"/>
      <name val="Calibri Light"/>
      <family val="2"/>
      <scheme val="major"/>
    </font>
    <font>
      <sz val="11"/>
      <color rgb="FF000000"/>
      <name val="Calibri Light"/>
      <family val="2"/>
    </font>
    <font>
      <sz val="11"/>
      <color rgb="FF000000"/>
      <name val="Calibri"/>
      <family val="2"/>
    </font>
    <font>
      <sz val="11"/>
      <color rgb="FF333A3A"/>
      <name val="Calibri Light"/>
      <family val="2"/>
    </font>
    <font>
      <sz val="11"/>
      <name val="Calibri Light"/>
      <family val="2"/>
    </font>
    <font>
      <sz val="11"/>
      <color rgb="FF2F3737"/>
      <name val="Calibri Light"/>
      <family val="2"/>
    </font>
    <font>
      <sz val="11"/>
      <color rgb="FF343B3B"/>
      <name val="Calibri Light"/>
      <family val="2"/>
    </font>
    <font>
      <sz val="11"/>
      <color rgb="FF464F4D"/>
      <name val="Calibri Light"/>
      <family val="2"/>
    </font>
    <font>
      <b/>
      <sz val="18"/>
      <color theme="1"/>
      <name val="Calibri"/>
      <family val="2"/>
      <scheme val="minor"/>
    </font>
    <font>
      <b/>
      <sz val="12"/>
      <color theme="1"/>
      <name val="Calibri"/>
      <family val="2"/>
      <scheme val="minor"/>
    </font>
    <font>
      <sz val="12"/>
      <color theme="1"/>
      <name val="Calibri"/>
      <family val="2"/>
      <scheme val="minor"/>
    </font>
    <font>
      <i/>
      <sz val="12"/>
      <color theme="1"/>
      <name val="Calibri"/>
      <family val="2"/>
      <scheme val="minor"/>
    </font>
    <font>
      <sz val="10"/>
      <color theme="1"/>
      <name val="Calibri"/>
      <family val="2"/>
      <scheme val="minor"/>
    </font>
    <font>
      <b/>
      <sz val="10"/>
      <name val="Calibri"/>
      <family val="2"/>
      <scheme val="minor"/>
    </font>
    <font>
      <sz val="10"/>
      <name val="Calibri"/>
      <family val="2"/>
      <scheme val="minor"/>
    </font>
    <font>
      <sz val="9"/>
      <name val="Calibri"/>
      <family val="2"/>
      <scheme val="minor"/>
    </font>
    <font>
      <sz val="9"/>
      <color theme="1"/>
      <name val="Calibri"/>
      <family val="2"/>
      <scheme val="minor"/>
    </font>
    <font>
      <b/>
      <sz val="11"/>
      <color theme="0"/>
      <name val="Calibri"/>
      <family val="2"/>
      <scheme val="minor"/>
    </font>
    <font>
      <u/>
      <sz val="11"/>
      <color theme="10"/>
      <name val="Calibri"/>
      <family val="2"/>
      <scheme val="minor"/>
    </font>
    <font>
      <sz val="8"/>
      <color theme="1"/>
      <name val="Calibri"/>
      <family val="2"/>
      <scheme val="minor"/>
    </font>
    <font>
      <u/>
      <sz val="14"/>
      <color theme="0"/>
      <name val="Calibri"/>
      <family val="2"/>
      <scheme val="minor"/>
    </font>
    <font>
      <b/>
      <sz val="12"/>
      <name val="Calibri"/>
      <family val="2"/>
      <scheme val="minor"/>
    </font>
    <font>
      <b/>
      <sz val="11"/>
      <name val="Calibri"/>
      <family val="2"/>
      <scheme val="minor"/>
    </font>
    <font>
      <i/>
      <sz val="8"/>
      <color theme="1"/>
      <name val="Calibri"/>
      <family val="2"/>
      <scheme val="minor"/>
    </font>
    <font>
      <sz val="14"/>
      <color theme="0"/>
      <name val="Calibri"/>
      <family val="2"/>
      <scheme val="minor"/>
    </font>
    <font>
      <b/>
      <u/>
      <sz val="14"/>
      <color theme="0"/>
      <name val="Calibri"/>
      <family val="2"/>
      <scheme val="minor"/>
    </font>
    <font>
      <b/>
      <sz val="9"/>
      <color indexed="81"/>
      <name val="Tahoma"/>
      <family val="2"/>
    </font>
    <font>
      <b/>
      <sz val="14"/>
      <color theme="0"/>
      <name val="Calibri"/>
      <family val="2"/>
      <scheme val="minor"/>
    </font>
    <font>
      <b/>
      <u/>
      <sz val="14"/>
      <color theme="1"/>
      <name val="Calibri"/>
      <family val="2"/>
      <scheme val="minor"/>
    </font>
    <font>
      <sz val="11"/>
      <name val="Calibri"/>
      <family val="2"/>
    </font>
    <font>
      <sz val="10"/>
      <color rgb="FF000000"/>
      <name val="Calibri"/>
      <family val="2"/>
    </font>
    <font>
      <sz val="8"/>
      <color rgb="FF000000"/>
      <name val="Calibri"/>
      <family val="2"/>
    </font>
    <font>
      <b/>
      <sz val="10"/>
      <color rgb="FF000000"/>
      <name val="Calibri"/>
      <family val="2"/>
      <scheme val="minor"/>
    </font>
    <font>
      <sz val="11"/>
      <color rgb="FF000000"/>
      <name val="Calibri"/>
      <scheme val="minor"/>
    </font>
  </fonts>
  <fills count="24">
    <fill>
      <patternFill patternType="none"/>
    </fill>
    <fill>
      <patternFill patternType="gray125"/>
    </fill>
    <fill>
      <patternFill patternType="solid">
        <fgColor theme="1"/>
        <bgColor indexed="64"/>
      </patternFill>
    </fill>
    <fill>
      <patternFill patternType="solid">
        <fgColor theme="7" tint="0.5999938962981048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FFFF"/>
        <bgColor indexed="64"/>
      </patternFill>
    </fill>
    <fill>
      <patternFill patternType="solid">
        <fgColor theme="1" tint="0.34998626667073579"/>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rgb="FFC6E0B4"/>
        <bgColor rgb="FF000000"/>
      </patternFill>
    </fill>
    <fill>
      <patternFill patternType="solid">
        <fgColor theme="7"/>
        <bgColor indexed="64"/>
      </patternFill>
    </fill>
    <fill>
      <patternFill patternType="solid">
        <fgColor theme="4"/>
        <bgColor indexed="64"/>
      </patternFill>
    </fill>
    <fill>
      <patternFill patternType="solid">
        <fgColor theme="9"/>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indexed="64"/>
      </right>
      <top style="thin">
        <color rgb="FF000000"/>
      </top>
      <bottom/>
      <diagonal/>
    </border>
    <border>
      <left style="thin">
        <color rgb="FF000000"/>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rgb="FF000000"/>
      </right>
      <top/>
      <bottom style="thin">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right style="medium">
        <color indexed="64"/>
      </right>
      <top style="medium">
        <color rgb="FF000000"/>
      </top>
      <bottom/>
      <diagonal/>
    </border>
    <border>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rgb="FF000000"/>
      </left>
      <right style="medium">
        <color indexed="64"/>
      </right>
      <top style="medium">
        <color rgb="FF000000"/>
      </top>
      <bottom/>
      <diagonal/>
    </border>
    <border>
      <left style="medium">
        <color indexed="64"/>
      </left>
      <right style="medium">
        <color indexed="64"/>
      </right>
      <top/>
      <bottom style="thin">
        <color rgb="FF000000"/>
      </bottom>
      <diagonal/>
    </border>
  </borders>
  <cellStyleXfs count="9">
    <xf numFmtId="0" fontId="0" fillId="0" borderId="0"/>
    <xf numFmtId="0" fontId="3" fillId="0" borderId="0"/>
    <xf numFmtId="0" fontId="4" fillId="0" borderId="0"/>
    <xf numFmtId="0" fontId="4" fillId="0" borderId="0"/>
    <xf numFmtId="9" fontId="2" fillId="0" borderId="0" applyFon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4" fillId="0" borderId="0"/>
    <xf numFmtId="0" fontId="4" fillId="0" borderId="0"/>
  </cellStyleXfs>
  <cellXfs count="435">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quotePrefix="1" applyBorder="1" applyAlignment="1">
      <alignment horizont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0" xfId="0" applyFont="1"/>
    <xf numFmtId="0" fontId="6" fillId="0" borderId="1" xfId="0" applyFont="1" applyBorder="1" applyAlignment="1">
      <alignment horizontal="center" vertical="center"/>
    </xf>
    <xf numFmtId="0" fontId="6" fillId="0" borderId="1" xfId="0" quotePrefix="1" applyFont="1" applyBorder="1" applyAlignment="1">
      <alignment horizontal="center"/>
    </xf>
    <xf numFmtId="1" fontId="6" fillId="0" borderId="1" xfId="0" applyNumberFormat="1" applyFont="1" applyBorder="1" applyAlignment="1">
      <alignment horizontal="center" vertical="center" shrinkToFit="1"/>
    </xf>
    <xf numFmtId="0" fontId="6" fillId="0" borderId="0" xfId="0" applyFont="1" applyAlignment="1">
      <alignment horizontal="center" vertical="center"/>
    </xf>
    <xf numFmtId="0" fontId="6" fillId="0" borderId="1" xfId="0" applyFont="1" applyBorder="1"/>
    <xf numFmtId="0" fontId="6" fillId="0" borderId="1" xfId="0" applyFont="1" applyBorder="1" applyAlignment="1">
      <alignment horizontal="center"/>
    </xf>
    <xf numFmtId="0" fontId="6" fillId="0" borderId="1" xfId="0" quotePrefix="1" applyFont="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horizontal="center" vertical="top"/>
    </xf>
    <xf numFmtId="0" fontId="6" fillId="0" borderId="4" xfId="0" applyFont="1" applyBorder="1" applyAlignment="1">
      <alignment horizontal="center" vertical="top" wrapText="1"/>
    </xf>
    <xf numFmtId="0" fontId="8" fillId="0" borderId="1" xfId="0" applyFont="1" applyBorder="1" applyAlignment="1">
      <alignment vertical="center" wrapText="1"/>
    </xf>
    <xf numFmtId="0" fontId="7" fillId="0" borderId="1" xfId="0" applyFont="1" applyBorder="1" applyAlignment="1">
      <alignment vertical="center" wrapText="1"/>
    </xf>
    <xf numFmtId="0" fontId="9" fillId="0" borderId="1" xfId="0" applyFont="1" applyBorder="1" applyAlignment="1">
      <alignment horizontal="center" vertical="center" wrapText="1"/>
    </xf>
    <xf numFmtId="0" fontId="10" fillId="0" borderId="0" xfId="0" applyFont="1"/>
    <xf numFmtId="0" fontId="11" fillId="0" borderId="3" xfId="0" applyFont="1" applyBorder="1" applyAlignment="1">
      <alignment horizontal="center"/>
    </xf>
    <xf numFmtId="0" fontId="11" fillId="0" borderId="2"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1" fontId="0" fillId="0" borderId="1" xfId="0" applyNumberFormat="1" applyBorder="1" applyAlignment="1">
      <alignment horizontal="center"/>
    </xf>
    <xf numFmtId="0" fontId="6" fillId="0" borderId="1" xfId="0" quotePrefix="1" applyFont="1" applyBorder="1" applyAlignment="1">
      <alignment horizontal="center" vertical="center"/>
    </xf>
    <xf numFmtId="0" fontId="11" fillId="0" borderId="0" xfId="0" applyFont="1" applyAlignment="1">
      <alignment horizontal="center"/>
    </xf>
    <xf numFmtId="0" fontId="0" fillId="7" borderId="0" xfId="0" applyFill="1" applyAlignment="1" applyProtection="1">
      <alignment horizontal="center"/>
      <protection locked="0"/>
    </xf>
    <xf numFmtId="0" fontId="0" fillId="7" borderId="1" xfId="0" applyFill="1" applyBorder="1" applyAlignment="1" applyProtection="1">
      <alignment horizontal="center"/>
      <protection locked="0"/>
    </xf>
    <xf numFmtId="0" fontId="0" fillId="7" borderId="3" xfId="0" applyFill="1" applyBorder="1" applyAlignment="1" applyProtection="1">
      <alignment horizontal="center"/>
      <protection locked="0"/>
    </xf>
    <xf numFmtId="0" fontId="0" fillId="7" borderId="2" xfId="0" applyFill="1" applyBorder="1" applyAlignment="1" applyProtection="1">
      <alignment horizontal="center"/>
      <protection locked="0"/>
    </xf>
    <xf numFmtId="0" fontId="0" fillId="7" borderId="1" xfId="0"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0" fillId="0" borderId="0" xfId="0" applyProtection="1">
      <protection locked="0"/>
    </xf>
    <xf numFmtId="0" fontId="11" fillId="0" borderId="0" xfId="0" applyFont="1"/>
    <xf numFmtId="0" fontId="18" fillId="0" borderId="0" xfId="2" applyFont="1" applyAlignment="1" applyProtection="1">
      <alignment wrapText="1"/>
      <protection locked="0"/>
    </xf>
    <xf numFmtId="0" fontId="18" fillId="0" borderId="0" xfId="2" applyFont="1" applyProtection="1">
      <protection locked="0"/>
    </xf>
    <xf numFmtId="0" fontId="0" fillId="0" borderId="0" xfId="0" applyAlignment="1" applyProtection="1">
      <alignment horizontal="center"/>
      <protection locked="0"/>
    </xf>
    <xf numFmtId="0" fontId="6" fillId="0" borderId="4" xfId="0" applyFont="1" applyBorder="1" applyAlignment="1">
      <alignment horizontal="center" vertical="center" wrapText="1"/>
    </xf>
    <xf numFmtId="0" fontId="23" fillId="0" borderId="0" xfId="0" applyFont="1" applyAlignment="1">
      <alignment vertical="center" wrapText="1"/>
    </xf>
    <xf numFmtId="0" fontId="23" fillId="0" borderId="1" xfId="0" applyFont="1" applyBorder="1" applyAlignment="1">
      <alignment horizontal="center" vertical="center" wrapText="1"/>
    </xf>
    <xf numFmtId="0" fontId="24" fillId="0" borderId="1" xfId="0" applyFont="1" applyBorder="1" applyAlignment="1">
      <alignment vertical="center" wrapText="1"/>
    </xf>
    <xf numFmtId="0" fontId="6" fillId="0" borderId="1" xfId="0" applyFont="1" applyBorder="1" applyAlignment="1">
      <alignment vertical="top" wrapText="1"/>
    </xf>
    <xf numFmtId="0" fontId="0" fillId="5" borderId="35" xfId="0" applyFill="1" applyBorder="1"/>
    <xf numFmtId="0" fontId="0" fillId="0" borderId="36" xfId="0" applyBorder="1"/>
    <xf numFmtId="0" fontId="0" fillId="5" borderId="36" xfId="0" applyFill="1" applyBorder="1"/>
    <xf numFmtId="0" fontId="0" fillId="0" borderId="37" xfId="0" applyBorder="1"/>
    <xf numFmtId="164" fontId="0" fillId="0" borderId="1" xfId="0" applyNumberFormat="1" applyBorder="1" applyAlignment="1">
      <alignment horizontal="center"/>
    </xf>
    <xf numFmtId="10" fontId="28" fillId="0" borderId="39" xfId="0" applyNumberFormat="1" applyFont="1" applyBorder="1" applyAlignment="1" applyProtection="1">
      <alignment horizontal="center" vertical="center"/>
      <protection hidden="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9" fontId="0" fillId="7" borderId="1" xfId="4" applyFont="1" applyFill="1" applyBorder="1" applyAlignment="1" applyProtection="1">
      <alignment horizontal="left" vertical="top"/>
      <protection locked="0"/>
    </xf>
    <xf numFmtId="9" fontId="0" fillId="7" borderId="3" xfId="4" applyFont="1" applyFill="1" applyBorder="1" applyAlignment="1" applyProtection="1">
      <alignment horizontal="left" vertical="top"/>
      <protection locked="0"/>
    </xf>
    <xf numFmtId="0" fontId="0" fillId="0" borderId="1" xfId="0" applyBorder="1"/>
    <xf numFmtId="0" fontId="29" fillId="0" borderId="0" xfId="0" applyFont="1" applyAlignment="1">
      <alignment horizontal="center" vertical="center"/>
    </xf>
    <xf numFmtId="0" fontId="29" fillId="0" borderId="0" xfId="0" applyFont="1" applyAlignment="1">
      <alignment horizontal="left" vertical="top"/>
    </xf>
    <xf numFmtId="0" fontId="29" fillId="0" borderId="0" xfId="0" applyFont="1" applyAlignment="1">
      <alignment horizontal="left" vertical="center"/>
    </xf>
    <xf numFmtId="0" fontId="29" fillId="0" borderId="0" xfId="0" applyFont="1"/>
    <xf numFmtId="0" fontId="6" fillId="0" borderId="3" xfId="0" quotePrefix="1" applyFont="1" applyBorder="1" applyAlignment="1">
      <alignment horizontal="center"/>
    </xf>
    <xf numFmtId="0" fontId="6" fillId="0" borderId="3" xfId="0" applyFont="1" applyBorder="1" applyAlignment="1">
      <alignment horizontal="center" vertical="center"/>
    </xf>
    <xf numFmtId="16" fontId="6" fillId="0" borderId="1" xfId="0" quotePrefix="1" applyNumberFormat="1" applyFont="1" applyBorder="1" applyAlignment="1">
      <alignment horizontal="center"/>
    </xf>
    <xf numFmtId="1" fontId="6" fillId="0" borderId="3" xfId="0" applyNumberFormat="1" applyFont="1" applyBorder="1" applyAlignment="1">
      <alignment horizontal="center" vertical="center" shrinkToFit="1"/>
    </xf>
    <xf numFmtId="0" fontId="0" fillId="0" borderId="0" xfId="0" quotePrefix="1" applyAlignment="1">
      <alignment horizontal="center"/>
    </xf>
    <xf numFmtId="0" fontId="11" fillId="0" borderId="1" xfId="0" applyFont="1" applyBorder="1" applyAlignment="1">
      <alignment horizontal="center"/>
    </xf>
    <xf numFmtId="0" fontId="0" fillId="0" borderId="1" xfId="0" applyBorder="1" applyAlignment="1">
      <alignment horizontal="left"/>
    </xf>
    <xf numFmtId="10" fontId="0" fillId="0" borderId="1" xfId="0" applyNumberFormat="1" applyBorder="1" applyAlignment="1">
      <alignment horizontal="center"/>
    </xf>
    <xf numFmtId="10" fontId="17" fillId="9" borderId="1" xfId="0" applyNumberFormat="1" applyFont="1" applyFill="1" applyBorder="1" applyAlignment="1">
      <alignment horizontal="center"/>
    </xf>
    <xf numFmtId="10" fontId="30" fillId="0" borderId="1" xfId="0" applyNumberFormat="1" applyFont="1" applyBorder="1" applyAlignment="1">
      <alignment horizontal="center"/>
    </xf>
    <xf numFmtId="0" fontId="12" fillId="0" borderId="0" xfId="0" applyFont="1"/>
    <xf numFmtId="0" fontId="12" fillId="0" borderId="0" xfId="0" applyFont="1" applyAlignment="1">
      <alignment horizontal="center"/>
    </xf>
    <xf numFmtId="0" fontId="0" fillId="0" borderId="0" xfId="0" applyAlignment="1">
      <alignment horizontal="right"/>
    </xf>
    <xf numFmtId="0" fontId="0" fillId="0" borderId="0" xfId="0" applyAlignment="1">
      <alignment horizontal="center" vertical="center"/>
    </xf>
    <xf numFmtId="0" fontId="0" fillId="4" borderId="5" xfId="0" applyFill="1" applyBorder="1" applyAlignment="1">
      <alignment wrapText="1"/>
    </xf>
    <xf numFmtId="0" fontId="0" fillId="0" borderId="2" xfId="0" quotePrefix="1" applyBorder="1" applyAlignment="1">
      <alignment horizontal="center"/>
    </xf>
    <xf numFmtId="0" fontId="0" fillId="2" borderId="1" xfId="0" applyFill="1" applyBorder="1" applyAlignment="1">
      <alignment horizontal="center"/>
    </xf>
    <xf numFmtId="0" fontId="0" fillId="0" borderId="4" xfId="0" quotePrefix="1" applyBorder="1" applyAlignment="1">
      <alignment horizontal="center"/>
    </xf>
    <xf numFmtId="0" fontId="0" fillId="0" borderId="1" xfId="0" applyBorder="1" applyAlignment="1">
      <alignment vertical="top" wrapText="1"/>
    </xf>
    <xf numFmtId="0" fontId="0" fillId="0" borderId="3" xfId="0" quotePrefix="1" applyBorder="1" applyAlignment="1">
      <alignment horizontal="center"/>
    </xf>
    <xf numFmtId="0" fontId="11" fillId="6" borderId="1" xfId="0" quotePrefix="1" applyFont="1" applyFill="1" applyBorder="1" applyAlignment="1">
      <alignment horizontal="center"/>
    </xf>
    <xf numFmtId="0" fontId="0" fillId="6" borderId="1" xfId="0" quotePrefix="1" applyFill="1" applyBorder="1" applyAlignment="1">
      <alignment horizontal="center"/>
    </xf>
    <xf numFmtId="0" fontId="0" fillId="0" borderId="3" xfId="0" applyBorder="1" applyAlignment="1">
      <alignment vertical="top" wrapText="1"/>
    </xf>
    <xf numFmtId="0" fontId="11" fillId="6" borderId="3" xfId="0" quotePrefix="1" applyFont="1" applyFill="1" applyBorder="1" applyAlignment="1">
      <alignment horizontal="right"/>
    </xf>
    <xf numFmtId="0" fontId="11" fillId="6" borderId="2" xfId="0" quotePrefix="1" applyFont="1" applyFill="1" applyBorder="1" applyAlignment="1">
      <alignment horizontal="right"/>
    </xf>
    <xf numFmtId="0" fontId="11" fillId="6" borderId="1" xfId="0" quotePrefix="1" applyFont="1" applyFill="1" applyBorder="1" applyAlignment="1">
      <alignment horizontal="right"/>
    </xf>
    <xf numFmtId="0" fontId="0" fillId="3" borderId="4" xfId="0" applyFill="1" applyBorder="1" applyAlignment="1">
      <alignment horizontal="center"/>
    </xf>
    <xf numFmtId="0" fontId="0" fillId="3" borderId="1" xfId="0" applyFill="1" applyBorder="1" applyAlignment="1">
      <alignment horizontal="center"/>
    </xf>
    <xf numFmtId="0" fontId="11" fillId="6" borderId="4" xfId="0" quotePrefix="1" applyFont="1" applyFill="1" applyBorder="1" applyAlignment="1">
      <alignment horizontal="right"/>
    </xf>
    <xf numFmtId="0" fontId="6" fillId="0" borderId="0" xfId="0" quotePrefix="1" applyFont="1" applyAlignment="1">
      <alignment horizontal="center" vertical="top"/>
    </xf>
    <xf numFmtId="0" fontId="6" fillId="0" borderId="0" xfId="0" applyFont="1" applyAlignment="1">
      <alignment horizontal="center" vertical="center" wrapText="1"/>
    </xf>
    <xf numFmtId="0" fontId="6" fillId="0" borderId="0" xfId="0" applyFont="1" applyAlignment="1">
      <alignment horizontal="center"/>
    </xf>
    <xf numFmtId="0" fontId="6" fillId="0" borderId="1" xfId="0" applyFont="1" applyBorder="1" applyAlignment="1">
      <alignment vertical="center"/>
    </xf>
    <xf numFmtId="0" fontId="6" fillId="0" borderId="1" xfId="0" applyFont="1" applyBorder="1" applyAlignment="1">
      <alignment wrapText="1"/>
    </xf>
    <xf numFmtId="0" fontId="6" fillId="0" borderId="1" xfId="0" applyFont="1" applyBorder="1" applyAlignment="1">
      <alignment vertical="top"/>
    </xf>
    <xf numFmtId="0" fontId="6" fillId="0" borderId="0" xfId="0" quotePrefix="1" applyFont="1" applyAlignment="1">
      <alignment horizontal="center"/>
    </xf>
    <xf numFmtId="0" fontId="7" fillId="0" borderId="0" xfId="0" applyFont="1" applyAlignment="1">
      <alignment vertical="center" wrapText="1"/>
    </xf>
    <xf numFmtId="0" fontId="9" fillId="0" borderId="0" xfId="0" applyFont="1" applyAlignment="1">
      <alignment horizontal="center" vertical="center" wrapText="1"/>
    </xf>
    <xf numFmtId="0" fontId="6" fillId="0" borderId="0" xfId="0" applyFont="1" applyAlignment="1">
      <alignment horizontal="center" vertical="top" wrapText="1"/>
    </xf>
    <xf numFmtId="0" fontId="6" fillId="0" borderId="0" xfId="0" applyFont="1" applyAlignment="1">
      <alignment horizontal="center" vertical="top"/>
    </xf>
    <xf numFmtId="0" fontId="6" fillId="7" borderId="1" xfId="0" applyFont="1" applyFill="1" applyBorder="1" applyAlignment="1" applyProtection="1">
      <alignment vertical="center" wrapText="1"/>
      <protection locked="0"/>
    </xf>
    <xf numFmtId="0" fontId="6" fillId="0" borderId="0" xfId="0" applyFont="1" applyProtection="1">
      <protection locked="0"/>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1" fontId="6" fillId="0" borderId="21" xfId="0" applyNumberFormat="1" applyFont="1" applyBorder="1" applyAlignment="1">
      <alignment horizontal="center" vertical="center" shrinkToFit="1"/>
    </xf>
    <xf numFmtId="0" fontId="6" fillId="3" borderId="1" xfId="0" applyFont="1" applyFill="1" applyBorder="1" applyAlignment="1" applyProtection="1">
      <alignment horizontal="center" vertical="center" wrapText="1"/>
      <protection locked="0"/>
    </xf>
    <xf numFmtId="1" fontId="6" fillId="3" borderId="1" xfId="0" applyNumberFormat="1" applyFont="1" applyFill="1" applyBorder="1" applyAlignment="1" applyProtection="1">
      <alignment horizontal="center" vertical="top" shrinkToFit="1"/>
      <protection locked="0"/>
    </xf>
    <xf numFmtId="0" fontId="6" fillId="3" borderId="1" xfId="0" applyFont="1" applyFill="1" applyBorder="1" applyAlignment="1" applyProtection="1">
      <alignment horizontal="center" vertical="center"/>
      <protection locked="0"/>
    </xf>
    <xf numFmtId="0" fontId="6" fillId="0" borderId="0" xfId="0" applyFont="1" applyAlignment="1">
      <alignment vertical="center" wrapText="1"/>
    </xf>
    <xf numFmtId="0" fontId="6" fillId="4" borderId="1" xfId="0" applyFont="1" applyFill="1" applyBorder="1" applyAlignment="1">
      <alignment vertical="center" wrapText="1"/>
    </xf>
    <xf numFmtId="0" fontId="27" fillId="0" borderId="16" xfId="0" applyFont="1" applyBorder="1" applyAlignment="1">
      <alignment horizontal="center" vertical="center"/>
    </xf>
    <xf numFmtId="10" fontId="28" fillId="0" borderId="15" xfId="0" applyNumberFormat="1" applyFont="1" applyBorder="1" applyAlignment="1">
      <alignment horizontal="center" vertical="center"/>
    </xf>
    <xf numFmtId="10" fontId="28" fillId="0" borderId="39" xfId="0" applyNumberFormat="1" applyFont="1" applyBorder="1" applyAlignment="1">
      <alignment horizontal="center" vertical="center"/>
    </xf>
    <xf numFmtId="0" fontId="14" fillId="0" borderId="0" xfId="0" applyFont="1"/>
    <xf numFmtId="0" fontId="13" fillId="0" borderId="0" xfId="0" applyFont="1" applyProtection="1">
      <protection locked="0"/>
    </xf>
    <xf numFmtId="0" fontId="13" fillId="0" borderId="0" xfId="0" applyFont="1" applyAlignment="1" applyProtection="1">
      <alignment horizontal="center"/>
      <protection locked="0"/>
    </xf>
    <xf numFmtId="0" fontId="14" fillId="0" borderId="0" xfId="0" applyFont="1" applyProtection="1">
      <protection locked="0"/>
    </xf>
    <xf numFmtId="0" fontId="15" fillId="8" borderId="8" xfId="0" applyFont="1" applyFill="1" applyBorder="1" applyAlignment="1" applyProtection="1">
      <alignment horizontal="center" vertical="center"/>
      <protection locked="0"/>
    </xf>
    <xf numFmtId="0" fontId="15" fillId="8" borderId="9" xfId="0" applyFont="1" applyFill="1" applyBorder="1" applyAlignment="1" applyProtection="1">
      <alignment horizontal="center" vertical="center"/>
      <protection locked="0"/>
    </xf>
    <xf numFmtId="0" fontId="15" fillId="7" borderId="9" xfId="0" applyFont="1" applyFill="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16" fillId="0" borderId="10" xfId="0" applyFont="1" applyBorder="1" applyAlignment="1" applyProtection="1">
      <alignment horizontal="center"/>
      <protection locked="0"/>
    </xf>
    <xf numFmtId="0" fontId="14" fillId="0" borderId="14" xfId="0" applyFont="1" applyBorder="1" applyAlignment="1" applyProtection="1">
      <alignment vertical="center"/>
      <protection locked="0"/>
    </xf>
    <xf numFmtId="0" fontId="16" fillId="0" borderId="11" xfId="0" applyFont="1" applyBorder="1" applyAlignment="1" applyProtection="1">
      <alignment horizontal="center"/>
      <protection locked="0"/>
    </xf>
    <xf numFmtId="0" fontId="14" fillId="0" borderId="12" xfId="0" applyFont="1" applyBorder="1" applyAlignment="1" applyProtection="1">
      <alignment vertical="center"/>
      <protection locked="0"/>
    </xf>
    <xf numFmtId="0" fontId="16" fillId="0" borderId="38" xfId="0" applyFont="1" applyBorder="1" applyAlignment="1" applyProtection="1">
      <alignment horizontal="center"/>
      <protection locked="0"/>
    </xf>
    <xf numFmtId="0" fontId="14" fillId="0" borderId="15" xfId="0" applyFont="1" applyBorder="1" applyAlignment="1" applyProtection="1">
      <alignment vertical="center"/>
      <protection locked="0"/>
    </xf>
    <xf numFmtId="0" fontId="26" fillId="0" borderId="0" xfId="0" applyFont="1" applyAlignment="1" applyProtection="1">
      <alignment horizontal="center"/>
      <protection locked="0"/>
    </xf>
    <xf numFmtId="0" fontId="14" fillId="0" borderId="0" xfId="0" applyFont="1" applyAlignment="1" applyProtection="1">
      <alignment horizontal="center"/>
      <protection locked="0"/>
    </xf>
    <xf numFmtId="0" fontId="27" fillId="0" borderId="16" xfId="0" applyFont="1" applyBorder="1" applyAlignment="1" applyProtection="1">
      <alignment horizontal="center" vertical="center"/>
      <protection hidden="1"/>
    </xf>
    <xf numFmtId="0" fontId="14" fillId="0" borderId="0" xfId="0" applyFont="1" applyProtection="1">
      <protection hidden="1"/>
    </xf>
    <xf numFmtId="1" fontId="6" fillId="3" borderId="1" xfId="0" applyNumberFormat="1" applyFont="1" applyFill="1" applyBorder="1" applyAlignment="1">
      <alignment horizontal="center" vertical="top" shrinkToFit="1"/>
    </xf>
    <xf numFmtId="1" fontId="6" fillId="3" borderId="3" xfId="0" applyNumberFormat="1" applyFont="1" applyFill="1" applyBorder="1" applyAlignment="1">
      <alignment horizontal="center" vertical="top" shrinkToFit="1"/>
    </xf>
    <xf numFmtId="0" fontId="6"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0" fillId="0" borderId="1" xfId="0" quotePrefix="1" applyBorder="1" applyAlignment="1">
      <alignment horizontal="center" vertical="center"/>
    </xf>
    <xf numFmtId="0" fontId="6" fillId="0" borderId="43" xfId="0" applyFont="1" applyBorder="1" applyAlignment="1">
      <alignment vertical="center" wrapText="1"/>
    </xf>
    <xf numFmtId="0" fontId="6" fillId="0" borderId="44" xfId="0" applyFont="1" applyBorder="1" applyAlignment="1">
      <alignment vertical="center" wrapText="1"/>
    </xf>
    <xf numFmtId="0" fontId="6" fillId="0" borderId="3" xfId="0" applyFont="1" applyBorder="1" applyAlignment="1">
      <alignment horizontal="center" vertical="top" wrapText="1"/>
    </xf>
    <xf numFmtId="0" fontId="6" fillId="0" borderId="3" xfId="0" applyFont="1" applyBorder="1" applyAlignment="1">
      <alignment horizontal="center" vertical="top"/>
    </xf>
    <xf numFmtId="0" fontId="0" fillId="4" borderId="1" xfId="0" applyFill="1" applyBorder="1"/>
    <xf numFmtId="0" fontId="6" fillId="0" borderId="45" xfId="0" applyFont="1" applyBorder="1" applyAlignment="1">
      <alignment horizontal="center" vertical="top" wrapText="1"/>
    </xf>
    <xf numFmtId="0" fontId="8" fillId="0" borderId="0" xfId="0" applyFont="1" applyAlignment="1">
      <alignment vertical="center" wrapText="1"/>
    </xf>
    <xf numFmtId="0" fontId="9" fillId="0" borderId="3" xfId="0" applyFont="1" applyBorder="1" applyAlignment="1">
      <alignment horizontal="center" vertical="center" wrapText="1"/>
    </xf>
    <xf numFmtId="16" fontId="6" fillId="0" borderId="0" xfId="0" quotePrefix="1" applyNumberFormat="1" applyFont="1" applyAlignment="1">
      <alignment horizontal="center"/>
    </xf>
    <xf numFmtId="0" fontId="0" fillId="5" borderId="46" xfId="0" applyFill="1" applyBorder="1"/>
    <xf numFmtId="0" fontId="0" fillId="0" borderId="46" xfId="0" applyBorder="1"/>
    <xf numFmtId="0" fontId="6" fillId="0" borderId="1" xfId="0" quotePrefix="1" applyFont="1" applyBorder="1" applyAlignment="1">
      <alignment horizontal="left"/>
    </xf>
    <xf numFmtId="0" fontId="7" fillId="0" borderId="3" xfId="0" applyFont="1" applyBorder="1" applyAlignment="1">
      <alignment vertical="center" wrapText="1"/>
    </xf>
    <xf numFmtId="0" fontId="8" fillId="0" borderId="3" xfId="0" applyFont="1" applyBorder="1" applyAlignment="1">
      <alignment vertical="center" wrapText="1"/>
    </xf>
    <xf numFmtId="0" fontId="5" fillId="0" borderId="0" xfId="0" applyFont="1" applyAlignment="1">
      <alignment vertical="center" wrapText="1"/>
    </xf>
    <xf numFmtId="0" fontId="6" fillId="10" borderId="0" xfId="0" applyFont="1" applyFill="1" applyAlignment="1">
      <alignment horizontal="center" vertical="center"/>
    </xf>
    <xf numFmtId="0" fontId="5" fillId="0" borderId="1" xfId="0" quotePrefix="1" applyFont="1" applyBorder="1" applyAlignment="1">
      <alignment horizontal="center"/>
    </xf>
    <xf numFmtId="0" fontId="5" fillId="0" borderId="1" xfId="0" applyFont="1" applyBorder="1" applyAlignment="1">
      <alignment horizontal="left" vertical="center"/>
    </xf>
    <xf numFmtId="0" fontId="5" fillId="0" borderId="1" xfId="0" quotePrefix="1" applyFont="1" applyBorder="1" applyAlignment="1">
      <alignment horizontal="center" vertical="top"/>
    </xf>
    <xf numFmtId="0" fontId="5" fillId="0" borderId="1" xfId="0" applyFont="1" applyBorder="1" applyAlignment="1">
      <alignment horizontal="center" vertical="center"/>
    </xf>
    <xf numFmtId="0" fontId="5" fillId="0" borderId="4" xfId="0" applyFont="1" applyBorder="1" applyAlignment="1">
      <alignment horizontal="center" vertical="top"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45" xfId="0" applyFont="1" applyBorder="1" applyAlignment="1">
      <alignment horizontal="center" vertical="top" wrapText="1"/>
    </xf>
    <xf numFmtId="0" fontId="5" fillId="0" borderId="0" xfId="0" applyFont="1" applyAlignment="1">
      <alignment horizontal="center" vertical="center"/>
    </xf>
    <xf numFmtId="0" fontId="5" fillId="0" borderId="0" xfId="0" quotePrefix="1" applyFont="1" applyAlignment="1">
      <alignment horizontal="center"/>
    </xf>
    <xf numFmtId="0" fontId="5" fillId="0" borderId="0" xfId="0" applyFont="1" applyAlignment="1">
      <alignment horizontal="center" vertical="center" wrapText="1"/>
    </xf>
    <xf numFmtId="0" fontId="5" fillId="0" borderId="0" xfId="0" applyFont="1" applyAlignment="1">
      <alignment horizontal="center" vertical="top" wrapText="1"/>
    </xf>
    <xf numFmtId="0" fontId="5" fillId="0" borderId="1" xfId="0" quotePrefix="1" applyFont="1" applyBorder="1" applyAlignment="1">
      <alignment horizontal="left"/>
    </xf>
    <xf numFmtId="0" fontId="5" fillId="3" borderId="1" xfId="0" applyFont="1" applyFill="1" applyBorder="1" applyAlignment="1">
      <alignment horizontal="center" vertical="center"/>
    </xf>
    <xf numFmtId="0" fontId="5" fillId="0" borderId="1" xfId="0" applyFont="1" applyBorder="1" applyAlignment="1">
      <alignment horizontal="center" vertical="top"/>
    </xf>
    <xf numFmtId="0" fontId="5" fillId="0" borderId="3" xfId="0" applyFont="1" applyBorder="1" applyAlignment="1">
      <alignment horizontal="center" vertical="top"/>
    </xf>
    <xf numFmtId="0" fontId="5" fillId="0" borderId="1" xfId="0" applyFont="1" applyBorder="1" applyAlignment="1">
      <alignment horizontal="center" vertical="top" wrapText="1"/>
    </xf>
    <xf numFmtId="0" fontId="35" fillId="0" borderId="0" xfId="0" applyFont="1" applyAlignment="1">
      <alignment horizontal="left" vertical="top"/>
    </xf>
    <xf numFmtId="0" fontId="5" fillId="0" borderId="0" xfId="0" applyFont="1"/>
    <xf numFmtId="0" fontId="6" fillId="10" borderId="1" xfId="0" applyFont="1" applyFill="1" applyBorder="1" applyAlignment="1">
      <alignment horizontal="center" vertical="center" wrapText="1"/>
    </xf>
    <xf numFmtId="0" fontId="9" fillId="0" borderId="1" xfId="0" quotePrefix="1" applyFont="1" applyBorder="1" applyAlignment="1">
      <alignment horizontal="center"/>
    </xf>
    <xf numFmtId="0" fontId="3" fillId="0" borderId="1" xfId="0" quotePrefix="1" applyFont="1" applyBorder="1" applyAlignment="1">
      <alignment horizontal="center"/>
    </xf>
    <xf numFmtId="0" fontId="3" fillId="0" borderId="1" xfId="0" applyFont="1" applyBorder="1"/>
    <xf numFmtId="0" fontId="9" fillId="0" borderId="3" xfId="0" quotePrefix="1" applyFont="1" applyBorder="1" applyAlignment="1">
      <alignment horizontal="center"/>
    </xf>
    <xf numFmtId="0" fontId="36" fillId="0" borderId="0" xfId="0" applyFont="1"/>
    <xf numFmtId="0" fontId="9" fillId="0" borderId="1" xfId="0" applyFont="1" applyBorder="1" applyAlignment="1">
      <alignment vertical="center" wrapText="1"/>
    </xf>
    <xf numFmtId="0" fontId="37" fillId="0" borderId="1" xfId="0" applyFont="1" applyBorder="1" applyAlignment="1">
      <alignment vertical="center" wrapText="1"/>
    </xf>
    <xf numFmtId="0" fontId="40" fillId="0" borderId="1" xfId="0" applyFont="1" applyBorder="1" applyAlignment="1">
      <alignment vertical="center" wrapText="1"/>
    </xf>
    <xf numFmtId="0" fontId="41" fillId="0" borderId="1" xfId="0" applyFont="1" applyBorder="1" applyAlignment="1">
      <alignment vertical="center" wrapText="1"/>
    </xf>
    <xf numFmtId="0" fontId="9" fillId="0" borderId="1" xfId="0" applyFont="1" applyBorder="1" applyAlignment="1">
      <alignment horizontal="center" vertical="center"/>
    </xf>
    <xf numFmtId="0" fontId="6" fillId="0" borderId="0" xfId="0" applyFont="1" applyAlignment="1">
      <alignment horizontal="left" vertical="center"/>
    </xf>
    <xf numFmtId="0" fontId="36" fillId="10" borderId="0" xfId="0" applyFont="1" applyFill="1" applyAlignment="1" applyProtection="1">
      <alignment horizontal="center" vertical="center" wrapText="1"/>
      <protection locked="0"/>
    </xf>
    <xf numFmtId="0" fontId="6" fillId="10" borderId="0" xfId="0" applyFont="1" applyFill="1" applyAlignment="1" applyProtection="1">
      <alignment horizontal="center" vertical="center" wrapText="1"/>
      <protection locked="0"/>
    </xf>
    <xf numFmtId="0" fontId="6" fillId="10" borderId="1" xfId="0" applyFont="1" applyFill="1" applyBorder="1" applyAlignment="1">
      <alignment vertical="center" wrapText="1"/>
    </xf>
    <xf numFmtId="0" fontId="6" fillId="10" borderId="1" xfId="0" applyFont="1" applyFill="1" applyBorder="1" applyAlignment="1">
      <alignment horizontal="center"/>
    </xf>
    <xf numFmtId="164" fontId="6" fillId="10" borderId="1" xfId="0" applyNumberFormat="1" applyFont="1" applyFill="1" applyBorder="1" applyAlignment="1">
      <alignment horizontal="center" vertical="center" wrapText="1"/>
    </xf>
    <xf numFmtId="0" fontId="6" fillId="10" borderId="1" xfId="0" applyFont="1" applyFill="1" applyBorder="1" applyAlignment="1">
      <alignment horizontal="center" vertical="top" wrapText="1"/>
    </xf>
    <xf numFmtId="0" fontId="6" fillId="10" borderId="4" xfId="0" applyFont="1" applyFill="1" applyBorder="1" applyAlignment="1">
      <alignment horizontal="center" vertical="top" wrapText="1"/>
    </xf>
    <xf numFmtId="0" fontId="9" fillId="10" borderId="1" xfId="0" applyFont="1" applyFill="1" applyBorder="1" applyAlignment="1">
      <alignment horizontal="center" vertical="center" wrapText="1"/>
    </xf>
    <xf numFmtId="0" fontId="6" fillId="11" borderId="1" xfId="0" applyFont="1" applyFill="1" applyBorder="1" applyAlignment="1">
      <alignment horizontal="left" vertical="center"/>
    </xf>
    <xf numFmtId="0" fontId="20" fillId="7" borderId="40" xfId="0" applyFont="1" applyFill="1" applyBorder="1" applyAlignment="1" applyProtection="1">
      <alignment vertical="top" wrapText="1" readingOrder="1"/>
      <protection locked="0"/>
    </xf>
    <xf numFmtId="0" fontId="20" fillId="7" borderId="24" xfId="0" applyFont="1" applyFill="1" applyBorder="1" applyAlignment="1" applyProtection="1">
      <alignment vertical="top" wrapText="1" readingOrder="1"/>
      <protection locked="0"/>
    </xf>
    <xf numFmtId="0" fontId="14" fillId="7" borderId="40" xfId="0" applyFont="1" applyFill="1" applyBorder="1" applyAlignment="1" applyProtection="1">
      <alignment horizontal="center" vertical="top" wrapText="1"/>
      <protection locked="0"/>
    </xf>
    <xf numFmtId="18" fontId="18" fillId="7" borderId="24" xfId="2" applyNumberFormat="1" applyFont="1" applyFill="1" applyBorder="1" applyAlignment="1" applyProtection="1">
      <alignment horizontal="center"/>
      <protection locked="0"/>
    </xf>
    <xf numFmtId="0" fontId="18" fillId="7" borderId="41" xfId="2" applyFont="1" applyFill="1" applyBorder="1" applyAlignment="1" applyProtection="1">
      <alignment horizontal="center" vertical="center" wrapText="1"/>
      <protection locked="0"/>
    </xf>
    <xf numFmtId="0" fontId="20" fillId="7" borderId="23" xfId="0" applyFont="1" applyFill="1" applyBorder="1" applyAlignment="1" applyProtection="1">
      <alignment vertical="top" wrapText="1" readingOrder="1"/>
      <protection locked="0"/>
    </xf>
    <xf numFmtId="0" fontId="20" fillId="7" borderId="22" xfId="0" applyFont="1" applyFill="1" applyBorder="1" applyAlignment="1" applyProtection="1">
      <alignment vertical="top" wrapText="1" readingOrder="1"/>
      <protection locked="0"/>
    </xf>
    <xf numFmtId="0" fontId="14" fillId="7" borderId="23" xfId="0" applyFont="1" applyFill="1" applyBorder="1" applyAlignment="1" applyProtection="1">
      <alignment horizontal="center" vertical="top" wrapText="1"/>
      <protection locked="0"/>
    </xf>
    <xf numFmtId="18" fontId="18" fillId="7" borderId="22" xfId="2" applyNumberFormat="1" applyFont="1" applyFill="1" applyBorder="1" applyAlignment="1" applyProtection="1">
      <alignment horizontal="center"/>
      <protection locked="0"/>
    </xf>
    <xf numFmtId="18" fontId="20" fillId="7" borderId="22" xfId="2" applyNumberFormat="1" applyFont="1" applyFill="1" applyBorder="1" applyAlignment="1" applyProtection="1">
      <alignment horizontal="center"/>
      <protection locked="0"/>
    </xf>
    <xf numFmtId="0" fontId="20" fillId="7" borderId="28" xfId="0" applyFont="1" applyFill="1" applyBorder="1" applyAlignment="1" applyProtection="1">
      <alignment vertical="top" wrapText="1" readingOrder="1"/>
      <protection locked="0"/>
    </xf>
    <xf numFmtId="0" fontId="20" fillId="7" borderId="27" xfId="0" applyFont="1" applyFill="1" applyBorder="1" applyAlignment="1" applyProtection="1">
      <alignment vertical="top" wrapText="1" readingOrder="1"/>
      <protection locked="0"/>
    </xf>
    <xf numFmtId="0" fontId="14" fillId="7" borderId="28" xfId="0" applyFont="1" applyFill="1" applyBorder="1" applyAlignment="1" applyProtection="1">
      <alignment horizontal="center" vertical="top" wrapText="1"/>
      <protection locked="0"/>
    </xf>
    <xf numFmtId="18" fontId="18" fillId="7" borderId="27" xfId="2" applyNumberFormat="1" applyFont="1" applyFill="1" applyBorder="1" applyAlignment="1" applyProtection="1">
      <alignment horizontal="center"/>
      <protection locked="0"/>
    </xf>
    <xf numFmtId="0" fontId="18" fillId="7" borderId="42" xfId="2" applyFont="1" applyFill="1" applyBorder="1" applyAlignment="1" applyProtection="1">
      <alignment horizontal="center" vertical="center" wrapText="1"/>
      <protection locked="0"/>
    </xf>
    <xf numFmtId="0" fontId="20" fillId="7" borderId="32" xfId="0" applyFont="1" applyFill="1" applyBorder="1" applyAlignment="1" applyProtection="1">
      <alignment vertical="top" wrapText="1" readingOrder="1"/>
      <protection locked="0"/>
    </xf>
    <xf numFmtId="0" fontId="20" fillId="7" borderId="31" xfId="0" applyFont="1" applyFill="1" applyBorder="1" applyAlignment="1" applyProtection="1">
      <alignment vertical="top" wrapText="1" readingOrder="1"/>
      <protection locked="0"/>
    </xf>
    <xf numFmtId="0" fontId="14" fillId="7" borderId="32" xfId="0" applyFont="1" applyFill="1" applyBorder="1" applyAlignment="1" applyProtection="1">
      <alignment horizontal="center" vertical="top" wrapText="1"/>
      <protection locked="0"/>
    </xf>
    <xf numFmtId="18" fontId="18" fillId="7" borderId="31" xfId="2" applyNumberFormat="1" applyFont="1" applyFill="1" applyBorder="1" applyAlignment="1" applyProtection="1">
      <alignment horizontal="center"/>
      <protection locked="0"/>
    </xf>
    <xf numFmtId="18" fontId="18" fillId="7" borderId="24" xfId="2" quotePrefix="1" applyNumberFormat="1" applyFont="1" applyFill="1" applyBorder="1" applyAlignment="1" applyProtection="1">
      <alignment horizontal="center"/>
      <protection locked="0"/>
    </xf>
    <xf numFmtId="0" fontId="18" fillId="7" borderId="24" xfId="2" applyFont="1" applyFill="1" applyBorder="1" applyAlignment="1" applyProtection="1">
      <alignment horizontal="center"/>
      <protection locked="0"/>
    </xf>
    <xf numFmtId="0" fontId="18" fillId="7" borderId="25" xfId="2" applyFont="1" applyFill="1" applyBorder="1" applyAlignment="1" applyProtection="1">
      <alignment horizontal="left"/>
      <protection locked="0"/>
    </xf>
    <xf numFmtId="0" fontId="18" fillId="7" borderId="22" xfId="2" applyFont="1" applyFill="1" applyBorder="1" applyAlignment="1" applyProtection="1">
      <alignment horizontal="center"/>
      <protection locked="0"/>
    </xf>
    <xf numFmtId="0" fontId="18" fillId="7" borderId="26" xfId="2" applyFont="1" applyFill="1" applyBorder="1" applyAlignment="1" applyProtection="1">
      <alignment horizontal="left"/>
      <protection locked="0"/>
    </xf>
    <xf numFmtId="0" fontId="21" fillId="7" borderId="26" xfId="2" applyFont="1" applyFill="1" applyBorder="1" applyAlignment="1" applyProtection="1">
      <alignment horizontal="left"/>
      <protection locked="0"/>
    </xf>
    <xf numFmtId="18" fontId="18" fillId="7" borderId="29" xfId="2" quotePrefix="1" applyNumberFormat="1" applyFont="1" applyFill="1" applyBorder="1" applyAlignment="1" applyProtection="1">
      <alignment horizontal="center"/>
      <protection locked="0"/>
    </xf>
    <xf numFmtId="0" fontId="18" fillId="7" borderId="27" xfId="2" applyFont="1" applyFill="1" applyBorder="1" applyAlignment="1" applyProtection="1">
      <alignment horizontal="center"/>
      <protection locked="0"/>
    </xf>
    <xf numFmtId="0" fontId="18" fillId="7" borderId="30" xfId="2" applyFont="1" applyFill="1" applyBorder="1" applyAlignment="1" applyProtection="1">
      <alignment horizontal="left"/>
      <protection locked="0"/>
    </xf>
    <xf numFmtId="18" fontId="18" fillId="7" borderId="33" xfId="2" quotePrefix="1" applyNumberFormat="1" applyFont="1" applyFill="1" applyBorder="1" applyAlignment="1" applyProtection="1">
      <alignment horizontal="center"/>
      <protection locked="0"/>
    </xf>
    <xf numFmtId="0" fontId="18" fillId="7" borderId="31" xfId="2" applyFont="1" applyFill="1" applyBorder="1" applyAlignment="1" applyProtection="1">
      <alignment horizontal="center"/>
      <protection locked="0"/>
    </xf>
    <xf numFmtId="0" fontId="18" fillId="7" borderId="34" xfId="2" applyFont="1" applyFill="1" applyBorder="1" applyAlignment="1" applyProtection="1">
      <alignment horizontal="left"/>
      <protection locked="0"/>
    </xf>
    <xf numFmtId="0" fontId="19" fillId="12" borderId="17" xfId="2" applyFont="1" applyFill="1" applyBorder="1" applyAlignment="1" applyProtection="1">
      <alignment horizontal="center" vertical="center" wrapText="1"/>
      <protection locked="0"/>
    </xf>
    <xf numFmtId="0" fontId="19" fillId="12" borderId="18" xfId="2" applyFont="1" applyFill="1" applyBorder="1" applyAlignment="1" applyProtection="1">
      <alignment horizontal="center" vertical="center" wrapText="1"/>
      <protection locked="0"/>
    </xf>
    <xf numFmtId="0" fontId="19" fillId="12" borderId="8" xfId="2" applyFont="1" applyFill="1" applyBorder="1" applyAlignment="1" applyProtection="1">
      <alignment horizontal="center" vertical="center" wrapText="1"/>
      <protection locked="0"/>
    </xf>
    <xf numFmtId="0" fontId="6" fillId="7" borderId="1" xfId="0" applyFont="1" applyFill="1" applyBorder="1" applyAlignment="1">
      <alignment vertical="center" wrapText="1"/>
    </xf>
    <xf numFmtId="0" fontId="6" fillId="4" borderId="0" xfId="0" applyFont="1" applyFill="1" applyAlignment="1">
      <alignment vertical="center" wrapText="1"/>
    </xf>
    <xf numFmtId="0" fontId="5" fillId="10" borderId="1" xfId="0" applyFont="1" applyFill="1" applyBorder="1" applyAlignment="1">
      <alignment vertical="center" wrapText="1"/>
    </xf>
    <xf numFmtId="0" fontId="8" fillId="0" borderId="0" xfId="0" applyFont="1" applyAlignment="1">
      <alignment vertical="center"/>
    </xf>
    <xf numFmtId="0" fontId="11" fillId="0" borderId="4" xfId="0" applyFont="1" applyBorder="1" applyAlignment="1">
      <alignment horizontal="center"/>
    </xf>
    <xf numFmtId="0" fontId="44" fillId="0" borderId="0" xfId="0" applyFont="1"/>
    <xf numFmtId="0" fontId="45" fillId="0" borderId="0" xfId="0" applyFont="1"/>
    <xf numFmtId="0" fontId="46" fillId="0" borderId="0" xfId="0" applyFont="1"/>
    <xf numFmtId="165" fontId="46" fillId="7" borderId="0" xfId="0" applyNumberFormat="1" applyFont="1" applyFill="1" applyAlignment="1" applyProtection="1">
      <alignment horizontal="center" vertical="center"/>
      <protection locked="0"/>
    </xf>
    <xf numFmtId="0" fontId="47" fillId="0" borderId="0" xfId="0" applyFont="1" applyAlignment="1">
      <alignment horizontal="left" indent="1"/>
    </xf>
    <xf numFmtId="0" fontId="45" fillId="8" borderId="0" xfId="0" applyFont="1" applyFill="1" applyAlignment="1">
      <alignment horizontal="center" vertical="center"/>
    </xf>
    <xf numFmtId="0" fontId="46" fillId="0" borderId="0" xfId="0" applyFont="1" applyAlignment="1">
      <alignment horizontal="left" indent="1"/>
    </xf>
    <xf numFmtId="0" fontId="47" fillId="0" borderId="0" xfId="0" applyFont="1"/>
    <xf numFmtId="0" fontId="46" fillId="0" borderId="0" xfId="0" applyFont="1" applyAlignment="1">
      <alignment horizontal="center" vertical="center"/>
    </xf>
    <xf numFmtId="0" fontId="46" fillId="0" borderId="0" xfId="0" applyFont="1" applyAlignment="1">
      <alignment horizontal="center"/>
    </xf>
    <xf numFmtId="0" fontId="46" fillId="7" borderId="0" xfId="0" applyFont="1" applyFill="1" applyAlignment="1" applyProtection="1">
      <alignment horizontal="center" vertical="center"/>
      <protection locked="0"/>
    </xf>
    <xf numFmtId="0" fontId="11" fillId="14" borderId="1" xfId="0" applyFont="1" applyFill="1" applyBorder="1" applyAlignment="1">
      <alignment horizontal="center" vertical="center"/>
    </xf>
    <xf numFmtId="0" fontId="11" fillId="14"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0" fillId="0" borderId="4" xfId="0" quotePrefix="1" applyBorder="1" applyAlignment="1">
      <alignment horizontal="center" vertical="center"/>
    </xf>
    <xf numFmtId="0" fontId="0" fillId="0" borderId="1" xfId="0" applyBorder="1" applyAlignment="1">
      <alignment horizontal="center" vertical="center"/>
    </xf>
    <xf numFmtId="0" fontId="11" fillId="0" borderId="7" xfId="0" applyFont="1" applyBorder="1"/>
    <xf numFmtId="0" fontId="11" fillId="0" borderId="19" xfId="0" applyFont="1" applyBorder="1"/>
    <xf numFmtId="0" fontId="11" fillId="0" borderId="4" xfId="0" applyFont="1" applyBorder="1"/>
    <xf numFmtId="0" fontId="0" fillId="0" borderId="3" xfId="0" applyBorder="1" applyAlignment="1">
      <alignment horizontal="center"/>
    </xf>
    <xf numFmtId="0" fontId="0" fillId="0" borderId="7" xfId="0" applyBorder="1" applyAlignment="1">
      <alignment horizontal="center"/>
    </xf>
    <xf numFmtId="16" fontId="0" fillId="0" borderId="1" xfId="0" quotePrefix="1" applyNumberFormat="1" applyBorder="1" applyAlignment="1">
      <alignment horizontal="center"/>
    </xf>
    <xf numFmtId="0" fontId="0" fillId="7" borderId="7" xfId="0" applyFill="1" applyBorder="1" applyAlignment="1" applyProtection="1">
      <alignment horizontal="center" vertical="center"/>
      <protection locked="0"/>
    </xf>
    <xf numFmtId="0" fontId="11" fillId="0" borderId="19" xfId="0" applyFont="1" applyBorder="1" applyAlignment="1">
      <alignment horizontal="center"/>
    </xf>
    <xf numFmtId="0" fontId="6" fillId="0" borderId="2"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3" xfId="0" applyFont="1" applyBorder="1" applyAlignment="1">
      <alignment horizontal="center" vertical="center" wrapText="1"/>
    </xf>
    <xf numFmtId="0" fontId="26" fillId="15" borderId="0" xfId="0" applyFont="1" applyFill="1"/>
    <xf numFmtId="0" fontId="49" fillId="8" borderId="1" xfId="0" applyFont="1" applyFill="1" applyBorder="1" applyAlignment="1">
      <alignment horizontal="center" vertical="center"/>
    </xf>
    <xf numFmtId="0" fontId="14" fillId="0" borderId="12" xfId="0" applyFont="1" applyBorder="1" applyAlignment="1" applyProtection="1">
      <alignment horizontal="center" vertical="center"/>
      <protection locked="0"/>
    </xf>
    <xf numFmtId="0" fontId="14" fillId="0" borderId="14" xfId="0" applyFont="1" applyBorder="1" applyAlignment="1" applyProtection="1">
      <alignment horizontal="center" vertical="center"/>
      <protection locked="0"/>
    </xf>
    <xf numFmtId="0" fontId="14" fillId="0" borderId="15" xfId="0" applyFont="1" applyBorder="1" applyAlignment="1" applyProtection="1">
      <alignment horizontal="center" vertical="center"/>
      <protection locked="0"/>
    </xf>
    <xf numFmtId="10" fontId="28" fillId="0" borderId="15" xfId="0" applyNumberFormat="1" applyFont="1" applyBorder="1" applyAlignment="1" applyProtection="1">
      <alignment horizontal="center" vertical="center"/>
      <protection hidden="1"/>
    </xf>
    <xf numFmtId="0" fontId="0" fillId="15" borderId="0" xfId="0" applyFill="1"/>
    <xf numFmtId="0" fontId="53" fillId="15" borderId="0" xfId="0" applyFont="1" applyFill="1" applyAlignment="1">
      <alignment horizontal="left" vertical="center"/>
    </xf>
    <xf numFmtId="0" fontId="55" fillId="0" borderId="0" xfId="0" applyFont="1"/>
    <xf numFmtId="0" fontId="56" fillId="15" borderId="0" xfId="5" applyFont="1" applyFill="1"/>
    <xf numFmtId="0" fontId="56" fillId="15" borderId="0" xfId="5" applyFont="1" applyFill="1" applyAlignment="1"/>
    <xf numFmtId="0" fontId="11" fillId="0" borderId="1" xfId="0" applyFont="1" applyBorder="1"/>
    <xf numFmtId="0" fontId="14" fillId="0" borderId="1" xfId="0" applyFont="1" applyBorder="1"/>
    <xf numFmtId="0" fontId="14" fillId="0" borderId="1" xfId="0" applyFont="1" applyBorder="1" applyAlignment="1">
      <alignment horizontal="center"/>
    </xf>
    <xf numFmtId="1" fontId="0" fillId="0" borderId="4" xfId="0" applyNumberFormat="1" applyBorder="1" applyAlignment="1">
      <alignment horizontal="center"/>
    </xf>
    <xf numFmtId="1" fontId="0" fillId="0" borderId="4" xfId="0" applyNumberFormat="1" applyBorder="1"/>
    <xf numFmtId="0" fontId="59" fillId="0" borderId="0" xfId="0" applyFont="1"/>
    <xf numFmtId="1" fontId="0" fillId="0" borderId="0" xfId="0" applyNumberFormat="1"/>
    <xf numFmtId="0" fontId="15" fillId="7" borderId="9" xfId="0" applyFont="1" applyFill="1" applyBorder="1" applyAlignment="1">
      <alignment horizontal="center" vertical="center"/>
    </xf>
    <xf numFmtId="0" fontId="0" fillId="6" borderId="4" xfId="0" quotePrefix="1" applyFill="1" applyBorder="1" applyAlignment="1">
      <alignment horizontal="center"/>
    </xf>
    <xf numFmtId="0" fontId="6" fillId="4" borderId="1" xfId="0" applyFont="1" applyFill="1" applyBorder="1" applyAlignment="1" applyProtection="1">
      <alignment vertical="center" wrapText="1"/>
      <protection locked="0"/>
    </xf>
    <xf numFmtId="0" fontId="17" fillId="0" borderId="0" xfId="0" applyFont="1"/>
    <xf numFmtId="0" fontId="14" fillId="0" borderId="50" xfId="0" applyFont="1" applyBorder="1" applyAlignment="1" applyProtection="1">
      <alignment horizontal="center" vertical="center"/>
      <protection locked="0"/>
    </xf>
    <xf numFmtId="0" fontId="14" fillId="0" borderId="51" xfId="0" applyFont="1" applyBorder="1" applyAlignment="1" applyProtection="1">
      <alignment horizontal="center" vertical="center"/>
      <protection locked="0"/>
    </xf>
    <xf numFmtId="0" fontId="14" fillId="0" borderId="52" xfId="0" applyFont="1" applyBorder="1" applyAlignment="1" applyProtection="1">
      <alignment horizontal="center" vertical="center"/>
      <protection locked="0"/>
    </xf>
    <xf numFmtId="10" fontId="28" fillId="0" borderId="16" xfId="0" applyNumberFormat="1" applyFont="1" applyBorder="1" applyAlignment="1" applyProtection="1">
      <alignment horizontal="center" vertical="center"/>
      <protection hidden="1"/>
    </xf>
    <xf numFmtId="10" fontId="28" fillId="0" borderId="53" xfId="0" applyNumberFormat="1" applyFont="1" applyBorder="1" applyAlignment="1" applyProtection="1">
      <alignment horizontal="center" vertical="center"/>
      <protection hidden="1"/>
    </xf>
    <xf numFmtId="0" fontId="48" fillId="4" borderId="0" xfId="0" applyFont="1" applyFill="1"/>
    <xf numFmtId="0" fontId="0" fillId="4" borderId="0" xfId="0" applyFill="1"/>
    <xf numFmtId="0" fontId="49" fillId="4" borderId="1" xfId="0" applyFont="1" applyFill="1" applyBorder="1" applyAlignment="1" applyProtection="1">
      <alignment horizontal="center" vertical="center"/>
      <protection locked="0"/>
    </xf>
    <xf numFmtId="0" fontId="49" fillId="4" borderId="13" xfId="0" applyFont="1" applyFill="1" applyBorder="1" applyAlignment="1">
      <alignment horizontal="center" vertical="center"/>
    </xf>
    <xf numFmtId="0" fontId="49" fillId="4" borderId="48" xfId="0" applyFont="1" applyFill="1" applyBorder="1" applyAlignment="1">
      <alignment horizontal="center" vertical="center"/>
    </xf>
    <xf numFmtId="0" fontId="49" fillId="4" borderId="9" xfId="0" applyFont="1" applyFill="1" applyBorder="1" applyAlignment="1">
      <alignment horizontal="center" vertical="center"/>
    </xf>
    <xf numFmtId="0" fontId="49" fillId="4" borderId="49" xfId="0" applyFont="1" applyFill="1" applyBorder="1" applyAlignment="1">
      <alignment horizontal="center" vertical="center"/>
    </xf>
    <xf numFmtId="0" fontId="50" fillId="4" borderId="1" xfId="0" applyFont="1" applyFill="1" applyBorder="1" applyAlignment="1">
      <alignment horizontal="center"/>
    </xf>
    <xf numFmtId="0" fontId="48" fillId="4" borderId="0" xfId="0" applyFont="1" applyFill="1" applyAlignment="1">
      <alignment horizontal="center" wrapText="1"/>
    </xf>
    <xf numFmtId="0" fontId="49" fillId="4" borderId="1" xfId="0" applyFont="1" applyFill="1" applyBorder="1" applyAlignment="1">
      <alignment horizontal="center" vertical="center"/>
    </xf>
    <xf numFmtId="0" fontId="51" fillId="4" borderId="1" xfId="0" applyFont="1" applyFill="1" applyBorder="1" applyAlignment="1">
      <alignment horizontal="center"/>
    </xf>
    <xf numFmtId="0" fontId="51" fillId="4" borderId="2" xfId="0" applyFont="1" applyFill="1" applyBorder="1" applyAlignment="1">
      <alignment horizontal="center"/>
    </xf>
    <xf numFmtId="0" fontId="52" fillId="4" borderId="0" xfId="0" applyFont="1" applyFill="1"/>
    <xf numFmtId="0" fontId="50" fillId="8" borderId="7" xfId="0" applyFont="1" applyFill="1" applyBorder="1"/>
    <xf numFmtId="0" fontId="60" fillId="17" borderId="0" xfId="0" applyFont="1" applyFill="1"/>
    <xf numFmtId="10" fontId="0" fillId="0" borderId="0" xfId="0" applyNumberFormat="1"/>
    <xf numFmtId="0" fontId="61" fillId="15" borderId="0" xfId="6" applyFont="1" applyFill="1"/>
    <xf numFmtId="0" fontId="14" fillId="0" borderId="14" xfId="0" applyFont="1" applyBorder="1" applyAlignment="1" applyProtection="1">
      <alignment horizontal="center" vertical="center" wrapText="1"/>
      <protection locked="0"/>
    </xf>
    <xf numFmtId="0" fontId="63" fillId="17" borderId="0" xfId="0" applyFont="1" applyFill="1"/>
    <xf numFmtId="0" fontId="17" fillId="18" borderId="0" xfId="0" applyFont="1" applyFill="1"/>
    <xf numFmtId="0" fontId="10" fillId="18" borderId="0" xfId="0" applyFont="1" applyFill="1"/>
    <xf numFmtId="0" fontId="64" fillId="18" borderId="0" xfId="6" applyFont="1" applyFill="1"/>
    <xf numFmtId="10" fontId="14" fillId="0" borderId="1" xfId="0" applyNumberFormat="1" applyFont="1" applyBorder="1"/>
    <xf numFmtId="0" fontId="53" fillId="19" borderId="7" xfId="0" applyFont="1" applyFill="1" applyBorder="1" applyAlignment="1">
      <alignment horizontal="left"/>
    </xf>
    <xf numFmtId="0" fontId="53" fillId="19" borderId="4" xfId="0" applyFont="1" applyFill="1" applyBorder="1" applyAlignment="1">
      <alignment horizontal="left"/>
    </xf>
    <xf numFmtId="0" fontId="0" fillId="7" borderId="7" xfId="0" quotePrefix="1" applyFill="1" applyBorder="1" applyAlignment="1" applyProtection="1">
      <alignment horizontal="center" vertical="center"/>
      <protection locked="0"/>
    </xf>
    <xf numFmtId="0" fontId="0" fillId="7" borderId="1" xfId="0" quotePrefix="1" applyFill="1" applyBorder="1" applyAlignment="1" applyProtection="1">
      <alignment horizontal="center" vertical="center"/>
      <protection locked="0"/>
    </xf>
    <xf numFmtId="0" fontId="65" fillId="20" borderId="23" xfId="0" applyFont="1" applyFill="1" applyBorder="1" applyAlignment="1" applyProtection="1">
      <alignment horizontal="center" vertical="top" wrapText="1"/>
      <protection locked="0"/>
    </xf>
    <xf numFmtId="18" fontId="66" fillId="20" borderId="40" xfId="2" applyNumberFormat="1" applyFont="1" applyFill="1" applyBorder="1" applyAlignment="1" applyProtection="1">
      <alignment horizontal="center"/>
      <protection locked="0"/>
    </xf>
    <xf numFmtId="18" fontId="66" fillId="20" borderId="40" xfId="2" quotePrefix="1" applyNumberFormat="1" applyFont="1" applyFill="1" applyBorder="1" applyAlignment="1" applyProtection="1">
      <alignment horizontal="center"/>
      <protection locked="0"/>
    </xf>
    <xf numFmtId="0" fontId="66" fillId="20" borderId="23" xfId="2" applyFont="1" applyFill="1" applyBorder="1" applyAlignment="1" applyProtection="1">
      <alignment horizontal="center"/>
      <protection locked="0"/>
    </xf>
    <xf numFmtId="0" fontId="67" fillId="20" borderId="28" xfId="0" applyFont="1" applyFill="1" applyBorder="1" applyAlignment="1" applyProtection="1">
      <alignment vertical="top" wrapText="1" readingOrder="1"/>
      <protection locked="0"/>
    </xf>
    <xf numFmtId="0" fontId="65" fillId="20" borderId="28" xfId="0" applyFont="1" applyFill="1" applyBorder="1" applyAlignment="1" applyProtection="1">
      <alignment horizontal="center" vertical="top" wrapText="1"/>
      <protection locked="0"/>
    </xf>
    <xf numFmtId="18" fontId="66" fillId="20" borderId="28" xfId="2" applyNumberFormat="1" applyFont="1" applyFill="1" applyBorder="1" applyAlignment="1" applyProtection="1">
      <alignment horizontal="center"/>
      <protection locked="0"/>
    </xf>
    <xf numFmtId="18" fontId="66" fillId="20" borderId="54" xfId="2" quotePrefix="1" applyNumberFormat="1" applyFont="1" applyFill="1" applyBorder="1" applyAlignment="1" applyProtection="1">
      <alignment horizontal="center"/>
      <protection locked="0"/>
    </xf>
    <xf numFmtId="0" fontId="66" fillId="20" borderId="28" xfId="2" applyFont="1" applyFill="1" applyBorder="1" applyAlignment="1" applyProtection="1">
      <alignment horizontal="center"/>
      <protection locked="0"/>
    </xf>
    <xf numFmtId="18" fontId="66" fillId="20" borderId="23" xfId="2" applyNumberFormat="1" applyFont="1" applyFill="1" applyBorder="1" applyAlignment="1" applyProtection="1">
      <alignment horizontal="center"/>
      <protection locked="0"/>
    </xf>
    <xf numFmtId="0" fontId="6" fillId="0" borderId="1" xfId="0" applyFont="1" applyBorder="1" applyAlignment="1" applyProtection="1">
      <alignment vertical="center" wrapText="1"/>
      <protection locked="0"/>
    </xf>
    <xf numFmtId="20" fontId="14" fillId="7" borderId="23" xfId="0" applyNumberFormat="1" applyFont="1" applyFill="1" applyBorder="1" applyAlignment="1" applyProtection="1">
      <alignment horizontal="center" vertical="top" wrapText="1"/>
      <protection locked="0"/>
    </xf>
    <xf numFmtId="18" fontId="14" fillId="7" borderId="23" xfId="0" applyNumberFormat="1" applyFont="1" applyFill="1" applyBorder="1" applyAlignment="1" applyProtection="1">
      <alignment horizontal="center" vertical="top" wrapText="1"/>
      <protection locked="0"/>
    </xf>
    <xf numFmtId="0" fontId="14" fillId="0" borderId="12" xfId="0" applyFont="1" applyBorder="1" applyAlignment="1" applyProtection="1">
      <alignment horizontal="center" vertical="center" wrapText="1"/>
      <protection locked="0"/>
    </xf>
    <xf numFmtId="0" fontId="0" fillId="0" borderId="0" xfId="0" applyAlignment="1">
      <alignment horizontal="left"/>
    </xf>
    <xf numFmtId="0" fontId="0" fillId="0" borderId="1" xfId="0" applyBorder="1" applyAlignment="1">
      <alignment horizontal="left"/>
    </xf>
    <xf numFmtId="0" fontId="57" fillId="0" borderId="7" xfId="0" applyFont="1" applyBorder="1" applyAlignment="1">
      <alignment horizontal="left"/>
    </xf>
    <xf numFmtId="0" fontId="57" fillId="0" borderId="19" xfId="0" applyFont="1" applyBorder="1" applyAlignment="1">
      <alignment horizontal="left"/>
    </xf>
    <xf numFmtId="0" fontId="0" fillId="0" borderId="7" xfId="0" applyBorder="1" applyAlignment="1">
      <alignment horizontal="left"/>
    </xf>
    <xf numFmtId="0" fontId="0" fillId="0" borderId="19" xfId="0" applyBorder="1" applyAlignment="1">
      <alignment horizontal="left"/>
    </xf>
    <xf numFmtId="0" fontId="0" fillId="0" borderId="4" xfId="0" applyBorder="1" applyAlignment="1">
      <alignment horizontal="left"/>
    </xf>
    <xf numFmtId="0" fontId="57" fillId="0" borderId="1" xfId="0" applyFont="1" applyBorder="1" applyAlignment="1">
      <alignment horizontal="left"/>
    </xf>
    <xf numFmtId="0" fontId="53" fillId="0" borderId="0" xfId="0" applyFont="1" applyAlignment="1">
      <alignment horizontal="left"/>
    </xf>
    <xf numFmtId="0" fontId="58" fillId="0" borderId="7" xfId="0" applyFont="1" applyBorder="1" applyAlignment="1">
      <alignment horizontal="left"/>
    </xf>
    <xf numFmtId="0" fontId="58" fillId="0" borderId="4" xfId="0" applyFont="1" applyBorder="1" applyAlignment="1">
      <alignment horizontal="left"/>
    </xf>
    <xf numFmtId="0" fontId="0" fillId="9" borderId="0" xfId="0" applyFill="1" applyAlignment="1" applyProtection="1">
      <alignment horizontal="center"/>
      <protection locked="0"/>
    </xf>
    <xf numFmtId="0" fontId="59" fillId="0" borderId="0" xfId="0" applyFont="1" applyAlignment="1">
      <alignment horizontal="left" wrapText="1"/>
    </xf>
    <xf numFmtId="0" fontId="59" fillId="0" borderId="0" xfId="0" applyFont="1" applyAlignment="1">
      <alignment horizontal="center"/>
    </xf>
    <xf numFmtId="0" fontId="11" fillId="6" borderId="7" xfId="0" quotePrefix="1" applyFont="1" applyFill="1" applyBorder="1" applyAlignment="1">
      <alignment horizontal="right"/>
    </xf>
    <xf numFmtId="0" fontId="11" fillId="6" borderId="19" xfId="0" quotePrefix="1" applyFont="1" applyFill="1" applyBorder="1" applyAlignment="1">
      <alignment horizontal="right"/>
    </xf>
    <xf numFmtId="0" fontId="11" fillId="6" borderId="4" xfId="0" quotePrefix="1" applyFont="1" applyFill="1" applyBorder="1" applyAlignment="1">
      <alignment horizontal="right"/>
    </xf>
    <xf numFmtId="0" fontId="0" fillId="0" borderId="3" xfId="0" applyBorder="1" applyAlignment="1">
      <alignment horizontal="left" vertical="top" wrapText="1"/>
    </xf>
    <xf numFmtId="0" fontId="0" fillId="0" borderId="20" xfId="0" applyBorder="1" applyAlignment="1">
      <alignment horizontal="left" vertical="top" wrapText="1"/>
    </xf>
    <xf numFmtId="0" fontId="11" fillId="0" borderId="1" xfId="0" applyFont="1" applyBorder="1" applyAlignment="1">
      <alignment horizontal="center" vertical="center" wrapText="1"/>
    </xf>
    <xf numFmtId="0" fontId="0" fillId="0" borderId="2" xfId="0" applyBorder="1" applyAlignment="1">
      <alignment horizontal="left" vertical="top" wrapText="1"/>
    </xf>
    <xf numFmtId="0" fontId="11" fillId="0" borderId="7" xfId="0" applyFont="1" applyBorder="1" applyAlignment="1">
      <alignment horizontal="center"/>
    </xf>
    <xf numFmtId="0" fontId="11" fillId="0" borderId="19" xfId="0" applyFont="1" applyBorder="1" applyAlignment="1">
      <alignment horizontal="center"/>
    </xf>
    <xf numFmtId="0" fontId="11" fillId="0" borderId="4" xfId="0" applyFont="1" applyBorder="1" applyAlignment="1">
      <alignment horizontal="center"/>
    </xf>
    <xf numFmtId="0" fontId="11" fillId="0" borderId="1" xfId="0" applyFont="1" applyBorder="1" applyAlignment="1">
      <alignment horizontal="center" wrapText="1"/>
    </xf>
    <xf numFmtId="0" fontId="17" fillId="0" borderId="0" xfId="0" applyFont="1" applyAlignment="1">
      <alignment horizontal="center"/>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1" xfId="0" applyFont="1" applyBorder="1" applyAlignment="1">
      <alignment horizontal="center" vertical="center"/>
    </xf>
    <xf numFmtId="0" fontId="11" fillId="0" borderId="7" xfId="0" applyFont="1" applyBorder="1" applyAlignment="1">
      <alignment horizontal="center" vertical="center"/>
    </xf>
    <xf numFmtId="0" fontId="11" fillId="0" borderId="7" xfId="0" applyFont="1" applyBorder="1" applyAlignment="1">
      <alignment horizontal="center" vertical="top"/>
    </xf>
    <xf numFmtId="0" fontId="11" fillId="0" borderId="19" xfId="0" applyFont="1" applyBorder="1" applyAlignment="1">
      <alignment horizontal="center" vertical="top"/>
    </xf>
    <xf numFmtId="0" fontId="11" fillId="0" borderId="4" xfId="0" applyFont="1" applyBorder="1" applyAlignment="1">
      <alignment horizontal="center" vertical="top"/>
    </xf>
    <xf numFmtId="0" fontId="11" fillId="0" borderId="4" xfId="0" applyFont="1" applyBorder="1" applyAlignment="1">
      <alignment horizontal="center" vertical="center" wrapText="1"/>
    </xf>
    <xf numFmtId="0" fontId="11" fillId="6" borderId="7" xfId="0" quotePrefix="1" applyFont="1" applyFill="1" applyBorder="1" applyAlignment="1">
      <alignment horizontal="right" indent="1"/>
    </xf>
    <xf numFmtId="0" fontId="11" fillId="6" borderId="19" xfId="0" quotePrefix="1" applyFont="1" applyFill="1" applyBorder="1" applyAlignment="1">
      <alignment horizontal="right" indent="1"/>
    </xf>
    <xf numFmtId="0" fontId="11" fillId="6" borderId="4" xfId="0" quotePrefix="1" applyFont="1" applyFill="1" applyBorder="1" applyAlignment="1">
      <alignment horizontal="right" indent="1"/>
    </xf>
    <xf numFmtId="0" fontId="11" fillId="0" borderId="7" xfId="0" applyFont="1" applyBorder="1" applyAlignment="1">
      <alignment horizontal="center" vertical="center" wrapText="1"/>
    </xf>
    <xf numFmtId="0" fontId="17" fillId="0" borderId="0" xfId="0" applyFont="1" applyAlignment="1" applyProtection="1">
      <alignment horizontal="center"/>
      <protection locked="0"/>
    </xf>
    <xf numFmtId="0" fontId="0" fillId="0" borderId="0" xfId="0" applyAlignment="1">
      <alignment horizontal="center"/>
    </xf>
    <xf numFmtId="0" fontId="19" fillId="12" borderId="17" xfId="2" applyFont="1" applyFill="1" applyBorder="1" applyAlignment="1" applyProtection="1">
      <alignment horizontal="center" vertical="center" wrapText="1"/>
      <protection locked="0"/>
    </xf>
    <xf numFmtId="0" fontId="17" fillId="16" borderId="0" xfId="0" applyFont="1" applyFill="1" applyAlignment="1">
      <alignment horizontal="center"/>
    </xf>
    <xf numFmtId="0" fontId="22" fillId="16" borderId="0" xfId="2" applyFont="1" applyFill="1" applyAlignment="1">
      <alignment horizontal="center"/>
    </xf>
    <xf numFmtId="0" fontId="14" fillId="3" borderId="14" xfId="0" applyFont="1" applyFill="1" applyBorder="1" applyAlignment="1" applyProtection="1">
      <alignment horizontal="center" vertical="center" wrapText="1"/>
      <protection locked="0"/>
    </xf>
    <xf numFmtId="0" fontId="14" fillId="3" borderId="12" xfId="0" applyFont="1" applyFill="1" applyBorder="1" applyAlignment="1" applyProtection="1">
      <alignment horizontal="center" vertical="center"/>
      <protection locked="0"/>
    </xf>
    <xf numFmtId="0" fontId="14" fillId="3" borderId="15" xfId="0" applyFont="1" applyFill="1" applyBorder="1" applyAlignment="1" applyProtection="1">
      <alignment horizontal="center" vertical="center"/>
      <protection locked="0"/>
    </xf>
    <xf numFmtId="0" fontId="4" fillId="8" borderId="56" xfId="2" applyFill="1" applyBorder="1" applyAlignment="1" applyProtection="1">
      <alignment horizontal="center" wrapText="1"/>
      <protection locked="0"/>
    </xf>
    <xf numFmtId="0" fontId="4" fillId="8" borderId="57" xfId="2" applyFill="1" applyBorder="1" applyAlignment="1" applyProtection="1">
      <alignment horizontal="center" wrapText="1"/>
      <protection locked="0"/>
    </xf>
    <xf numFmtId="0" fontId="4" fillId="8" borderId="58" xfId="2" applyFill="1" applyBorder="1" applyAlignment="1" applyProtection="1">
      <alignment horizontal="center" wrapText="1"/>
      <protection locked="0"/>
    </xf>
    <xf numFmtId="0" fontId="4" fillId="22" borderId="55" xfId="2" applyFill="1" applyBorder="1" applyAlignment="1" applyProtection="1">
      <alignment horizontal="center" wrapText="1"/>
      <protection locked="0"/>
    </xf>
    <xf numFmtId="0" fontId="4" fillId="21" borderId="55" xfId="2" applyFill="1" applyBorder="1" applyAlignment="1" applyProtection="1">
      <alignment horizontal="center" wrapText="1"/>
      <protection locked="0"/>
    </xf>
    <xf numFmtId="0" fontId="4" fillId="23" borderId="55" xfId="2" applyFill="1" applyBorder="1" applyAlignment="1" applyProtection="1">
      <alignment horizontal="center" vertical="center" wrapText="1"/>
      <protection locked="0"/>
    </xf>
    <xf numFmtId="0" fontId="4" fillId="23" borderId="59" xfId="2" applyFill="1" applyBorder="1" applyAlignment="1" applyProtection="1">
      <alignment horizontal="center" vertical="center" wrapText="1"/>
      <protection locked="0"/>
    </xf>
    <xf numFmtId="0" fontId="4" fillId="23" borderId="60" xfId="2" applyFill="1" applyBorder="1" applyAlignment="1" applyProtection="1">
      <alignment horizontal="center" vertical="center" wrapText="1"/>
      <protection locked="0"/>
    </xf>
    <xf numFmtId="0" fontId="4" fillId="23" borderId="55" xfId="2" applyFill="1" applyBorder="1" applyAlignment="1" applyProtection="1">
      <alignment horizontal="center" wrapText="1"/>
      <protection locked="0"/>
    </xf>
    <xf numFmtId="0" fontId="4" fillId="23" borderId="59" xfId="2" applyFill="1" applyBorder="1" applyAlignment="1" applyProtection="1">
      <alignment horizontal="center" wrapText="1"/>
      <protection locked="0"/>
    </xf>
    <xf numFmtId="0" fontId="4" fillId="23" borderId="60" xfId="2" applyFill="1" applyBorder="1" applyAlignment="1" applyProtection="1">
      <alignment horizontal="center" wrapText="1"/>
      <protection locked="0"/>
    </xf>
    <xf numFmtId="0" fontId="4" fillId="8" borderId="56" xfId="2" applyFill="1" applyBorder="1" applyAlignment="1" applyProtection="1">
      <alignment horizontal="center" vertical="center" wrapText="1"/>
      <protection locked="0"/>
    </xf>
    <xf numFmtId="0" fontId="4" fillId="8" borderId="57" xfId="2" applyFill="1" applyBorder="1" applyAlignment="1" applyProtection="1">
      <alignment horizontal="center" vertical="center" wrapText="1"/>
      <protection locked="0"/>
    </xf>
    <xf numFmtId="0" fontId="4" fillId="8" borderId="58" xfId="2" applyFill="1" applyBorder="1" applyAlignment="1" applyProtection="1">
      <alignment horizontal="center" vertical="center" wrapText="1"/>
      <protection locked="0"/>
    </xf>
    <xf numFmtId="0" fontId="4" fillId="22" borderId="63" xfId="2" applyFill="1" applyBorder="1" applyAlignment="1" applyProtection="1">
      <alignment horizontal="center" wrapText="1"/>
      <protection locked="0"/>
    </xf>
    <xf numFmtId="0" fontId="4" fillId="22" borderId="12" xfId="2" applyFill="1" applyBorder="1" applyAlignment="1" applyProtection="1">
      <alignment horizontal="center" wrapText="1"/>
      <protection locked="0"/>
    </xf>
    <xf numFmtId="0" fontId="4" fillId="22" borderId="64" xfId="2" applyFill="1" applyBorder="1" applyAlignment="1" applyProtection="1">
      <alignment horizontal="center" wrapText="1"/>
      <protection locked="0"/>
    </xf>
    <xf numFmtId="0" fontId="4" fillId="23" borderId="63" xfId="2" applyFill="1" applyBorder="1" applyAlignment="1" applyProtection="1">
      <alignment horizontal="center" vertical="center" wrapText="1"/>
      <protection locked="0"/>
    </xf>
    <xf numFmtId="0" fontId="4" fillId="23" borderId="12" xfId="2" applyFill="1" applyBorder="1" applyAlignment="1" applyProtection="1">
      <alignment horizontal="center" vertical="center" wrapText="1"/>
      <protection locked="0"/>
    </xf>
    <xf numFmtId="0" fontId="4" fillId="23" borderId="64" xfId="2" applyFill="1" applyBorder="1" applyAlignment="1" applyProtection="1">
      <alignment horizontal="center" vertical="center" wrapText="1"/>
      <protection locked="0"/>
    </xf>
    <xf numFmtId="0" fontId="4" fillId="8" borderId="61" xfId="2" applyFill="1" applyBorder="1" applyAlignment="1" applyProtection="1">
      <alignment horizontal="center" wrapText="1"/>
      <protection locked="0"/>
    </xf>
    <xf numFmtId="0" fontId="4" fillId="8" borderId="51" xfId="2" applyFill="1" applyBorder="1" applyAlignment="1" applyProtection="1">
      <alignment horizontal="center" wrapText="1"/>
      <protection locked="0"/>
    </xf>
    <xf numFmtId="0" fontId="4" fillId="8" borderId="62" xfId="2" applyFill="1" applyBorder="1" applyAlignment="1" applyProtection="1">
      <alignment horizontal="center" wrapText="1"/>
      <protection locked="0"/>
    </xf>
    <xf numFmtId="0" fontId="14" fillId="3" borderId="66" xfId="0" applyFont="1" applyFill="1" applyBorder="1" applyAlignment="1" applyProtection="1">
      <alignment horizontal="center" vertical="center"/>
      <protection locked="0"/>
    </xf>
    <xf numFmtId="0" fontId="14" fillId="3" borderId="12" xfId="0" applyFont="1" applyFill="1" applyBorder="1" applyAlignment="1" applyProtection="1">
      <alignment horizontal="center" vertical="center" wrapText="1"/>
      <protection locked="0"/>
    </xf>
    <xf numFmtId="0" fontId="69" fillId="3" borderId="14" xfId="0" applyFont="1" applyFill="1" applyBorder="1" applyAlignment="1" applyProtection="1">
      <alignment horizontal="center" vertical="center" wrapText="1"/>
      <protection locked="0"/>
    </xf>
    <xf numFmtId="0" fontId="4" fillId="8" borderId="65" xfId="2" applyFill="1" applyBorder="1" applyAlignment="1" applyProtection="1">
      <alignment horizontal="center" vertical="center" wrapText="1"/>
      <protection locked="0"/>
    </xf>
    <xf numFmtId="0" fontId="4" fillId="8" borderId="59" xfId="2" applyFill="1" applyBorder="1" applyAlignment="1" applyProtection="1">
      <alignment horizontal="center" vertical="center" wrapText="1"/>
      <protection locked="0"/>
    </xf>
    <xf numFmtId="0" fontId="4" fillId="8" borderId="60" xfId="2" applyFill="1" applyBorder="1" applyAlignment="1" applyProtection="1">
      <alignment horizontal="center" vertical="center" wrapText="1"/>
      <protection locked="0"/>
    </xf>
    <xf numFmtId="0" fontId="4" fillId="8" borderId="63" xfId="2" applyFill="1" applyBorder="1" applyAlignment="1" applyProtection="1">
      <alignment horizontal="center" vertical="center" wrapText="1"/>
      <protection locked="0"/>
    </xf>
    <xf numFmtId="0" fontId="4" fillId="8" borderId="12" xfId="2" applyFill="1" applyBorder="1" applyAlignment="1" applyProtection="1">
      <alignment horizontal="center" vertical="center" wrapText="1"/>
      <protection locked="0"/>
    </xf>
    <xf numFmtId="0" fontId="4" fillId="8" borderId="64" xfId="2" applyFill="1" applyBorder="1" applyAlignment="1" applyProtection="1">
      <alignment horizontal="center" vertical="center" wrapText="1"/>
      <protection locked="0"/>
    </xf>
    <xf numFmtId="0" fontId="4" fillId="22" borderId="55" xfId="2" applyFill="1" applyBorder="1" applyAlignment="1" applyProtection="1">
      <alignment horizontal="center" vertical="center" wrapText="1"/>
      <protection locked="0"/>
    </xf>
    <xf numFmtId="0" fontId="17" fillId="9" borderId="7" xfId="0" applyFont="1" applyFill="1" applyBorder="1" applyAlignment="1">
      <alignment horizontal="right"/>
    </xf>
    <xf numFmtId="0" fontId="17" fillId="9" borderId="19" xfId="0" applyFont="1" applyFill="1" applyBorder="1" applyAlignment="1">
      <alignment horizontal="right"/>
    </xf>
    <xf numFmtId="0" fontId="17" fillId="9" borderId="4" xfId="0" applyFont="1" applyFill="1" applyBorder="1" applyAlignment="1">
      <alignment horizontal="right"/>
    </xf>
    <xf numFmtId="0" fontId="11" fillId="3" borderId="1" xfId="0" applyFont="1" applyFill="1" applyBorder="1" applyAlignment="1">
      <alignment horizontal="center" wrapText="1"/>
    </xf>
    <xf numFmtId="0" fontId="11" fillId="3" borderId="1" xfId="0" applyFont="1" applyFill="1" applyBorder="1" applyAlignment="1">
      <alignment horizontal="center"/>
    </xf>
    <xf numFmtId="0" fontId="11" fillId="3" borderId="3" xfId="0" applyFont="1" applyFill="1" applyBorder="1" applyAlignment="1">
      <alignment horizontal="center" vertical="center"/>
    </xf>
    <xf numFmtId="0" fontId="11" fillId="3" borderId="2" xfId="0" applyFont="1" applyFill="1" applyBorder="1" applyAlignment="1">
      <alignment horizontal="center" vertical="center"/>
    </xf>
    <xf numFmtId="0" fontId="49" fillId="4" borderId="5" xfId="0" applyFont="1" applyFill="1" applyBorder="1" applyAlignment="1">
      <alignment horizontal="center" vertical="center" wrapText="1"/>
    </xf>
    <xf numFmtId="0" fontId="0" fillId="0" borderId="44" xfId="0" applyBorder="1" applyAlignment="1">
      <alignment horizontal="center" vertical="center" wrapText="1"/>
    </xf>
    <xf numFmtId="0" fontId="68" fillId="4" borderId="1" xfId="0" applyFont="1" applyFill="1" applyBorder="1" applyAlignment="1">
      <alignment horizontal="center" vertical="center" wrapText="1"/>
    </xf>
    <xf numFmtId="0" fontId="0" fillId="0" borderId="1" xfId="0" applyBorder="1" applyAlignment="1">
      <alignment horizontal="center" vertical="center" wrapText="1"/>
    </xf>
    <xf numFmtId="0" fontId="11" fillId="0" borderId="3" xfId="0" applyFont="1" applyBorder="1" applyAlignment="1">
      <alignment horizontal="center" vertical="center"/>
    </xf>
    <xf numFmtId="0" fontId="11" fillId="0" borderId="20" xfId="0" applyFont="1" applyBorder="1" applyAlignment="1">
      <alignment horizontal="center" vertical="center"/>
    </xf>
    <xf numFmtId="0" fontId="11" fillId="0" borderId="2" xfId="0" applyFont="1" applyBorder="1" applyAlignment="1">
      <alignment horizontal="center" vertical="center"/>
    </xf>
    <xf numFmtId="0" fontId="46" fillId="0" borderId="0" xfId="0" applyFont="1" applyAlignment="1">
      <alignment horizontal="right"/>
    </xf>
    <xf numFmtId="0" fontId="45" fillId="13" borderId="7" xfId="0" applyFont="1" applyFill="1" applyBorder="1" applyAlignment="1">
      <alignment horizontal="center"/>
    </xf>
    <xf numFmtId="0" fontId="45" fillId="13" borderId="19" xfId="0" applyFont="1" applyFill="1" applyBorder="1" applyAlignment="1">
      <alignment horizontal="center"/>
    </xf>
    <xf numFmtId="0" fontId="45" fillId="13" borderId="4" xfId="0" applyFont="1" applyFill="1" applyBorder="1" applyAlignment="1">
      <alignment horizontal="center"/>
    </xf>
    <xf numFmtId="0" fontId="11" fillId="0" borderId="20" xfId="0" applyFont="1" applyBorder="1" applyAlignment="1">
      <alignment horizontal="center" vertical="center" wrapText="1"/>
    </xf>
    <xf numFmtId="0" fontId="11" fillId="0" borderId="1" xfId="0" applyFont="1" applyBorder="1" applyAlignment="1">
      <alignment horizontal="left" vertical="center"/>
    </xf>
    <xf numFmtId="0" fontId="11" fillId="0" borderId="1" xfId="0" applyFont="1" applyBorder="1" applyAlignment="1">
      <alignment vertical="center"/>
    </xf>
    <xf numFmtId="0" fontId="11" fillId="0" borderId="3" xfId="0" applyFont="1" applyBorder="1" applyAlignment="1">
      <alignment horizontal="left" vertical="center"/>
    </xf>
    <xf numFmtId="0" fontId="11" fillId="0" borderId="20" xfId="0" applyFont="1" applyBorder="1" applyAlignment="1">
      <alignment horizontal="left" vertical="center"/>
    </xf>
    <xf numFmtId="0" fontId="11" fillId="0" borderId="2" xfId="0" applyFont="1" applyBorder="1" applyAlignment="1">
      <alignment horizontal="left" vertical="center"/>
    </xf>
    <xf numFmtId="0" fontId="11" fillId="0" borderId="5" xfId="0" applyFont="1" applyBorder="1" applyAlignment="1">
      <alignment horizontal="center" vertical="center" wrapText="1"/>
    </xf>
    <xf numFmtId="0" fontId="11" fillId="0" borderId="47" xfId="0" applyFont="1" applyBorder="1" applyAlignment="1">
      <alignment horizontal="center" vertical="center" wrapText="1"/>
    </xf>
    <xf numFmtId="0" fontId="11" fillId="0" borderId="6" xfId="0" applyFont="1" applyBorder="1" applyAlignment="1">
      <alignment horizontal="center" vertical="center" wrapText="1"/>
    </xf>
    <xf numFmtId="0" fontId="46" fillId="0" borderId="0" xfId="0" applyFont="1" applyAlignment="1">
      <alignment horizontal="left" indent="1"/>
    </xf>
  </cellXfs>
  <cellStyles count="9">
    <cellStyle name="Hyperlink" xfId="6" builtinId="8"/>
    <cellStyle name="Hyperlink 2" xfId="5" xr:uid="{00000000-0005-0000-0000-000001000000}"/>
    <cellStyle name="Normal" xfId="0" builtinId="0"/>
    <cellStyle name="Normal 2" xfId="1" xr:uid="{00000000-0005-0000-0000-000003000000}"/>
    <cellStyle name="Normal 4 2" xfId="2" xr:uid="{00000000-0005-0000-0000-000004000000}"/>
    <cellStyle name="Normal 5" xfId="7" xr:uid="{34A87E5D-0D0E-4F2D-AA79-18C2DA04136F}"/>
    <cellStyle name="Normal 6" xfId="8" xr:uid="{3033CE30-9324-4BB0-8DF0-407AB6576FF6}"/>
    <cellStyle name="Normal 7 2" xfId="3" xr:uid="{00000000-0005-0000-0000-000005000000}"/>
    <cellStyle name="Percent" xfId="4" builtinId="5"/>
  </cellStyles>
  <dxfs count="13">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rgb="FFC00000"/>
      </font>
    </dxf>
    <dxf>
      <font>
        <color rgb="FFFF0000"/>
      </font>
      <fill>
        <patternFill>
          <bgColor theme="0"/>
        </patternFill>
      </fill>
    </dxf>
    <dxf>
      <font>
        <color rgb="FFFF000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eetMetadata" Target="metadata.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1"/>
          <c:tx>
            <c:strRef>
              <c:f>'1 - Top Sheet'!$D$12</c:f>
              <c:strCache>
                <c:ptCount val="1"/>
                <c:pt idx="0">
                  <c:v>Class Density</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 Top Sheet'!$B$13:$B$15</c:f>
              <c:strCache>
                <c:ptCount val="3"/>
                <c:pt idx="0">
                  <c:v>Highschool</c:v>
                </c:pt>
                <c:pt idx="1">
                  <c:v>4-Year Degree</c:v>
                </c:pt>
                <c:pt idx="2">
                  <c:v>2-Year Degree</c:v>
                </c:pt>
              </c:strCache>
            </c:strRef>
          </c:cat>
          <c:val>
            <c:numRef>
              <c:f>'1 - Top Sheet'!$D$13:$D$15</c:f>
              <c:numCache>
                <c:formatCode>General</c:formatCode>
                <c:ptCount val="3"/>
                <c:pt idx="0">
                  <c:v>40</c:v>
                </c:pt>
                <c:pt idx="1">
                  <c:v>40</c:v>
                </c:pt>
                <c:pt idx="2">
                  <c:v>0</c:v>
                </c:pt>
              </c:numCache>
            </c:numRef>
          </c:val>
          <c:extLst>
            <c:ext xmlns:c16="http://schemas.microsoft.com/office/drawing/2014/chart" uri="{C3380CC4-5D6E-409C-BE32-E72D297353CC}">
              <c16:uniqueId val="{00000000-F547-4DE6-9056-549B0D8A7FE5}"/>
            </c:ext>
          </c:extLst>
        </c:ser>
        <c:ser>
          <c:idx val="2"/>
          <c:order val="2"/>
          <c:tx>
            <c:strRef>
              <c:f>'1 - Top Sheet'!$E$12</c:f>
              <c:strCache>
                <c:ptCount val="1"/>
                <c:pt idx="0">
                  <c:v>Projected NS/OS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 Top Sheet'!$B$13:$B$15</c:f>
              <c:strCache>
                <c:ptCount val="3"/>
                <c:pt idx="0">
                  <c:v>Highschool</c:v>
                </c:pt>
                <c:pt idx="1">
                  <c:v>4-Year Degree</c:v>
                </c:pt>
                <c:pt idx="2">
                  <c:v>2-Year Degree</c:v>
                </c:pt>
              </c:strCache>
            </c:strRef>
          </c:cat>
          <c:val>
            <c:numRef>
              <c:f>'1 - Top Sheet'!$E$13:$E$15</c:f>
              <c:numCache>
                <c:formatCode>General</c:formatCode>
                <c:ptCount val="3"/>
                <c:pt idx="0">
                  <c:v>0</c:v>
                </c:pt>
                <c:pt idx="1">
                  <c:v>0</c:v>
                </c:pt>
                <c:pt idx="2">
                  <c:v>0</c:v>
                </c:pt>
              </c:numCache>
            </c:numRef>
          </c:val>
          <c:extLst>
            <c:ext xmlns:c16="http://schemas.microsoft.com/office/drawing/2014/chart" uri="{C3380CC4-5D6E-409C-BE32-E72D297353CC}">
              <c16:uniqueId val="{00000001-F547-4DE6-9056-549B0D8A7FE5}"/>
            </c:ext>
          </c:extLst>
        </c:ser>
        <c:ser>
          <c:idx val="3"/>
          <c:order val="3"/>
          <c:tx>
            <c:strRef>
              <c:f>'1 - Top Sheet'!$F$12</c:f>
              <c:strCache>
                <c:ptCount val="1"/>
                <c:pt idx="0">
                  <c:v>Section Count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 Top Sheet'!$B$13:$B$15</c:f>
              <c:strCache>
                <c:ptCount val="3"/>
                <c:pt idx="0">
                  <c:v>Highschool</c:v>
                </c:pt>
                <c:pt idx="1">
                  <c:v>4-Year Degree</c:v>
                </c:pt>
                <c:pt idx="2">
                  <c:v>2-Year Degree</c:v>
                </c:pt>
              </c:strCache>
            </c:strRef>
          </c:cat>
          <c:val>
            <c:numRef>
              <c:f>'1 - Top Sheet'!$F$13:$F$15</c:f>
              <c:numCache>
                <c:formatCode>General</c:formatCode>
                <c:ptCount val="3"/>
                <c:pt idx="0">
                  <c:v>0</c:v>
                </c:pt>
                <c:pt idx="1">
                  <c:v>0</c:v>
                </c:pt>
                <c:pt idx="2">
                  <c:v>0</c:v>
                </c:pt>
              </c:numCache>
            </c:numRef>
          </c:val>
          <c:extLst>
            <c:ext xmlns:c16="http://schemas.microsoft.com/office/drawing/2014/chart" uri="{C3380CC4-5D6E-409C-BE32-E72D297353CC}">
              <c16:uniqueId val="{00000002-F547-4DE6-9056-549B0D8A7FE5}"/>
            </c:ext>
          </c:extLst>
        </c:ser>
        <c:dLbls>
          <c:dLblPos val="ctr"/>
          <c:showLegendKey val="0"/>
          <c:showVal val="1"/>
          <c:showCatName val="0"/>
          <c:showSerName val="0"/>
          <c:showPercent val="0"/>
          <c:showBubbleSize val="0"/>
        </c:dLbls>
        <c:gapWidth val="280"/>
        <c:overlap val="100"/>
        <c:axId val="676747248"/>
        <c:axId val="1946802192"/>
        <c:extLst>
          <c:ext xmlns:c15="http://schemas.microsoft.com/office/drawing/2012/chart" uri="{02D57815-91ED-43cb-92C2-25804820EDAC}">
            <c15:filteredBarSeries>
              <c15:ser>
                <c:idx val="0"/>
                <c:order val="0"/>
                <c:tx>
                  <c:strRef>
                    <c:extLst>
                      <c:ext uri="{02D57815-91ED-43cb-92C2-25804820EDAC}">
                        <c15:formulaRef>
                          <c15:sqref>'1 - Top Sheet'!$C$12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'1 - Top Sheet'!$B$13:$B$15</c15:sqref>
                        </c15:formulaRef>
                      </c:ext>
                    </c:extLst>
                    <c:strCache>
                      <c:ptCount val="3"/>
                      <c:pt idx="0">
                        <c:v>Highschool</c:v>
                      </c:pt>
                      <c:pt idx="1">
                        <c:v>4-Year Degree</c:v>
                      </c:pt>
                      <c:pt idx="2">
                        <c:v>2-Year Degree</c:v>
                      </c:pt>
                    </c:strCache>
                  </c:strRef>
                </c:cat>
                <c:val>
                  <c:numRef>
                    <c:extLst>
                      <c:ext uri="{02D57815-91ED-43cb-92C2-25804820EDAC}">
                        <c15:formulaRef>
                          <c15:sqref>'1 - Top Sheet'!$C$13:$C$15</c15:sqref>
                        </c15:formulaRef>
                      </c:ext>
                    </c:extLst>
                    <c:numCache>
                      <c:formatCode>General</c:formatCode>
                      <c:ptCount val="3"/>
                    </c:numCache>
                  </c:numRef>
                </c:val>
                <c:extLst>
                  <c:ext xmlns:c16="http://schemas.microsoft.com/office/drawing/2014/chart" uri="{C3380CC4-5D6E-409C-BE32-E72D297353CC}">
                    <c16:uniqueId val="{00000003-F547-4DE6-9056-549B0D8A7FE5}"/>
                  </c:ext>
                </c:extLst>
              </c15:ser>
            </c15:filteredBarSeries>
          </c:ext>
        </c:extLst>
      </c:barChart>
      <c:catAx>
        <c:axId val="67674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802192"/>
        <c:crosses val="autoZero"/>
        <c:auto val="1"/>
        <c:lblAlgn val="ctr"/>
        <c:lblOffset val="100"/>
        <c:noMultiLvlLbl val="0"/>
      </c:catAx>
      <c:valAx>
        <c:axId val="1946802192"/>
        <c:scaling>
          <c:orientation val="minMax"/>
          <c:max val="5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47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3179953598704"/>
          <c:y val="7.8271494230558861E-2"/>
          <c:w val="0.40990571034806872"/>
          <c:h val="0.85650226057730872"/>
        </c:manualLayout>
      </c:layout>
      <c:pieChart>
        <c:varyColors val="1"/>
        <c:ser>
          <c:idx val="0"/>
          <c:order val="0"/>
          <c:tx>
            <c:strRef>
              <c:f>'1 - Top Sheet'!$K$12</c:f>
              <c:strCache>
                <c:ptCount val="1"/>
                <c:pt idx="0">
                  <c:v>Full-time FM</c:v>
                </c:pt>
              </c:strCache>
            </c:strRef>
          </c:tx>
          <c:spPr>
            <a:effectLst>
              <a:outerShdw blurRad="50800" dist="38100" dir="2700000" algn="tl" rotWithShape="0">
                <a:prstClr val="black">
                  <a:alpha val="40000"/>
                </a:prstClr>
              </a:outerShdw>
            </a:effectLst>
          </c:spPr>
          <c:dPt>
            <c:idx val="0"/>
            <c:bubble3D val="0"/>
            <c:spPr>
              <a:solidFill>
                <a:srgbClr val="00206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4F5-40D3-9882-090A50D0D447}"/>
              </c:ext>
            </c:extLst>
          </c:dPt>
          <c:dPt>
            <c:idx val="1"/>
            <c:bubble3D val="0"/>
            <c:spPr>
              <a:solidFill>
                <a:srgbClr val="FFC00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E4F5-40D3-9882-090A50D0D447}"/>
              </c:ext>
            </c:extLst>
          </c:dPt>
          <c:dPt>
            <c:idx val="2"/>
            <c:bubble3D val="0"/>
            <c:spPr>
              <a:solidFill>
                <a:srgbClr val="00B05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4F5-40D3-9882-090A50D0D447}"/>
              </c:ext>
            </c:extLst>
          </c:dPt>
          <c:dPt>
            <c:idx val="3"/>
            <c:bubble3D val="0"/>
            <c:spPr>
              <a:solidFill>
                <a:srgbClr val="FF993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E4F5-40D3-9882-090A50D0D447}"/>
              </c:ext>
            </c:extLst>
          </c:dPt>
          <c:dPt>
            <c:idx val="4"/>
            <c:bubble3D val="0"/>
            <c:spPr>
              <a:solidFill>
                <a:srgbClr val="FF000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4F5-40D3-9882-090A50D0D447}"/>
              </c:ext>
            </c:extLst>
          </c:dPt>
          <c:cat>
            <c:strRef>
              <c:f>'1 - Top Sheet'!$H$13:$J$17</c:f>
              <c:strCache>
                <c:ptCount val="5"/>
                <c:pt idx="0">
                  <c:v>Information &amp; Communication Tech.</c:v>
                </c:pt>
                <c:pt idx="1">
                  <c:v>Business and Management</c:v>
                </c:pt>
                <c:pt idx="2">
                  <c:v>Tourism &amp; Hospitality Management</c:v>
                </c:pt>
                <c:pt idx="3">
                  <c:v>General Education</c:v>
                </c:pt>
                <c:pt idx="4">
                  <c:v>Arts &amp; Sciences</c:v>
                </c:pt>
              </c:strCache>
            </c:strRef>
          </c:cat>
          <c:val>
            <c:numRef>
              <c:f>'1 - Top Sheet'!$K$13:$K$17</c:f>
              <c:numCache>
                <c:formatCode>0</c:formatCode>
                <c:ptCount val="5"/>
                <c:pt idx="0">
                  <c:v>16</c:v>
                </c:pt>
                <c:pt idx="1">
                  <c:v>1</c:v>
                </c:pt>
                <c:pt idx="2">
                  <c:v>4</c:v>
                </c:pt>
                <c:pt idx="3">
                  <c:v>14</c:v>
                </c:pt>
                <c:pt idx="4">
                  <c:v>6</c:v>
                </c:pt>
              </c:numCache>
            </c:numRef>
          </c:val>
          <c:extLst>
            <c:ext xmlns:c16="http://schemas.microsoft.com/office/drawing/2014/chart" uri="{C3380CC4-5D6E-409C-BE32-E72D297353CC}">
              <c16:uniqueId val="{00000000-E4F5-40D3-9882-090A50D0D44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5741957130204378"/>
          <c:y val="8.5527064969220176E-2"/>
          <c:w val="0.42480123231763256"/>
          <c:h val="0.8289453547886118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hyperlink" Target="#'Room Schedule'!A1"/><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hyperlink" Target="#'1 - Top Sheet'!A1"/></Relationships>
</file>

<file path=xl/drawings/_rels/drawing3.xml.rels><?xml version="1.0" encoding="UTF-8" standalone="yes"?>
<Relationships xmlns="http://schemas.openxmlformats.org/package/2006/relationships"><Relationship Id="rId1" Type="http://schemas.openxmlformats.org/officeDocument/2006/relationships/hyperlink" Target="#'1 - Top Sheet'!A1"/></Relationships>
</file>

<file path=xl/drawings/_rels/drawing12.xml.rels><?xml version="1.0" encoding="UTF-8" standalone="yes"?>
<Relationships xmlns="http://schemas.openxmlformats.org/package/2006/relationships"><Relationship Id="rId1" Type="http://schemas.openxmlformats.org/officeDocument/2006/relationships/hyperlink" Target="#'1 - Top Sheet'!A1"/></Relationships>
</file>

<file path=xl/drawings/_rels/drawing13.xml.rels><?xml version="1.0" encoding="UTF-8" standalone="yes"?>
<Relationships xmlns="http://schemas.openxmlformats.org/package/2006/relationships"><Relationship Id="rId1" Type="http://schemas.openxmlformats.org/officeDocument/2006/relationships/hyperlink" Target="#'1 - Top Sheet'!A1"/></Relationships>
</file>

<file path=xl/drawings/_rels/drawing14.xml.rels><?xml version="1.0" encoding="UTF-8" standalone="yes"?>
<Relationships xmlns="http://schemas.openxmlformats.org/package/2006/relationships"><Relationship Id="rId1" Type="http://schemas.openxmlformats.org/officeDocument/2006/relationships/hyperlink" Target="#'1 - Top Sheet'!A1"/></Relationships>
</file>

<file path=xl/drawings/_rels/drawing15.xml.rels><?xml version="1.0" encoding="UTF-8" standalone="yes"?>
<Relationships xmlns="http://schemas.openxmlformats.org/package/2006/relationships"><Relationship Id="rId1" Type="http://schemas.openxmlformats.org/officeDocument/2006/relationships/hyperlink" Target="#'1 - Top Sheet'!A1"/></Relationships>
</file>

<file path=xl/drawings/drawing1.xml><?xml version="1.0" encoding="utf-8"?>
<xdr:wsDr xmlns:xdr="http://schemas.openxmlformats.org/drawingml/2006/spreadsheetDrawing" xmlns:a="http://schemas.openxmlformats.org/drawingml/2006/main">
  <xdr:twoCellAnchor>
    <xdr:from>
      <xdr:col>3</xdr:col>
      <xdr:colOff>78497</xdr:colOff>
      <xdr:row>0</xdr:row>
      <xdr:rowOff>85000</xdr:rowOff>
    </xdr:from>
    <xdr:to>
      <xdr:col>5</xdr:col>
      <xdr:colOff>769466</xdr:colOff>
      <xdr:row>4</xdr:row>
      <xdr:rowOff>3356</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297697" y="85000"/>
          <a:ext cx="2519769" cy="649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Class Schedule and Faculty Count Projection </a:t>
          </a:r>
        </a:p>
      </xdr:txBody>
    </xdr:sp>
    <xdr:clientData/>
  </xdr:twoCellAnchor>
  <xdr:twoCellAnchor>
    <xdr:from>
      <xdr:col>2</xdr:col>
      <xdr:colOff>726807</xdr:colOff>
      <xdr:row>0</xdr:row>
      <xdr:rowOff>93949</xdr:rowOff>
    </xdr:from>
    <xdr:to>
      <xdr:col>2</xdr:col>
      <xdr:colOff>737813</xdr:colOff>
      <xdr:row>3</xdr:row>
      <xdr:rowOff>145362</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flipH="1">
          <a:off x="1206867" y="93949"/>
          <a:ext cx="11006" cy="600053"/>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265320</xdr:colOff>
      <xdr:row>4</xdr:row>
      <xdr:rowOff>94979</xdr:rowOff>
    </xdr:from>
    <xdr:to>
      <xdr:col>9</xdr:col>
      <xdr:colOff>244817</xdr:colOff>
      <xdr:row>8</xdr:row>
      <xdr:rowOff>7651</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4311540" y="826499"/>
          <a:ext cx="1465397" cy="567992"/>
        </a:xfrm>
        <a:prstGeom prst="roundRect">
          <a:avLst>
            <a:gd name="adj" fmla="val 4167"/>
          </a:avLst>
        </a:prstGeom>
        <a:solidFill>
          <a:srgbClr val="FF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chemeClr val="bg1"/>
              </a:solidFill>
            </a:rPr>
            <a:t>Total Section</a:t>
          </a:r>
          <a:r>
            <a:rPr lang="en-US" sz="1050" b="1" baseline="0">
              <a:solidFill>
                <a:schemeClr val="bg1"/>
              </a:solidFill>
            </a:rPr>
            <a:t> Count:</a:t>
          </a:r>
          <a:endParaRPr lang="en-US" sz="1050" b="1">
            <a:solidFill>
              <a:schemeClr val="bg1"/>
            </a:solidFill>
          </a:endParaRPr>
        </a:p>
      </xdr:txBody>
    </xdr:sp>
    <xdr:clientData/>
  </xdr:twoCellAnchor>
  <xdr:twoCellAnchor>
    <xdr:from>
      <xdr:col>7</xdr:col>
      <xdr:colOff>235909</xdr:colOff>
      <xdr:row>5</xdr:row>
      <xdr:rowOff>148028</xdr:rowOff>
    </xdr:from>
    <xdr:to>
      <xdr:col>8</xdr:col>
      <xdr:colOff>454800</xdr:colOff>
      <xdr:row>7</xdr:row>
      <xdr:rowOff>176232</xdr:rowOff>
    </xdr:to>
    <xdr:sp macro="" textlink="$F$16">
      <xdr:nvSpPr>
        <xdr:cNvPr id="14" name="TextBox 4">
          <a:extLst>
            <a:ext uri="{FF2B5EF4-FFF2-40B4-BE49-F238E27FC236}">
              <a16:creationId xmlns:a16="http://schemas.microsoft.com/office/drawing/2014/main" id="{00000000-0008-0000-0000-00000E000000}"/>
            </a:ext>
          </a:extLst>
        </xdr:cNvPr>
        <xdr:cNvSpPr txBox="1"/>
      </xdr:nvSpPr>
      <xdr:spPr>
        <a:xfrm>
          <a:off x="4504520" y="924139"/>
          <a:ext cx="830373" cy="380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303BF6-7D5C-4FF1-8A94-7431D54A4EB8}" type="TxLink">
            <a:rPr lang="en-US" sz="2400" b="1" i="0" u="none" strike="noStrike">
              <a:solidFill>
                <a:schemeClr val="bg1"/>
              </a:solidFill>
              <a:latin typeface="Calibri"/>
              <a:cs typeface="Calibri"/>
            </a:rPr>
            <a:pPr algn="ctr"/>
            <a:t>0</a:t>
          </a:fld>
          <a:endParaRPr lang="en-US" sz="6000" b="1">
            <a:solidFill>
              <a:schemeClr val="bg1"/>
            </a:solidFill>
          </a:endParaRPr>
        </a:p>
      </xdr:txBody>
    </xdr:sp>
    <xdr:clientData/>
  </xdr:twoCellAnchor>
  <xdr:twoCellAnchor editAs="oneCell">
    <xdr:from>
      <xdr:col>1</xdr:col>
      <xdr:colOff>295007</xdr:colOff>
      <xdr:row>1</xdr:row>
      <xdr:rowOff>31597</xdr:rowOff>
    </xdr:from>
    <xdr:to>
      <xdr:col>2</xdr:col>
      <xdr:colOff>488675</xdr:colOff>
      <xdr:row>2</xdr:row>
      <xdr:rowOff>163056</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407" y="214477"/>
          <a:ext cx="514978" cy="314339"/>
        </a:xfrm>
        <a:prstGeom prst="rect">
          <a:avLst/>
        </a:prstGeom>
      </xdr:spPr>
    </xdr:pic>
    <xdr:clientData/>
  </xdr:twoCellAnchor>
  <xdr:twoCellAnchor>
    <xdr:from>
      <xdr:col>0</xdr:col>
      <xdr:colOff>97163</xdr:colOff>
      <xdr:row>16</xdr:row>
      <xdr:rowOff>0</xdr:rowOff>
    </xdr:from>
    <xdr:to>
      <xdr:col>6</xdr:col>
      <xdr:colOff>45904</xdr:colOff>
      <xdr:row>28</xdr:row>
      <xdr:rowOff>139700</xdr:rowOff>
    </xdr:to>
    <xdr:graphicFrame macro="">
      <xdr:nvGraphicFramePr>
        <xdr:cNvPr id="36" name="Chart 6">
          <a:extLst>
            <a:ext uri="{FF2B5EF4-FFF2-40B4-BE49-F238E27FC236}">
              <a16:creationId xmlns:a16="http://schemas.microsoft.com/office/drawing/2014/main" id="{00000000-0008-0000-00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325912</xdr:colOff>
      <xdr:row>4</xdr:row>
      <xdr:rowOff>102018</xdr:rowOff>
    </xdr:from>
    <xdr:to>
      <xdr:col>11</xdr:col>
      <xdr:colOff>7840</xdr:colOff>
      <xdr:row>8</xdr:row>
      <xdr:rowOff>14690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5938998" y="823253"/>
          <a:ext cx="1445817" cy="563351"/>
        </a:xfrm>
        <a:prstGeom prst="roundRect">
          <a:avLst>
            <a:gd name="adj" fmla="val 4167"/>
          </a:avLst>
        </a:prstGeom>
        <a:solidFill>
          <a:srgbClr val="00B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chemeClr val="bg1"/>
              </a:solidFill>
            </a:rPr>
            <a:t>TER Faculty Count</a:t>
          </a:r>
          <a:r>
            <a:rPr lang="en-US" sz="1050" b="1" baseline="0">
              <a:solidFill>
                <a:schemeClr val="bg1"/>
              </a:solidFill>
            </a:rPr>
            <a:t>:</a:t>
          </a:r>
          <a:endParaRPr lang="en-US" sz="1050" b="1">
            <a:solidFill>
              <a:schemeClr val="bg1"/>
            </a:solidFill>
          </a:endParaRPr>
        </a:p>
      </xdr:txBody>
    </xdr:sp>
    <xdr:clientData/>
  </xdr:twoCellAnchor>
  <xdr:twoCellAnchor>
    <xdr:from>
      <xdr:col>9</xdr:col>
      <xdr:colOff>657355</xdr:colOff>
      <xdr:row>5</xdr:row>
      <xdr:rowOff>143825</xdr:rowOff>
    </xdr:from>
    <xdr:to>
      <xdr:col>10</xdr:col>
      <xdr:colOff>238760</xdr:colOff>
      <xdr:row>8</xdr:row>
      <xdr:rowOff>7070</xdr:rowOff>
    </xdr:to>
    <xdr:sp macro="" textlink="$K$18">
      <xdr:nvSpPr>
        <xdr:cNvPr id="16" name="TextBox 8">
          <a:extLst>
            <a:ext uri="{FF2B5EF4-FFF2-40B4-BE49-F238E27FC236}">
              <a16:creationId xmlns:a16="http://schemas.microsoft.com/office/drawing/2014/main" id="{00000000-0008-0000-0000-000010000000}"/>
            </a:ext>
          </a:extLst>
        </xdr:cNvPr>
        <xdr:cNvSpPr txBox="1"/>
      </xdr:nvSpPr>
      <xdr:spPr>
        <a:xfrm>
          <a:off x="6148929" y="919936"/>
          <a:ext cx="816127" cy="39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CD7093-C216-41F3-9A10-6F3AC79B8E98}" type="TxLink">
            <a:rPr lang="en-US" sz="2400" b="1" i="0" u="none" strike="noStrike">
              <a:solidFill>
                <a:schemeClr val="bg1"/>
              </a:solidFill>
              <a:latin typeface="Calibri"/>
              <a:cs typeface="Calibri"/>
            </a:rPr>
            <a:pPr algn="ctr"/>
            <a:t>41</a:t>
          </a:fld>
          <a:endParaRPr lang="en-US" sz="2400" b="1">
            <a:solidFill>
              <a:schemeClr val="bg1"/>
            </a:solidFill>
          </a:endParaRPr>
        </a:p>
      </xdr:txBody>
    </xdr:sp>
    <xdr:clientData/>
  </xdr:twoCellAnchor>
  <xdr:twoCellAnchor>
    <xdr:from>
      <xdr:col>11</xdr:col>
      <xdr:colOff>101915</xdr:colOff>
      <xdr:row>4</xdr:row>
      <xdr:rowOff>101406</xdr:rowOff>
    </xdr:from>
    <xdr:to>
      <xdr:col>14</xdr:col>
      <xdr:colOff>47037</xdr:colOff>
      <xdr:row>8</xdr:row>
      <xdr:rowOff>14078</xdr:rowOff>
    </xdr:to>
    <xdr:sp macro="" textlink="">
      <xdr:nvSpPr>
        <xdr:cNvPr id="13" name="Rectangle: Rounded Corners 9">
          <a:extLst>
            <a:ext uri="{FF2B5EF4-FFF2-40B4-BE49-F238E27FC236}">
              <a16:creationId xmlns:a16="http://schemas.microsoft.com/office/drawing/2014/main" id="{00000000-0008-0000-0000-00000D000000}"/>
            </a:ext>
          </a:extLst>
        </xdr:cNvPr>
        <xdr:cNvSpPr/>
      </xdr:nvSpPr>
      <xdr:spPr>
        <a:xfrm>
          <a:off x="7478890" y="822641"/>
          <a:ext cx="1536542" cy="563351"/>
        </a:xfrm>
        <a:prstGeom prst="roundRect">
          <a:avLst>
            <a:gd name="adj" fmla="val 4167"/>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ysClr val="windowText" lastClr="000000"/>
              </a:solidFill>
            </a:rPr>
            <a:t>SHS Faculty Count</a:t>
          </a:r>
          <a:r>
            <a:rPr lang="en-US" sz="1050" b="1" baseline="0">
              <a:solidFill>
                <a:sysClr val="windowText" lastClr="000000"/>
              </a:solidFill>
            </a:rPr>
            <a:t>:</a:t>
          </a:r>
          <a:endParaRPr lang="en-US" sz="1050" b="1">
            <a:solidFill>
              <a:sysClr val="windowText" lastClr="000000"/>
            </a:solidFill>
          </a:endParaRPr>
        </a:p>
      </xdr:txBody>
    </xdr:sp>
    <xdr:clientData/>
  </xdr:twoCellAnchor>
  <xdr:twoCellAnchor>
    <xdr:from>
      <xdr:col>11</xdr:col>
      <xdr:colOff>437742</xdr:colOff>
      <xdr:row>5</xdr:row>
      <xdr:rowOff>127535</xdr:rowOff>
    </xdr:from>
    <xdr:to>
      <xdr:col>13</xdr:col>
      <xdr:colOff>321311</xdr:colOff>
      <xdr:row>7</xdr:row>
      <xdr:rowOff>163359</xdr:rowOff>
    </xdr:to>
    <xdr:sp macro="" textlink="$Q$24">
      <xdr:nvSpPr>
        <xdr:cNvPr id="10" name="TextBox 10">
          <a:extLst>
            <a:ext uri="{FF2B5EF4-FFF2-40B4-BE49-F238E27FC236}">
              <a16:creationId xmlns:a16="http://schemas.microsoft.com/office/drawing/2014/main" id="{00000000-0008-0000-0000-00000A000000}"/>
            </a:ext>
          </a:extLst>
        </xdr:cNvPr>
        <xdr:cNvSpPr txBox="1"/>
      </xdr:nvSpPr>
      <xdr:spPr>
        <a:xfrm>
          <a:off x="7940149" y="903646"/>
          <a:ext cx="918384" cy="388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A6596D-5A85-4D8C-BC65-904D64B61B22}" type="TxLink">
            <a:rPr lang="en-US" sz="2400" b="1" i="0" u="none" strike="noStrike">
              <a:solidFill>
                <a:srgbClr val="000000"/>
              </a:solidFill>
              <a:latin typeface="Calibri"/>
              <a:cs typeface="Calibri"/>
            </a:rPr>
            <a:pPr algn="ctr"/>
            <a:t>29</a:t>
          </a:fld>
          <a:endParaRPr lang="en-US" sz="2400" b="1">
            <a:solidFill>
              <a:sysClr val="windowText" lastClr="000000"/>
            </a:solidFill>
          </a:endParaRPr>
        </a:p>
      </xdr:txBody>
    </xdr:sp>
    <xdr:clientData/>
  </xdr:twoCellAnchor>
  <xdr:twoCellAnchor>
    <xdr:from>
      <xdr:col>14</xdr:col>
      <xdr:colOff>109754</xdr:colOff>
      <xdr:row>5</xdr:row>
      <xdr:rowOff>7332</xdr:rowOff>
    </xdr:from>
    <xdr:to>
      <xdr:col>22</xdr:col>
      <xdr:colOff>7840</xdr:colOff>
      <xdr:row>8</xdr:row>
      <xdr:rowOff>22309</xdr:rowOff>
    </xdr:to>
    <xdr:sp macro="" textlink="">
      <xdr:nvSpPr>
        <xdr:cNvPr id="94" name="Rectangle: Rounded Corners 11">
          <a:hlinkClick xmlns:r="http://schemas.openxmlformats.org/officeDocument/2006/relationships" r:id="rId3"/>
          <a:extLst>
            <a:ext uri="{FF2B5EF4-FFF2-40B4-BE49-F238E27FC236}">
              <a16:creationId xmlns:a16="http://schemas.microsoft.com/office/drawing/2014/main" id="{00000000-0008-0000-0000-00005E000000}"/>
            </a:ext>
          </a:extLst>
        </xdr:cNvPr>
        <xdr:cNvSpPr/>
      </xdr:nvSpPr>
      <xdr:spPr>
        <a:xfrm>
          <a:off x="9078149" y="799122"/>
          <a:ext cx="5323024" cy="555903"/>
        </a:xfrm>
        <a:prstGeom prst="roundRect">
          <a:avLst>
            <a:gd name="adj" fmla="val 4167"/>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Room Schedule: </a:t>
          </a:r>
          <a:br>
            <a:rPr lang="en-US" sz="1400" b="1" baseline="0">
              <a:solidFill>
                <a:schemeClr val="tx1"/>
              </a:solidFill>
            </a:rPr>
          </a:br>
          <a:r>
            <a:rPr lang="en-US" sz="1400" b="1" baseline="0">
              <a:solidFill>
                <a:srgbClr val="FF0000"/>
              </a:solidFill>
            </a:rPr>
            <a:t>Click here to print your room schedules.</a:t>
          </a:r>
          <a:endParaRPr lang="en-US" sz="1400" b="1">
            <a:solidFill>
              <a:srgbClr val="FF0000"/>
            </a:solidFill>
          </a:endParaRPr>
        </a:p>
      </xdr:txBody>
    </xdr:sp>
    <xdr:clientData/>
  </xdr:twoCellAnchor>
  <xdr:twoCellAnchor>
    <xdr:from>
      <xdr:col>6</xdr:col>
      <xdr:colOff>226560</xdr:colOff>
      <xdr:row>19</xdr:row>
      <xdr:rowOff>68262</xdr:rowOff>
    </xdr:from>
    <xdr:to>
      <xdr:col>11</xdr:col>
      <xdr:colOff>773906</xdr:colOff>
      <xdr:row>29</xdr:row>
      <xdr:rowOff>103981</xdr:rowOff>
    </xdr:to>
    <xdr:graphicFrame macro="">
      <xdr:nvGraphicFramePr>
        <xdr:cNvPr id="29" name="Chart 11">
          <a:extLst>
            <a:ext uri="{FF2B5EF4-FFF2-40B4-BE49-F238E27FC236}">
              <a16:creationId xmlns:a16="http://schemas.microsoft.com/office/drawing/2014/main" id="{00000000-0008-0000-00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173181</xdr:colOff>
      <xdr:row>10</xdr:row>
      <xdr:rowOff>35718</xdr:rowOff>
    </xdr:from>
    <xdr:to>
      <xdr:col>22</xdr:col>
      <xdr:colOff>67898</xdr:colOff>
      <xdr:row>25</xdr:row>
      <xdr:rowOff>83994</xdr:rowOff>
    </xdr:to>
    <xdr:sp macro="" textlink="">
      <xdr:nvSpPr>
        <xdr:cNvPr id="27" name="Rectangle 6">
          <a:extLst>
            <a:ext uri="{FF2B5EF4-FFF2-40B4-BE49-F238E27FC236}">
              <a16:creationId xmlns:a16="http://schemas.microsoft.com/office/drawing/2014/main" id="{00000000-0008-0000-0000-00001B000000}"/>
            </a:ext>
          </a:extLst>
        </xdr:cNvPr>
        <xdr:cNvSpPr/>
      </xdr:nvSpPr>
      <xdr:spPr>
        <a:xfrm>
          <a:off x="12519962" y="1774031"/>
          <a:ext cx="2811749" cy="2846244"/>
        </a:xfrm>
        <a:prstGeom prst="rect">
          <a:avLst/>
        </a:prstGeom>
        <a:no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102961</xdr:colOff>
      <xdr:row>3</xdr:row>
      <xdr:rowOff>217714</xdr:rowOff>
    </xdr:from>
    <xdr:to>
      <xdr:col>15</xdr:col>
      <xdr:colOff>1746008</xdr:colOff>
      <xdr:row>6</xdr:row>
      <xdr:rowOff>67262</xdr:rowOff>
    </xdr:to>
    <xdr:sp macro="" textlink="">
      <xdr:nvSpPr>
        <xdr:cNvPr id="5" name="Rectangle: Rounded Corners 11">
          <a:hlinkClick xmlns:r="http://schemas.openxmlformats.org/officeDocument/2006/relationships" r:id="rId1"/>
          <a:extLst>
            <a:ext uri="{FF2B5EF4-FFF2-40B4-BE49-F238E27FC236}">
              <a16:creationId xmlns:a16="http://schemas.microsoft.com/office/drawing/2014/main" id="{00000000-0008-0000-0100-000005000000}"/>
            </a:ext>
          </a:extLst>
        </xdr:cNvPr>
        <xdr:cNvSpPr/>
      </xdr:nvSpPr>
      <xdr:spPr>
        <a:xfrm>
          <a:off x="13084175" y="952500"/>
          <a:ext cx="2541119" cy="489083"/>
        </a:xfrm>
        <a:prstGeom prst="roundRect">
          <a:avLst>
            <a:gd name="adj" fmla="val 4167"/>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Section Count Projection: </a:t>
          </a:r>
          <a:br>
            <a:rPr lang="en-US" sz="1050" b="1" baseline="0">
              <a:solidFill>
                <a:schemeClr val="tx1"/>
              </a:solidFill>
            </a:rPr>
          </a:br>
          <a:r>
            <a:rPr lang="en-US" sz="1050" b="1" baseline="0">
              <a:solidFill>
                <a:srgbClr val="FF0000"/>
              </a:solidFill>
            </a:rPr>
            <a:t>Click here to return to Top Sheet.</a:t>
          </a:r>
          <a:endParaRPr lang="en-US" sz="105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941295</xdr:colOff>
      <xdr:row>19</xdr:row>
      <xdr:rowOff>52293</xdr:rowOff>
    </xdr:from>
    <xdr:to>
      <xdr:col>12</xdr:col>
      <xdr:colOff>7471</xdr:colOff>
      <xdr:row>21</xdr:row>
      <xdr:rowOff>171823</xdr:rowOff>
    </xdr:to>
    <xdr:sp macro="" textlink="">
      <xdr:nvSpPr>
        <xdr:cNvPr id="32" name="Rectangle: Rounded Corners 11">
          <a:hlinkClick xmlns:r="http://schemas.openxmlformats.org/officeDocument/2006/relationships" r:id="rId1"/>
          <a:extLst>
            <a:ext uri="{FF2B5EF4-FFF2-40B4-BE49-F238E27FC236}">
              <a16:creationId xmlns:a16="http://schemas.microsoft.com/office/drawing/2014/main" id="{00000000-0008-0000-0600-000020000000}"/>
            </a:ext>
          </a:extLst>
        </xdr:cNvPr>
        <xdr:cNvSpPr/>
      </xdr:nvSpPr>
      <xdr:spPr>
        <a:xfrm>
          <a:off x="10682942" y="3862293"/>
          <a:ext cx="2420470" cy="493059"/>
        </a:xfrm>
        <a:prstGeom prst="roundRect">
          <a:avLst>
            <a:gd name="adj" fmla="val 4167"/>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Faculty Count Projection: </a:t>
          </a:r>
          <a:br>
            <a:rPr lang="en-US" sz="1050" b="1" baseline="0">
              <a:solidFill>
                <a:schemeClr val="tx1"/>
              </a:solidFill>
            </a:rPr>
          </a:br>
          <a:r>
            <a:rPr lang="en-US" sz="1050" b="1" baseline="0">
              <a:solidFill>
                <a:srgbClr val="FF0000"/>
              </a:solidFill>
            </a:rPr>
            <a:t>Click here to return to Top Sheet.</a:t>
          </a:r>
          <a:endParaRPr lang="en-US" sz="105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18</xdr:row>
      <xdr:rowOff>0</xdr:rowOff>
    </xdr:to>
    <xdr:sp macro="" textlink="">
      <xdr:nvSpPr>
        <xdr:cNvPr id="2051" name="AutoShape 4">
          <a:extLst>
            <a:ext uri="{FF2B5EF4-FFF2-40B4-BE49-F238E27FC236}">
              <a16:creationId xmlns:a16="http://schemas.microsoft.com/office/drawing/2014/main" id="{00000000-0008-0000-0800-000003080000}"/>
            </a:ext>
          </a:extLst>
        </xdr:cNvPr>
        <xdr:cNvSpPr>
          <a:spLocks noChangeArrowheads="1"/>
        </xdr:cNvSpPr>
      </xdr:nvSpPr>
      <xdr:spPr bwMode="auto">
        <a:xfrm>
          <a:off x="0" y="0"/>
          <a:ext cx="12639675" cy="35242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18</xdr:row>
      <xdr:rowOff>0</xdr:rowOff>
    </xdr:to>
    <xdr:sp macro="" textlink="">
      <xdr:nvSpPr>
        <xdr:cNvPr id="1027" name="AutoShape 4">
          <a:extLst>
            <a:ext uri="{FF2B5EF4-FFF2-40B4-BE49-F238E27FC236}">
              <a16:creationId xmlns:a16="http://schemas.microsoft.com/office/drawing/2014/main" id="{00000000-0008-0000-0700-000003040000}"/>
            </a:ext>
          </a:extLst>
        </xdr:cNvPr>
        <xdr:cNvSpPr>
          <a:spLocks noChangeArrowheads="1"/>
        </xdr:cNvSpPr>
      </xdr:nvSpPr>
      <xdr:spPr bwMode="auto">
        <a:xfrm>
          <a:off x="0" y="0"/>
          <a:ext cx="12639675" cy="35242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68580</xdr:colOff>
          <xdr:row>0</xdr:row>
          <xdr:rowOff>7620</xdr:rowOff>
        </xdr:from>
        <xdr:to>
          <xdr:col>0</xdr:col>
          <xdr:colOff>1295400</xdr:colOff>
          <xdr:row>0</xdr:row>
          <xdr:rowOff>335280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900-0000012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MERGE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68580</xdr:colOff>
          <xdr:row>0</xdr:row>
          <xdr:rowOff>342900</xdr:rowOff>
        </xdr:from>
        <xdr:to>
          <xdr:col>0</xdr:col>
          <xdr:colOff>1295400</xdr:colOff>
          <xdr:row>0</xdr:row>
          <xdr:rowOff>640080</xdr:rowOff>
        </xdr:to>
        <xdr:sp macro="" textlink="">
          <xdr:nvSpPr>
            <xdr:cNvPr id="9218" name="Button 2" hidden="1">
              <a:extLst>
                <a:ext uri="{63B3BB69-23CF-44E3-9099-C40C66FF867C}">
                  <a14:compatExt spid="_x0000_s9218"/>
                </a:ext>
                <a:ext uri="{FF2B5EF4-FFF2-40B4-BE49-F238E27FC236}">
                  <a16:creationId xmlns:a16="http://schemas.microsoft.com/office/drawing/2014/main" id="{00000000-0008-0000-0900-0000022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UNMERGE</a:t>
              </a:r>
            </a:p>
          </xdr:txBody>
        </xdr:sp>
        <xdr:clientData fPrintsWithSheet="0"/>
      </xdr:twoCellAnchor>
    </mc:Choice>
    <mc:Fallback/>
  </mc:AlternateContent>
  <xdr:twoCellAnchor>
    <xdr:from>
      <xdr:col>0</xdr:col>
      <xdr:colOff>38100</xdr:colOff>
      <xdr:row>0</xdr:row>
      <xdr:rowOff>9525</xdr:rowOff>
    </xdr:from>
    <xdr:to>
      <xdr:col>0</xdr:col>
      <xdr:colOff>866775</xdr:colOff>
      <xdr:row>0</xdr:row>
      <xdr:rowOff>219075</xdr:rowOff>
    </xdr:to>
    <xdr:sp macro="" textlink="">
      <xdr:nvSpPr>
        <xdr:cNvPr id="2" name="Button 2" hidden="1">
          <a:extLst>
            <a:ext uri="{63B3BB69-23CF-44E3-9099-C40C66FF867C}">
              <a14:compatExt xmlns:a14="http://schemas.microsoft.com/office/drawing/2010/main" spid="_x0000_s9218"/>
            </a:ext>
            <a:ext uri="{FF2B5EF4-FFF2-40B4-BE49-F238E27FC236}">
              <a16:creationId xmlns:a16="http://schemas.microsoft.com/office/drawing/2014/main" id="{00000000-0008-0000-0900-0000020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UNMERGE</a:t>
          </a:r>
        </a:p>
      </xdr:txBody>
    </xdr:sp>
    <xdr:clientData fPrintsWithSheet="0"/>
  </xdr:twoCellAnchor>
  <xdr:twoCellAnchor>
    <xdr:from>
      <xdr:col>0</xdr:col>
      <xdr:colOff>38100</xdr:colOff>
      <xdr:row>0</xdr:row>
      <xdr:rowOff>228600</xdr:rowOff>
    </xdr:from>
    <xdr:to>
      <xdr:col>0</xdr:col>
      <xdr:colOff>866775</xdr:colOff>
      <xdr:row>0</xdr:row>
      <xdr:rowOff>428625</xdr:rowOff>
    </xdr:to>
    <xdr:sp macro="" textlink="">
      <xdr:nvSpPr>
        <xdr:cNvPr id="3" name="Button 1" hidden="1">
          <a:extLst>
            <a:ext uri="{63B3BB69-23CF-44E3-9099-C40C66FF867C}">
              <a14:compatExt xmlns:a14="http://schemas.microsoft.com/office/drawing/2010/main" spid="_x0000_s9217"/>
            </a:ext>
            <a:ext uri="{FF2B5EF4-FFF2-40B4-BE49-F238E27FC236}">
              <a16:creationId xmlns:a16="http://schemas.microsoft.com/office/drawing/2014/main" id="{00000000-0008-0000-0900-0000030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MERGE</a:t>
          </a:r>
        </a:p>
      </xdr:txBody>
    </xdr:sp>
    <xdr:clientData fPrintsWithSheet="0"/>
  </xdr:twoCellAnchor>
  <mc:AlternateContent xmlns:mc="http://schemas.openxmlformats.org/markup-compatibility/2006">
    <mc:Choice xmlns:a14="http://schemas.microsoft.com/office/drawing/2010/main" Requires="a14">
      <xdr:twoCellAnchor>
        <xdr:from>
          <xdr:col>0</xdr:col>
          <xdr:colOff>83820</xdr:colOff>
          <xdr:row>0</xdr:row>
          <xdr:rowOff>30480</xdr:rowOff>
        </xdr:from>
        <xdr:to>
          <xdr:col>0</xdr:col>
          <xdr:colOff>1943100</xdr:colOff>
          <xdr:row>0</xdr:row>
          <xdr:rowOff>487680</xdr:rowOff>
        </xdr:to>
        <xdr:sp macro="" textlink="">
          <xdr:nvSpPr>
            <xdr:cNvPr id="9220" name="Button 1" hidden="1">
              <a:extLst>
                <a:ext uri="{63B3BB69-23CF-44E3-9099-C40C66FF867C}">
                  <a14:compatExt spid="_x0000_s9220"/>
                </a:ext>
                <a:ext uri="{FF2B5EF4-FFF2-40B4-BE49-F238E27FC236}">
                  <a16:creationId xmlns:a16="http://schemas.microsoft.com/office/drawing/2014/main" id="{00000000-0008-0000-0900-0000042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MERGE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83820</xdr:colOff>
          <xdr:row>0</xdr:row>
          <xdr:rowOff>525780</xdr:rowOff>
        </xdr:from>
        <xdr:to>
          <xdr:col>0</xdr:col>
          <xdr:colOff>1943100</xdr:colOff>
          <xdr:row>0</xdr:row>
          <xdr:rowOff>960120</xdr:rowOff>
        </xdr:to>
        <xdr:sp macro="" textlink="">
          <xdr:nvSpPr>
            <xdr:cNvPr id="9219" name="Button 2" hidden="1">
              <a:extLst>
                <a:ext uri="{63B3BB69-23CF-44E3-9099-C40C66FF867C}">
                  <a14:compatExt spid="_x0000_s9219"/>
                </a:ext>
                <a:ext uri="{FF2B5EF4-FFF2-40B4-BE49-F238E27FC236}">
                  <a16:creationId xmlns:a16="http://schemas.microsoft.com/office/drawing/2014/main" id="{00000000-0008-0000-0900-0000032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UNMERGE</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68580</xdr:colOff>
          <xdr:row>0</xdr:row>
          <xdr:rowOff>7620</xdr:rowOff>
        </xdr:from>
        <xdr:to>
          <xdr:col>0</xdr:col>
          <xdr:colOff>1295400</xdr:colOff>
          <xdr:row>0</xdr:row>
          <xdr:rowOff>335280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0A00-0000013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MERGE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68580</xdr:colOff>
          <xdr:row>0</xdr:row>
          <xdr:rowOff>342900</xdr:rowOff>
        </xdr:from>
        <xdr:to>
          <xdr:col>0</xdr:col>
          <xdr:colOff>1295400</xdr:colOff>
          <xdr:row>0</xdr:row>
          <xdr:rowOff>640080</xdr:rowOff>
        </xdr:to>
        <xdr:sp macro="" textlink="">
          <xdr:nvSpPr>
            <xdr:cNvPr id="13314" name="Button 2" hidden="1">
              <a:extLst>
                <a:ext uri="{63B3BB69-23CF-44E3-9099-C40C66FF867C}">
                  <a14:compatExt spid="_x0000_s13314"/>
                </a:ext>
                <a:ext uri="{FF2B5EF4-FFF2-40B4-BE49-F238E27FC236}">
                  <a16:creationId xmlns:a16="http://schemas.microsoft.com/office/drawing/2014/main" id="{00000000-0008-0000-0A00-0000023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UNMERGE</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68580</xdr:colOff>
          <xdr:row>0</xdr:row>
          <xdr:rowOff>7620</xdr:rowOff>
        </xdr:from>
        <xdr:to>
          <xdr:col>0</xdr:col>
          <xdr:colOff>1295400</xdr:colOff>
          <xdr:row>0</xdr:row>
          <xdr:rowOff>335280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0B00-0000013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MERGE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68580</xdr:colOff>
          <xdr:row>0</xdr:row>
          <xdr:rowOff>342900</xdr:rowOff>
        </xdr:from>
        <xdr:to>
          <xdr:col>0</xdr:col>
          <xdr:colOff>1295400</xdr:colOff>
          <xdr:row>0</xdr:row>
          <xdr:rowOff>640080</xdr:rowOff>
        </xdr:to>
        <xdr:sp macro="" textlink="">
          <xdr:nvSpPr>
            <xdr:cNvPr id="14338" name="Button 2" hidden="1">
              <a:extLst>
                <a:ext uri="{63B3BB69-23CF-44E3-9099-C40C66FF867C}">
                  <a14:compatExt spid="_x0000_s14338"/>
                </a:ext>
                <a:ext uri="{FF2B5EF4-FFF2-40B4-BE49-F238E27FC236}">
                  <a16:creationId xmlns:a16="http://schemas.microsoft.com/office/drawing/2014/main" id="{00000000-0008-0000-0B00-0000023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UNMERGE</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68580</xdr:colOff>
          <xdr:row>0</xdr:row>
          <xdr:rowOff>7620</xdr:rowOff>
        </xdr:from>
        <xdr:to>
          <xdr:col>0</xdr:col>
          <xdr:colOff>1295400</xdr:colOff>
          <xdr:row>0</xdr:row>
          <xdr:rowOff>335280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0C00-0000013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MERGE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68580</xdr:colOff>
          <xdr:row>0</xdr:row>
          <xdr:rowOff>342900</xdr:rowOff>
        </xdr:from>
        <xdr:to>
          <xdr:col>0</xdr:col>
          <xdr:colOff>1295400</xdr:colOff>
          <xdr:row>0</xdr:row>
          <xdr:rowOff>640080</xdr:rowOff>
        </xdr:to>
        <xdr:sp macro="" textlink="">
          <xdr:nvSpPr>
            <xdr:cNvPr id="15362" name="Button 2" hidden="1">
              <a:extLst>
                <a:ext uri="{63B3BB69-23CF-44E3-9099-C40C66FF867C}">
                  <a14:compatExt spid="_x0000_s15362"/>
                </a:ext>
                <a:ext uri="{FF2B5EF4-FFF2-40B4-BE49-F238E27FC236}">
                  <a16:creationId xmlns:a16="http://schemas.microsoft.com/office/drawing/2014/main" id="{00000000-0008-0000-0C00-0000023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UNMERGE</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68580</xdr:colOff>
          <xdr:row>0</xdr:row>
          <xdr:rowOff>7620</xdr:rowOff>
        </xdr:from>
        <xdr:to>
          <xdr:col>0</xdr:col>
          <xdr:colOff>1295400</xdr:colOff>
          <xdr:row>0</xdr:row>
          <xdr:rowOff>335280</xdr:rowOff>
        </xdr:to>
        <xdr:sp macro="" textlink="">
          <xdr:nvSpPr>
            <xdr:cNvPr id="16385" name="Button 1" hidden="1">
              <a:extLst>
                <a:ext uri="{63B3BB69-23CF-44E3-9099-C40C66FF867C}">
                  <a14:compatExt spid="_x0000_s16385"/>
                </a:ext>
                <a:ext uri="{FF2B5EF4-FFF2-40B4-BE49-F238E27FC236}">
                  <a16:creationId xmlns:a16="http://schemas.microsoft.com/office/drawing/2014/main" id="{00000000-0008-0000-0D00-0000014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MERGE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68580</xdr:colOff>
          <xdr:row>0</xdr:row>
          <xdr:rowOff>342900</xdr:rowOff>
        </xdr:from>
        <xdr:to>
          <xdr:col>0</xdr:col>
          <xdr:colOff>1295400</xdr:colOff>
          <xdr:row>0</xdr:row>
          <xdr:rowOff>640080</xdr:rowOff>
        </xdr:to>
        <xdr:sp macro="" textlink="">
          <xdr:nvSpPr>
            <xdr:cNvPr id="16386" name="Button 2" hidden="1">
              <a:extLst>
                <a:ext uri="{63B3BB69-23CF-44E3-9099-C40C66FF867C}">
                  <a14:compatExt spid="_x0000_s16386"/>
                </a:ext>
                <a:ext uri="{FF2B5EF4-FFF2-40B4-BE49-F238E27FC236}">
                  <a16:creationId xmlns:a16="http://schemas.microsoft.com/office/drawing/2014/main" id="{00000000-0008-0000-0D00-0000024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UNMERGE</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68580</xdr:colOff>
          <xdr:row>0</xdr:row>
          <xdr:rowOff>7620</xdr:rowOff>
        </xdr:from>
        <xdr:to>
          <xdr:col>0</xdr:col>
          <xdr:colOff>1295400</xdr:colOff>
          <xdr:row>0</xdr:row>
          <xdr:rowOff>335280</xdr:rowOff>
        </xdr:to>
        <xdr:sp macro="" textlink="">
          <xdr:nvSpPr>
            <xdr:cNvPr id="17409" name="Button 1" hidden="1">
              <a:extLst>
                <a:ext uri="{63B3BB69-23CF-44E3-9099-C40C66FF867C}">
                  <a14:compatExt spid="_x0000_s17409"/>
                </a:ext>
                <a:ext uri="{FF2B5EF4-FFF2-40B4-BE49-F238E27FC236}">
                  <a16:creationId xmlns:a16="http://schemas.microsoft.com/office/drawing/2014/main" id="{00000000-0008-0000-0E00-0000014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MERGE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68580</xdr:colOff>
          <xdr:row>0</xdr:row>
          <xdr:rowOff>342900</xdr:rowOff>
        </xdr:from>
        <xdr:to>
          <xdr:col>0</xdr:col>
          <xdr:colOff>1295400</xdr:colOff>
          <xdr:row>0</xdr:row>
          <xdr:rowOff>640080</xdr:rowOff>
        </xdr:to>
        <xdr:sp macro="" textlink="">
          <xdr:nvSpPr>
            <xdr:cNvPr id="17410" name="Button 2" hidden="1">
              <a:extLst>
                <a:ext uri="{63B3BB69-23CF-44E3-9099-C40C66FF867C}">
                  <a14:compatExt spid="_x0000_s17410"/>
                </a:ext>
                <a:ext uri="{FF2B5EF4-FFF2-40B4-BE49-F238E27FC236}">
                  <a16:creationId xmlns:a16="http://schemas.microsoft.com/office/drawing/2014/main" id="{00000000-0008-0000-0E00-0000024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100" b="0" i="0" u="none" strike="noStrike" baseline="0">
                  <a:solidFill>
                    <a:srgbClr val="000000"/>
                  </a:solidFill>
                  <a:latin typeface="Calibri"/>
                  <a:ea typeface="Calibri"/>
                  <a:cs typeface="Calibri"/>
                </a:rPr>
                <a:t>UNMERGE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1</xdr:col>
      <xdr:colOff>25400</xdr:colOff>
      <xdr:row>0</xdr:row>
      <xdr:rowOff>158750</xdr:rowOff>
    </xdr:from>
    <xdr:to>
      <xdr:col>3</xdr:col>
      <xdr:colOff>731369</xdr:colOff>
      <xdr:row>2</xdr:row>
      <xdr:rowOff>122144</xdr:rowOff>
    </xdr:to>
    <xdr:sp macro="" textlink="">
      <xdr:nvSpPr>
        <xdr:cNvPr id="17" name="Rectangle: Rounded Corners 11">
          <a:hlinkClick xmlns:r="http://schemas.openxmlformats.org/officeDocument/2006/relationships" r:id="rId1"/>
          <a:extLst>
            <a:ext uri="{FF2B5EF4-FFF2-40B4-BE49-F238E27FC236}">
              <a16:creationId xmlns:a16="http://schemas.microsoft.com/office/drawing/2014/main" id="{00000000-0008-0000-0F00-000011000000}"/>
            </a:ext>
          </a:extLst>
        </xdr:cNvPr>
        <xdr:cNvSpPr/>
      </xdr:nvSpPr>
      <xdr:spPr>
        <a:xfrm>
          <a:off x="133350" y="158750"/>
          <a:ext cx="2547469" cy="433294"/>
        </a:xfrm>
        <a:prstGeom prst="roundRect">
          <a:avLst>
            <a:gd name="adj" fmla="val 4167"/>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Room Utilization: </a:t>
          </a:r>
          <a:br>
            <a:rPr lang="en-US" sz="1050" b="1" baseline="0">
              <a:solidFill>
                <a:schemeClr val="tx1"/>
              </a:solidFill>
            </a:rPr>
          </a:br>
          <a:r>
            <a:rPr lang="en-US" sz="1050" b="1" baseline="0">
              <a:solidFill>
                <a:srgbClr val="FF0000"/>
              </a:solidFill>
            </a:rPr>
            <a:t>Click here to return to Top Sheet.</a:t>
          </a:r>
          <a:endParaRPr lang="en-US" sz="1050" b="1">
            <a:solidFill>
              <a:srgbClr val="FF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86473</xdr:colOff>
      <xdr:row>0</xdr:row>
      <xdr:rowOff>74707</xdr:rowOff>
    </xdr:from>
    <xdr:to>
      <xdr:col>9</xdr:col>
      <xdr:colOff>541057</xdr:colOff>
      <xdr:row>32</xdr:row>
      <xdr:rowOff>22412</xdr:rowOff>
    </xdr:to>
    <xdr:sp macro="" textlink="">
      <xdr:nvSpPr>
        <xdr:cNvPr id="3" name="Rectangle: Rounded Corners 11">
          <a:hlinkClick xmlns:r="http://schemas.openxmlformats.org/officeDocument/2006/relationships" r:id="rId1"/>
          <a:extLst>
            <a:ext uri="{FF2B5EF4-FFF2-40B4-BE49-F238E27FC236}">
              <a16:creationId xmlns:a16="http://schemas.microsoft.com/office/drawing/2014/main" id="{00000000-0008-0000-1000-000003000000}"/>
            </a:ext>
          </a:extLst>
        </xdr:cNvPr>
        <xdr:cNvSpPr/>
      </xdr:nvSpPr>
      <xdr:spPr>
        <a:xfrm>
          <a:off x="9308914" y="74707"/>
          <a:ext cx="2550084" cy="485587"/>
        </a:xfrm>
        <a:prstGeom prst="roundRect">
          <a:avLst>
            <a:gd name="adj" fmla="val 4167"/>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Room Schedule: </a:t>
          </a:r>
          <a:br>
            <a:rPr lang="en-US" sz="1050" b="1" baseline="0">
              <a:solidFill>
                <a:schemeClr val="tx1"/>
              </a:solidFill>
            </a:rPr>
          </a:br>
          <a:r>
            <a:rPr lang="en-US" sz="1050" b="1" baseline="0">
              <a:solidFill>
                <a:srgbClr val="FF0000"/>
              </a:solidFill>
            </a:rPr>
            <a:t>Click here to return to Top Sheet.</a:t>
          </a:r>
          <a:endParaRPr lang="en-US" sz="1050" b="1">
            <a:solidFill>
              <a:srgbClr val="FF0000"/>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69850</xdr:colOff>
      <xdr:row>6</xdr:row>
      <xdr:rowOff>171450</xdr:rowOff>
    </xdr:from>
    <xdr:to>
      <xdr:col>10</xdr:col>
      <xdr:colOff>1233019</xdr:colOff>
      <xdr:row>9</xdr:row>
      <xdr:rowOff>14194</xdr:rowOff>
    </xdr:to>
    <xdr:sp macro="" textlink="">
      <xdr:nvSpPr>
        <xdr:cNvPr id="33" name="Rectangle: Rounded Corners 11">
          <a:hlinkClick xmlns:r="http://schemas.openxmlformats.org/officeDocument/2006/relationships" r:id="rId1"/>
          <a:extLst>
            <a:ext uri="{FF2B5EF4-FFF2-40B4-BE49-F238E27FC236}">
              <a16:creationId xmlns:a16="http://schemas.microsoft.com/office/drawing/2014/main" id="{00000000-0008-0000-1100-000021000000}"/>
            </a:ext>
          </a:extLst>
        </xdr:cNvPr>
        <xdr:cNvSpPr/>
      </xdr:nvSpPr>
      <xdr:spPr>
        <a:xfrm>
          <a:off x="6248400" y="1428750"/>
          <a:ext cx="2547469" cy="433294"/>
        </a:xfrm>
        <a:prstGeom prst="roundRect">
          <a:avLst>
            <a:gd name="adj" fmla="val 4167"/>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Computer Laboratory: </a:t>
          </a:r>
          <a:br>
            <a:rPr lang="en-US" sz="1050" b="1" baseline="0">
              <a:solidFill>
                <a:schemeClr val="tx1"/>
              </a:solidFill>
            </a:rPr>
          </a:br>
          <a:r>
            <a:rPr lang="en-US" sz="1050" b="1" baseline="0">
              <a:solidFill>
                <a:srgbClr val="FF0000"/>
              </a:solidFill>
            </a:rPr>
            <a:t>Click here to return to Top Sheet.</a:t>
          </a:r>
          <a:endParaRPr lang="en-US" sz="1050" b="1">
            <a:solidFill>
              <a:srgbClr val="FF0000"/>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25400</xdr:colOff>
      <xdr:row>6</xdr:row>
      <xdr:rowOff>69850</xdr:rowOff>
    </xdr:from>
    <xdr:to>
      <xdr:col>10</xdr:col>
      <xdr:colOff>1188569</xdr:colOff>
      <xdr:row>8</xdr:row>
      <xdr:rowOff>109444</xdr:rowOff>
    </xdr:to>
    <xdr:sp macro="" textlink="">
      <xdr:nvSpPr>
        <xdr:cNvPr id="37" name="Rectangle: Rounded Corners 11">
          <a:hlinkClick xmlns:r="http://schemas.openxmlformats.org/officeDocument/2006/relationships" r:id="rId1"/>
          <a:extLst>
            <a:ext uri="{FF2B5EF4-FFF2-40B4-BE49-F238E27FC236}">
              <a16:creationId xmlns:a16="http://schemas.microsoft.com/office/drawing/2014/main" id="{00000000-0008-0000-1200-000025000000}"/>
            </a:ext>
          </a:extLst>
        </xdr:cNvPr>
        <xdr:cNvSpPr/>
      </xdr:nvSpPr>
      <xdr:spPr>
        <a:xfrm>
          <a:off x="6210300" y="1327150"/>
          <a:ext cx="2547469" cy="433294"/>
        </a:xfrm>
        <a:prstGeom prst="roundRect">
          <a:avLst>
            <a:gd name="adj" fmla="val 4167"/>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Culinary Laboratory: </a:t>
          </a:r>
          <a:br>
            <a:rPr lang="en-US" sz="1050" b="1" baseline="0">
              <a:solidFill>
                <a:schemeClr val="tx1"/>
              </a:solidFill>
            </a:rPr>
          </a:br>
          <a:r>
            <a:rPr lang="en-US" sz="1050" b="1" baseline="0">
              <a:solidFill>
                <a:srgbClr val="FF0000"/>
              </a:solidFill>
            </a:rPr>
            <a:t>Click here to return to Top Sheet.</a:t>
          </a:r>
          <a:endParaRPr lang="en-US" sz="105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iedu-my.sharepoint.com/personal/fernando_dantes_sti_edu/Documents/02%20AOM%20files/Projects/School%20Administrator%20Learning%20Session/Learning%20Session%20-%20Class%20Schedule%20and%20Faculty%20Projection.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tiedu-my.sharepoint.com/personal/beronika_pena_sti_edu/Documents/Microsoft%20Teams%20Chat%20Files/Class%20Schedule%20and%20Faculty%20Count%20Projection%20Template%20for%20SY%2023-24_Cubao_07202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iedu-my.sharepoint.com/personal/aog_sti_edu/Documents/Class%20Schedule%20and%20Faculty%20Count%20Projection/Global%20City/Class%20Schedule%20and%20Faculty%20Count%20Projection%20Template%20for%20SY%2023-24%20(10-27-23)-cop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Top Sheet"/>
      <sheetName val="Projection Guide"/>
      <sheetName val="2 - Section Count Projection"/>
      <sheetName val="3.1 - Tertiary - Term 1"/>
      <sheetName val="3.2 - Tertiary - Term 2"/>
      <sheetName val="3.3 - SHS Term 1 "/>
      <sheetName val="3.4 - SHS Term 2"/>
      <sheetName val="Field Source"/>
      <sheetName val="Faculty Count Projection"/>
      <sheetName val="4.1 - TER Schedule"/>
      <sheetName val="4.2 - SHS Schedule"/>
      <sheetName val="Computer Lab"/>
      <sheetName val="Kitchen Lab "/>
      <sheetName val="Room Utilization Efficiency"/>
      <sheetName val="MONDAY"/>
      <sheetName val="TUESDAY"/>
      <sheetName val="WEDNESDAY"/>
      <sheetName val="THURSDAY"/>
      <sheetName val="FRIDAY"/>
      <sheetName val="SATURDAY"/>
      <sheetName val="Room Schedules"/>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Top Sheet"/>
      <sheetName val="Projection Guide"/>
      <sheetName val="3.1 - Tertiary - Term 1"/>
      <sheetName val="3.2 - Tertiary - Term 2"/>
      <sheetName val="3.3 - SHS Term 1 "/>
      <sheetName val="3.4 - SHS Term 2"/>
      <sheetName val="Field Source"/>
      <sheetName val="Faculty Count Projection"/>
      <sheetName val="4.1 - TER Schedule"/>
      <sheetName val="4.2 - SHS Schedule"/>
      <sheetName val="2 - Section Count Projection"/>
      <sheetName val="Computer Lab"/>
      <sheetName val="Kitchen Lab "/>
      <sheetName val="Room Utilization Efficiency"/>
      <sheetName val="MONDAY"/>
      <sheetName val="TUESDAY"/>
      <sheetName val="WEDNESDAY"/>
      <sheetName val="THURSDAY"/>
      <sheetName val="FRIDAY"/>
      <sheetName val="SATURDAY"/>
      <sheetName val="Room Schedule"/>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Top Sheet"/>
      <sheetName val="Projection Guide"/>
      <sheetName val="2 - Section Count Projection"/>
      <sheetName val="3.1 - Tertiary - Term 1"/>
      <sheetName val="3.2 - Tertiary - Term 2"/>
      <sheetName val="3.3 - SHS Term 1 "/>
      <sheetName val="3.4 - SHS Term 2"/>
      <sheetName val="Faculty Count Projection"/>
      <sheetName val="Field Source"/>
      <sheetName val="4.1 - TER Schedule"/>
      <sheetName val="4.2 - SHS Schedule"/>
      <sheetName val="Room Utilization Efficiency"/>
      <sheetName val="&lt;Day 1&gt;"/>
      <sheetName val="&lt;Day2&gt;"/>
      <sheetName val="&lt;Day3&gt;"/>
      <sheetName val="&lt;Day4&gt;"/>
      <sheetName val="&lt;Day5&gt;"/>
      <sheetName val="&lt;Day6&gt;"/>
      <sheetName val="Computer Lab"/>
      <sheetName val="Culinary Lab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V65536" totalsRowShown="0">
  <sortState xmlns:xlrd2="http://schemas.microsoft.com/office/spreadsheetml/2017/richdata2" ref="A2:IV22">
    <sortCondition ref="B1:B65536"/>
  </sortState>
  <tableColumns count="256">
    <tableColumn id="1" xr3:uid="{00000000-0010-0000-0000-000001000000}" name="Column1"/>
    <tableColumn id="2" xr3:uid="{00000000-0010-0000-0000-000002000000}" name="Tertiary Fields"/>
    <tableColumn id="3" xr3:uid="{00000000-0010-0000-0000-000003000000}" name="SHS Fields"/>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 id="95" xr3:uid="{00000000-0010-0000-0000-00005F000000}" name="Column95"/>
    <tableColumn id="96" xr3:uid="{00000000-0010-0000-0000-000060000000}" name="Column96"/>
    <tableColumn id="97" xr3:uid="{00000000-0010-0000-0000-000061000000}" name="Column97"/>
    <tableColumn id="98" xr3:uid="{00000000-0010-0000-0000-000062000000}" name="Column98"/>
    <tableColumn id="99" xr3:uid="{00000000-0010-0000-0000-000063000000}" name="Column99"/>
    <tableColumn id="100" xr3:uid="{00000000-0010-0000-0000-000064000000}" name="Column100"/>
    <tableColumn id="101" xr3:uid="{00000000-0010-0000-0000-000065000000}" name="Column101"/>
    <tableColumn id="102" xr3:uid="{00000000-0010-0000-0000-000066000000}" name="Column102"/>
    <tableColumn id="103" xr3:uid="{00000000-0010-0000-0000-000067000000}" name="Column103"/>
    <tableColumn id="104" xr3:uid="{00000000-0010-0000-0000-000068000000}" name="Column104"/>
    <tableColumn id="105" xr3:uid="{00000000-0010-0000-0000-000069000000}" name="Column105"/>
    <tableColumn id="106" xr3:uid="{00000000-0010-0000-0000-00006A000000}" name="Column106"/>
    <tableColumn id="107" xr3:uid="{00000000-0010-0000-0000-00006B000000}" name="Column107"/>
    <tableColumn id="108" xr3:uid="{00000000-0010-0000-0000-00006C000000}" name="Column108"/>
    <tableColumn id="109" xr3:uid="{00000000-0010-0000-0000-00006D000000}" name="Column109"/>
    <tableColumn id="110" xr3:uid="{00000000-0010-0000-0000-00006E000000}" name="Column110"/>
    <tableColumn id="111" xr3:uid="{00000000-0010-0000-0000-00006F000000}" name="Column111"/>
    <tableColumn id="112" xr3:uid="{00000000-0010-0000-0000-000070000000}" name="Column112"/>
    <tableColumn id="113" xr3:uid="{00000000-0010-0000-0000-000071000000}" name="Column113"/>
    <tableColumn id="114" xr3:uid="{00000000-0010-0000-0000-000072000000}" name="Column114"/>
    <tableColumn id="115" xr3:uid="{00000000-0010-0000-0000-000073000000}" name="Column115"/>
    <tableColumn id="116" xr3:uid="{00000000-0010-0000-0000-000074000000}" name="Column116"/>
    <tableColumn id="117" xr3:uid="{00000000-0010-0000-0000-000075000000}" name="Column117"/>
    <tableColumn id="118" xr3:uid="{00000000-0010-0000-0000-000076000000}" name="Column118"/>
    <tableColumn id="119" xr3:uid="{00000000-0010-0000-0000-000077000000}" name="Column119"/>
    <tableColumn id="120" xr3:uid="{00000000-0010-0000-0000-000078000000}" name="Column120"/>
    <tableColumn id="121" xr3:uid="{00000000-0010-0000-0000-000079000000}" name="Column121"/>
    <tableColumn id="122" xr3:uid="{00000000-0010-0000-0000-00007A000000}" name="Column122"/>
    <tableColumn id="123" xr3:uid="{00000000-0010-0000-0000-00007B000000}" name="Column123"/>
    <tableColumn id="124" xr3:uid="{00000000-0010-0000-0000-00007C000000}" name="Column124"/>
    <tableColumn id="125" xr3:uid="{00000000-0010-0000-0000-00007D000000}" name="Column125"/>
    <tableColumn id="126" xr3:uid="{00000000-0010-0000-0000-00007E000000}" name="Column126"/>
    <tableColumn id="127" xr3:uid="{00000000-0010-0000-0000-00007F000000}" name="Column127"/>
    <tableColumn id="128" xr3:uid="{00000000-0010-0000-0000-000080000000}" name="Column128"/>
    <tableColumn id="129" xr3:uid="{00000000-0010-0000-0000-000081000000}" name="Column129"/>
    <tableColumn id="130" xr3:uid="{00000000-0010-0000-0000-000082000000}" name="Column130"/>
    <tableColumn id="131" xr3:uid="{00000000-0010-0000-0000-000083000000}" name="Column131"/>
    <tableColumn id="132" xr3:uid="{00000000-0010-0000-0000-000084000000}" name="Column132"/>
    <tableColumn id="133" xr3:uid="{00000000-0010-0000-0000-000085000000}" name="Column133"/>
    <tableColumn id="134" xr3:uid="{00000000-0010-0000-0000-000086000000}" name="Column134"/>
    <tableColumn id="135" xr3:uid="{00000000-0010-0000-0000-000087000000}" name="Column135"/>
    <tableColumn id="136" xr3:uid="{00000000-0010-0000-0000-000088000000}" name="Column136"/>
    <tableColumn id="137" xr3:uid="{00000000-0010-0000-0000-000089000000}" name="Column137"/>
    <tableColumn id="138" xr3:uid="{00000000-0010-0000-0000-00008A000000}" name="Column138"/>
    <tableColumn id="139" xr3:uid="{00000000-0010-0000-0000-00008B000000}" name="Column139"/>
    <tableColumn id="140" xr3:uid="{00000000-0010-0000-0000-00008C000000}" name="Column140"/>
    <tableColumn id="141" xr3:uid="{00000000-0010-0000-0000-00008D000000}" name="Column141"/>
    <tableColumn id="142" xr3:uid="{00000000-0010-0000-0000-00008E000000}" name="Column142"/>
    <tableColumn id="143" xr3:uid="{00000000-0010-0000-0000-00008F000000}" name="Column143"/>
    <tableColumn id="144" xr3:uid="{00000000-0010-0000-0000-000090000000}" name="Column144"/>
    <tableColumn id="145" xr3:uid="{00000000-0010-0000-0000-000091000000}" name="Column145"/>
    <tableColumn id="146" xr3:uid="{00000000-0010-0000-0000-000092000000}" name="Column146"/>
    <tableColumn id="147" xr3:uid="{00000000-0010-0000-0000-000093000000}" name="Column147"/>
    <tableColumn id="148" xr3:uid="{00000000-0010-0000-0000-000094000000}" name="Column148"/>
    <tableColumn id="149" xr3:uid="{00000000-0010-0000-0000-000095000000}" name="Column149"/>
    <tableColumn id="150" xr3:uid="{00000000-0010-0000-0000-000096000000}" name="Column150"/>
    <tableColumn id="151" xr3:uid="{00000000-0010-0000-0000-000097000000}" name="Column151"/>
    <tableColumn id="152" xr3:uid="{00000000-0010-0000-0000-000098000000}" name="Column152"/>
    <tableColumn id="153" xr3:uid="{00000000-0010-0000-0000-000099000000}" name="Column153"/>
    <tableColumn id="154" xr3:uid="{00000000-0010-0000-0000-00009A000000}" name="Column154"/>
    <tableColumn id="155" xr3:uid="{00000000-0010-0000-0000-00009B000000}" name="Column155"/>
    <tableColumn id="156" xr3:uid="{00000000-0010-0000-0000-00009C000000}" name="Column156"/>
    <tableColumn id="157" xr3:uid="{00000000-0010-0000-0000-00009D000000}" name="Column157"/>
    <tableColumn id="158" xr3:uid="{00000000-0010-0000-0000-00009E000000}" name="Column158"/>
    <tableColumn id="159" xr3:uid="{00000000-0010-0000-0000-00009F000000}" name="Column159"/>
    <tableColumn id="160" xr3:uid="{00000000-0010-0000-0000-0000A0000000}" name="Column160"/>
    <tableColumn id="161" xr3:uid="{00000000-0010-0000-0000-0000A1000000}" name="Column161"/>
    <tableColumn id="162" xr3:uid="{00000000-0010-0000-0000-0000A2000000}" name="Column162"/>
    <tableColumn id="163" xr3:uid="{00000000-0010-0000-0000-0000A3000000}" name="Column163"/>
    <tableColumn id="164" xr3:uid="{00000000-0010-0000-0000-0000A4000000}" name="Column164"/>
    <tableColumn id="165" xr3:uid="{00000000-0010-0000-0000-0000A5000000}" name="Column165"/>
    <tableColumn id="166" xr3:uid="{00000000-0010-0000-0000-0000A6000000}" name="Column166"/>
    <tableColumn id="167" xr3:uid="{00000000-0010-0000-0000-0000A7000000}" name="Column167"/>
    <tableColumn id="168" xr3:uid="{00000000-0010-0000-0000-0000A8000000}" name="Column168"/>
    <tableColumn id="169" xr3:uid="{00000000-0010-0000-0000-0000A9000000}" name="Column169"/>
    <tableColumn id="170" xr3:uid="{00000000-0010-0000-0000-0000AA000000}" name="Column170"/>
    <tableColumn id="171" xr3:uid="{00000000-0010-0000-0000-0000AB000000}" name="Column171"/>
    <tableColumn id="172" xr3:uid="{00000000-0010-0000-0000-0000AC000000}" name="Column172"/>
    <tableColumn id="173" xr3:uid="{00000000-0010-0000-0000-0000AD000000}" name="Column173"/>
    <tableColumn id="174" xr3:uid="{00000000-0010-0000-0000-0000AE000000}" name="Column174"/>
    <tableColumn id="175" xr3:uid="{00000000-0010-0000-0000-0000AF000000}" name="Column175"/>
    <tableColumn id="176" xr3:uid="{00000000-0010-0000-0000-0000B0000000}" name="Column176"/>
    <tableColumn id="177" xr3:uid="{00000000-0010-0000-0000-0000B1000000}" name="Column177"/>
    <tableColumn id="178" xr3:uid="{00000000-0010-0000-0000-0000B2000000}" name="Column178"/>
    <tableColumn id="179" xr3:uid="{00000000-0010-0000-0000-0000B3000000}" name="Column179"/>
    <tableColumn id="180" xr3:uid="{00000000-0010-0000-0000-0000B4000000}" name="Column180"/>
    <tableColumn id="181" xr3:uid="{00000000-0010-0000-0000-0000B5000000}" name="Column181"/>
    <tableColumn id="182" xr3:uid="{00000000-0010-0000-0000-0000B6000000}" name="Column182"/>
    <tableColumn id="183" xr3:uid="{00000000-0010-0000-0000-0000B7000000}" name="Column183"/>
    <tableColumn id="184" xr3:uid="{00000000-0010-0000-0000-0000B8000000}" name="Column184"/>
    <tableColumn id="185" xr3:uid="{00000000-0010-0000-0000-0000B9000000}" name="Column185"/>
    <tableColumn id="186" xr3:uid="{00000000-0010-0000-0000-0000BA000000}" name="Column186"/>
    <tableColumn id="187" xr3:uid="{00000000-0010-0000-0000-0000BB000000}" name="Column187"/>
    <tableColumn id="188" xr3:uid="{00000000-0010-0000-0000-0000BC000000}" name="Column188"/>
    <tableColumn id="189" xr3:uid="{00000000-0010-0000-0000-0000BD000000}" name="Column189"/>
    <tableColumn id="190" xr3:uid="{00000000-0010-0000-0000-0000BE000000}" name="Column190"/>
    <tableColumn id="191" xr3:uid="{00000000-0010-0000-0000-0000BF000000}" name="Column191"/>
    <tableColumn id="192" xr3:uid="{00000000-0010-0000-0000-0000C0000000}" name="Column192"/>
    <tableColumn id="193" xr3:uid="{00000000-0010-0000-0000-0000C1000000}" name="Column193"/>
    <tableColumn id="194" xr3:uid="{00000000-0010-0000-0000-0000C2000000}" name="Column194"/>
    <tableColumn id="195" xr3:uid="{00000000-0010-0000-0000-0000C3000000}" name="Column195"/>
    <tableColumn id="196" xr3:uid="{00000000-0010-0000-0000-0000C4000000}" name="Column196"/>
    <tableColumn id="197" xr3:uid="{00000000-0010-0000-0000-0000C5000000}" name="Column197"/>
    <tableColumn id="198" xr3:uid="{00000000-0010-0000-0000-0000C6000000}" name="Column198"/>
    <tableColumn id="199" xr3:uid="{00000000-0010-0000-0000-0000C7000000}" name="Column199"/>
    <tableColumn id="200" xr3:uid="{00000000-0010-0000-0000-0000C8000000}" name="Column200"/>
    <tableColumn id="201" xr3:uid="{00000000-0010-0000-0000-0000C9000000}" name="Column201"/>
    <tableColumn id="202" xr3:uid="{00000000-0010-0000-0000-0000CA000000}" name="Column202"/>
    <tableColumn id="203" xr3:uid="{00000000-0010-0000-0000-0000CB000000}" name="Column203"/>
    <tableColumn id="204" xr3:uid="{00000000-0010-0000-0000-0000CC000000}" name="Column204"/>
    <tableColumn id="205" xr3:uid="{00000000-0010-0000-0000-0000CD000000}" name="Column205"/>
    <tableColumn id="206" xr3:uid="{00000000-0010-0000-0000-0000CE000000}" name="Column206"/>
    <tableColumn id="207" xr3:uid="{00000000-0010-0000-0000-0000CF000000}" name="Column207"/>
    <tableColumn id="208" xr3:uid="{00000000-0010-0000-0000-0000D0000000}" name="Column208"/>
    <tableColumn id="209" xr3:uid="{00000000-0010-0000-0000-0000D1000000}" name="Column209"/>
    <tableColumn id="210" xr3:uid="{00000000-0010-0000-0000-0000D2000000}" name="Column210"/>
    <tableColumn id="211" xr3:uid="{00000000-0010-0000-0000-0000D3000000}" name="Column211"/>
    <tableColumn id="212" xr3:uid="{00000000-0010-0000-0000-0000D4000000}" name="Column212"/>
    <tableColumn id="213" xr3:uid="{00000000-0010-0000-0000-0000D5000000}" name="Column213"/>
    <tableColumn id="214" xr3:uid="{00000000-0010-0000-0000-0000D6000000}" name="Column214"/>
    <tableColumn id="215" xr3:uid="{00000000-0010-0000-0000-0000D7000000}" name="Column215"/>
    <tableColumn id="216" xr3:uid="{00000000-0010-0000-0000-0000D8000000}" name="Column216"/>
    <tableColumn id="217" xr3:uid="{00000000-0010-0000-0000-0000D9000000}" name="Column217"/>
    <tableColumn id="218" xr3:uid="{00000000-0010-0000-0000-0000DA000000}" name="Column218"/>
    <tableColumn id="219" xr3:uid="{00000000-0010-0000-0000-0000DB000000}" name="Column219"/>
    <tableColumn id="220" xr3:uid="{00000000-0010-0000-0000-0000DC000000}" name="Column220"/>
    <tableColumn id="221" xr3:uid="{00000000-0010-0000-0000-0000DD000000}" name="Column221"/>
    <tableColumn id="222" xr3:uid="{00000000-0010-0000-0000-0000DE000000}" name="Column222"/>
    <tableColumn id="223" xr3:uid="{00000000-0010-0000-0000-0000DF000000}" name="Column223"/>
    <tableColumn id="224" xr3:uid="{00000000-0010-0000-0000-0000E0000000}" name="Column224"/>
    <tableColumn id="225" xr3:uid="{00000000-0010-0000-0000-0000E1000000}" name="Column225"/>
    <tableColumn id="226" xr3:uid="{00000000-0010-0000-0000-0000E2000000}" name="Column226"/>
    <tableColumn id="227" xr3:uid="{00000000-0010-0000-0000-0000E3000000}" name="Column227"/>
    <tableColumn id="228" xr3:uid="{00000000-0010-0000-0000-0000E4000000}" name="Column228"/>
    <tableColumn id="229" xr3:uid="{00000000-0010-0000-0000-0000E5000000}" name="Column229"/>
    <tableColumn id="230" xr3:uid="{00000000-0010-0000-0000-0000E6000000}" name="Column230"/>
    <tableColumn id="231" xr3:uid="{00000000-0010-0000-0000-0000E7000000}" name="Column231"/>
    <tableColumn id="232" xr3:uid="{00000000-0010-0000-0000-0000E8000000}" name="Column232"/>
    <tableColumn id="233" xr3:uid="{00000000-0010-0000-0000-0000E9000000}" name="Column233"/>
    <tableColumn id="234" xr3:uid="{00000000-0010-0000-0000-0000EA000000}" name="Column234"/>
    <tableColumn id="235" xr3:uid="{00000000-0010-0000-0000-0000EB000000}" name="Column235"/>
    <tableColumn id="236" xr3:uid="{00000000-0010-0000-0000-0000EC000000}" name="Column236"/>
    <tableColumn id="237" xr3:uid="{00000000-0010-0000-0000-0000ED000000}" name="Column237"/>
    <tableColumn id="238" xr3:uid="{00000000-0010-0000-0000-0000EE000000}" name="Column238"/>
    <tableColumn id="239" xr3:uid="{00000000-0010-0000-0000-0000EF000000}" name="Column239"/>
    <tableColumn id="240" xr3:uid="{00000000-0010-0000-0000-0000F0000000}" name="Column240"/>
    <tableColumn id="241" xr3:uid="{00000000-0010-0000-0000-0000F1000000}" name="Column241"/>
    <tableColumn id="242" xr3:uid="{00000000-0010-0000-0000-0000F2000000}" name="Column242"/>
    <tableColumn id="243" xr3:uid="{00000000-0010-0000-0000-0000F3000000}" name="Column243"/>
    <tableColumn id="244" xr3:uid="{00000000-0010-0000-0000-0000F4000000}" name="Column244"/>
    <tableColumn id="245" xr3:uid="{00000000-0010-0000-0000-0000F5000000}" name="Column245"/>
    <tableColumn id="246" xr3:uid="{00000000-0010-0000-0000-0000F6000000}" name="Column246"/>
    <tableColumn id="247" xr3:uid="{00000000-0010-0000-0000-0000F7000000}" name="Column247"/>
    <tableColumn id="248" xr3:uid="{00000000-0010-0000-0000-0000F8000000}" name="Column248"/>
    <tableColumn id="249" xr3:uid="{00000000-0010-0000-0000-0000F9000000}" name="Column249"/>
    <tableColumn id="250" xr3:uid="{00000000-0010-0000-0000-0000FA000000}" name="Column250"/>
    <tableColumn id="251" xr3:uid="{00000000-0010-0000-0000-0000FB000000}" name="Column251"/>
    <tableColumn id="252" xr3:uid="{00000000-0010-0000-0000-0000FC000000}" name="Column252"/>
    <tableColumn id="253" xr3:uid="{00000000-0010-0000-0000-0000FD000000}" name="Column253"/>
    <tableColumn id="254" xr3:uid="{00000000-0010-0000-0000-0000FE000000}" name="Column254"/>
    <tableColumn id="255" xr3:uid="{00000000-0010-0000-0000-0000FF000000}" name="Column255"/>
    <tableColumn id="256" xr3:uid="{00000000-0010-0000-0000-000000010000}" name="Column2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6.xml"/><Relationship Id="rId1" Type="http://schemas.openxmlformats.org/officeDocument/2006/relationships/printerSettings" Target="../printerSettings/printerSettings10.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1.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2.bin"/><Relationship Id="rId6" Type="http://schemas.openxmlformats.org/officeDocument/2006/relationships/comments" Target="../comments3.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3.bin"/><Relationship Id="rId6" Type="http://schemas.openxmlformats.org/officeDocument/2006/relationships/comments" Target="../comments4.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4.bin"/><Relationship Id="rId6" Type="http://schemas.openxmlformats.org/officeDocument/2006/relationships/comments" Target="../comments5.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5.bin"/><Relationship Id="rId6" Type="http://schemas.openxmlformats.org/officeDocument/2006/relationships/comments" Target="../comments6.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externalLinkPath" Target="https://stiedu-my.sharepoint.com/personal/beronika_pena_sti_edu/Documents/Microsoft%20Teams%20Chat%20Files/Class%20Schedule%20and%20Faculty%20Count%20Projection%20Template%20for%20SY%2023-24_Cubao_072023.xlsm" TargetMode="External"/><Relationship Id="rId1" Type="http://schemas.openxmlformats.org/officeDocument/2006/relationships/externalLinkPath" Target="https://stiedu-my.sharepoint.com/personal/beronika_pena_sti_edu/Documents/Microsoft%20Teams%20Chat%20Files/Class%20Schedule%20and%20Faculty%20Count%20Projection%20Template%20for%20SY%2023-24_Cubao_072023.xlsm" TargetMode="External"/><Relationship Id="rId4"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2"/>
  <dimension ref="B1:V33"/>
  <sheetViews>
    <sheetView showGridLines="0" topLeftCell="A11" zoomScale="70" zoomScaleNormal="70" workbookViewId="0"/>
  </sheetViews>
  <sheetFormatPr defaultRowHeight="14.4" x14ac:dyDescent="0.3"/>
  <cols>
    <col min="1" max="1" width="1.88671875" customWidth="1"/>
    <col min="2" max="2" width="4.88671875" customWidth="1"/>
    <col min="3" max="3" width="10.88671875" customWidth="1"/>
    <col min="4" max="4" width="11.5546875" bestFit="1" customWidth="1"/>
    <col min="5" max="5" width="15" bestFit="1" customWidth="1"/>
    <col min="6" max="6" width="14.5546875" customWidth="1"/>
    <col min="7" max="7" width="3.88671875" customWidth="1"/>
    <col min="10" max="10" width="18" customWidth="1"/>
    <col min="11" max="11" width="11.109375" bestFit="1" customWidth="1"/>
    <col min="12" max="12" width="11.88671875" customWidth="1"/>
    <col min="13" max="13" width="3.109375" customWidth="1"/>
    <col min="16" max="16" width="13.5546875" customWidth="1"/>
    <col min="17" max="17" width="11.109375" bestFit="1" customWidth="1"/>
    <col min="18" max="18" width="10.88671875" bestFit="1" customWidth="1"/>
    <col min="19" max="19" width="3.109375" customWidth="1"/>
    <col min="21" max="21" width="15.109375" customWidth="1"/>
    <col min="22" max="22" width="14.88671875" customWidth="1"/>
    <col min="23" max="23" width="2.109375" customWidth="1"/>
  </cols>
  <sheetData>
    <row r="1" spans="2:22" s="266" customFormat="1" x14ac:dyDescent="0.3"/>
    <row r="2" spans="2:22" s="266" customFormat="1" x14ac:dyDescent="0.3"/>
    <row r="3" spans="2:22" s="266" customFormat="1" x14ac:dyDescent="0.3"/>
    <row r="4" spans="2:22" s="266" customFormat="1" x14ac:dyDescent="0.3"/>
    <row r="5" spans="2:22" ht="5.4" customHeight="1" x14ac:dyDescent="0.4">
      <c r="B5" s="71"/>
    </row>
    <row r="6" spans="2:22" x14ac:dyDescent="0.3">
      <c r="B6" s="267" t="s">
        <v>0</v>
      </c>
      <c r="C6" s="260"/>
      <c r="D6" s="339" t="s">
        <v>1</v>
      </c>
      <c r="E6" s="339"/>
      <c r="F6" s="268" t="s">
        <v>2</v>
      </c>
      <c r="G6" s="268"/>
      <c r="H6" s="268"/>
    </row>
    <row r="7" spans="2:22" ht="32.25" customHeight="1" x14ac:dyDescent="0.3">
      <c r="B7" s="267" t="s">
        <v>3</v>
      </c>
      <c r="C7" s="260"/>
      <c r="D7" s="339" t="s">
        <v>4</v>
      </c>
      <c r="E7" s="339"/>
      <c r="F7" s="268" t="s">
        <v>5</v>
      </c>
      <c r="G7" s="268"/>
      <c r="H7" s="268"/>
    </row>
    <row r="8" spans="2:22" x14ac:dyDescent="0.3">
      <c r="B8" s="267" t="s">
        <v>6</v>
      </c>
      <c r="C8" s="260"/>
      <c r="D8" s="339">
        <v>1</v>
      </c>
      <c r="E8" s="339"/>
      <c r="F8" s="268" t="s">
        <v>7</v>
      </c>
      <c r="G8" s="268"/>
      <c r="H8" s="268"/>
    </row>
    <row r="9" spans="2:22" x14ac:dyDescent="0.3">
      <c r="B9" s="37"/>
    </row>
    <row r="10" spans="2:22" ht="18" x14ac:dyDescent="0.35">
      <c r="B10" s="269" t="s">
        <v>8</v>
      </c>
      <c r="C10" s="270"/>
      <c r="D10" s="270"/>
      <c r="E10" s="270"/>
      <c r="F10" s="270"/>
      <c r="H10" s="269" t="s">
        <v>9</v>
      </c>
      <c r="I10" s="269"/>
      <c r="J10" s="269"/>
      <c r="K10" s="269"/>
      <c r="L10" s="269"/>
      <c r="N10" s="269" t="s">
        <v>10</v>
      </c>
      <c r="O10" s="269"/>
      <c r="P10" s="269"/>
      <c r="Q10" s="269"/>
      <c r="R10" s="269"/>
      <c r="T10" s="305" t="s">
        <v>11</v>
      </c>
      <c r="U10" s="301"/>
      <c r="V10" s="301"/>
    </row>
    <row r="11" spans="2:22" ht="6" customHeight="1" x14ac:dyDescent="0.3"/>
    <row r="12" spans="2:22" ht="18" x14ac:dyDescent="0.35">
      <c r="D12" s="66" t="s">
        <v>12</v>
      </c>
      <c r="E12" s="66" t="s">
        <v>13</v>
      </c>
      <c r="F12" s="66" t="s">
        <v>14</v>
      </c>
      <c r="H12" s="328"/>
      <c r="I12" s="328"/>
      <c r="J12" s="328"/>
      <c r="K12" s="271" t="s">
        <v>15</v>
      </c>
      <c r="L12" s="271" t="s">
        <v>16</v>
      </c>
      <c r="N12" s="328"/>
      <c r="O12" s="328"/>
      <c r="P12" s="328"/>
      <c r="Q12" s="271" t="s">
        <v>15</v>
      </c>
      <c r="R12" s="271" t="s">
        <v>16</v>
      </c>
      <c r="T12" s="306" t="s">
        <v>17</v>
      </c>
      <c r="U12" s="307"/>
      <c r="V12" s="307"/>
    </row>
    <row r="13" spans="2:22" ht="15.6" x14ac:dyDescent="0.3">
      <c r="B13" s="335" t="s">
        <v>18</v>
      </c>
      <c r="C13" s="330"/>
      <c r="D13" s="272">
        <f>'2 - Section Count Projection'!D5</f>
        <v>40</v>
      </c>
      <c r="E13" s="273">
        <f>'2 - Section Count Projection'!F71</f>
        <v>0</v>
      </c>
      <c r="F13" s="273">
        <f>'2 - Section Count Projection'!G71</f>
        <v>0</v>
      </c>
      <c r="H13" s="329" t="s">
        <v>19</v>
      </c>
      <c r="I13" s="329"/>
      <c r="J13" s="329"/>
      <c r="K13" s="274">
        <f>'Faculty Count Projection'!E14+'Faculty Count Projection'!E16+'Faculty Count Projection'!E20</f>
        <v>16</v>
      </c>
      <c r="L13" s="274">
        <f>'Faculty Count Projection'!F14+'Faculty Count Projection'!F16+'Faculty Count Projection'!F20</f>
        <v>18.5</v>
      </c>
      <c r="N13" s="329" t="s">
        <v>20</v>
      </c>
      <c r="O13" s="329"/>
      <c r="P13" s="329"/>
      <c r="Q13" s="275">
        <f>'Faculty Count Projection'!K9</f>
        <v>1</v>
      </c>
      <c r="R13" s="56">
        <f>'Faculty Count Projection'!L9</f>
        <v>12</v>
      </c>
    </row>
    <row r="14" spans="2:22" ht="15.6" x14ac:dyDescent="0.3">
      <c r="B14" s="335" t="s">
        <v>21</v>
      </c>
      <c r="C14" s="330"/>
      <c r="D14" s="272">
        <f>'2 - Section Count Projection'!L5</f>
        <v>40</v>
      </c>
      <c r="E14" s="273">
        <f>'2 - Section Count Projection'!N162</f>
        <v>0</v>
      </c>
      <c r="F14" s="273">
        <f>'2 - Section Count Projection'!O162</f>
        <v>0</v>
      </c>
      <c r="H14" s="332" t="s">
        <v>22</v>
      </c>
      <c r="I14" s="333"/>
      <c r="J14" s="334"/>
      <c r="K14" s="274">
        <f>'Faculty Count Projection'!E9+'Faculty Count Projection'!E11+'Faculty Count Projection'!E21</f>
        <v>1</v>
      </c>
      <c r="L14" s="274">
        <f>'Faculty Count Projection'!F9+'Faculty Count Projection'!F11+'Faculty Count Projection'!F21</f>
        <v>4.5</v>
      </c>
      <c r="N14" s="329" t="s">
        <v>23</v>
      </c>
      <c r="O14" s="329"/>
      <c r="P14" s="329"/>
      <c r="Q14" s="275">
        <f>'Faculty Count Projection'!K10</f>
        <v>0</v>
      </c>
      <c r="R14" s="56">
        <f>'Faculty Count Projection'!L10</f>
        <v>0</v>
      </c>
      <c r="T14" s="310" t="s">
        <v>24</v>
      </c>
      <c r="U14" s="311"/>
      <c r="V14" s="2">
        <f>'Room Utilization Efficiency'!$I$51</f>
        <v>2808</v>
      </c>
    </row>
    <row r="15" spans="2:22" ht="15.6" x14ac:dyDescent="0.3">
      <c r="B15" s="330" t="s">
        <v>25</v>
      </c>
      <c r="C15" s="331"/>
      <c r="D15" s="272">
        <f>'2 - Section Count Projection'!D75</f>
        <v>0</v>
      </c>
      <c r="E15" s="273">
        <f>'2 - Section Count Projection'!F107</f>
        <v>0</v>
      </c>
      <c r="F15" s="273">
        <f>'2 - Section Count Projection'!G107</f>
        <v>0</v>
      </c>
      <c r="H15" s="332" t="s">
        <v>26</v>
      </c>
      <c r="I15" s="333"/>
      <c r="J15" s="334"/>
      <c r="K15" s="274">
        <f>'Faculty Count Projection'!E19+'Faculty Count Projection'!E29</f>
        <v>4</v>
      </c>
      <c r="L15" s="274">
        <f>'Faculty Count Projection'!F19+'Faculty Count Projection'!F29</f>
        <v>18</v>
      </c>
      <c r="N15" s="329" t="s">
        <v>27</v>
      </c>
      <c r="O15" s="329"/>
      <c r="P15" s="329"/>
      <c r="Q15" s="275">
        <f>'Faculty Count Projection'!K11</f>
        <v>6</v>
      </c>
      <c r="R15" s="56">
        <f>'Faculty Count Projection'!L11</f>
        <v>6</v>
      </c>
      <c r="T15" s="310" t="s">
        <v>28</v>
      </c>
      <c r="U15" s="311"/>
      <c r="V15" s="2">
        <f>'Room Utilization Efficiency'!$I$52</f>
        <v>973</v>
      </c>
    </row>
    <row r="16" spans="2:22" x14ac:dyDescent="0.3">
      <c r="B16" s="114"/>
      <c r="C16" s="114"/>
      <c r="D16" s="114"/>
      <c r="E16" s="114"/>
      <c r="F16" s="273">
        <f>SUM(F13:F15)</f>
        <v>0</v>
      </c>
      <c r="H16" s="332" t="s">
        <v>29</v>
      </c>
      <c r="I16" s="333"/>
      <c r="J16" s="334"/>
      <c r="K16" s="274">
        <f>'Faculty Count Projection'!E10+'Faculty Count Projection'!E12+'Faculty Count Projection'!E15+'Faculty Count Projection'!E17+'Faculty Count Projection'!E18+'Faculty Count Projection'!E22+'Faculty Count Projection'!E25+'Faculty Count Projection'!E26+'Faculty Count Projection'!E27+'Faculty Count Projection'!E28</f>
        <v>14</v>
      </c>
      <c r="L16" s="274">
        <f>'Faculty Count Projection'!F10+'Faculty Count Projection'!F12+'Faculty Count Projection'!F15+'Faculty Count Projection'!F17+'Faculty Count Projection'!F18+'Faculty Count Projection'!F22+'Faculty Count Projection'!F25+'Faculty Count Projection'!F26+'Faculty Count Projection'!F27+'Faculty Count Projection'!F28</f>
        <v>53</v>
      </c>
      <c r="N16" s="329" t="s">
        <v>30</v>
      </c>
      <c r="O16" s="329"/>
      <c r="P16" s="329"/>
      <c r="Q16" s="275">
        <f>'Faculty Count Projection'!K12</f>
        <v>3</v>
      </c>
      <c r="R16" s="56">
        <f>'Faculty Count Projection'!L12</f>
        <v>21</v>
      </c>
    </row>
    <row r="17" spans="8:22" ht="18" x14ac:dyDescent="0.35">
      <c r="H17" s="329" t="s">
        <v>31</v>
      </c>
      <c r="I17" s="329"/>
      <c r="J17" s="332"/>
      <c r="K17" s="26">
        <f>'Faculty Count Projection'!E23</f>
        <v>6</v>
      </c>
      <c r="L17" s="26">
        <f>'Faculty Count Projection'!F23</f>
        <v>9.5</v>
      </c>
      <c r="N17" s="329" t="s">
        <v>32</v>
      </c>
      <c r="O17" s="329"/>
      <c r="P17" s="329"/>
      <c r="Q17" s="275">
        <f>'Faculty Count Projection'!K13</f>
        <v>0</v>
      </c>
      <c r="R17" s="56">
        <f>'Faculty Count Projection'!L13</f>
        <v>24</v>
      </c>
      <c r="T17" s="308" t="s">
        <v>33</v>
      </c>
      <c r="U17" s="308"/>
      <c r="V17" s="308"/>
    </row>
    <row r="18" spans="8:22" x14ac:dyDescent="0.3">
      <c r="H18" s="340"/>
      <c r="I18" s="340"/>
      <c r="J18" s="340"/>
      <c r="K18" s="26">
        <f>SUM(K13:K17)</f>
        <v>41</v>
      </c>
      <c r="L18" s="26">
        <f>SUM(L13:L17)</f>
        <v>103.5</v>
      </c>
      <c r="N18" s="329" t="s">
        <v>34</v>
      </c>
      <c r="O18" s="329"/>
      <c r="P18" s="329"/>
      <c r="Q18" s="275">
        <f>'Faculty Count Projection'!K14</f>
        <v>1</v>
      </c>
      <c r="R18" s="56">
        <f>'Faculty Count Projection'!L14</f>
        <v>9</v>
      </c>
    </row>
    <row r="19" spans="8:22" x14ac:dyDescent="0.3">
      <c r="H19" s="276"/>
      <c r="I19" s="341" t="s">
        <v>35</v>
      </c>
      <c r="J19" s="341"/>
      <c r="K19" s="341"/>
      <c r="L19" s="341"/>
      <c r="N19" s="329" t="s">
        <v>36</v>
      </c>
      <c r="O19" s="329"/>
      <c r="P19" s="329"/>
      <c r="Q19" s="275">
        <f>'Faculty Count Projection'!K15</f>
        <v>3</v>
      </c>
      <c r="R19" s="56">
        <f>'Faculty Count Projection'!L15</f>
        <v>12</v>
      </c>
      <c r="T19" s="310" t="s">
        <v>37</v>
      </c>
      <c r="U19" s="311"/>
      <c r="V19" s="2">
        <f>'5 - Computer Lab'!$L$4</f>
        <v>120</v>
      </c>
    </row>
    <row r="20" spans="8:22" x14ac:dyDescent="0.3">
      <c r="H20" s="328"/>
      <c r="I20" s="328"/>
      <c r="J20" s="328"/>
      <c r="K20" s="277"/>
      <c r="N20" s="329" t="s">
        <v>38</v>
      </c>
      <c r="O20" s="329"/>
      <c r="P20" s="329"/>
      <c r="Q20" s="275">
        <f>'Faculty Count Projection'!K16</f>
        <v>4</v>
      </c>
      <c r="R20" s="56">
        <f>'Faculty Count Projection'!L16</f>
        <v>21</v>
      </c>
      <c r="T20" s="310" t="s">
        <v>39</v>
      </c>
      <c r="U20" s="311"/>
      <c r="V20" s="2">
        <f>'5 - Computer Lab'!$L$6</f>
        <v>205</v>
      </c>
    </row>
    <row r="21" spans="8:22" x14ac:dyDescent="0.3">
      <c r="H21" s="328"/>
      <c r="I21" s="328"/>
      <c r="J21" s="328"/>
      <c r="K21" s="277"/>
      <c r="N21" s="329" t="s">
        <v>40</v>
      </c>
      <c r="O21" s="329"/>
      <c r="P21" s="329"/>
      <c r="Q21" s="275">
        <f>'Faculty Count Projection'!K17</f>
        <v>4</v>
      </c>
      <c r="R21" s="56">
        <f>'Faculty Count Projection'!L17</f>
        <v>6</v>
      </c>
    </row>
    <row r="22" spans="8:22" ht="18" x14ac:dyDescent="0.35">
      <c r="H22" s="328"/>
      <c r="I22" s="328"/>
      <c r="J22" s="328"/>
      <c r="K22" s="277"/>
      <c r="N22" s="329" t="s">
        <v>41</v>
      </c>
      <c r="O22" s="329"/>
      <c r="P22" s="329"/>
      <c r="Q22" s="275">
        <f>'Faculty Count Projection'!K18</f>
        <v>7</v>
      </c>
      <c r="R22" s="56">
        <f>'Faculty Count Projection'!L18</f>
        <v>18</v>
      </c>
      <c r="T22" s="308" t="s">
        <v>42</v>
      </c>
      <c r="U22" s="308"/>
      <c r="V22" s="308"/>
    </row>
    <row r="23" spans="8:22" x14ac:dyDescent="0.3">
      <c r="H23" s="328"/>
      <c r="I23" s="328"/>
      <c r="J23" s="328"/>
      <c r="K23" s="277"/>
      <c r="N23" s="329" t="s">
        <v>43</v>
      </c>
      <c r="O23" s="329"/>
      <c r="P23" s="329"/>
      <c r="Q23" s="275">
        <f>'Faculty Count Projection'!K19</f>
        <v>0</v>
      </c>
      <c r="R23" s="56">
        <f>'Faculty Count Projection'!L19</f>
        <v>24</v>
      </c>
    </row>
    <row r="24" spans="8:22" x14ac:dyDescent="0.3">
      <c r="H24" s="328"/>
      <c r="I24" s="328"/>
      <c r="J24" s="328"/>
      <c r="K24" s="277"/>
      <c r="N24" s="328"/>
      <c r="O24" s="328"/>
      <c r="P24" s="328"/>
      <c r="Q24" s="56">
        <f>SUM(Q13:Q23)</f>
        <v>29</v>
      </c>
      <c r="R24" s="56">
        <f>SUM(R13:R23)</f>
        <v>153</v>
      </c>
      <c r="T24" s="310" t="s">
        <v>37</v>
      </c>
      <c r="U24" s="311"/>
      <c r="V24" s="2">
        <f>'6 - Culinary Lab '!$L$4</f>
        <v>0</v>
      </c>
    </row>
    <row r="25" spans="8:22" x14ac:dyDescent="0.3">
      <c r="H25" s="328"/>
      <c r="I25" s="328"/>
      <c r="J25" s="328"/>
      <c r="K25" s="277"/>
      <c r="Q25" s="277"/>
      <c r="T25" s="310" t="s">
        <v>39</v>
      </c>
      <c r="U25" s="311"/>
      <c r="V25" s="2">
        <f>'6 - Culinary Lab '!$L$6</f>
        <v>0</v>
      </c>
    </row>
    <row r="26" spans="8:22" x14ac:dyDescent="0.3">
      <c r="H26" s="328"/>
      <c r="I26" s="328"/>
      <c r="J26" s="328"/>
      <c r="K26" s="277"/>
      <c r="N26" s="328"/>
      <c r="O26" s="328"/>
      <c r="P26" s="328"/>
      <c r="Q26" s="277"/>
    </row>
    <row r="27" spans="8:22" ht="18" x14ac:dyDescent="0.35">
      <c r="H27" s="328"/>
      <c r="I27" s="328"/>
      <c r="J27" s="328"/>
      <c r="K27" s="277"/>
      <c r="N27" s="328"/>
      <c r="O27" s="328"/>
      <c r="P27" s="328"/>
      <c r="Q27" s="277"/>
      <c r="T27" s="303" t="s">
        <v>44</v>
      </c>
      <c r="U27" s="303"/>
      <c r="V27" s="303"/>
    </row>
    <row r="28" spans="8:22" x14ac:dyDescent="0.3">
      <c r="H28" s="328"/>
      <c r="I28" s="328"/>
      <c r="J28" s="328"/>
      <c r="K28" s="277"/>
      <c r="N28" s="328"/>
      <c r="O28" s="328"/>
      <c r="P28" s="328"/>
      <c r="Q28" s="277"/>
    </row>
    <row r="29" spans="8:22" x14ac:dyDescent="0.3">
      <c r="H29" s="328"/>
      <c r="I29" s="328"/>
      <c r="J29" s="328"/>
      <c r="K29" s="277"/>
      <c r="N29" s="328"/>
      <c r="O29" s="328"/>
      <c r="P29" s="328"/>
      <c r="Q29" s="277"/>
      <c r="T29" s="337" t="s">
        <v>17</v>
      </c>
      <c r="U29" s="338"/>
      <c r="V29" s="309">
        <f ca="1">'Room Utilization Efficiency'!$I$50</f>
        <v>1</v>
      </c>
    </row>
    <row r="30" spans="8:22" x14ac:dyDescent="0.3">
      <c r="H30" s="328"/>
      <c r="I30" s="328"/>
      <c r="J30" s="328"/>
      <c r="K30" s="277"/>
      <c r="N30" s="328"/>
      <c r="O30" s="328"/>
      <c r="P30" s="328"/>
      <c r="Q30" s="277"/>
      <c r="T30" s="337" t="s">
        <v>45</v>
      </c>
      <c r="U30" s="338"/>
      <c r="V30" s="309">
        <f ca="1">'Room Utilization Efficiency'!$R$19</f>
        <v>1</v>
      </c>
    </row>
    <row r="31" spans="8:22" x14ac:dyDescent="0.3">
      <c r="H31" s="328"/>
      <c r="I31" s="328"/>
      <c r="J31" s="328"/>
      <c r="K31" s="277"/>
      <c r="N31" s="328"/>
      <c r="O31" s="328"/>
      <c r="P31" s="328"/>
      <c r="Q31" s="277"/>
    </row>
    <row r="32" spans="8:22" x14ac:dyDescent="0.3">
      <c r="H32" s="328"/>
      <c r="I32" s="328"/>
      <c r="J32" s="328"/>
      <c r="K32" s="277"/>
      <c r="N32" s="328"/>
      <c r="O32" s="328"/>
      <c r="P32" s="328"/>
      <c r="Q32" s="277"/>
      <c r="T32" s="336"/>
      <c r="U32" s="336"/>
      <c r="V32" s="302"/>
    </row>
    <row r="33" spans="8:22" x14ac:dyDescent="0.3">
      <c r="H33" s="328"/>
      <c r="I33" s="328"/>
      <c r="J33" s="328"/>
      <c r="K33" s="277"/>
      <c r="N33" s="328"/>
      <c r="O33" s="328"/>
      <c r="P33" s="328"/>
      <c r="Q33" s="277"/>
      <c r="T33" s="336"/>
      <c r="U33" s="336"/>
      <c r="V33" s="302"/>
    </row>
  </sheetData>
  <mergeCells count="53">
    <mergeCell ref="T32:U32"/>
    <mergeCell ref="T33:U33"/>
    <mergeCell ref="T29:U29"/>
    <mergeCell ref="T30:U30"/>
    <mergeCell ref="D6:E6"/>
    <mergeCell ref="D7:E7"/>
    <mergeCell ref="D8:E8"/>
    <mergeCell ref="H12:J12"/>
    <mergeCell ref="N12:P12"/>
    <mergeCell ref="H18:J18"/>
    <mergeCell ref="N18:P18"/>
    <mergeCell ref="I19:L19"/>
    <mergeCell ref="N19:P19"/>
    <mergeCell ref="H17:J17"/>
    <mergeCell ref="N17:P17"/>
    <mergeCell ref="H20:J20"/>
    <mergeCell ref="B13:C13"/>
    <mergeCell ref="H13:J13"/>
    <mergeCell ref="N13:P13"/>
    <mergeCell ref="B14:C14"/>
    <mergeCell ref="H14:J14"/>
    <mergeCell ref="N14:P14"/>
    <mergeCell ref="B15:C15"/>
    <mergeCell ref="H15:J15"/>
    <mergeCell ref="N15:P15"/>
    <mergeCell ref="H16:J16"/>
    <mergeCell ref="N16:P16"/>
    <mergeCell ref="N20:P20"/>
    <mergeCell ref="H21:J21"/>
    <mergeCell ref="N21:P21"/>
    <mergeCell ref="H22:J22"/>
    <mergeCell ref="N22:P22"/>
    <mergeCell ref="H23:J23"/>
    <mergeCell ref="N23:P23"/>
    <mergeCell ref="H24:J24"/>
    <mergeCell ref="N24:P24"/>
    <mergeCell ref="H25:J25"/>
    <mergeCell ref="H26:J26"/>
    <mergeCell ref="N26:P26"/>
    <mergeCell ref="H27:J27"/>
    <mergeCell ref="N27:P27"/>
    <mergeCell ref="H28:J28"/>
    <mergeCell ref="N28:P28"/>
    <mergeCell ref="H32:J32"/>
    <mergeCell ref="N32:P32"/>
    <mergeCell ref="H33:J33"/>
    <mergeCell ref="H29:J29"/>
    <mergeCell ref="N29:P29"/>
    <mergeCell ref="H30:J30"/>
    <mergeCell ref="N30:P30"/>
    <mergeCell ref="H31:J31"/>
    <mergeCell ref="N31:P31"/>
    <mergeCell ref="N33:P33"/>
  </mergeCells>
  <dataValidations count="1">
    <dataValidation type="list" showInputMessage="1" showErrorMessage="1" sqref="D8" xr:uid="{00000000-0002-0000-0000-000000000000}">
      <formula1>"1,2 "</formula1>
    </dataValidation>
  </dataValidations>
  <hyperlinks>
    <hyperlink ref="B10:F10" location="'2 - Section Count Projection'!A1" display="Section Count Projection" xr:uid="{00000000-0004-0000-0000-000000000000}"/>
    <hyperlink ref="H10:L10" location="'Faculty Count Projection'!A1" display="Projected Faculty Count: Tertiary" xr:uid="{00000000-0004-0000-0000-000001000000}"/>
    <hyperlink ref="N10:R10" location="'Faculty Count Projection'!A1" display="Projected Faculty Count: High School" xr:uid="{00000000-0004-0000-0000-000002000000}"/>
    <hyperlink ref="T17:V17" location="'5 - Computer Lab'!A1" display="Computer Laboratory" xr:uid="{00000000-0004-0000-0000-000003000000}"/>
    <hyperlink ref="T22:V22" location="'6 - Culinary Lab '!A1" display="Culinary Laboratory" xr:uid="{00000000-0004-0000-0000-000004000000}"/>
    <hyperlink ref="T27:V27" location="'Room Utilization Efficiency'!A1" display="Room Utilization" xr:uid="{00000000-0004-0000-0000-000005000000}"/>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1:P162"/>
  <sheetViews>
    <sheetView topLeftCell="A19" zoomScale="80" zoomScaleNormal="80" workbookViewId="0">
      <selection activeCell="H15" sqref="H15"/>
    </sheetView>
  </sheetViews>
  <sheetFormatPr defaultRowHeight="14.4" x14ac:dyDescent="0.3"/>
  <cols>
    <col min="1" max="1" width="2.5546875" customWidth="1"/>
    <col min="2" max="2" width="28" customWidth="1"/>
    <col min="3" max="3" width="11.44140625" style="1" customWidth="1"/>
    <col min="4" max="5" width="10.5546875" style="1" customWidth="1"/>
    <col min="6" max="6" width="13.5546875" style="1" customWidth="1"/>
    <col min="7" max="7" width="10.5546875" style="1" customWidth="1"/>
    <col min="8" max="8" width="22.44140625" customWidth="1"/>
    <col min="9" max="9" width="7" customWidth="1"/>
    <col min="10" max="10" width="25.5546875" customWidth="1"/>
    <col min="11" max="13" width="10.5546875" customWidth="1"/>
    <col min="14" max="14" width="12.109375" customWidth="1"/>
    <col min="15" max="15" width="12.88671875" style="1" customWidth="1"/>
    <col min="16" max="16" width="26.109375" customWidth="1"/>
  </cols>
  <sheetData>
    <row r="1" spans="2:16" ht="18" x14ac:dyDescent="0.35">
      <c r="B1" s="353" t="str">
        <f>_xlfn.CONCAT("STI College ",'1 - Top Sheet'!D6:E6)</f>
        <v>STI College Novaliches</v>
      </c>
      <c r="C1" s="353"/>
      <c r="D1" s="353"/>
      <c r="E1" s="353"/>
      <c r="F1" s="353"/>
      <c r="G1" s="353"/>
      <c r="H1" s="353"/>
      <c r="I1" s="353"/>
      <c r="J1" s="353"/>
      <c r="K1" s="353"/>
      <c r="L1" s="353"/>
      <c r="M1" s="353"/>
      <c r="N1" s="353"/>
    </row>
    <row r="2" spans="2:16" ht="18" x14ac:dyDescent="0.35">
      <c r="B2" s="353" t="s">
        <v>8</v>
      </c>
      <c r="C2" s="353"/>
      <c r="D2" s="353"/>
      <c r="E2" s="353"/>
      <c r="F2" s="353"/>
      <c r="G2" s="353"/>
      <c r="H2" s="353"/>
      <c r="I2" s="353"/>
      <c r="J2" s="353"/>
      <c r="K2" s="353"/>
      <c r="L2" s="353"/>
      <c r="M2" s="353"/>
      <c r="N2" s="353"/>
    </row>
    <row r="3" spans="2:16" ht="18" x14ac:dyDescent="0.35">
      <c r="B3" s="353" t="str">
        <f>_xlfn.CONCAT("School Year ",'1 - Top Sheet'!D7:E7," Term ", '1 - Top Sheet'!D8:E8)</f>
        <v>School Year 2024-2025 Term 1</v>
      </c>
      <c r="C3" s="353"/>
      <c r="D3" s="353"/>
      <c r="E3" s="353"/>
      <c r="F3" s="353"/>
      <c r="G3" s="353"/>
      <c r="H3" s="353"/>
      <c r="I3" s="353"/>
      <c r="J3" s="353"/>
      <c r="K3" s="353"/>
      <c r="L3" s="353"/>
      <c r="M3" s="353"/>
      <c r="N3" s="353"/>
    </row>
    <row r="4" spans="2:16" ht="21" x14ac:dyDescent="0.4">
      <c r="B4" s="353" t="s">
        <v>46</v>
      </c>
      <c r="C4" s="353"/>
      <c r="D4" s="353"/>
      <c r="E4" s="353"/>
      <c r="F4" s="353"/>
      <c r="G4" s="353"/>
      <c r="H4" s="72"/>
      <c r="I4" s="72"/>
      <c r="J4" s="353" t="s">
        <v>47</v>
      </c>
      <c r="K4" s="353"/>
      <c r="L4" s="353"/>
      <c r="M4" s="353"/>
      <c r="N4" s="353"/>
      <c r="O4" s="353"/>
    </row>
    <row r="5" spans="2:16" ht="15" customHeight="1" x14ac:dyDescent="0.4">
      <c r="B5" s="28"/>
      <c r="C5" s="73" t="s">
        <v>12</v>
      </c>
      <c r="D5" s="29">
        <v>40</v>
      </c>
      <c r="E5" s="28"/>
      <c r="F5" s="28"/>
      <c r="G5" s="72"/>
      <c r="H5" s="72"/>
      <c r="I5" s="72"/>
      <c r="J5" s="28"/>
      <c r="K5" s="73" t="s">
        <v>12</v>
      </c>
      <c r="L5" s="29">
        <v>40</v>
      </c>
      <c r="M5" s="28"/>
      <c r="N5" s="28"/>
    </row>
    <row r="6" spans="2:16" x14ac:dyDescent="0.3">
      <c r="C6" s="73"/>
      <c r="D6" s="73"/>
      <c r="E6" s="73"/>
      <c r="F6" s="73"/>
      <c r="G6" s="73"/>
      <c r="H6" s="73"/>
      <c r="I6" s="73"/>
      <c r="J6" s="73"/>
      <c r="K6" s="73"/>
      <c r="L6" s="73"/>
      <c r="M6" s="73"/>
    </row>
    <row r="7" spans="2:16" x14ac:dyDescent="0.3">
      <c r="B7" t="s">
        <v>48</v>
      </c>
      <c r="C7" s="73"/>
      <c r="D7" s="73"/>
      <c r="E7" s="73"/>
      <c r="F7" s="73"/>
      <c r="G7" s="73"/>
      <c r="H7" s="73"/>
      <c r="I7" s="73"/>
      <c r="J7" s="73"/>
      <c r="K7" s="73"/>
      <c r="L7" s="73"/>
      <c r="M7" s="73"/>
    </row>
    <row r="8" spans="2:16" x14ac:dyDescent="0.3">
      <c r="E8" s="358" t="str">
        <f>B3</f>
        <v>School Year 2024-2025 Term 1</v>
      </c>
      <c r="F8" s="359"/>
      <c r="G8" s="359"/>
      <c r="H8" s="360"/>
      <c r="L8" s="74"/>
      <c r="M8" s="358" t="str">
        <f>B3</f>
        <v>School Year 2024-2025 Term 1</v>
      </c>
      <c r="N8" s="359"/>
      <c r="O8" s="359"/>
      <c r="P8" s="360"/>
    </row>
    <row r="9" spans="2:16" x14ac:dyDescent="0.3">
      <c r="B9" s="357" t="s">
        <v>49</v>
      </c>
      <c r="C9" s="354" t="s">
        <v>50</v>
      </c>
      <c r="D9" s="361" t="s">
        <v>51</v>
      </c>
      <c r="E9" s="354" t="s">
        <v>50</v>
      </c>
      <c r="F9" s="352" t="s">
        <v>52</v>
      </c>
      <c r="G9" s="352" t="s">
        <v>14</v>
      </c>
      <c r="H9" s="347" t="s">
        <v>53</v>
      </c>
      <c r="J9" s="356" t="s">
        <v>54</v>
      </c>
      <c r="K9" s="354" t="s">
        <v>50</v>
      </c>
      <c r="L9" s="347" t="s">
        <v>55</v>
      </c>
      <c r="M9" s="354" t="s">
        <v>50</v>
      </c>
      <c r="N9" s="352" t="s">
        <v>56</v>
      </c>
      <c r="O9" s="352" t="s">
        <v>14</v>
      </c>
      <c r="P9" s="347" t="s">
        <v>53</v>
      </c>
    </row>
    <row r="10" spans="2:16" x14ac:dyDescent="0.3">
      <c r="B10" s="357"/>
      <c r="C10" s="355"/>
      <c r="D10" s="361"/>
      <c r="E10" s="355"/>
      <c r="F10" s="352"/>
      <c r="G10" s="352"/>
      <c r="H10" s="347"/>
      <c r="J10" s="356"/>
      <c r="K10" s="355"/>
      <c r="L10" s="347"/>
      <c r="M10" s="355"/>
      <c r="N10" s="352"/>
      <c r="O10" s="352"/>
      <c r="P10" s="347"/>
    </row>
    <row r="11" spans="2:16" ht="14.4" customHeight="1" x14ac:dyDescent="0.3">
      <c r="B11" s="75" t="s">
        <v>57</v>
      </c>
      <c r="C11" s="76">
        <v>7</v>
      </c>
      <c r="D11" s="77"/>
      <c r="E11" s="77"/>
      <c r="F11" s="30"/>
      <c r="G11" s="2">
        <f>IF($D$5=0,0,IF(AND(F11&gt;0,F11-$D$5&lt;6),ROUNDUP((F11-5)/$D$5,0),ROUNDUP(F11/$D$5,0)))</f>
        <v>0</v>
      </c>
      <c r="H11" s="56" t="str">
        <f>IF(AND(F11&lt;$D$5,F11&gt;0),"can be merged","")</f>
        <v/>
      </c>
      <c r="J11" s="345" t="s">
        <v>58</v>
      </c>
      <c r="K11" s="78" t="s">
        <v>59</v>
      </c>
      <c r="L11" s="33"/>
      <c r="M11" s="3" t="s">
        <v>59</v>
      </c>
      <c r="N11" s="33"/>
      <c r="O11" s="2">
        <f t="shared" ref="O11:O18" si="0">IF($L$5=0,0,IF(AND(N11&gt;0,N11-$L$5&lt;6),ROUNDUP((N11-5)/$L$5,0),ROUNDUP(N11/$L$5,0)))</f>
        <v>0</v>
      </c>
      <c r="P11" s="56" t="str">
        <f t="shared" ref="P11:P18" si="1">IF(AND(N11&lt;$L$5,N11&gt;0),"can be merged","")</f>
        <v/>
      </c>
    </row>
    <row r="12" spans="2:16" x14ac:dyDescent="0.3">
      <c r="B12" s="79" t="s">
        <v>60</v>
      </c>
      <c r="C12" s="3">
        <v>8</v>
      </c>
      <c r="D12" s="30"/>
      <c r="E12" s="3">
        <v>8</v>
      </c>
      <c r="F12" s="2">
        <f>ROUNDUP((F11*$B$13)*$B$15,0)</f>
        <v>0</v>
      </c>
      <c r="G12" s="2">
        <f>IF($D$5=0,0,IF(AND(F12&gt;0,F12-$D$5&lt;6),ROUNDUP((F12-5)/$D$5,0),ROUNDUP(F12/$D$5,0)))</f>
        <v>0</v>
      </c>
      <c r="H12" s="56" t="str">
        <f t="shared" ref="H12:H69" si="2">IF(AND(F12&lt;$D$5,F12&gt;0),"can be merged","")</f>
        <v/>
      </c>
      <c r="J12" s="346"/>
      <c r="K12" s="78" t="s">
        <v>61</v>
      </c>
      <c r="L12" s="33"/>
      <c r="M12" s="3" t="s">
        <v>61</v>
      </c>
      <c r="N12" s="2">
        <f t="shared" ref="N12:N18" si="3">IF(L11&lt;&gt;"",ROUNDUP((L11*$J$15)*$J$17,0),0)</f>
        <v>0</v>
      </c>
      <c r="O12" s="2">
        <f t="shared" si="0"/>
        <v>0</v>
      </c>
      <c r="P12" s="56" t="str">
        <f t="shared" si="1"/>
        <v/>
      </c>
    </row>
    <row r="13" spans="2:16" x14ac:dyDescent="0.3">
      <c r="B13" s="54"/>
      <c r="C13" s="3">
        <v>9</v>
      </c>
      <c r="D13" s="30"/>
      <c r="E13" s="3">
        <v>9</v>
      </c>
      <c r="F13" s="2">
        <f t="shared" ref="F13:F14" si="4">ROUNDUP((D12*$B$13)*$B$15,0)</f>
        <v>0</v>
      </c>
      <c r="G13" s="2">
        <f>IF($D$5=0,0,IF(AND(F13&gt;0,F13-$D$5&lt;6),ROUNDUP((F13-5)/$D$5,0),ROUNDUP(F13/$D$5,0)))</f>
        <v>0</v>
      </c>
      <c r="H13" s="56" t="str">
        <f t="shared" si="2"/>
        <v/>
      </c>
      <c r="J13" s="348"/>
      <c r="K13" s="78" t="s">
        <v>62</v>
      </c>
      <c r="L13" s="33"/>
      <c r="M13" s="3" t="s">
        <v>62</v>
      </c>
      <c r="N13" s="2">
        <f t="shared" si="3"/>
        <v>0</v>
      </c>
      <c r="O13" s="2">
        <f t="shared" si="0"/>
        <v>0</v>
      </c>
      <c r="P13" s="56" t="str">
        <f t="shared" si="1"/>
        <v/>
      </c>
    </row>
    <row r="14" spans="2:16" x14ac:dyDescent="0.3">
      <c r="B14" s="79" t="s">
        <v>63</v>
      </c>
      <c r="C14" s="80">
        <v>10</v>
      </c>
      <c r="D14" s="31"/>
      <c r="E14" s="3">
        <v>10</v>
      </c>
      <c r="F14" s="2">
        <f t="shared" si="4"/>
        <v>0</v>
      </c>
      <c r="G14" s="2">
        <f>IF($D$5=0,0,IF(AND(F14&gt;0,F14-$D$5&lt;6),ROUNDUP((F14-5)/$D$5,0),ROUNDUP(F14/$D$5,0)))</f>
        <v>0</v>
      </c>
      <c r="H14" s="56" t="str">
        <f t="shared" si="2"/>
        <v/>
      </c>
      <c r="J14" s="79" t="s">
        <v>60</v>
      </c>
      <c r="K14" s="78" t="s">
        <v>64</v>
      </c>
      <c r="L14" s="33"/>
      <c r="M14" s="3" t="s">
        <v>64</v>
      </c>
      <c r="N14" s="2">
        <f t="shared" si="3"/>
        <v>0</v>
      </c>
      <c r="O14" s="2">
        <f t="shared" si="0"/>
        <v>0</v>
      </c>
      <c r="P14" s="56" t="str">
        <f t="shared" si="1"/>
        <v/>
      </c>
    </row>
    <row r="15" spans="2:16" x14ac:dyDescent="0.3">
      <c r="B15" s="55"/>
      <c r="C15" s="342" t="s">
        <v>65</v>
      </c>
      <c r="D15" s="343"/>
      <c r="E15" s="344"/>
      <c r="F15" s="81">
        <f>SUM(F11:F14)</f>
        <v>0</v>
      </c>
      <c r="G15" s="81">
        <f>SUM(G11:G14)</f>
        <v>0</v>
      </c>
      <c r="H15" s="82"/>
      <c r="J15" s="54">
        <v>0.95</v>
      </c>
      <c r="K15" s="78" t="s">
        <v>66</v>
      </c>
      <c r="L15" s="33"/>
      <c r="M15" s="3" t="s">
        <v>66</v>
      </c>
      <c r="N15" s="2">
        <f t="shared" si="3"/>
        <v>0</v>
      </c>
      <c r="O15" s="2">
        <f t="shared" si="0"/>
        <v>0</v>
      </c>
      <c r="P15" s="56" t="str">
        <f t="shared" si="1"/>
        <v/>
      </c>
    </row>
    <row r="16" spans="2:16" ht="15" customHeight="1" x14ac:dyDescent="0.3">
      <c r="B16" s="83" t="s">
        <v>67</v>
      </c>
      <c r="C16" s="76" t="s">
        <v>68</v>
      </c>
      <c r="D16" s="30"/>
      <c r="E16" s="76" t="s">
        <v>68</v>
      </c>
      <c r="F16" s="30"/>
      <c r="G16" s="2">
        <f>IF($D$5=0,0,IF(AND(F16&gt;0,F16-$D$5&lt;6),ROUNDUP((F16-5)/$D$5,0),ROUNDUP(F16/$D$5,0)))</f>
        <v>0</v>
      </c>
      <c r="H16" s="56" t="str">
        <f t="shared" si="2"/>
        <v/>
      </c>
      <c r="J16" s="79" t="s">
        <v>63</v>
      </c>
      <c r="K16" s="78" t="s">
        <v>69</v>
      </c>
      <c r="L16" s="33"/>
      <c r="M16" s="3" t="s">
        <v>69</v>
      </c>
      <c r="N16" s="2">
        <f t="shared" si="3"/>
        <v>0</v>
      </c>
      <c r="O16" s="2">
        <f t="shared" si="0"/>
        <v>0</v>
      </c>
      <c r="P16" s="56" t="str">
        <f t="shared" si="1"/>
        <v/>
      </c>
    </row>
    <row r="17" spans="2:16" x14ac:dyDescent="0.3">
      <c r="B17" s="79" t="s">
        <v>60</v>
      </c>
      <c r="C17" s="3" t="s">
        <v>70</v>
      </c>
      <c r="D17" s="30"/>
      <c r="E17" s="3" t="s">
        <v>70</v>
      </c>
      <c r="F17" s="2">
        <f>ROUNDUP((D16*$B$18)*$B$20,0)</f>
        <v>0</v>
      </c>
      <c r="G17" s="2">
        <f>IF($D$5=0,0,IF(AND(F17&gt;0,F17-$D$5&lt;6),ROUNDUP((F17-5)/$D$5,0),ROUNDUP(F17/$D$5,0)))</f>
        <v>0</v>
      </c>
      <c r="H17" s="56" t="str">
        <f t="shared" si="2"/>
        <v/>
      </c>
      <c r="J17" s="55">
        <v>0.95</v>
      </c>
      <c r="K17" s="78" t="s">
        <v>71</v>
      </c>
      <c r="L17" s="33"/>
      <c r="M17" s="3" t="s">
        <v>71</v>
      </c>
      <c r="N17" s="2">
        <f t="shared" si="3"/>
        <v>0</v>
      </c>
      <c r="O17" s="2">
        <f t="shared" si="0"/>
        <v>0</v>
      </c>
      <c r="P17" s="56" t="str">
        <f t="shared" si="1"/>
        <v/>
      </c>
    </row>
    <row r="18" spans="2:16" x14ac:dyDescent="0.3">
      <c r="B18" s="54"/>
      <c r="C18" s="3" t="s">
        <v>72</v>
      </c>
      <c r="D18" s="30"/>
      <c r="E18" s="3" t="s">
        <v>72</v>
      </c>
      <c r="F18" s="2">
        <f>ROUNDUP((D17*$B$18)*$B$20,0)</f>
        <v>0</v>
      </c>
      <c r="G18" s="2">
        <f>IF($D$5=0,0,IF(AND(F18&gt;0,F18-$D$5&lt;6),ROUNDUP((F18-5)/$D$5,0),ROUNDUP(F18/$D$5,0)))</f>
        <v>0</v>
      </c>
      <c r="H18" s="56" t="str">
        <f t="shared" si="2"/>
        <v/>
      </c>
      <c r="J18" s="84"/>
      <c r="K18" s="78" t="s">
        <v>73</v>
      </c>
      <c r="L18" s="33"/>
      <c r="M18" s="3" t="s">
        <v>73</v>
      </c>
      <c r="N18" s="2">
        <f t="shared" si="3"/>
        <v>0</v>
      </c>
      <c r="O18" s="2">
        <f t="shared" si="0"/>
        <v>0</v>
      </c>
      <c r="P18" s="56" t="str">
        <f t="shared" si="1"/>
        <v/>
      </c>
    </row>
    <row r="19" spans="2:16" x14ac:dyDescent="0.3">
      <c r="B19" s="79" t="s">
        <v>63</v>
      </c>
      <c r="C19" s="80" t="s">
        <v>74</v>
      </c>
      <c r="D19" s="30"/>
      <c r="E19" s="80" t="s">
        <v>74</v>
      </c>
      <c r="F19" s="2">
        <f t="shared" ref="F19" si="5">ROUNDUP((D18*$B$18)*$B$20,0)</f>
        <v>0</v>
      </c>
      <c r="G19" s="2">
        <f>IF($D$5=0,0,IF(AND(F19&gt;0,F19-$D$5&lt;6),ROUNDUP((F19-5)/$D$5,0),ROUNDUP(F19/$D$5,0)))</f>
        <v>0</v>
      </c>
      <c r="H19" s="56" t="str">
        <f t="shared" si="2"/>
        <v/>
      </c>
      <c r="J19" s="85"/>
      <c r="K19" s="342" t="s">
        <v>65</v>
      </c>
      <c r="L19" s="343"/>
      <c r="M19" s="344"/>
      <c r="N19" s="81">
        <f>SUM(N11:N18)</f>
        <v>0</v>
      </c>
      <c r="O19" s="81">
        <f>SUM(O11:O18)</f>
        <v>0</v>
      </c>
      <c r="P19" s="86"/>
    </row>
    <row r="20" spans="2:16" ht="14.4" customHeight="1" x14ac:dyDescent="0.3">
      <c r="B20" s="55"/>
      <c r="C20" s="342" t="s">
        <v>65</v>
      </c>
      <c r="D20" s="343"/>
      <c r="E20" s="344"/>
      <c r="F20" s="81">
        <f>SUM(F16:F19)</f>
        <v>0</v>
      </c>
      <c r="G20" s="81">
        <f>SUM(G16:G19)</f>
        <v>0</v>
      </c>
      <c r="H20" s="82"/>
      <c r="J20" s="346" t="s">
        <v>75</v>
      </c>
      <c r="K20" s="3" t="s">
        <v>59</v>
      </c>
      <c r="L20" s="33"/>
      <c r="M20" s="3" t="s">
        <v>59</v>
      </c>
      <c r="N20" s="30"/>
      <c r="O20" s="2">
        <f t="shared" ref="O20:O27" si="6">IF($L$5=0,0,IF(AND(N20&gt;0,N20-$L$5&lt;6),ROUNDUP((N20-5)/$L$5,0),ROUNDUP(N20/$L$5,0)))</f>
        <v>0</v>
      </c>
      <c r="P20" s="56" t="str">
        <f t="shared" ref="P20:P27" si="7">IF(AND(N20&lt;$L$5,N20&gt;0),"can be merged","")</f>
        <v/>
      </c>
    </row>
    <row r="21" spans="2:16" ht="15" customHeight="1" x14ac:dyDescent="0.3">
      <c r="B21" s="83" t="s">
        <v>76</v>
      </c>
      <c r="C21" s="76" t="s">
        <v>68</v>
      </c>
      <c r="D21" s="30"/>
      <c r="E21" s="76" t="s">
        <v>68</v>
      </c>
      <c r="F21" s="30"/>
      <c r="G21" s="2">
        <f>IF($D$5=0,0,IF(AND(F21&gt;0,F21-$D$5&lt;6),ROUNDUP((F21-5)/$D$5,0),ROUNDUP(F21/$D$5,0)))</f>
        <v>0</v>
      </c>
      <c r="H21" s="56" t="str">
        <f t="shared" si="2"/>
        <v/>
      </c>
      <c r="J21" s="346"/>
      <c r="K21" s="3" t="s">
        <v>61</v>
      </c>
      <c r="L21" s="33"/>
      <c r="M21" s="3" t="s">
        <v>61</v>
      </c>
      <c r="N21" s="2">
        <f>ROUNDUP((L20*$J$24)*$J$26,0)</f>
        <v>0</v>
      </c>
      <c r="O21" s="2">
        <f t="shared" si="6"/>
        <v>0</v>
      </c>
      <c r="P21" s="56" t="str">
        <f t="shared" si="7"/>
        <v/>
      </c>
    </row>
    <row r="22" spans="2:16" x14ac:dyDescent="0.3">
      <c r="B22" s="79" t="s">
        <v>60</v>
      </c>
      <c r="C22" s="3" t="s">
        <v>70</v>
      </c>
      <c r="D22" s="30"/>
      <c r="E22" s="3" t="s">
        <v>70</v>
      </c>
      <c r="F22" s="2">
        <f>ROUNDUP((D21*$B$23)*$B$25,0)</f>
        <v>0</v>
      </c>
      <c r="G22" s="2">
        <f>IF($D$5=0,0,IF(AND(F22&gt;0,F22-$D$5&lt;6),ROUNDUP((F22-5)/$D$5,0),ROUNDUP(F22/$D$5,0)))</f>
        <v>0</v>
      </c>
      <c r="H22" s="56" t="str">
        <f t="shared" si="2"/>
        <v/>
      </c>
      <c r="J22" s="348"/>
      <c r="K22" s="3" t="s">
        <v>62</v>
      </c>
      <c r="L22" s="33"/>
      <c r="M22" s="3" t="s">
        <v>62</v>
      </c>
      <c r="N22" s="2">
        <f t="shared" ref="N22:N27" si="8">ROUNDUP((L21*$J$24)*$J$26,0)</f>
        <v>0</v>
      </c>
      <c r="O22" s="2">
        <f t="shared" si="6"/>
        <v>0</v>
      </c>
      <c r="P22" s="56" t="str">
        <f t="shared" si="7"/>
        <v/>
      </c>
    </row>
    <row r="23" spans="2:16" x14ac:dyDescent="0.3">
      <c r="B23" s="54"/>
      <c r="C23" s="3" t="s">
        <v>72</v>
      </c>
      <c r="D23" s="30"/>
      <c r="E23" s="3" t="s">
        <v>72</v>
      </c>
      <c r="F23" s="2">
        <f t="shared" ref="F23:F24" si="9">ROUNDUP((D22*$B$23)*$B$25,0)</f>
        <v>0</v>
      </c>
      <c r="G23" s="2">
        <f>IF($D$5=0,0,IF(AND(F23&gt;0,F23-$D$5&lt;6),ROUNDUP((F23-5)/$D$5,0),ROUNDUP(F23/$D$5,0)))</f>
        <v>0</v>
      </c>
      <c r="H23" s="56" t="str">
        <f t="shared" si="2"/>
        <v/>
      </c>
      <c r="J23" s="79" t="s">
        <v>60</v>
      </c>
      <c r="K23" s="3" t="s">
        <v>64</v>
      </c>
      <c r="L23" s="33"/>
      <c r="M23" s="3" t="s">
        <v>64</v>
      </c>
      <c r="N23" s="2">
        <f t="shared" si="8"/>
        <v>0</v>
      </c>
      <c r="O23" s="2">
        <f t="shared" si="6"/>
        <v>0</v>
      </c>
      <c r="P23" s="56" t="str">
        <f t="shared" si="7"/>
        <v/>
      </c>
    </row>
    <row r="24" spans="2:16" x14ac:dyDescent="0.3">
      <c r="B24" s="79" t="s">
        <v>63</v>
      </c>
      <c r="C24" s="80" t="s">
        <v>74</v>
      </c>
      <c r="D24" s="30"/>
      <c r="E24" s="80" t="s">
        <v>74</v>
      </c>
      <c r="F24" s="2">
        <f t="shared" si="9"/>
        <v>0</v>
      </c>
      <c r="G24" s="2">
        <f>IF($D$5=0,0,IF(AND(F24&gt;0,F24-$D$5&lt;6),ROUNDUP((F24-5)/$D$5,0),ROUNDUP(F24/$D$5,0)))</f>
        <v>0</v>
      </c>
      <c r="H24" s="56" t="str">
        <f t="shared" si="2"/>
        <v/>
      </c>
      <c r="J24" s="54"/>
      <c r="K24" s="3" t="s">
        <v>66</v>
      </c>
      <c r="L24" s="33"/>
      <c r="M24" s="3" t="s">
        <v>66</v>
      </c>
      <c r="N24" s="2">
        <f t="shared" si="8"/>
        <v>0</v>
      </c>
      <c r="O24" s="2">
        <f t="shared" si="6"/>
        <v>0</v>
      </c>
      <c r="P24" s="56" t="str">
        <f t="shared" si="7"/>
        <v/>
      </c>
    </row>
    <row r="25" spans="2:16" x14ac:dyDescent="0.3">
      <c r="B25" s="55"/>
      <c r="C25" s="342" t="s">
        <v>65</v>
      </c>
      <c r="D25" s="343"/>
      <c r="E25" s="344"/>
      <c r="F25" s="81">
        <f>SUM(F21:F24)</f>
        <v>0</v>
      </c>
      <c r="G25" s="81">
        <f>SUM(G21:G24)</f>
        <v>0</v>
      </c>
      <c r="H25" s="82"/>
      <c r="J25" s="79" t="s">
        <v>63</v>
      </c>
      <c r="K25" s="3" t="s">
        <v>69</v>
      </c>
      <c r="L25" s="33"/>
      <c r="M25" s="3" t="s">
        <v>69</v>
      </c>
      <c r="N25" s="2">
        <f t="shared" si="8"/>
        <v>0</v>
      </c>
      <c r="O25" s="2">
        <f t="shared" si="6"/>
        <v>0</v>
      </c>
      <c r="P25" s="56" t="str">
        <f t="shared" si="7"/>
        <v/>
      </c>
    </row>
    <row r="26" spans="2:16" x14ac:dyDescent="0.3">
      <c r="B26" s="83" t="s">
        <v>77</v>
      </c>
      <c r="C26" s="76" t="s">
        <v>68</v>
      </c>
      <c r="D26" s="30"/>
      <c r="E26" s="76" t="s">
        <v>68</v>
      </c>
      <c r="F26" s="30"/>
      <c r="G26" s="2">
        <f>IF($D$5=0,0,IF(AND(F26&gt;0,F26-$D$5&lt;6),ROUNDUP((F26-5)/$D$5,0),ROUNDUP(F26/$D$5,0)))</f>
        <v>0</v>
      </c>
      <c r="H26" s="56" t="str">
        <f t="shared" si="2"/>
        <v/>
      </c>
      <c r="J26" s="55"/>
      <c r="K26" s="3" t="s">
        <v>71</v>
      </c>
      <c r="L26" s="33"/>
      <c r="M26" s="3" t="s">
        <v>71</v>
      </c>
      <c r="N26" s="2">
        <f t="shared" si="8"/>
        <v>0</v>
      </c>
      <c r="O26" s="2">
        <f t="shared" si="6"/>
        <v>0</v>
      </c>
      <c r="P26" s="56" t="str">
        <f t="shared" si="7"/>
        <v/>
      </c>
    </row>
    <row r="27" spans="2:16" x14ac:dyDescent="0.3">
      <c r="B27" s="79" t="s">
        <v>60</v>
      </c>
      <c r="C27" s="3" t="s">
        <v>70</v>
      </c>
      <c r="D27" s="30"/>
      <c r="E27" s="3" t="s">
        <v>70</v>
      </c>
      <c r="F27" s="2">
        <f>ROUNDUP((D26*$B$28)*$B$30,0)</f>
        <v>0</v>
      </c>
      <c r="G27" s="2">
        <f>IF($D$5=0,0,IF(AND(F27&gt;0,F27-$D$5&lt;6),ROUNDUP((F27-5)/$D$5,0),ROUNDUP(F27/$D$5,0)))</f>
        <v>0</v>
      </c>
      <c r="H27" s="56" t="str">
        <f t="shared" si="2"/>
        <v/>
      </c>
      <c r="J27" s="84"/>
      <c r="K27" s="3" t="s">
        <v>73</v>
      </c>
      <c r="L27" s="33"/>
      <c r="M27" s="3" t="s">
        <v>73</v>
      </c>
      <c r="N27" s="2">
        <f t="shared" si="8"/>
        <v>0</v>
      </c>
      <c r="O27" s="2">
        <f t="shared" si="6"/>
        <v>0</v>
      </c>
      <c r="P27" s="56" t="str">
        <f t="shared" si="7"/>
        <v/>
      </c>
    </row>
    <row r="28" spans="2:16" x14ac:dyDescent="0.3">
      <c r="B28" s="54"/>
      <c r="C28" s="3" t="s">
        <v>72</v>
      </c>
      <c r="D28" s="30"/>
      <c r="E28" s="3" t="s">
        <v>72</v>
      </c>
      <c r="F28" s="2">
        <f t="shared" ref="F28:F29" si="10">ROUNDUP((D27*$B$28)*$B$30,0)</f>
        <v>0</v>
      </c>
      <c r="G28" s="2">
        <f>IF($D$5=0,0,IF(AND(F28&gt;0,F28-$D$5&lt;6),ROUNDUP((F28-5)/$D$5,0),ROUNDUP(F28/$D$5,0)))</f>
        <v>0</v>
      </c>
      <c r="H28" s="56" t="str">
        <f t="shared" si="2"/>
        <v/>
      </c>
      <c r="J28" s="85"/>
      <c r="K28" s="342" t="s">
        <v>65</v>
      </c>
      <c r="L28" s="343"/>
      <c r="M28" s="344"/>
      <c r="N28" s="81">
        <f>SUM(N20:N27)</f>
        <v>0</v>
      </c>
      <c r="O28" s="81">
        <f>SUM(O20:O27)</f>
        <v>0</v>
      </c>
      <c r="P28" s="86"/>
    </row>
    <row r="29" spans="2:16" ht="14.4" customHeight="1" x14ac:dyDescent="0.3">
      <c r="B29" s="79" t="s">
        <v>63</v>
      </c>
      <c r="C29" s="80" t="s">
        <v>74</v>
      </c>
      <c r="D29" s="30"/>
      <c r="E29" s="80" t="s">
        <v>74</v>
      </c>
      <c r="F29" s="2">
        <f t="shared" si="10"/>
        <v>0</v>
      </c>
      <c r="G29" s="2">
        <f>IF($D$5=0,0,IF(AND(F29&gt;0,F29-$D$5&lt;6),ROUNDUP((F29-5)/$D$5,0),ROUNDUP(F29/$D$5,0)))</f>
        <v>0</v>
      </c>
      <c r="H29" s="56" t="str">
        <f t="shared" si="2"/>
        <v/>
      </c>
      <c r="J29" s="345" t="s">
        <v>78</v>
      </c>
      <c r="K29" s="3" t="s">
        <v>59</v>
      </c>
      <c r="L29" s="33"/>
      <c r="M29" s="3" t="s">
        <v>59</v>
      </c>
      <c r="N29" s="30"/>
      <c r="O29" s="2">
        <f t="shared" ref="O29:O36" si="11">IF($L$5=0,0,IF(AND(N29&gt;0,N29-$L$5&lt;6),ROUNDUP((N29-5)/$L$5,0),ROUNDUP(N29/$L$5,0)))</f>
        <v>0</v>
      </c>
      <c r="P29" s="56" t="str">
        <f t="shared" ref="P29:P36" si="12">IF(AND(N29&lt;$L$5,N29&gt;0),"can be merged","")</f>
        <v/>
      </c>
    </row>
    <row r="30" spans="2:16" x14ac:dyDescent="0.3">
      <c r="B30" s="55"/>
      <c r="C30" s="342" t="s">
        <v>65</v>
      </c>
      <c r="D30" s="343"/>
      <c r="E30" s="344"/>
      <c r="F30" s="81">
        <f>SUM(F26:F29)</f>
        <v>0</v>
      </c>
      <c r="G30" s="81">
        <f>SUM(G26:G29)</f>
        <v>0</v>
      </c>
      <c r="H30" s="82"/>
      <c r="J30" s="346"/>
      <c r="K30" s="3" t="s">
        <v>61</v>
      </c>
      <c r="L30" s="33"/>
      <c r="M30" s="3" t="s">
        <v>61</v>
      </c>
      <c r="N30" s="2">
        <f>ROUNDUP((L29*$J$33)*$J$35,0)</f>
        <v>0</v>
      </c>
      <c r="O30" s="2">
        <f t="shared" si="11"/>
        <v>0</v>
      </c>
      <c r="P30" s="56" t="str">
        <f t="shared" si="12"/>
        <v/>
      </c>
    </row>
    <row r="31" spans="2:16" ht="15" customHeight="1" x14ac:dyDescent="0.3">
      <c r="B31" s="83" t="s">
        <v>79</v>
      </c>
      <c r="C31" s="76" t="s">
        <v>68</v>
      </c>
      <c r="D31" s="30"/>
      <c r="E31" s="76" t="s">
        <v>68</v>
      </c>
      <c r="F31" s="30"/>
      <c r="G31" s="2">
        <f>IF($D$5=0,0,IF(AND(F31&gt;0,F31-$D$5&lt;6),ROUNDUP((F31-5)/$D$5,0),ROUNDUP(F31/$D$5,0)))</f>
        <v>0</v>
      </c>
      <c r="H31" s="56" t="str">
        <f t="shared" si="2"/>
        <v/>
      </c>
      <c r="J31" s="348"/>
      <c r="K31" s="3" t="s">
        <v>62</v>
      </c>
      <c r="L31" s="33"/>
      <c r="M31" s="3" t="s">
        <v>62</v>
      </c>
      <c r="N31" s="2">
        <f>ROUNDUP((L30*$J$33)*$J$35,0)</f>
        <v>0</v>
      </c>
      <c r="O31" s="2">
        <f t="shared" si="11"/>
        <v>0</v>
      </c>
      <c r="P31" s="56" t="str">
        <f t="shared" si="12"/>
        <v/>
      </c>
    </row>
    <row r="32" spans="2:16" x14ac:dyDescent="0.3">
      <c r="B32" s="79" t="s">
        <v>60</v>
      </c>
      <c r="C32" s="3" t="s">
        <v>70</v>
      </c>
      <c r="D32" s="30"/>
      <c r="E32" s="3" t="s">
        <v>70</v>
      </c>
      <c r="F32" s="2">
        <f>ROUNDUP((D31*$B$33)*$B$35,0)</f>
        <v>0</v>
      </c>
      <c r="G32" s="2">
        <f>IF($D$5=0,0,IF(AND(F32&gt;0,F32-$D$5&lt;6),ROUNDUP((F32-5)/$D$5,0),ROUNDUP(F32/$D$5,0)))</f>
        <v>0</v>
      </c>
      <c r="H32" s="56" t="str">
        <f t="shared" si="2"/>
        <v/>
      </c>
      <c r="J32" s="79" t="s">
        <v>60</v>
      </c>
      <c r="K32" s="3" t="s">
        <v>64</v>
      </c>
      <c r="L32" s="33"/>
      <c r="M32" s="3" t="s">
        <v>64</v>
      </c>
      <c r="N32" s="2">
        <f t="shared" ref="N32:N36" si="13">ROUNDUP((L31*$J$33)*$J$35,0)</f>
        <v>0</v>
      </c>
      <c r="O32" s="2">
        <f t="shared" si="11"/>
        <v>0</v>
      </c>
      <c r="P32" s="56" t="str">
        <f t="shared" si="12"/>
        <v/>
      </c>
    </row>
    <row r="33" spans="2:16" x14ac:dyDescent="0.3">
      <c r="B33" s="54"/>
      <c r="C33" s="3" t="s">
        <v>72</v>
      </c>
      <c r="D33" s="30"/>
      <c r="E33" s="3" t="s">
        <v>72</v>
      </c>
      <c r="F33" s="2">
        <f t="shared" ref="F33:F34" si="14">ROUNDUP((D32*$B$33)*$B$35,0)</f>
        <v>0</v>
      </c>
      <c r="G33" s="2">
        <f>IF($D$5=0,0,IF(AND(F33&gt;0,F33-$D$5&lt;6),ROUNDUP((F33-5)/$D$5,0),ROUNDUP(F33/$D$5,0)))</f>
        <v>0</v>
      </c>
      <c r="H33" s="56" t="str">
        <f t="shared" si="2"/>
        <v/>
      </c>
      <c r="J33" s="54"/>
      <c r="K33" s="3" t="s">
        <v>66</v>
      </c>
      <c r="L33" s="33"/>
      <c r="M33" s="3" t="s">
        <v>66</v>
      </c>
      <c r="N33" s="2">
        <f t="shared" si="13"/>
        <v>0</v>
      </c>
      <c r="O33" s="2">
        <f t="shared" si="11"/>
        <v>0</v>
      </c>
      <c r="P33" s="56" t="str">
        <f t="shared" si="12"/>
        <v/>
      </c>
    </row>
    <row r="34" spans="2:16" x14ac:dyDescent="0.3">
      <c r="B34" s="79" t="s">
        <v>63</v>
      </c>
      <c r="C34" s="80" t="s">
        <v>74</v>
      </c>
      <c r="D34" s="30"/>
      <c r="E34" s="80" t="s">
        <v>74</v>
      </c>
      <c r="F34" s="2">
        <f t="shared" si="14"/>
        <v>0</v>
      </c>
      <c r="G34" s="2">
        <f>IF($D$5=0,0,IF(AND(F34&gt;0,F34-$D$5&lt;6),ROUNDUP((F34-5)/$D$5,0),ROUNDUP(F34/$D$5,0)))</f>
        <v>0</v>
      </c>
      <c r="H34" s="56" t="str">
        <f t="shared" si="2"/>
        <v/>
      </c>
      <c r="J34" s="79" t="s">
        <v>63</v>
      </c>
      <c r="K34" s="3" t="s">
        <v>69</v>
      </c>
      <c r="L34" s="33"/>
      <c r="M34" s="3" t="s">
        <v>69</v>
      </c>
      <c r="N34" s="2">
        <f t="shared" si="13"/>
        <v>0</v>
      </c>
      <c r="O34" s="2">
        <f t="shared" si="11"/>
        <v>0</v>
      </c>
      <c r="P34" s="56" t="str">
        <f t="shared" si="12"/>
        <v/>
      </c>
    </row>
    <row r="35" spans="2:16" x14ac:dyDescent="0.3">
      <c r="B35" s="55"/>
      <c r="C35" s="342" t="s">
        <v>65</v>
      </c>
      <c r="D35" s="343"/>
      <c r="E35" s="344"/>
      <c r="F35" s="81">
        <f>SUM(F31:F34)</f>
        <v>0</v>
      </c>
      <c r="G35" s="81">
        <f>SUM(G31:G34)</f>
        <v>0</v>
      </c>
      <c r="H35" s="82"/>
      <c r="J35" s="55"/>
      <c r="K35" s="3" t="s">
        <v>71</v>
      </c>
      <c r="L35" s="33"/>
      <c r="M35" s="3" t="s">
        <v>71</v>
      </c>
      <c r="N35" s="2">
        <f t="shared" si="13"/>
        <v>0</v>
      </c>
      <c r="O35" s="2">
        <f t="shared" si="11"/>
        <v>0</v>
      </c>
      <c r="P35" s="56" t="str">
        <f t="shared" si="12"/>
        <v/>
      </c>
    </row>
    <row r="36" spans="2:16" ht="15" customHeight="1" x14ac:dyDescent="0.3">
      <c r="B36" s="83" t="s">
        <v>80</v>
      </c>
      <c r="C36" s="76" t="s">
        <v>68</v>
      </c>
      <c r="D36" s="30"/>
      <c r="E36" s="76" t="s">
        <v>68</v>
      </c>
      <c r="F36" s="30"/>
      <c r="G36" s="2">
        <f>IF($D$5=0,0,IF(AND(F36&gt;0,F36-$D$5&lt;6),ROUNDUP((F36-5)/$D$5,0),ROUNDUP(F36/$D$5,0)))</f>
        <v>0</v>
      </c>
      <c r="H36" s="56" t="str">
        <f t="shared" si="2"/>
        <v/>
      </c>
      <c r="J36" s="84"/>
      <c r="K36" s="3" t="s">
        <v>73</v>
      </c>
      <c r="L36" s="33"/>
      <c r="M36" s="3" t="s">
        <v>73</v>
      </c>
      <c r="N36" s="2">
        <f t="shared" si="13"/>
        <v>0</v>
      </c>
      <c r="O36" s="2">
        <f t="shared" si="11"/>
        <v>0</v>
      </c>
      <c r="P36" s="56" t="str">
        <f t="shared" si="12"/>
        <v/>
      </c>
    </row>
    <row r="37" spans="2:16" x14ac:dyDescent="0.3">
      <c r="B37" s="79" t="s">
        <v>60</v>
      </c>
      <c r="C37" s="3" t="s">
        <v>70</v>
      </c>
      <c r="D37" s="30"/>
      <c r="E37" s="3" t="s">
        <v>70</v>
      </c>
      <c r="F37" s="2">
        <f>ROUNDUP((D36*$B$38)*$B$40,0)</f>
        <v>0</v>
      </c>
      <c r="G37" s="2">
        <f>IF($D$5=0,0,IF(AND(F37&gt;0,F37-$D$5&lt;6),ROUNDUP((F37-5)/$D$5,0),ROUNDUP(F37/$D$5,0)))</f>
        <v>0</v>
      </c>
      <c r="H37" s="56" t="str">
        <f t="shared" si="2"/>
        <v/>
      </c>
      <c r="J37" s="85"/>
      <c r="K37" s="342" t="s">
        <v>65</v>
      </c>
      <c r="L37" s="343"/>
      <c r="M37" s="344"/>
      <c r="N37" s="81">
        <f>SUM(N29:N36)</f>
        <v>0</v>
      </c>
      <c r="O37" s="82">
        <f>SUM(O29:O36)</f>
        <v>0</v>
      </c>
      <c r="P37" s="81"/>
    </row>
    <row r="38" spans="2:16" ht="14.4" customHeight="1" x14ac:dyDescent="0.3">
      <c r="B38" s="54"/>
      <c r="C38" s="3" t="s">
        <v>72</v>
      </c>
      <c r="D38" s="30"/>
      <c r="E38" s="3" t="s">
        <v>72</v>
      </c>
      <c r="F38" s="2">
        <f t="shared" ref="F38:F39" si="15">ROUNDUP((D37*$B$38)*$B$40,0)</f>
        <v>0</v>
      </c>
      <c r="G38" s="2">
        <f>IF($D$5=0,0,IF(AND(F38&gt;0,F38-$D$5&lt;6),ROUNDUP((F38-5)/$D$5,0),ROUNDUP(F38/$D$5,0)))</f>
        <v>0</v>
      </c>
      <c r="H38" s="56" t="str">
        <f t="shared" si="2"/>
        <v/>
      </c>
      <c r="J38" s="345" t="s">
        <v>81</v>
      </c>
      <c r="K38" s="3" t="s">
        <v>59</v>
      </c>
      <c r="L38" s="33"/>
      <c r="M38" s="3" t="s">
        <v>59</v>
      </c>
      <c r="N38" s="30"/>
      <c r="O38" s="2">
        <f t="shared" ref="O38:O45" si="16">IF($L$5=0,0,IF(AND(N38&gt;0,N38-$L$5&lt;6),ROUNDUP((N38-5)/$L$5,0),ROUNDUP(N38/$L$5,0)))</f>
        <v>0</v>
      </c>
      <c r="P38" s="56" t="str">
        <f t="shared" ref="P38:P45" si="17">IF(AND(N38&lt;$L$5,N38&gt;0),"can be merged","")</f>
        <v/>
      </c>
    </row>
    <row r="39" spans="2:16" x14ac:dyDescent="0.3">
      <c r="B39" s="79" t="s">
        <v>63</v>
      </c>
      <c r="C39" s="80" t="s">
        <v>74</v>
      </c>
      <c r="D39" s="30"/>
      <c r="E39" s="80" t="s">
        <v>74</v>
      </c>
      <c r="F39" s="2">
        <f t="shared" si="15"/>
        <v>0</v>
      </c>
      <c r="G39" s="2">
        <f>IF($D$5=0,0,IF(AND(F39&gt;0,F39-$D$5&lt;6),ROUNDUP((F39-5)/$D$5,0),ROUNDUP(F39/$D$5,0)))</f>
        <v>0</v>
      </c>
      <c r="H39" s="56" t="str">
        <f t="shared" si="2"/>
        <v/>
      </c>
      <c r="J39" s="346"/>
      <c r="K39" s="3" t="s">
        <v>61</v>
      </c>
      <c r="L39" s="33"/>
      <c r="M39" s="3" t="s">
        <v>61</v>
      </c>
      <c r="N39" s="2">
        <f>ROUNDUP((L38*$J$42)*$J$44,0)</f>
        <v>0</v>
      </c>
      <c r="O39" s="2">
        <f t="shared" si="16"/>
        <v>0</v>
      </c>
      <c r="P39" s="56" t="str">
        <f t="shared" si="17"/>
        <v/>
      </c>
    </row>
    <row r="40" spans="2:16" x14ac:dyDescent="0.3">
      <c r="B40" s="55"/>
      <c r="C40" s="342" t="s">
        <v>65</v>
      </c>
      <c r="D40" s="343"/>
      <c r="E40" s="344"/>
      <c r="F40" s="81">
        <f>SUM(F36:F39)</f>
        <v>0</v>
      </c>
      <c r="G40" s="81">
        <f>SUM(G36:G39)</f>
        <v>0</v>
      </c>
      <c r="H40" s="82"/>
      <c r="J40" s="348"/>
      <c r="K40" s="3" t="s">
        <v>62</v>
      </c>
      <c r="L40" s="33"/>
      <c r="M40" s="3" t="s">
        <v>62</v>
      </c>
      <c r="N40" s="2">
        <f t="shared" ref="N40:N45" si="18">ROUNDUP((L39*$J$42)*$J$44,0)</f>
        <v>0</v>
      </c>
      <c r="O40" s="2">
        <f t="shared" si="16"/>
        <v>0</v>
      </c>
      <c r="P40" s="56" t="str">
        <f t="shared" si="17"/>
        <v/>
      </c>
    </row>
    <row r="41" spans="2:16" ht="15" customHeight="1" x14ac:dyDescent="0.3">
      <c r="B41" s="83" t="s">
        <v>82</v>
      </c>
      <c r="C41" s="76" t="s">
        <v>68</v>
      </c>
      <c r="D41" s="30"/>
      <c r="E41" s="76" t="s">
        <v>68</v>
      </c>
      <c r="F41" s="30"/>
      <c r="G41" s="2">
        <f>IF($D$5=0,0,IF(AND(F41&gt;0,F41-$D$5&lt;6),ROUNDUP((F41-5)/$D$5,0),ROUNDUP(F41/$D$5,0)))</f>
        <v>0</v>
      </c>
      <c r="H41" s="56" t="str">
        <f t="shared" si="2"/>
        <v/>
      </c>
      <c r="J41" s="79" t="s">
        <v>60</v>
      </c>
      <c r="K41" s="3" t="s">
        <v>64</v>
      </c>
      <c r="L41" s="33"/>
      <c r="M41" s="3" t="s">
        <v>64</v>
      </c>
      <c r="N41" s="2">
        <f t="shared" si="18"/>
        <v>0</v>
      </c>
      <c r="O41" s="2">
        <f t="shared" si="16"/>
        <v>0</v>
      </c>
      <c r="P41" s="56" t="str">
        <f t="shared" si="17"/>
        <v/>
      </c>
    </row>
    <row r="42" spans="2:16" x14ac:dyDescent="0.3">
      <c r="B42" s="79" t="s">
        <v>60</v>
      </c>
      <c r="C42" s="3" t="s">
        <v>70</v>
      </c>
      <c r="D42" s="30"/>
      <c r="E42" s="3" t="s">
        <v>70</v>
      </c>
      <c r="F42" s="2">
        <f>ROUNDUP((D41*$B$43)*$B$45,0)</f>
        <v>0</v>
      </c>
      <c r="G42" s="2">
        <f>IF($D$5=0,0,IF(AND(F42&gt;0,F42-$D$5&lt;6),ROUNDUP((F42-5)/$D$5,0),ROUNDUP(F42/$D$5,0)))</f>
        <v>0</v>
      </c>
      <c r="H42" s="56" t="str">
        <f t="shared" si="2"/>
        <v/>
      </c>
      <c r="J42" s="54"/>
      <c r="K42" s="3" t="s">
        <v>66</v>
      </c>
      <c r="L42" s="33"/>
      <c r="M42" s="3" t="s">
        <v>66</v>
      </c>
      <c r="N42" s="2">
        <f t="shared" si="18"/>
        <v>0</v>
      </c>
      <c r="O42" s="2">
        <f t="shared" si="16"/>
        <v>0</v>
      </c>
      <c r="P42" s="56" t="str">
        <f t="shared" si="17"/>
        <v/>
      </c>
    </row>
    <row r="43" spans="2:16" x14ac:dyDescent="0.3">
      <c r="B43" s="54"/>
      <c r="C43" s="3" t="s">
        <v>72</v>
      </c>
      <c r="D43" s="30"/>
      <c r="E43" s="3" t="s">
        <v>72</v>
      </c>
      <c r="F43" s="2">
        <f t="shared" ref="F43:F44" si="19">ROUNDUP((D42*$B$43)*$B$45,0)</f>
        <v>0</v>
      </c>
      <c r="G43" s="2">
        <f>IF($D$5=0,0,IF(AND(F43&gt;0,F43-$D$5&lt;6),ROUNDUP((F43-5)/$D$5,0),ROUNDUP(F43/$D$5,0)))</f>
        <v>0</v>
      </c>
      <c r="H43" s="56" t="str">
        <f t="shared" si="2"/>
        <v/>
      </c>
      <c r="J43" s="79" t="s">
        <v>63</v>
      </c>
      <c r="K43" s="3" t="s">
        <v>69</v>
      </c>
      <c r="L43" s="33"/>
      <c r="M43" s="3" t="s">
        <v>69</v>
      </c>
      <c r="N43" s="2">
        <f t="shared" si="18"/>
        <v>0</v>
      </c>
      <c r="O43" s="2">
        <f t="shared" si="16"/>
        <v>0</v>
      </c>
      <c r="P43" s="56" t="str">
        <f t="shared" si="17"/>
        <v/>
      </c>
    </row>
    <row r="44" spans="2:16" x14ac:dyDescent="0.3">
      <c r="B44" s="79" t="s">
        <v>63</v>
      </c>
      <c r="C44" s="80" t="s">
        <v>74</v>
      </c>
      <c r="D44" s="30"/>
      <c r="E44" s="80" t="s">
        <v>74</v>
      </c>
      <c r="F44" s="2">
        <f t="shared" si="19"/>
        <v>0</v>
      </c>
      <c r="G44" s="2">
        <f>IF($D$5=0,0,IF(AND(F44&gt;0,F44-$D$5&lt;6),ROUNDUP((F44-5)/$D$5,0),ROUNDUP(F44/$D$5,0)))</f>
        <v>0</v>
      </c>
      <c r="H44" s="56" t="str">
        <f t="shared" si="2"/>
        <v/>
      </c>
      <c r="J44" s="55"/>
      <c r="K44" s="3" t="s">
        <v>71</v>
      </c>
      <c r="L44" s="33"/>
      <c r="M44" s="3" t="s">
        <v>71</v>
      </c>
      <c r="N44" s="2">
        <f t="shared" si="18"/>
        <v>0</v>
      </c>
      <c r="O44" s="2">
        <f t="shared" si="16"/>
        <v>0</v>
      </c>
      <c r="P44" s="56" t="str">
        <f t="shared" si="17"/>
        <v/>
      </c>
    </row>
    <row r="45" spans="2:16" x14ac:dyDescent="0.3">
      <c r="B45" s="55"/>
      <c r="C45" s="342" t="s">
        <v>65</v>
      </c>
      <c r="D45" s="343"/>
      <c r="E45" s="344"/>
      <c r="F45" s="81">
        <f>SUM(F41:F44)</f>
        <v>0</v>
      </c>
      <c r="G45" s="81">
        <f>SUM(G41:G44)</f>
        <v>0</v>
      </c>
      <c r="H45" s="82"/>
      <c r="J45" s="84"/>
      <c r="K45" s="3" t="s">
        <v>73</v>
      </c>
      <c r="L45" s="33"/>
      <c r="M45" s="3" t="s">
        <v>73</v>
      </c>
      <c r="N45" s="2">
        <f t="shared" si="18"/>
        <v>0</v>
      </c>
      <c r="O45" s="2">
        <f t="shared" si="16"/>
        <v>0</v>
      </c>
      <c r="P45" s="56" t="str">
        <f t="shared" si="17"/>
        <v/>
      </c>
    </row>
    <row r="46" spans="2:16" ht="15" customHeight="1" x14ac:dyDescent="0.3">
      <c r="B46" s="83" t="s">
        <v>83</v>
      </c>
      <c r="C46" s="76" t="s">
        <v>68</v>
      </c>
      <c r="D46" s="30"/>
      <c r="E46" s="76" t="s">
        <v>68</v>
      </c>
      <c r="F46" s="30"/>
      <c r="G46" s="2">
        <f>IF($D$5=0,0,IF(AND(F46&gt;0,F46-$D$5&lt;6),ROUNDUP((F46-5)/$D$5,0),ROUNDUP(F46/$D$5,0)))</f>
        <v>0</v>
      </c>
      <c r="H46" s="56" t="str">
        <f t="shared" si="2"/>
        <v/>
      </c>
      <c r="J46" s="85"/>
      <c r="K46" s="342" t="s">
        <v>65</v>
      </c>
      <c r="L46" s="343"/>
      <c r="M46" s="344"/>
      <c r="N46" s="81">
        <f>SUM(N38:N45)</f>
        <v>0</v>
      </c>
      <c r="O46" s="81">
        <f>SUM(O38:O45)</f>
        <v>0</v>
      </c>
      <c r="P46" s="86"/>
    </row>
    <row r="47" spans="2:16" ht="14.4" customHeight="1" x14ac:dyDescent="0.3">
      <c r="B47" s="79" t="s">
        <v>60</v>
      </c>
      <c r="C47" s="3" t="s">
        <v>70</v>
      </c>
      <c r="D47" s="30"/>
      <c r="E47" s="3" t="s">
        <v>70</v>
      </c>
      <c r="F47" s="2">
        <f>ROUNDUP((D46*$B$48)*$B$50,0)</f>
        <v>0</v>
      </c>
      <c r="G47" s="2">
        <f>IF($D$5=0,0,IF(AND(F47&gt;0,F47-$D$5&lt;6),ROUNDUP((F47-5)/$D$5,0),ROUNDUP(F47/$D$5,0)))</f>
        <v>0</v>
      </c>
      <c r="H47" s="56" t="str">
        <f t="shared" si="2"/>
        <v/>
      </c>
      <c r="J47" s="345" t="s">
        <v>84</v>
      </c>
      <c r="K47" s="3" t="s">
        <v>59</v>
      </c>
      <c r="L47" s="33"/>
      <c r="M47" s="3" t="s">
        <v>59</v>
      </c>
      <c r="N47" s="30"/>
      <c r="O47" s="2">
        <f t="shared" ref="O47:O54" si="20">IF($L$5=0,0,IF(AND(N47&gt;0,N47-$L$5&lt;6),ROUNDUP((N47-5)/$L$5,0),ROUNDUP(N47/$L$5,0)))</f>
        <v>0</v>
      </c>
      <c r="P47" s="56" t="str">
        <f t="shared" ref="P47:P54" si="21">IF(AND(N47&lt;$L$5,N47&gt;0),"can be merged","")</f>
        <v/>
      </c>
    </row>
    <row r="48" spans="2:16" x14ac:dyDescent="0.3">
      <c r="B48" s="54"/>
      <c r="C48" s="3" t="s">
        <v>72</v>
      </c>
      <c r="D48" s="30"/>
      <c r="E48" s="3" t="s">
        <v>72</v>
      </c>
      <c r="F48" s="2">
        <f t="shared" ref="F48:F49" si="22">ROUNDUP((D47*$B$48)*$B$50,0)</f>
        <v>0</v>
      </c>
      <c r="G48" s="2">
        <f>IF($D$5=0,0,IF(AND(F48&gt;0,F48-$D$5&lt;6),ROUNDUP((F48-5)/$D$5,0),ROUNDUP(F48/$D$5,0)))</f>
        <v>0</v>
      </c>
      <c r="H48" s="56" t="str">
        <f t="shared" si="2"/>
        <v/>
      </c>
      <c r="J48" s="346"/>
      <c r="K48" s="3" t="s">
        <v>61</v>
      </c>
      <c r="L48" s="33"/>
      <c r="M48" s="3" t="s">
        <v>61</v>
      </c>
      <c r="N48" s="2">
        <f>ROUNDUP((L47*$J$51)*$J$53,0)</f>
        <v>0</v>
      </c>
      <c r="O48" s="2">
        <f t="shared" si="20"/>
        <v>0</v>
      </c>
      <c r="P48" s="56" t="str">
        <f t="shared" si="21"/>
        <v/>
      </c>
    </row>
    <row r="49" spans="2:16" x14ac:dyDescent="0.3">
      <c r="B49" s="79" t="s">
        <v>63</v>
      </c>
      <c r="C49" s="80" t="s">
        <v>74</v>
      </c>
      <c r="D49" s="30"/>
      <c r="E49" s="80" t="s">
        <v>74</v>
      </c>
      <c r="F49" s="2">
        <f t="shared" si="22"/>
        <v>0</v>
      </c>
      <c r="G49" s="2">
        <f>IF($D$5=0,0,IF(AND(F49&gt;0,F49-$D$5&lt;6),ROUNDUP((F49-5)/$D$5,0),ROUNDUP(F49/$D$5,0)))</f>
        <v>0</v>
      </c>
      <c r="H49" s="56" t="str">
        <f t="shared" si="2"/>
        <v/>
      </c>
      <c r="J49" s="348"/>
      <c r="K49" s="3" t="s">
        <v>62</v>
      </c>
      <c r="L49" s="33"/>
      <c r="M49" s="3" t="s">
        <v>62</v>
      </c>
      <c r="N49" s="2">
        <f t="shared" ref="N49:N54" si="23">ROUNDUP((L48*$J$51)*$J$53,0)</f>
        <v>0</v>
      </c>
      <c r="O49" s="2">
        <f t="shared" si="20"/>
        <v>0</v>
      </c>
      <c r="P49" s="56" t="str">
        <f t="shared" si="21"/>
        <v/>
      </c>
    </row>
    <row r="50" spans="2:16" x14ac:dyDescent="0.3">
      <c r="B50" s="55"/>
      <c r="C50" s="342" t="s">
        <v>65</v>
      </c>
      <c r="D50" s="343"/>
      <c r="E50" s="344"/>
      <c r="F50" s="81">
        <f>SUM(F46:F49)</f>
        <v>0</v>
      </c>
      <c r="G50" s="81">
        <f>SUM(G46:G49)</f>
        <v>0</v>
      </c>
      <c r="H50" s="82"/>
      <c r="J50" s="79" t="s">
        <v>60</v>
      </c>
      <c r="K50" s="3" t="s">
        <v>64</v>
      </c>
      <c r="L50" s="33"/>
      <c r="M50" s="3" t="s">
        <v>64</v>
      </c>
      <c r="N50" s="2">
        <f t="shared" si="23"/>
        <v>0</v>
      </c>
      <c r="O50" s="2">
        <f t="shared" si="20"/>
        <v>0</v>
      </c>
      <c r="P50" s="56" t="str">
        <f t="shared" si="21"/>
        <v/>
      </c>
    </row>
    <row r="51" spans="2:16" ht="15" customHeight="1" x14ac:dyDescent="0.3">
      <c r="B51" s="83" t="s">
        <v>85</v>
      </c>
      <c r="C51" s="76" t="s">
        <v>68</v>
      </c>
      <c r="D51" s="30"/>
      <c r="E51" s="76" t="s">
        <v>68</v>
      </c>
      <c r="F51" s="32"/>
      <c r="G51" s="2">
        <f>IF($D$5=0,0,IF(AND(F51&gt;0,F51-$D$5&lt;6),ROUNDUP((F51-5)/$D$5,0),ROUNDUP(F51/$D$5,0)))</f>
        <v>0</v>
      </c>
      <c r="H51" s="56" t="str">
        <f t="shared" si="2"/>
        <v/>
      </c>
      <c r="J51" s="54"/>
      <c r="K51" s="3" t="s">
        <v>66</v>
      </c>
      <c r="L51" s="33"/>
      <c r="M51" s="3" t="s">
        <v>66</v>
      </c>
      <c r="N51" s="2">
        <f t="shared" si="23"/>
        <v>0</v>
      </c>
      <c r="O51" s="2">
        <f t="shared" si="20"/>
        <v>0</v>
      </c>
      <c r="P51" s="56" t="str">
        <f t="shared" si="21"/>
        <v/>
      </c>
    </row>
    <row r="52" spans="2:16" x14ac:dyDescent="0.3">
      <c r="B52" s="79" t="s">
        <v>60</v>
      </c>
      <c r="C52" s="3" t="s">
        <v>70</v>
      </c>
      <c r="D52" s="30"/>
      <c r="E52" s="3" t="s">
        <v>70</v>
      </c>
      <c r="F52" s="2">
        <f>ROUNDUP((D51*$B$53)*$B$55,0)</f>
        <v>0</v>
      </c>
      <c r="G52" s="2">
        <f>IF($D$5=0,0,IF(AND(F52&gt;0,F52-$D$5&lt;6),ROUNDUP((F52-5)/$D$5,0),ROUNDUP(F52/$D$5,0)))</f>
        <v>0</v>
      </c>
      <c r="H52" s="56" t="str">
        <f t="shared" si="2"/>
        <v/>
      </c>
      <c r="J52" s="79" t="s">
        <v>63</v>
      </c>
      <c r="K52" s="3" t="s">
        <v>69</v>
      </c>
      <c r="L52" s="33"/>
      <c r="M52" s="3" t="s">
        <v>69</v>
      </c>
      <c r="N52" s="2">
        <f t="shared" si="23"/>
        <v>0</v>
      </c>
      <c r="O52" s="2">
        <f t="shared" si="20"/>
        <v>0</v>
      </c>
      <c r="P52" s="56" t="str">
        <f t="shared" si="21"/>
        <v/>
      </c>
    </row>
    <row r="53" spans="2:16" x14ac:dyDescent="0.3">
      <c r="B53" s="54"/>
      <c r="C53" s="3" t="s">
        <v>72</v>
      </c>
      <c r="D53" s="30"/>
      <c r="E53" s="3" t="s">
        <v>72</v>
      </c>
      <c r="F53" s="2">
        <f t="shared" ref="F53:F54" si="24">ROUNDUP((D52*$B$53)*$B$55,0)</f>
        <v>0</v>
      </c>
      <c r="G53" s="2">
        <f>IF($D$5=0,0,IF(AND(F53&gt;0,F53-$D$5&lt;6),ROUNDUP((F53-5)/$D$5,0),ROUNDUP(F53/$D$5,0)))</f>
        <v>0</v>
      </c>
      <c r="H53" s="56" t="str">
        <f t="shared" si="2"/>
        <v/>
      </c>
      <c r="J53" s="55"/>
      <c r="K53" s="3" t="s">
        <v>71</v>
      </c>
      <c r="L53" s="33"/>
      <c r="M53" s="3" t="s">
        <v>71</v>
      </c>
      <c r="N53" s="2">
        <f t="shared" si="23"/>
        <v>0</v>
      </c>
      <c r="O53" s="2">
        <f t="shared" si="20"/>
        <v>0</v>
      </c>
      <c r="P53" s="56" t="str">
        <f t="shared" si="21"/>
        <v/>
      </c>
    </row>
    <row r="54" spans="2:16" x14ac:dyDescent="0.3">
      <c r="B54" s="79" t="s">
        <v>63</v>
      </c>
      <c r="C54" s="80" t="s">
        <v>74</v>
      </c>
      <c r="D54" s="30"/>
      <c r="E54" s="80" t="s">
        <v>74</v>
      </c>
      <c r="F54" s="2">
        <f t="shared" si="24"/>
        <v>0</v>
      </c>
      <c r="G54" s="2">
        <f>IF($D$5=0,0,IF(AND(F54&gt;0,F54-$D$5&lt;6),ROUNDUP((F54-5)/$D$5,0),ROUNDUP(F54/$D$5,0)))</f>
        <v>0</v>
      </c>
      <c r="H54" s="56" t="str">
        <f t="shared" si="2"/>
        <v/>
      </c>
      <c r="J54" s="84"/>
      <c r="K54" s="3" t="s">
        <v>73</v>
      </c>
      <c r="L54" s="33"/>
      <c r="M54" s="3" t="s">
        <v>73</v>
      </c>
      <c r="N54" s="2">
        <f t="shared" si="23"/>
        <v>0</v>
      </c>
      <c r="O54" s="2">
        <f t="shared" si="20"/>
        <v>0</v>
      </c>
      <c r="P54" s="56" t="str">
        <f t="shared" si="21"/>
        <v/>
      </c>
    </row>
    <row r="55" spans="2:16" x14ac:dyDescent="0.3">
      <c r="B55" s="55"/>
      <c r="C55" s="342" t="s">
        <v>65</v>
      </c>
      <c r="D55" s="343"/>
      <c r="E55" s="344"/>
      <c r="F55" s="81">
        <f>SUM(F51:F54)</f>
        <v>0</v>
      </c>
      <c r="G55" s="81">
        <f>SUM(G51:G54)</f>
        <v>0</v>
      </c>
      <c r="H55" s="82"/>
      <c r="J55" s="85"/>
      <c r="K55" s="342" t="s">
        <v>65</v>
      </c>
      <c r="L55" s="343"/>
      <c r="M55" s="344"/>
      <c r="N55" s="81">
        <f>SUM(N47:N54)</f>
        <v>0</v>
      </c>
      <c r="O55" s="81">
        <f>SUM(O47:O54)</f>
        <v>0</v>
      </c>
      <c r="P55" s="86"/>
    </row>
    <row r="56" spans="2:16" ht="15" customHeight="1" x14ac:dyDescent="0.3">
      <c r="B56" s="83" t="s">
        <v>86</v>
      </c>
      <c r="C56" s="76" t="s">
        <v>68</v>
      </c>
      <c r="D56" s="30"/>
      <c r="E56" s="76" t="s">
        <v>68</v>
      </c>
      <c r="F56" s="32"/>
      <c r="G56" s="2">
        <f>IF($D$5=0,0,IF(AND(F56&gt;0,F56-$D$5&lt;6),ROUNDUP((F56-5)/$D$5,0),ROUNDUP(F56/$D$5,0)))</f>
        <v>0</v>
      </c>
      <c r="H56" s="56" t="str">
        <f t="shared" si="2"/>
        <v/>
      </c>
      <c r="J56" s="345" t="s">
        <v>87</v>
      </c>
      <c r="K56" s="3" t="s">
        <v>59</v>
      </c>
      <c r="L56" s="33"/>
      <c r="M56" s="3" t="s">
        <v>59</v>
      </c>
      <c r="N56" s="30"/>
      <c r="O56" s="2">
        <f t="shared" ref="O56:O63" si="25">IF($L$5=0,0,IF(AND(N56&gt;0,N56-$L$5&lt;6),ROUNDUP((N56-5)/$L$5,0),ROUNDUP(N56/$L$5,0)))</f>
        <v>0</v>
      </c>
      <c r="P56" s="56" t="str">
        <f t="shared" ref="P56:P63" si="26">IF(AND(N56&lt;$L$5,N56&gt;0),"can be merged","")</f>
        <v/>
      </c>
    </row>
    <row r="57" spans="2:16" x14ac:dyDescent="0.3">
      <c r="B57" s="79" t="s">
        <v>60</v>
      </c>
      <c r="C57" s="3" t="s">
        <v>70</v>
      </c>
      <c r="D57" s="30"/>
      <c r="E57" s="3" t="s">
        <v>70</v>
      </c>
      <c r="F57" s="2">
        <f>ROUNDUP((D56*$B$58)*$B$60,0)</f>
        <v>0</v>
      </c>
      <c r="G57" s="2">
        <f>IF($D$5=0,0,IF(AND(F57&gt;0,F57-$D$5&lt;6),ROUNDUP((F57-5)/$D$5,0),ROUNDUP(F57/$D$5,0)))</f>
        <v>0</v>
      </c>
      <c r="H57" s="56" t="str">
        <f t="shared" si="2"/>
        <v/>
      </c>
      <c r="J57" s="346"/>
      <c r="K57" s="3" t="s">
        <v>61</v>
      </c>
      <c r="L57" s="33"/>
      <c r="M57" s="3" t="s">
        <v>61</v>
      </c>
      <c r="N57" s="2">
        <f>ROUNDUP((L56*$J$60)*$J$62,0)</f>
        <v>0</v>
      </c>
      <c r="O57" s="2">
        <f t="shared" si="25"/>
        <v>0</v>
      </c>
      <c r="P57" s="56" t="str">
        <f t="shared" si="26"/>
        <v/>
      </c>
    </row>
    <row r="58" spans="2:16" x14ac:dyDescent="0.3">
      <c r="B58" s="54"/>
      <c r="C58" s="3" t="s">
        <v>72</v>
      </c>
      <c r="D58" s="30"/>
      <c r="E58" s="3" t="s">
        <v>72</v>
      </c>
      <c r="F58" s="2">
        <f t="shared" ref="F58:F59" si="27">ROUNDUP((D57*$B$58)*$B$60,0)</f>
        <v>0</v>
      </c>
      <c r="G58" s="2">
        <f>IF($D$5=0,0,IF(AND(F58&gt;0,F58-$D$5&lt;6),ROUNDUP((F58-5)/$D$5,0),ROUNDUP(F58/$D$5,0)))</f>
        <v>0</v>
      </c>
      <c r="H58" s="56" t="str">
        <f t="shared" si="2"/>
        <v/>
      </c>
      <c r="J58" s="348"/>
      <c r="K58" s="3" t="s">
        <v>62</v>
      </c>
      <c r="L58" s="33"/>
      <c r="M58" s="3" t="s">
        <v>62</v>
      </c>
      <c r="N58" s="2">
        <f t="shared" ref="N58:N63" si="28">ROUNDUP((L57*$J$60)*$J$62,0)</f>
        <v>0</v>
      </c>
      <c r="O58" s="2">
        <f t="shared" si="25"/>
        <v>0</v>
      </c>
      <c r="P58" s="56" t="str">
        <f t="shared" si="26"/>
        <v/>
      </c>
    </row>
    <row r="59" spans="2:16" x14ac:dyDescent="0.3">
      <c r="B59" s="79" t="s">
        <v>63</v>
      </c>
      <c r="C59" s="80" t="s">
        <v>74</v>
      </c>
      <c r="D59" s="30"/>
      <c r="E59" s="80" t="s">
        <v>74</v>
      </c>
      <c r="F59" s="2">
        <f t="shared" si="27"/>
        <v>0</v>
      </c>
      <c r="G59" s="2">
        <f>IF($D$5=0,0,IF(AND(F59&gt;0,F59-$D$5&lt;6),ROUNDUP((F59-5)/$D$5,0),ROUNDUP(F59/$D$5,0)))</f>
        <v>0</v>
      </c>
      <c r="H59" s="56" t="str">
        <f t="shared" si="2"/>
        <v/>
      </c>
      <c r="J59" s="79" t="s">
        <v>60</v>
      </c>
      <c r="K59" s="3" t="s">
        <v>64</v>
      </c>
      <c r="L59" s="33"/>
      <c r="M59" s="3" t="s">
        <v>64</v>
      </c>
      <c r="N59" s="2">
        <f t="shared" si="28"/>
        <v>0</v>
      </c>
      <c r="O59" s="2">
        <f t="shared" si="25"/>
        <v>0</v>
      </c>
      <c r="P59" s="56" t="str">
        <f t="shared" si="26"/>
        <v/>
      </c>
    </row>
    <row r="60" spans="2:16" x14ac:dyDescent="0.3">
      <c r="B60" s="55"/>
      <c r="C60" s="342" t="s">
        <v>65</v>
      </c>
      <c r="D60" s="343"/>
      <c r="E60" s="344"/>
      <c r="F60" s="81">
        <f>SUM(F56:F59)</f>
        <v>0</v>
      </c>
      <c r="G60" s="81">
        <f>SUM(G56:G59)</f>
        <v>0</v>
      </c>
      <c r="H60" s="82"/>
      <c r="J60" s="54"/>
      <c r="K60" s="3" t="s">
        <v>66</v>
      </c>
      <c r="L60" s="33"/>
      <c r="M60" s="3" t="s">
        <v>66</v>
      </c>
      <c r="N60" s="2">
        <f t="shared" si="28"/>
        <v>0</v>
      </c>
      <c r="O60" s="2">
        <f t="shared" si="25"/>
        <v>0</v>
      </c>
      <c r="P60" s="56" t="str">
        <f t="shared" si="26"/>
        <v/>
      </c>
    </row>
    <row r="61" spans="2:16" ht="15" customHeight="1" x14ac:dyDescent="0.3">
      <c r="B61" s="83" t="s">
        <v>88</v>
      </c>
      <c r="C61" s="76" t="s">
        <v>68</v>
      </c>
      <c r="D61" s="30"/>
      <c r="E61" s="76" t="s">
        <v>68</v>
      </c>
      <c r="F61" s="32"/>
      <c r="G61" s="2">
        <f>IF($D$5=0,0,IF(AND(F61&gt;0,F61-$D$5&lt;6),ROUNDUP((F61-5)/$D$5,0),ROUNDUP(F61/$D$5,0)))</f>
        <v>0</v>
      </c>
      <c r="H61" s="56" t="str">
        <f t="shared" si="2"/>
        <v/>
      </c>
      <c r="J61" s="79" t="s">
        <v>63</v>
      </c>
      <c r="K61" s="3" t="s">
        <v>69</v>
      </c>
      <c r="L61" s="33"/>
      <c r="M61" s="3" t="s">
        <v>69</v>
      </c>
      <c r="N61" s="2">
        <f t="shared" si="28"/>
        <v>0</v>
      </c>
      <c r="O61" s="2">
        <f t="shared" si="25"/>
        <v>0</v>
      </c>
      <c r="P61" s="56" t="str">
        <f t="shared" si="26"/>
        <v/>
      </c>
    </row>
    <row r="62" spans="2:16" x14ac:dyDescent="0.3">
      <c r="B62" s="79" t="s">
        <v>60</v>
      </c>
      <c r="C62" s="3" t="s">
        <v>70</v>
      </c>
      <c r="D62" s="30"/>
      <c r="E62" s="3" t="s">
        <v>70</v>
      </c>
      <c r="F62" s="2">
        <f>ROUNDUP((D61*$B$63)*$B$65,0)</f>
        <v>0</v>
      </c>
      <c r="G62" s="2">
        <f>IF($D$5=0,0,IF(AND(F62&gt;0,F62-$D$5&lt;6),ROUNDUP((F62-5)/$D$5,0),ROUNDUP(F62/$D$5,0)))</f>
        <v>0</v>
      </c>
      <c r="H62" s="56" t="str">
        <f t="shared" si="2"/>
        <v/>
      </c>
      <c r="J62" s="55"/>
      <c r="K62" s="3" t="s">
        <v>71</v>
      </c>
      <c r="L62" s="33"/>
      <c r="M62" s="3" t="s">
        <v>71</v>
      </c>
      <c r="N62" s="2">
        <f t="shared" si="28"/>
        <v>0</v>
      </c>
      <c r="O62" s="2">
        <f t="shared" si="25"/>
        <v>0</v>
      </c>
      <c r="P62" s="56" t="str">
        <f t="shared" si="26"/>
        <v/>
      </c>
    </row>
    <row r="63" spans="2:16" x14ac:dyDescent="0.3">
      <c r="B63" s="54"/>
      <c r="C63" s="3" t="s">
        <v>72</v>
      </c>
      <c r="D63" s="30"/>
      <c r="E63" s="3" t="s">
        <v>72</v>
      </c>
      <c r="F63" s="2">
        <f t="shared" ref="F63:F64" si="29">ROUNDUP((D62*$B$63)*$B$65,0)</f>
        <v>0</v>
      </c>
      <c r="G63" s="2">
        <f>IF($D$5=0,0,IF(AND(F63&gt;0,F63-$D$5&lt;6),ROUNDUP((F63-5)/$D$5,0),ROUNDUP(F63/$D$5,0)))</f>
        <v>0</v>
      </c>
      <c r="H63" s="56" t="str">
        <f t="shared" si="2"/>
        <v/>
      </c>
      <c r="J63" s="84"/>
      <c r="K63" s="3" t="s">
        <v>73</v>
      </c>
      <c r="L63" s="33"/>
      <c r="M63" s="3" t="s">
        <v>73</v>
      </c>
      <c r="N63" s="2">
        <f t="shared" si="28"/>
        <v>0</v>
      </c>
      <c r="O63" s="2">
        <f t="shared" si="25"/>
        <v>0</v>
      </c>
      <c r="P63" s="56" t="str">
        <f t="shared" si="26"/>
        <v/>
      </c>
    </row>
    <row r="64" spans="2:16" x14ac:dyDescent="0.3">
      <c r="B64" s="79" t="s">
        <v>63</v>
      </c>
      <c r="C64" s="80" t="s">
        <v>74</v>
      </c>
      <c r="D64" s="30"/>
      <c r="E64" s="80" t="s">
        <v>74</v>
      </c>
      <c r="F64" s="2">
        <f t="shared" si="29"/>
        <v>0</v>
      </c>
      <c r="G64" s="2">
        <f>IF($D$5=0,0,IF(AND(F64&gt;0,F64-$D$5&lt;6),ROUNDUP((F64-5)/$D$5,0),ROUNDUP(F64/$D$5,0)))</f>
        <v>0</v>
      </c>
      <c r="H64" s="56" t="str">
        <f t="shared" si="2"/>
        <v/>
      </c>
      <c r="J64" s="85"/>
      <c r="K64" s="342" t="s">
        <v>65</v>
      </c>
      <c r="L64" s="343"/>
      <c r="M64" s="344"/>
      <c r="N64" s="81">
        <f>SUM(N56:N63)</f>
        <v>0</v>
      </c>
      <c r="O64" s="81">
        <f>SUM(O56:O63)</f>
        <v>0</v>
      </c>
      <c r="P64" s="86"/>
    </row>
    <row r="65" spans="2:16" ht="14.4" customHeight="1" x14ac:dyDescent="0.3">
      <c r="B65" s="55"/>
      <c r="C65" s="342" t="s">
        <v>65</v>
      </c>
      <c r="D65" s="343"/>
      <c r="E65" s="344"/>
      <c r="F65" s="81">
        <f>SUM(F61:F64)</f>
        <v>0</v>
      </c>
      <c r="G65" s="81">
        <f>SUM(G61:G64)</f>
        <v>0</v>
      </c>
      <c r="H65" s="82"/>
      <c r="J65" s="345" t="s">
        <v>89</v>
      </c>
      <c r="K65" s="3" t="s">
        <v>59</v>
      </c>
      <c r="L65" s="33"/>
      <c r="M65" s="3" t="s">
        <v>59</v>
      </c>
      <c r="N65" s="30"/>
      <c r="O65" s="2">
        <f t="shared" ref="O65:O72" si="30">IF($L$5=0,0,IF(AND(N65&gt;0,N65-$L$5&lt;6),ROUNDUP((N65-5)/$L$5,0),ROUNDUP(N65/$L$5,0)))</f>
        <v>0</v>
      </c>
      <c r="P65" s="56" t="str">
        <f t="shared" ref="P65:P72" si="31">IF(AND(N65&lt;$L$5,N65&gt;0),"can be merged","")</f>
        <v/>
      </c>
    </row>
    <row r="66" spans="2:16" ht="15" customHeight="1" x14ac:dyDescent="0.3">
      <c r="B66" s="83" t="s">
        <v>90</v>
      </c>
      <c r="C66" s="76" t="s">
        <v>68</v>
      </c>
      <c r="D66" s="30"/>
      <c r="E66" s="76" t="s">
        <v>68</v>
      </c>
      <c r="F66" s="32"/>
      <c r="G66" s="2">
        <f>IF($D$5=0,0,IF(AND(F66&gt;0,F66-$D$5&lt;6),ROUNDUP((F66-5)/$D$5,0),ROUNDUP(F66/$D$5,0)))</f>
        <v>0</v>
      </c>
      <c r="H66" s="56" t="str">
        <f t="shared" si="2"/>
        <v/>
      </c>
      <c r="J66" s="346"/>
      <c r="K66" s="3" t="s">
        <v>61</v>
      </c>
      <c r="L66" s="33"/>
      <c r="M66" s="3" t="s">
        <v>61</v>
      </c>
      <c r="N66" s="2">
        <f>ROUNDUP((L65*$J$69)*$J$71,0)</f>
        <v>0</v>
      </c>
      <c r="O66" s="2">
        <f t="shared" si="30"/>
        <v>0</v>
      </c>
      <c r="P66" s="56" t="str">
        <f t="shared" si="31"/>
        <v/>
      </c>
    </row>
    <row r="67" spans="2:16" x14ac:dyDescent="0.3">
      <c r="B67" s="79" t="s">
        <v>60</v>
      </c>
      <c r="C67" s="3" t="s">
        <v>70</v>
      </c>
      <c r="D67" s="30"/>
      <c r="E67" s="3" t="s">
        <v>70</v>
      </c>
      <c r="F67" s="2">
        <f>ROUNDUP((D66*$B$68)*$B$70,0)</f>
        <v>0</v>
      </c>
      <c r="G67" s="2">
        <f>IF($D$5=0,0,IF(AND(F67&gt;0,F67-$D$5&lt;6),ROUNDUP((F67-5)/$D$5,0),ROUNDUP(F67/$D$5,0)))</f>
        <v>0</v>
      </c>
      <c r="H67" s="56" t="str">
        <f t="shared" si="2"/>
        <v/>
      </c>
      <c r="J67" s="348"/>
      <c r="K67" s="3" t="s">
        <v>62</v>
      </c>
      <c r="L67" s="33"/>
      <c r="M67" s="3" t="s">
        <v>62</v>
      </c>
      <c r="N67" s="2">
        <f t="shared" ref="N67:N72" si="32">ROUNDUP((L66*$J$69)*$J$71,0)</f>
        <v>0</v>
      </c>
      <c r="O67" s="2">
        <f t="shared" si="30"/>
        <v>0</v>
      </c>
      <c r="P67" s="56" t="str">
        <f t="shared" si="31"/>
        <v/>
      </c>
    </row>
    <row r="68" spans="2:16" x14ac:dyDescent="0.3">
      <c r="B68" s="54">
        <v>0.95</v>
      </c>
      <c r="C68" s="3" t="s">
        <v>72</v>
      </c>
      <c r="D68" s="30"/>
      <c r="E68" s="3" t="s">
        <v>72</v>
      </c>
      <c r="F68" s="2">
        <f t="shared" ref="F68:F69" si="33">ROUNDUP((D67*$B$68)*$B$70,0)</f>
        <v>0</v>
      </c>
      <c r="G68" s="2">
        <f>IF($D$5=0,0,IF(AND(F68&gt;0,F68-$D$5&lt;6),ROUNDUP((F68-5)/$D$5,0),ROUNDUP(F68/$D$5,0)))</f>
        <v>0</v>
      </c>
      <c r="H68" s="56" t="str">
        <f t="shared" si="2"/>
        <v/>
      </c>
      <c r="J68" s="79" t="s">
        <v>60</v>
      </c>
      <c r="K68" s="3" t="s">
        <v>64</v>
      </c>
      <c r="L68" s="33"/>
      <c r="M68" s="3" t="s">
        <v>64</v>
      </c>
      <c r="N68" s="2">
        <f t="shared" si="32"/>
        <v>0</v>
      </c>
      <c r="O68" s="2">
        <f t="shared" si="30"/>
        <v>0</v>
      </c>
      <c r="P68" s="56" t="str">
        <f t="shared" si="31"/>
        <v/>
      </c>
    </row>
    <row r="69" spans="2:16" x14ac:dyDescent="0.3">
      <c r="B69" s="79" t="s">
        <v>63</v>
      </c>
      <c r="C69" s="80" t="s">
        <v>74</v>
      </c>
      <c r="D69" s="30"/>
      <c r="E69" s="80" t="s">
        <v>74</v>
      </c>
      <c r="F69" s="2">
        <f t="shared" si="33"/>
        <v>0</v>
      </c>
      <c r="G69" s="2">
        <f>IF($D$5=0,0,IF(AND(F69&gt;0,F69-$D$5&lt;6),ROUNDUP((F69-5)/$D$5,0),ROUNDUP(F69/$D$5,0)))</f>
        <v>0</v>
      </c>
      <c r="H69" s="56" t="str">
        <f t="shared" si="2"/>
        <v/>
      </c>
      <c r="J69" s="54"/>
      <c r="K69" s="3" t="s">
        <v>66</v>
      </c>
      <c r="L69" s="33"/>
      <c r="M69" s="3" t="s">
        <v>66</v>
      </c>
      <c r="N69" s="2">
        <f t="shared" si="32"/>
        <v>0</v>
      </c>
      <c r="O69" s="2">
        <f t="shared" si="30"/>
        <v>0</v>
      </c>
      <c r="P69" s="56" t="str">
        <f t="shared" si="31"/>
        <v/>
      </c>
    </row>
    <row r="70" spans="2:16" x14ac:dyDescent="0.3">
      <c r="B70" s="54">
        <v>0.95</v>
      </c>
      <c r="C70" s="342" t="s">
        <v>65</v>
      </c>
      <c r="D70" s="343"/>
      <c r="E70" s="343"/>
      <c r="F70" s="81">
        <f>SUM(F66:F69)</f>
        <v>0</v>
      </c>
      <c r="G70" s="81">
        <f>SUM(G66:G69)</f>
        <v>0</v>
      </c>
      <c r="H70" s="279"/>
      <c r="J70" s="79" t="s">
        <v>63</v>
      </c>
      <c r="K70" s="3" t="s">
        <v>69</v>
      </c>
      <c r="L70" s="33"/>
      <c r="M70" s="3" t="s">
        <v>69</v>
      </c>
      <c r="N70" s="2">
        <f t="shared" si="32"/>
        <v>0</v>
      </c>
      <c r="O70" s="2">
        <f t="shared" si="30"/>
        <v>0</v>
      </c>
      <c r="P70" s="56" t="str">
        <f t="shared" si="31"/>
        <v/>
      </c>
    </row>
    <row r="71" spans="2:16" x14ac:dyDescent="0.3">
      <c r="F71" s="66">
        <f>F15+F20+F25+F30+F35+F40+F45+F50+F55+F60+F65+F70</f>
        <v>0</v>
      </c>
      <c r="G71" s="66">
        <f>G15+G20+G25+G30+G35+G40+G45+G50+G55+G60+G65+G70</f>
        <v>0</v>
      </c>
      <c r="J71" s="55"/>
      <c r="K71" s="3" t="s">
        <v>71</v>
      </c>
      <c r="L71" s="33"/>
      <c r="M71" s="3" t="s">
        <v>71</v>
      </c>
      <c r="N71" s="2">
        <f t="shared" si="32"/>
        <v>0</v>
      </c>
      <c r="O71" s="2">
        <f t="shared" si="30"/>
        <v>0</v>
      </c>
      <c r="P71" s="56" t="str">
        <f t="shared" si="31"/>
        <v/>
      </c>
    </row>
    <row r="72" spans="2:16" x14ac:dyDescent="0.3">
      <c r="J72" s="84"/>
      <c r="K72" s="3" t="s">
        <v>73</v>
      </c>
      <c r="L72" s="33"/>
      <c r="M72" s="3" t="s">
        <v>73</v>
      </c>
      <c r="N72" s="2">
        <f t="shared" si="32"/>
        <v>0</v>
      </c>
      <c r="O72" s="2">
        <f t="shared" si="30"/>
        <v>0</v>
      </c>
      <c r="P72" s="56" t="str">
        <f t="shared" si="31"/>
        <v/>
      </c>
    </row>
    <row r="73" spans="2:16" x14ac:dyDescent="0.3">
      <c r="J73" s="85"/>
      <c r="K73" s="342" t="s">
        <v>65</v>
      </c>
      <c r="L73" s="343"/>
      <c r="M73" s="344"/>
      <c r="N73" s="81">
        <f>SUM(N65:N72)</f>
        <v>0</v>
      </c>
      <c r="O73" s="81">
        <f>SUM(O65:O72)</f>
        <v>0</v>
      </c>
      <c r="P73" s="86"/>
    </row>
    <row r="74" spans="2:16" ht="18.600000000000001" customHeight="1" x14ac:dyDescent="0.35">
      <c r="B74" s="353" t="s">
        <v>91</v>
      </c>
      <c r="C74" s="353"/>
      <c r="D74" s="353"/>
      <c r="E74" s="353"/>
      <c r="F74" s="353"/>
      <c r="G74" s="353"/>
      <c r="J74" s="345" t="s">
        <v>92</v>
      </c>
      <c r="K74" s="3" t="s">
        <v>59</v>
      </c>
      <c r="L74" s="33"/>
      <c r="M74" s="3" t="s">
        <v>59</v>
      </c>
      <c r="N74" s="30"/>
      <c r="O74" s="2">
        <f t="shared" ref="O74:O81" si="34">IF($L$5=0,0,IF(AND(N74&gt;0,N74-$L$5&lt;6),ROUNDUP((N74-5)/$L$5,0),ROUNDUP(N74/$L$5,0)))</f>
        <v>0</v>
      </c>
      <c r="P74" s="56" t="str">
        <f t="shared" ref="P74:P81" si="35">IF(AND(N74&lt;$L$5,N74&gt;0),"can be merged","")</f>
        <v/>
      </c>
    </row>
    <row r="75" spans="2:16" ht="15" customHeight="1" x14ac:dyDescent="0.4">
      <c r="B75" s="28"/>
      <c r="C75" s="73" t="s">
        <v>12</v>
      </c>
      <c r="D75" s="29"/>
      <c r="E75" s="28"/>
      <c r="F75" s="28"/>
      <c r="G75" s="72"/>
      <c r="J75" s="346"/>
      <c r="K75" s="3" t="s">
        <v>61</v>
      </c>
      <c r="L75" s="33"/>
      <c r="M75" s="3" t="s">
        <v>61</v>
      </c>
      <c r="N75" s="2">
        <f>ROUNDUP((L74*$J$78)*$J$80,0)</f>
        <v>0</v>
      </c>
      <c r="O75" s="2">
        <f t="shared" si="34"/>
        <v>0</v>
      </c>
      <c r="P75" s="56" t="str">
        <f t="shared" si="35"/>
        <v/>
      </c>
    </row>
    <row r="76" spans="2:16" x14ac:dyDescent="0.3">
      <c r="J76" s="348"/>
      <c r="K76" s="3" t="s">
        <v>62</v>
      </c>
      <c r="L76" s="33"/>
      <c r="M76" s="3" t="s">
        <v>62</v>
      </c>
      <c r="N76" s="2">
        <f t="shared" ref="N76:N81" si="36">ROUNDUP((L75*$J$78)*$J$80,0)</f>
        <v>0</v>
      </c>
      <c r="O76" s="2">
        <f t="shared" si="34"/>
        <v>0</v>
      </c>
      <c r="P76" s="56" t="str">
        <f t="shared" si="35"/>
        <v/>
      </c>
    </row>
    <row r="77" spans="2:16" x14ac:dyDescent="0.3">
      <c r="J77" s="79" t="s">
        <v>60</v>
      </c>
      <c r="K77" s="3" t="s">
        <v>64</v>
      </c>
      <c r="L77" s="33"/>
      <c r="M77" s="3" t="s">
        <v>64</v>
      </c>
      <c r="N77" s="2">
        <f t="shared" si="36"/>
        <v>0</v>
      </c>
      <c r="O77" s="2">
        <f t="shared" si="34"/>
        <v>0</v>
      </c>
      <c r="P77" s="56" t="str">
        <f t="shared" si="35"/>
        <v/>
      </c>
    </row>
    <row r="78" spans="2:16" x14ac:dyDescent="0.3">
      <c r="J78" s="54">
        <v>0.95</v>
      </c>
      <c r="K78" s="3" t="s">
        <v>66</v>
      </c>
      <c r="L78" s="33"/>
      <c r="M78" s="3" t="s">
        <v>66</v>
      </c>
      <c r="N78" s="2">
        <f t="shared" si="36"/>
        <v>0</v>
      </c>
      <c r="O78" s="2">
        <f t="shared" si="34"/>
        <v>0</v>
      </c>
      <c r="P78" s="56" t="str">
        <f t="shared" si="35"/>
        <v/>
      </c>
    </row>
    <row r="79" spans="2:16" ht="15" customHeight="1" x14ac:dyDescent="0.3">
      <c r="C79"/>
      <c r="D79" s="74"/>
      <c r="E79" s="349" t="e">
        <f>"SY "&amp;#REF! &amp; " Term " &amp;#REF!</f>
        <v>#REF!</v>
      </c>
      <c r="F79" s="350"/>
      <c r="G79" s="350"/>
      <c r="H79" s="351"/>
      <c r="J79" s="79" t="s">
        <v>63</v>
      </c>
      <c r="K79" s="3" t="s">
        <v>69</v>
      </c>
      <c r="L79" s="33"/>
      <c r="M79" s="3" t="s">
        <v>69</v>
      </c>
      <c r="N79" s="2">
        <f t="shared" si="36"/>
        <v>0</v>
      </c>
      <c r="O79" s="2">
        <f t="shared" si="34"/>
        <v>0</v>
      </c>
      <c r="P79" s="56" t="str">
        <f t="shared" si="35"/>
        <v/>
      </c>
    </row>
    <row r="80" spans="2:16" x14ac:dyDescent="0.3">
      <c r="B80" s="356" t="s">
        <v>54</v>
      </c>
      <c r="C80" s="354" t="s">
        <v>50</v>
      </c>
      <c r="D80" s="347" t="s">
        <v>51</v>
      </c>
      <c r="E80" s="354" t="s">
        <v>50</v>
      </c>
      <c r="F80" s="352" t="s">
        <v>56</v>
      </c>
      <c r="G80" s="352" t="s">
        <v>14</v>
      </c>
      <c r="H80" s="347" t="s">
        <v>53</v>
      </c>
      <c r="J80" s="55">
        <v>0.95</v>
      </c>
      <c r="K80" s="3" t="s">
        <v>71</v>
      </c>
      <c r="L80" s="33"/>
      <c r="M80" s="3" t="s">
        <v>71</v>
      </c>
      <c r="N80" s="2">
        <f t="shared" si="36"/>
        <v>0</v>
      </c>
      <c r="O80" s="2">
        <f t="shared" si="34"/>
        <v>0</v>
      </c>
      <c r="P80" s="56" t="str">
        <f t="shared" si="35"/>
        <v/>
      </c>
    </row>
    <row r="81" spans="2:16" x14ac:dyDescent="0.3">
      <c r="B81" s="356"/>
      <c r="C81" s="355"/>
      <c r="D81" s="347"/>
      <c r="E81" s="355"/>
      <c r="F81" s="352"/>
      <c r="G81" s="352"/>
      <c r="H81" s="347"/>
      <c r="J81" s="84"/>
      <c r="K81" s="3" t="s">
        <v>73</v>
      </c>
      <c r="L81" s="33"/>
      <c r="M81" s="3" t="s">
        <v>73</v>
      </c>
      <c r="N81" s="2">
        <f t="shared" si="36"/>
        <v>0</v>
      </c>
      <c r="O81" s="2">
        <f t="shared" si="34"/>
        <v>0</v>
      </c>
      <c r="P81" s="56" t="str">
        <f t="shared" si="35"/>
        <v/>
      </c>
    </row>
    <row r="82" spans="2:16" ht="15" customHeight="1" x14ac:dyDescent="0.3">
      <c r="B82" s="83" t="s">
        <v>93</v>
      </c>
      <c r="C82" s="3" t="s">
        <v>59</v>
      </c>
      <c r="D82" s="30"/>
      <c r="E82" s="3" t="s">
        <v>59</v>
      </c>
      <c r="F82" s="32"/>
      <c r="G82" s="2">
        <f>IF($D$75=0,0,IF(AND(F82&gt;0,F82-$D$75&lt;6),ROUNDUP((F82-5)/$D$75,0),ROUNDUP(F82/$D$75,0)))</f>
        <v>0</v>
      </c>
      <c r="H82" s="56" t="str">
        <f>IF(AND(F82&lt;$D$75,F82&gt;0),"can be merged","")</f>
        <v/>
      </c>
      <c r="J82" s="85"/>
      <c r="K82" s="342" t="s">
        <v>65</v>
      </c>
      <c r="L82" s="343"/>
      <c r="M82" s="344"/>
      <c r="N82" s="81">
        <f>SUM(N74:N81)</f>
        <v>0</v>
      </c>
      <c r="O82" s="81">
        <f>SUM(O74:O81)</f>
        <v>0</v>
      </c>
      <c r="P82" s="86"/>
    </row>
    <row r="83" spans="2:16" ht="14.4" customHeight="1" x14ac:dyDescent="0.3">
      <c r="B83" s="79" t="s">
        <v>60</v>
      </c>
      <c r="C83" s="3" t="s">
        <v>61</v>
      </c>
      <c r="D83" s="30"/>
      <c r="E83" s="3" t="s">
        <v>61</v>
      </c>
      <c r="F83" s="2">
        <f>ROUNDUP((D82*$B$84)*$B$86,0)</f>
        <v>0</v>
      </c>
      <c r="G83" s="2">
        <f>IF($D$75=0,0,IF(AND(F83&gt;0,F83-$D$75&lt;6),ROUNDUP((F83-5)/$D$75,0),ROUNDUP(F83/$D$75,0)))</f>
        <v>0</v>
      </c>
      <c r="H83" s="56" t="str">
        <f t="shared" ref="H83:H85" si="37">IF(AND(F83&lt;$D$75,F83&gt;0),"can be merged","")</f>
        <v/>
      </c>
      <c r="J83" s="345" t="s">
        <v>94</v>
      </c>
      <c r="K83" s="3" t="s">
        <v>59</v>
      </c>
      <c r="L83" s="33"/>
      <c r="M83" s="3" t="s">
        <v>59</v>
      </c>
      <c r="N83" s="30"/>
      <c r="O83" s="2">
        <f t="shared" ref="O83:O90" si="38">IF($L$5=0,0,IF(AND(N83&gt;0,N83-$L$5&lt;6),ROUNDUP((N83-5)/$L$5,0),ROUNDUP(N83/$L$5,0)))</f>
        <v>0</v>
      </c>
      <c r="P83" s="56" t="str">
        <f t="shared" ref="P83:P90" si="39">IF(AND(N83&lt;$L$5,N83&gt;0),"can be merged","")</f>
        <v/>
      </c>
    </row>
    <row r="84" spans="2:16" x14ac:dyDescent="0.3">
      <c r="B84" s="54"/>
      <c r="C84" s="3" t="s">
        <v>62</v>
      </c>
      <c r="D84" s="31"/>
      <c r="E84" s="3" t="s">
        <v>62</v>
      </c>
      <c r="F84" s="2">
        <f t="shared" ref="F84:F85" si="40">ROUNDUP((D83*$B$84)*$B$86,0)</f>
        <v>0</v>
      </c>
      <c r="G84" s="2">
        <f>IF($D$75=0,0,IF(AND(F84&gt;0,F84-$D$75&lt;6),ROUNDUP((F84-5)/$D$75,0),ROUNDUP(F84/$D$75,0)))</f>
        <v>0</v>
      </c>
      <c r="H84" s="56" t="str">
        <f t="shared" si="37"/>
        <v/>
      </c>
      <c r="J84" s="346"/>
      <c r="K84" s="3" t="s">
        <v>61</v>
      </c>
      <c r="L84" s="33"/>
      <c r="M84" s="3" t="s">
        <v>61</v>
      </c>
      <c r="N84" s="2">
        <f>ROUNDUP((L83*$J$87)*$J$89,0)</f>
        <v>0</v>
      </c>
      <c r="O84" s="2">
        <f t="shared" si="38"/>
        <v>0</v>
      </c>
      <c r="P84" s="56" t="str">
        <f t="shared" si="39"/>
        <v/>
      </c>
    </row>
    <row r="85" spans="2:16" x14ac:dyDescent="0.3">
      <c r="B85" s="79" t="s">
        <v>63</v>
      </c>
      <c r="C85" s="3" t="s">
        <v>64</v>
      </c>
      <c r="D85" s="30"/>
      <c r="E85" s="3" t="s">
        <v>64</v>
      </c>
      <c r="F85" s="2">
        <f t="shared" si="40"/>
        <v>0</v>
      </c>
      <c r="G85" s="2">
        <f>IF($D$75=0,0,IF(AND(F85&gt;0,F85-$D$75&lt;6),ROUNDUP((F85-5)/$D$75,0),ROUNDUP(F85/$D$75,0)))</f>
        <v>0</v>
      </c>
      <c r="H85" s="56" t="str">
        <f t="shared" si="37"/>
        <v/>
      </c>
      <c r="J85" s="348"/>
      <c r="K85" s="3" t="s">
        <v>62</v>
      </c>
      <c r="L85" s="33"/>
      <c r="M85" s="3" t="s">
        <v>62</v>
      </c>
      <c r="N85" s="2">
        <f t="shared" ref="N85:N90" si="41">ROUNDUP((L84*$J$87)*$J$89,0)</f>
        <v>0</v>
      </c>
      <c r="O85" s="2">
        <f t="shared" si="38"/>
        <v>0</v>
      </c>
      <c r="P85" s="56" t="str">
        <f t="shared" si="39"/>
        <v/>
      </c>
    </row>
    <row r="86" spans="2:16" x14ac:dyDescent="0.3">
      <c r="B86" s="55"/>
      <c r="C86" s="342" t="s">
        <v>65</v>
      </c>
      <c r="D86" s="343"/>
      <c r="E86" s="344"/>
      <c r="F86" s="87">
        <f>SUM(F75:F85)</f>
        <v>0</v>
      </c>
      <c r="G86" s="88">
        <f>SUM(G82:G85)</f>
        <v>0</v>
      </c>
      <c r="H86" s="89"/>
      <c r="J86" s="79" t="s">
        <v>60</v>
      </c>
      <c r="K86" s="3" t="s">
        <v>64</v>
      </c>
      <c r="L86" s="33"/>
      <c r="M86" s="3" t="s">
        <v>64</v>
      </c>
      <c r="N86" s="2">
        <f t="shared" si="41"/>
        <v>0</v>
      </c>
      <c r="O86" s="2">
        <f t="shared" si="38"/>
        <v>0</v>
      </c>
      <c r="P86" s="56" t="str">
        <f t="shared" si="39"/>
        <v/>
      </c>
    </row>
    <row r="87" spans="2:16" ht="15" customHeight="1" x14ac:dyDescent="0.3">
      <c r="B87" s="83" t="s">
        <v>95</v>
      </c>
      <c r="C87" s="3" t="s">
        <v>59</v>
      </c>
      <c r="D87" s="31"/>
      <c r="E87" s="3" t="s">
        <v>59</v>
      </c>
      <c r="F87" s="32"/>
      <c r="G87" s="2">
        <f>IF($D$75=0,0,IF(AND(F87&gt;0,F87-$D$75&lt;6),ROUNDUP((F87-5)/$D$75,0),ROUNDUP(F87/$D$75,0)))</f>
        <v>0</v>
      </c>
      <c r="H87" s="56" t="str">
        <f t="shared" ref="H87:H90" si="42">IF(AND(F87&lt;$D$75,F87&gt;0),"can be merged","")</f>
        <v/>
      </c>
      <c r="J87" s="54"/>
      <c r="K87" s="3" t="s">
        <v>66</v>
      </c>
      <c r="L87" s="33"/>
      <c r="M87" s="3" t="s">
        <v>66</v>
      </c>
      <c r="N87" s="2">
        <f t="shared" si="41"/>
        <v>0</v>
      </c>
      <c r="O87" s="2">
        <f t="shared" si="38"/>
        <v>0</v>
      </c>
      <c r="P87" s="56" t="str">
        <f t="shared" si="39"/>
        <v/>
      </c>
    </row>
    <row r="88" spans="2:16" x14ac:dyDescent="0.3">
      <c r="B88" s="79" t="s">
        <v>60</v>
      </c>
      <c r="C88" s="3" t="s">
        <v>61</v>
      </c>
      <c r="D88" s="30"/>
      <c r="E88" s="3" t="s">
        <v>61</v>
      </c>
      <c r="F88" s="2">
        <f>ROUNDUP((D87*$B$89)*$B$91,0)</f>
        <v>0</v>
      </c>
      <c r="G88" s="2">
        <f>IF($D$75=0,0,IF(AND(F88&gt;0,F88-$D$75&lt;6),ROUNDUP((F88-5)/$D$75,0),ROUNDUP(F88/$D$75,0)))</f>
        <v>0</v>
      </c>
      <c r="H88" s="56" t="str">
        <f t="shared" si="42"/>
        <v/>
      </c>
      <c r="J88" s="79" t="s">
        <v>63</v>
      </c>
      <c r="K88" s="3" t="s">
        <v>69</v>
      </c>
      <c r="L88" s="33"/>
      <c r="M88" s="3" t="s">
        <v>69</v>
      </c>
      <c r="N88" s="2">
        <f t="shared" si="41"/>
        <v>0</v>
      </c>
      <c r="O88" s="2">
        <f t="shared" si="38"/>
        <v>0</v>
      </c>
      <c r="P88" s="56" t="str">
        <f t="shared" si="39"/>
        <v/>
      </c>
    </row>
    <row r="89" spans="2:16" x14ac:dyDescent="0.3">
      <c r="B89" s="54"/>
      <c r="C89" s="3" t="s">
        <v>62</v>
      </c>
      <c r="D89" s="31"/>
      <c r="E89" s="3" t="s">
        <v>62</v>
      </c>
      <c r="F89" s="2">
        <f t="shared" ref="F89:F90" si="43">ROUNDUP((D88*$B$89)*$B$91,0)</f>
        <v>0</v>
      </c>
      <c r="G89" s="2">
        <f>IF($D$75=0,0,IF(AND(F89&gt;0,F89-$D$75&lt;6),ROUNDUP((F89-5)/$D$75,0),ROUNDUP(F89/$D$75,0)))</f>
        <v>0</v>
      </c>
      <c r="H89" s="56" t="str">
        <f t="shared" si="42"/>
        <v/>
      </c>
      <c r="J89" s="55"/>
      <c r="K89" s="3" t="s">
        <v>71</v>
      </c>
      <c r="L89" s="33"/>
      <c r="M89" s="3" t="s">
        <v>71</v>
      </c>
      <c r="N89" s="2">
        <f t="shared" si="41"/>
        <v>0</v>
      </c>
      <c r="O89" s="2">
        <f t="shared" si="38"/>
        <v>0</v>
      </c>
      <c r="P89" s="56" t="str">
        <f t="shared" si="39"/>
        <v/>
      </c>
    </row>
    <row r="90" spans="2:16" x14ac:dyDescent="0.3">
      <c r="B90" s="79" t="s">
        <v>63</v>
      </c>
      <c r="C90" s="3" t="s">
        <v>64</v>
      </c>
      <c r="D90" s="30"/>
      <c r="E90" s="3" t="s">
        <v>64</v>
      </c>
      <c r="F90" s="2">
        <f t="shared" si="43"/>
        <v>0</v>
      </c>
      <c r="G90" s="2">
        <f>IF($D$75=0,0,IF(AND(F90&gt;0,F90-$D$75&lt;6),ROUNDUP((F90-5)/$D$75,0),ROUNDUP(F90/$D$75,0)))</f>
        <v>0</v>
      </c>
      <c r="H90" s="56" t="str">
        <f t="shared" si="42"/>
        <v/>
      </c>
      <c r="J90" s="84"/>
      <c r="K90" s="3" t="s">
        <v>73</v>
      </c>
      <c r="L90" s="33"/>
      <c r="M90" s="3" t="s">
        <v>73</v>
      </c>
      <c r="N90" s="2">
        <f t="shared" si="41"/>
        <v>0</v>
      </c>
      <c r="O90" s="2">
        <f t="shared" si="38"/>
        <v>0</v>
      </c>
      <c r="P90" s="56" t="str">
        <f t="shared" si="39"/>
        <v/>
      </c>
    </row>
    <row r="91" spans="2:16" x14ac:dyDescent="0.3">
      <c r="B91" s="55"/>
      <c r="C91" s="342" t="s">
        <v>65</v>
      </c>
      <c r="D91" s="343"/>
      <c r="E91" s="344"/>
      <c r="F91" s="87">
        <f>SUM(F87:F90)</f>
        <v>0</v>
      </c>
      <c r="G91" s="88">
        <f>SUM(G87:G90)</f>
        <v>0</v>
      </c>
      <c r="H91" s="89"/>
      <c r="J91" s="85"/>
      <c r="K91" s="342" t="s">
        <v>65</v>
      </c>
      <c r="L91" s="343"/>
      <c r="M91" s="344"/>
      <c r="N91" s="81">
        <f>SUM(N83:N90)</f>
        <v>0</v>
      </c>
      <c r="O91" s="81">
        <f>SUM(O83:O90)</f>
        <v>0</v>
      </c>
      <c r="P91" s="86"/>
    </row>
    <row r="92" spans="2:16" x14ac:dyDescent="0.3">
      <c r="B92" s="83" t="s">
        <v>96</v>
      </c>
      <c r="C92" s="3" t="s">
        <v>59</v>
      </c>
      <c r="D92" s="30"/>
      <c r="E92" s="3" t="s">
        <v>59</v>
      </c>
      <c r="F92" s="32"/>
      <c r="G92" s="2">
        <f>IF($D$75=0,0,IF(AND(F92&gt;0,F92-$D$75&lt;6),ROUNDUP((F92-5)/$D$75,0),ROUNDUP(F92/$D$75,0)))</f>
        <v>0</v>
      </c>
      <c r="H92" s="56" t="str">
        <f t="shared" ref="H92:H95" si="44">IF(AND(F92&lt;$D$75,F92&gt;0),"can be merged","")</f>
        <v/>
      </c>
      <c r="J92" s="345" t="s">
        <v>97</v>
      </c>
      <c r="K92" s="3" t="s">
        <v>59</v>
      </c>
      <c r="L92" s="33"/>
      <c r="M92" s="3" t="s">
        <v>59</v>
      </c>
      <c r="N92" s="30"/>
      <c r="O92" s="2">
        <f t="shared" ref="O92:O99" si="45">IF($L$5=0,0,IF(AND(N92&gt;0,N92-$L$5&lt;6),ROUNDUP((N92-5)/$L$5,0),ROUNDUP(N92/$L$5,0)))</f>
        <v>0</v>
      </c>
      <c r="P92" s="56" t="str">
        <f t="shared" ref="P92:P99" si="46">IF(AND(N92&lt;$L$5,N92&gt;0),"can be merged","")</f>
        <v/>
      </c>
    </row>
    <row r="93" spans="2:16" x14ac:dyDescent="0.3">
      <c r="B93" s="79" t="s">
        <v>60</v>
      </c>
      <c r="C93" s="3" t="s">
        <v>61</v>
      </c>
      <c r="D93" s="30"/>
      <c r="E93" s="3" t="s">
        <v>61</v>
      </c>
      <c r="F93" s="2">
        <f>ROUNDUP((D92*$B$94)*$B$96,0)</f>
        <v>0</v>
      </c>
      <c r="G93" s="2">
        <f>IF($D$75=0,0,IF(AND(F93&gt;0,F93-$D$75&lt;6),ROUNDUP((F93-5)/$D$75,0),ROUNDUP(F93/$D$75,0)))</f>
        <v>0</v>
      </c>
      <c r="H93" s="56" t="str">
        <f t="shared" si="44"/>
        <v/>
      </c>
      <c r="J93" s="346"/>
      <c r="K93" s="3" t="s">
        <v>61</v>
      </c>
      <c r="L93" s="33"/>
      <c r="M93" s="3" t="s">
        <v>61</v>
      </c>
      <c r="N93" s="2">
        <f>ROUNDUP((L92*$J$96)*$J$98,0)</f>
        <v>0</v>
      </c>
      <c r="O93" s="2">
        <f t="shared" si="45"/>
        <v>0</v>
      </c>
      <c r="P93" s="56" t="str">
        <f t="shared" si="46"/>
        <v/>
      </c>
    </row>
    <row r="94" spans="2:16" x14ac:dyDescent="0.3">
      <c r="B94" s="54"/>
      <c r="C94" s="3" t="s">
        <v>62</v>
      </c>
      <c r="D94" s="31"/>
      <c r="E94" s="3" t="s">
        <v>62</v>
      </c>
      <c r="F94" s="2">
        <f t="shared" ref="F94:F95" si="47">ROUNDUP((D93*$B$94)*$B$96,0)</f>
        <v>0</v>
      </c>
      <c r="G94" s="2">
        <f>IF($D$75=0,0,IF(AND(F94&gt;0,F94-$D$75&lt;6),ROUNDUP((F94-5)/$D$75,0),ROUNDUP(F94/$D$75,0)))</f>
        <v>0</v>
      </c>
      <c r="H94" s="56" t="str">
        <f t="shared" si="44"/>
        <v/>
      </c>
      <c r="J94" s="348"/>
      <c r="K94" s="3" t="s">
        <v>62</v>
      </c>
      <c r="L94" s="33"/>
      <c r="M94" s="3" t="s">
        <v>62</v>
      </c>
      <c r="N94" s="2">
        <f t="shared" ref="N94:N99" si="48">ROUNDUP((L93*$J$96)*$J$98,0)</f>
        <v>0</v>
      </c>
      <c r="O94" s="2">
        <f t="shared" si="45"/>
        <v>0</v>
      </c>
      <c r="P94" s="56" t="str">
        <f t="shared" si="46"/>
        <v/>
      </c>
    </row>
    <row r="95" spans="2:16" x14ac:dyDescent="0.3">
      <c r="B95" s="79" t="s">
        <v>63</v>
      </c>
      <c r="C95" s="3" t="s">
        <v>64</v>
      </c>
      <c r="D95" s="30"/>
      <c r="E95" s="3" t="s">
        <v>64</v>
      </c>
      <c r="F95" s="2">
        <f t="shared" si="47"/>
        <v>0</v>
      </c>
      <c r="G95" s="2">
        <f>IF($D$75=0,0,IF(AND(F95&gt;0,F95-$D$75&lt;6),ROUNDUP((F95-5)/$D$75,0),ROUNDUP(F95/$D$75,0)))</f>
        <v>0</v>
      </c>
      <c r="H95" s="56" t="str">
        <f t="shared" si="44"/>
        <v/>
      </c>
      <c r="J95" s="79" t="s">
        <v>60</v>
      </c>
      <c r="K95" s="3" t="s">
        <v>64</v>
      </c>
      <c r="L95" s="33"/>
      <c r="M95" s="3" t="s">
        <v>64</v>
      </c>
      <c r="N95" s="2">
        <f t="shared" si="48"/>
        <v>0</v>
      </c>
      <c r="O95" s="2">
        <f t="shared" si="45"/>
        <v>0</v>
      </c>
      <c r="P95" s="56" t="str">
        <f t="shared" si="46"/>
        <v/>
      </c>
    </row>
    <row r="96" spans="2:16" x14ac:dyDescent="0.3">
      <c r="B96" s="55"/>
      <c r="C96" s="342" t="s">
        <v>65</v>
      </c>
      <c r="D96" s="343"/>
      <c r="E96" s="344"/>
      <c r="F96" s="87">
        <f>SUM(F92:F95)</f>
        <v>0</v>
      </c>
      <c r="G96" s="88">
        <f>SUM(G92:G95)</f>
        <v>0</v>
      </c>
      <c r="H96" s="89"/>
      <c r="J96" s="54"/>
      <c r="K96" s="3" t="s">
        <v>66</v>
      </c>
      <c r="L96" s="33"/>
      <c r="M96" s="3" t="s">
        <v>66</v>
      </c>
      <c r="N96" s="2">
        <f t="shared" si="48"/>
        <v>0</v>
      </c>
      <c r="O96" s="2">
        <f t="shared" si="45"/>
        <v>0</v>
      </c>
      <c r="P96" s="56" t="str">
        <f t="shared" si="46"/>
        <v/>
      </c>
    </row>
    <row r="97" spans="2:16" ht="15" customHeight="1" x14ac:dyDescent="0.3">
      <c r="B97" s="83" t="s">
        <v>98</v>
      </c>
      <c r="C97" s="3" t="s">
        <v>59</v>
      </c>
      <c r="D97" s="31"/>
      <c r="E97" s="3" t="s">
        <v>59</v>
      </c>
      <c r="F97" s="32"/>
      <c r="G97" s="2">
        <f>IF($D$75=0,0,IF(AND(F97&gt;0,F97-$D$75&lt;6),ROUNDUP((F97-5)/$D$75,0),ROUNDUP(F97/$D$75,0)))</f>
        <v>0</v>
      </c>
      <c r="H97" s="56" t="str">
        <f t="shared" ref="H97:H100" si="49">IF(AND(F97&lt;$D$75,F97&gt;0),"can be merged","")</f>
        <v/>
      </c>
      <c r="J97" s="79" t="s">
        <v>63</v>
      </c>
      <c r="K97" s="3" t="s">
        <v>69</v>
      </c>
      <c r="L97" s="33"/>
      <c r="M97" s="3" t="s">
        <v>69</v>
      </c>
      <c r="N97" s="2">
        <f t="shared" si="48"/>
        <v>0</v>
      </c>
      <c r="O97" s="2">
        <f t="shared" si="45"/>
        <v>0</v>
      </c>
      <c r="P97" s="56" t="str">
        <f t="shared" si="46"/>
        <v/>
      </c>
    </row>
    <row r="98" spans="2:16" x14ac:dyDescent="0.3">
      <c r="B98" s="79" t="s">
        <v>60</v>
      </c>
      <c r="C98" s="3" t="s">
        <v>61</v>
      </c>
      <c r="D98" s="30"/>
      <c r="E98" s="3" t="s">
        <v>61</v>
      </c>
      <c r="F98" s="2">
        <f>ROUNDUP((D97*$B$99)*$B$101,0)</f>
        <v>0</v>
      </c>
      <c r="G98" s="2">
        <f>IF($D$75=0,0,IF(AND(F98&gt;0,F98-$D$75&lt;6),ROUNDUP((F98-5)/$D$75,0),ROUNDUP(F98/$D$75,0)))</f>
        <v>0</v>
      </c>
      <c r="H98" s="56" t="str">
        <f t="shared" si="49"/>
        <v/>
      </c>
      <c r="J98" s="55"/>
      <c r="K98" s="3" t="s">
        <v>71</v>
      </c>
      <c r="L98" s="33"/>
      <c r="M98" s="3" t="s">
        <v>71</v>
      </c>
      <c r="N98" s="2">
        <f t="shared" si="48"/>
        <v>0</v>
      </c>
      <c r="O98" s="2">
        <f t="shared" si="45"/>
        <v>0</v>
      </c>
      <c r="P98" s="56" t="str">
        <f t="shared" si="46"/>
        <v/>
      </c>
    </row>
    <row r="99" spans="2:16" x14ac:dyDescent="0.3">
      <c r="B99" s="54"/>
      <c r="C99" s="3" t="s">
        <v>62</v>
      </c>
      <c r="D99" s="31"/>
      <c r="E99" s="3" t="s">
        <v>62</v>
      </c>
      <c r="F99" s="2">
        <f t="shared" ref="F99:F100" si="50">ROUNDUP((D98*$B$99)*$B$101,0)</f>
        <v>0</v>
      </c>
      <c r="G99" s="2">
        <f>IF($D$75=0,0,IF(AND(F99&gt;0,F99-$D$75&lt;6),ROUNDUP((F99-5)/$D$75,0),ROUNDUP(F99/$D$75,0)))</f>
        <v>0</v>
      </c>
      <c r="H99" s="56" t="str">
        <f t="shared" si="49"/>
        <v/>
      </c>
      <c r="J99" s="84"/>
      <c r="K99" s="3" t="s">
        <v>73</v>
      </c>
      <c r="L99" s="33"/>
      <c r="M99" s="3" t="s">
        <v>73</v>
      </c>
      <c r="N99" s="2">
        <f t="shared" si="48"/>
        <v>0</v>
      </c>
      <c r="O99" s="2">
        <f t="shared" si="45"/>
        <v>0</v>
      </c>
      <c r="P99" s="56" t="str">
        <f t="shared" si="46"/>
        <v/>
      </c>
    </row>
    <row r="100" spans="2:16" x14ac:dyDescent="0.3">
      <c r="B100" s="79" t="s">
        <v>63</v>
      </c>
      <c r="C100" s="3" t="s">
        <v>64</v>
      </c>
      <c r="D100" s="30"/>
      <c r="E100" s="3" t="s">
        <v>64</v>
      </c>
      <c r="F100" s="2">
        <f t="shared" si="50"/>
        <v>0</v>
      </c>
      <c r="G100" s="2">
        <f>IF($D$75=0,0,IF(AND(F100&gt;0,F100-$D$75&lt;6),ROUNDUP((F100-5)/$D$75,0),ROUNDUP(F100/$D$75,0)))</f>
        <v>0</v>
      </c>
      <c r="H100" s="56" t="str">
        <f t="shared" si="49"/>
        <v/>
      </c>
      <c r="J100" s="85"/>
      <c r="K100" s="342" t="s">
        <v>65</v>
      </c>
      <c r="L100" s="343"/>
      <c r="M100" s="344"/>
      <c r="N100" s="81">
        <f>SUM(N92:N99)</f>
        <v>0</v>
      </c>
      <c r="O100" s="81">
        <f>SUM(O92:O99)</f>
        <v>0</v>
      </c>
      <c r="P100" s="86"/>
    </row>
    <row r="101" spans="2:16" ht="14.4" customHeight="1" x14ac:dyDescent="0.3">
      <c r="B101" s="55"/>
      <c r="C101" s="362" t="s">
        <v>65</v>
      </c>
      <c r="D101" s="363"/>
      <c r="E101" s="364"/>
      <c r="F101" s="87">
        <f>SUM(F97:F100)</f>
        <v>0</v>
      </c>
      <c r="G101" s="88">
        <f>SUM(G97:G100)</f>
        <v>0</v>
      </c>
      <c r="H101" s="89"/>
      <c r="J101" s="345" t="s">
        <v>99</v>
      </c>
      <c r="K101" s="3" t="s">
        <v>59</v>
      </c>
      <c r="L101" s="33"/>
      <c r="M101" s="3" t="s">
        <v>59</v>
      </c>
      <c r="N101" s="30"/>
      <c r="O101" s="2">
        <f t="shared" ref="O101:O108" si="51">IF($L$5=0,0,IF(AND(N101&gt;0,N101-$L$5&lt;6),ROUNDUP((N101-5)/$L$5,0),ROUNDUP(N101/$L$5,0)))</f>
        <v>0</v>
      </c>
      <c r="P101" s="56" t="str">
        <f t="shared" ref="P101:P108" si="52">IF(AND(N101&lt;$L$5,N101&gt;0),"can be merged","")</f>
        <v/>
      </c>
    </row>
    <row r="102" spans="2:16" ht="15" customHeight="1" x14ac:dyDescent="0.3">
      <c r="B102" s="83" t="s">
        <v>100</v>
      </c>
      <c r="C102" s="3" t="s">
        <v>59</v>
      </c>
      <c r="D102" s="30"/>
      <c r="E102" s="3" t="s">
        <v>59</v>
      </c>
      <c r="F102" s="32"/>
      <c r="G102" s="2">
        <f>IF($D$75=0,0,IF(AND(F102&gt;0,F102-$D$75&lt;6),ROUNDUP((F102-5)/$D$75,0),ROUNDUP(F102/$D$75,0)))</f>
        <v>0</v>
      </c>
      <c r="H102" s="56" t="str">
        <f t="shared" ref="H102:H105" si="53">IF(AND(F102&lt;$D$75,F102&gt;0),"can be merged","")</f>
        <v/>
      </c>
      <c r="J102" s="346"/>
      <c r="K102" s="3" t="s">
        <v>61</v>
      </c>
      <c r="L102" s="33"/>
      <c r="M102" s="3" t="s">
        <v>61</v>
      </c>
      <c r="N102" s="2">
        <f>ROUNDUP((L101*$J$105)*$J$107,0)</f>
        <v>0</v>
      </c>
      <c r="O102" s="2">
        <f t="shared" si="51"/>
        <v>0</v>
      </c>
      <c r="P102" s="56" t="str">
        <f t="shared" si="52"/>
        <v/>
      </c>
    </row>
    <row r="103" spans="2:16" x14ac:dyDescent="0.3">
      <c r="B103" s="79" t="s">
        <v>60</v>
      </c>
      <c r="C103" s="3" t="s">
        <v>61</v>
      </c>
      <c r="D103" s="30"/>
      <c r="E103" s="3" t="s">
        <v>61</v>
      </c>
      <c r="F103" s="2">
        <f>ROUNDUP((D102*$B$104)*$B$106,0)</f>
        <v>0</v>
      </c>
      <c r="G103" s="2">
        <f>IF($D$75=0,0,IF(AND(F103&gt;0,F103-$D$75&lt;6),ROUNDUP((F103-5)/$D$75,0),ROUNDUP(F103/$D$75,0)))</f>
        <v>0</v>
      </c>
      <c r="H103" s="56" t="str">
        <f t="shared" si="53"/>
        <v/>
      </c>
      <c r="J103" s="348"/>
      <c r="K103" s="3" t="s">
        <v>62</v>
      </c>
      <c r="L103" s="33"/>
      <c r="M103" s="3" t="s">
        <v>62</v>
      </c>
      <c r="N103" s="2">
        <f t="shared" ref="N103:N108" si="54">ROUNDUP((L102*$J$105)*$J$107,0)</f>
        <v>0</v>
      </c>
      <c r="O103" s="2">
        <f t="shared" si="51"/>
        <v>0</v>
      </c>
      <c r="P103" s="56" t="str">
        <f t="shared" si="52"/>
        <v/>
      </c>
    </row>
    <row r="104" spans="2:16" x14ac:dyDescent="0.3">
      <c r="B104" s="54"/>
      <c r="C104" s="3" t="s">
        <v>62</v>
      </c>
      <c r="D104" s="31"/>
      <c r="E104" s="3" t="s">
        <v>62</v>
      </c>
      <c r="F104" s="2">
        <f t="shared" ref="F104:F105" si="55">ROUNDUP((D103*$B$104)*$B$106,0)</f>
        <v>0</v>
      </c>
      <c r="G104" s="2">
        <f>IF($D$75=0,0,IF(AND(F104&gt;0,F104-$D$75&lt;6),ROUNDUP((F104-5)/$D$75,0),ROUNDUP(F104/$D$75,0)))</f>
        <v>0</v>
      </c>
      <c r="H104" s="56" t="str">
        <f t="shared" si="53"/>
        <v/>
      </c>
      <c r="J104" s="79" t="s">
        <v>60</v>
      </c>
      <c r="K104" s="3" t="s">
        <v>64</v>
      </c>
      <c r="L104" s="33"/>
      <c r="M104" s="3" t="s">
        <v>64</v>
      </c>
      <c r="N104" s="2">
        <f t="shared" si="54"/>
        <v>0</v>
      </c>
      <c r="O104" s="2">
        <f t="shared" si="51"/>
        <v>0</v>
      </c>
      <c r="P104" s="56" t="str">
        <f t="shared" si="52"/>
        <v/>
      </c>
    </row>
    <row r="105" spans="2:16" x14ac:dyDescent="0.3">
      <c r="B105" s="79" t="s">
        <v>63</v>
      </c>
      <c r="C105" s="3" t="s">
        <v>64</v>
      </c>
      <c r="D105" s="30"/>
      <c r="E105" s="3" t="s">
        <v>64</v>
      </c>
      <c r="F105" s="2">
        <f t="shared" si="55"/>
        <v>0</v>
      </c>
      <c r="G105" s="2">
        <f>IF($D$75=0,0,IF(AND(F105&gt;0,F105-$D$75&lt;6),ROUNDUP((F105-5)/$D$75,0),ROUNDUP(F105/$D$75,0)))</f>
        <v>0</v>
      </c>
      <c r="H105" s="56" t="str">
        <f t="shared" si="53"/>
        <v/>
      </c>
      <c r="J105" s="54"/>
      <c r="K105" s="3" t="s">
        <v>66</v>
      </c>
      <c r="L105" s="33"/>
      <c r="M105" s="3" t="s">
        <v>66</v>
      </c>
      <c r="N105" s="2">
        <f t="shared" si="54"/>
        <v>0</v>
      </c>
      <c r="O105" s="2">
        <f t="shared" si="51"/>
        <v>0</v>
      </c>
      <c r="P105" s="56" t="str">
        <f t="shared" si="52"/>
        <v/>
      </c>
    </row>
    <row r="106" spans="2:16" x14ac:dyDescent="0.3">
      <c r="B106" s="54"/>
      <c r="C106" s="342" t="s">
        <v>65</v>
      </c>
      <c r="D106" s="343"/>
      <c r="E106" s="343"/>
      <c r="F106" s="88">
        <f>SUM(F102:F105)</f>
        <v>0</v>
      </c>
      <c r="G106" s="88">
        <f>SUM(G102:G105)</f>
        <v>0</v>
      </c>
      <c r="H106" s="89"/>
      <c r="J106" s="79" t="s">
        <v>63</v>
      </c>
      <c r="K106" s="3" t="s">
        <v>69</v>
      </c>
      <c r="L106" s="33"/>
      <c r="M106" s="3" t="s">
        <v>69</v>
      </c>
      <c r="N106" s="2">
        <f t="shared" si="54"/>
        <v>0</v>
      </c>
      <c r="O106" s="2">
        <f t="shared" si="51"/>
        <v>0</v>
      </c>
      <c r="P106" s="56" t="str">
        <f t="shared" si="52"/>
        <v/>
      </c>
    </row>
    <row r="107" spans="2:16" x14ac:dyDescent="0.3">
      <c r="F107" s="66">
        <f>F86+F91+F96+F101+F106</f>
        <v>0</v>
      </c>
      <c r="G107" s="66">
        <f>G86+G91+G96+G101+G106</f>
        <v>0</v>
      </c>
      <c r="J107" s="55"/>
      <c r="K107" s="3" t="s">
        <v>71</v>
      </c>
      <c r="L107" s="33"/>
      <c r="M107" s="3" t="s">
        <v>71</v>
      </c>
      <c r="N107" s="2">
        <f t="shared" si="54"/>
        <v>0</v>
      </c>
      <c r="O107" s="2">
        <f t="shared" si="51"/>
        <v>0</v>
      </c>
      <c r="P107" s="56" t="str">
        <f t="shared" si="52"/>
        <v/>
      </c>
    </row>
    <row r="108" spans="2:16" x14ac:dyDescent="0.3">
      <c r="J108" s="84"/>
      <c r="K108" s="3" t="s">
        <v>73</v>
      </c>
      <c r="L108" s="33"/>
      <c r="M108" s="3" t="s">
        <v>73</v>
      </c>
      <c r="N108" s="2">
        <f t="shared" si="54"/>
        <v>0</v>
      </c>
      <c r="O108" s="2">
        <f t="shared" si="51"/>
        <v>0</v>
      </c>
      <c r="P108" s="56" t="str">
        <f t="shared" si="52"/>
        <v/>
      </c>
    </row>
    <row r="109" spans="2:16" x14ac:dyDescent="0.3">
      <c r="J109" s="85"/>
      <c r="K109" s="342" t="s">
        <v>65</v>
      </c>
      <c r="L109" s="343"/>
      <c r="M109" s="344"/>
      <c r="N109" s="81">
        <f>SUM(N101:N108)</f>
        <v>0</v>
      </c>
      <c r="O109" s="81">
        <f>SUM(O101:O108)</f>
        <v>0</v>
      </c>
      <c r="P109" s="86"/>
    </row>
    <row r="110" spans="2:16" ht="14.4" customHeight="1" x14ac:dyDescent="0.3">
      <c r="J110" s="345" t="s">
        <v>101</v>
      </c>
      <c r="K110" s="3" t="s">
        <v>59</v>
      </c>
      <c r="L110" s="33"/>
      <c r="M110" s="3" t="s">
        <v>59</v>
      </c>
      <c r="N110" s="30"/>
      <c r="O110" s="2">
        <f t="shared" ref="O110:O117" si="56">IF($L$5=0,0,IF(AND(N110&gt;0,N110-$L$5&lt;6),ROUNDUP((N110-5)/$L$5,0),ROUNDUP(N110/$L$5,0)))</f>
        <v>0</v>
      </c>
      <c r="P110" s="56" t="str">
        <f t="shared" ref="P110:P117" si="57">IF(AND(N110&lt;$L$5,N110&gt;0),"can be merged","")</f>
        <v/>
      </c>
    </row>
    <row r="111" spans="2:16" x14ac:dyDescent="0.3">
      <c r="J111" s="346"/>
      <c r="K111" s="3" t="s">
        <v>61</v>
      </c>
      <c r="L111" s="33"/>
      <c r="M111" s="3" t="s">
        <v>61</v>
      </c>
      <c r="N111" s="2">
        <f>ROUNDUP((L110*$J$114)*$J$116,0)</f>
        <v>0</v>
      </c>
      <c r="O111" s="2">
        <f t="shared" si="56"/>
        <v>0</v>
      </c>
      <c r="P111" s="56" t="str">
        <f t="shared" si="57"/>
        <v/>
      </c>
    </row>
    <row r="112" spans="2:16" x14ac:dyDescent="0.3">
      <c r="J112" s="348"/>
      <c r="K112" s="3" t="s">
        <v>62</v>
      </c>
      <c r="L112" s="33"/>
      <c r="M112" s="3" t="s">
        <v>62</v>
      </c>
      <c r="N112" s="2">
        <f t="shared" ref="N112:N117" si="58">ROUNDUP((L111*$J$114)*$J$116,0)</f>
        <v>0</v>
      </c>
      <c r="O112" s="2">
        <f t="shared" si="56"/>
        <v>0</v>
      </c>
      <c r="P112" s="56" t="str">
        <f t="shared" si="57"/>
        <v/>
      </c>
    </row>
    <row r="113" spans="10:16" x14ac:dyDescent="0.3">
      <c r="J113" s="79" t="s">
        <v>60</v>
      </c>
      <c r="K113" s="3" t="s">
        <v>64</v>
      </c>
      <c r="L113" s="33"/>
      <c r="M113" s="3" t="s">
        <v>64</v>
      </c>
      <c r="N113" s="2">
        <f t="shared" si="58"/>
        <v>0</v>
      </c>
      <c r="O113" s="2">
        <f t="shared" si="56"/>
        <v>0</v>
      </c>
      <c r="P113" s="56" t="str">
        <f t="shared" si="57"/>
        <v/>
      </c>
    </row>
    <row r="114" spans="10:16" x14ac:dyDescent="0.3">
      <c r="J114" s="54"/>
      <c r="K114" s="3" t="s">
        <v>66</v>
      </c>
      <c r="L114" s="33"/>
      <c r="M114" s="3" t="s">
        <v>66</v>
      </c>
      <c r="N114" s="2">
        <f t="shared" si="58"/>
        <v>0</v>
      </c>
      <c r="O114" s="2">
        <f t="shared" si="56"/>
        <v>0</v>
      </c>
      <c r="P114" s="56" t="str">
        <f t="shared" si="57"/>
        <v/>
      </c>
    </row>
    <row r="115" spans="10:16" x14ac:dyDescent="0.3">
      <c r="J115" s="79" t="s">
        <v>63</v>
      </c>
      <c r="K115" s="3" t="s">
        <v>69</v>
      </c>
      <c r="L115" s="33"/>
      <c r="M115" s="3" t="s">
        <v>69</v>
      </c>
      <c r="N115" s="2">
        <f t="shared" si="58"/>
        <v>0</v>
      </c>
      <c r="O115" s="2">
        <f t="shared" si="56"/>
        <v>0</v>
      </c>
      <c r="P115" s="56" t="str">
        <f t="shared" si="57"/>
        <v/>
      </c>
    </row>
    <row r="116" spans="10:16" x14ac:dyDescent="0.3">
      <c r="J116" s="55"/>
      <c r="K116" s="3" t="s">
        <v>71</v>
      </c>
      <c r="L116" s="33"/>
      <c r="M116" s="3" t="s">
        <v>71</v>
      </c>
      <c r="N116" s="2">
        <f t="shared" si="58"/>
        <v>0</v>
      </c>
      <c r="O116" s="2">
        <f t="shared" si="56"/>
        <v>0</v>
      </c>
      <c r="P116" s="56" t="str">
        <f t="shared" si="57"/>
        <v/>
      </c>
    </row>
    <row r="117" spans="10:16" x14ac:dyDescent="0.3">
      <c r="J117" s="84"/>
      <c r="K117" s="3" t="s">
        <v>73</v>
      </c>
      <c r="L117" s="33"/>
      <c r="M117" s="3" t="s">
        <v>73</v>
      </c>
      <c r="N117" s="2">
        <f t="shared" si="58"/>
        <v>0</v>
      </c>
      <c r="O117" s="2">
        <f t="shared" si="56"/>
        <v>0</v>
      </c>
      <c r="P117" s="56" t="str">
        <f t="shared" si="57"/>
        <v/>
      </c>
    </row>
    <row r="118" spans="10:16" x14ac:dyDescent="0.3">
      <c r="J118" s="85"/>
      <c r="K118" s="342" t="s">
        <v>65</v>
      </c>
      <c r="L118" s="343"/>
      <c r="M118" s="344"/>
      <c r="N118" s="81">
        <f>SUM(N110:N117)</f>
        <v>0</v>
      </c>
      <c r="O118" s="81">
        <f>SUM(O110:O117)</f>
        <v>0</v>
      </c>
      <c r="P118" s="86"/>
    </row>
    <row r="119" spans="10:16" x14ac:dyDescent="0.3">
      <c r="J119" s="345" t="s">
        <v>102</v>
      </c>
      <c r="K119" s="3" t="s">
        <v>59</v>
      </c>
      <c r="L119" s="33"/>
      <c r="M119" s="3" t="s">
        <v>59</v>
      </c>
      <c r="N119" s="30"/>
      <c r="O119" s="2">
        <f t="shared" ref="O119:O126" si="59">IF($L$5=0,0,IF(AND(N119&gt;0,N119-$L$5&lt;6),ROUNDUP((N119-5)/$L$5,0),ROUNDUP(N119/$L$5,0)))</f>
        <v>0</v>
      </c>
      <c r="P119" s="56" t="str">
        <f t="shared" ref="P119:P126" si="60">IF(AND(N119&lt;$L$5,N119&gt;0),"can be merged","")</f>
        <v/>
      </c>
    </row>
    <row r="120" spans="10:16" x14ac:dyDescent="0.3">
      <c r="J120" s="346"/>
      <c r="K120" s="3" t="s">
        <v>61</v>
      </c>
      <c r="L120" s="33"/>
      <c r="M120" s="3" t="s">
        <v>61</v>
      </c>
      <c r="N120" s="2">
        <f>ROUNDUP((L119*$J$123)*$J$125,0)</f>
        <v>0</v>
      </c>
      <c r="O120" s="2">
        <f t="shared" si="59"/>
        <v>0</v>
      </c>
      <c r="P120" s="56" t="str">
        <f t="shared" si="60"/>
        <v/>
      </c>
    </row>
    <row r="121" spans="10:16" x14ac:dyDescent="0.3">
      <c r="J121" s="348"/>
      <c r="K121" s="3" t="s">
        <v>62</v>
      </c>
      <c r="L121" s="33"/>
      <c r="M121" s="3" t="s">
        <v>62</v>
      </c>
      <c r="N121" s="2">
        <f t="shared" ref="N121:N126" si="61">ROUNDUP((L120*$J$123)*$J$125,0)</f>
        <v>0</v>
      </c>
      <c r="O121" s="2">
        <f t="shared" si="59"/>
        <v>0</v>
      </c>
      <c r="P121" s="56" t="str">
        <f t="shared" si="60"/>
        <v/>
      </c>
    </row>
    <row r="122" spans="10:16" x14ac:dyDescent="0.3">
      <c r="J122" s="79" t="s">
        <v>60</v>
      </c>
      <c r="K122" s="3" t="s">
        <v>64</v>
      </c>
      <c r="L122" s="33"/>
      <c r="M122" s="3" t="s">
        <v>64</v>
      </c>
      <c r="N122" s="2">
        <f t="shared" si="61"/>
        <v>0</v>
      </c>
      <c r="O122" s="2">
        <f t="shared" si="59"/>
        <v>0</v>
      </c>
      <c r="P122" s="56" t="str">
        <f t="shared" si="60"/>
        <v/>
      </c>
    </row>
    <row r="123" spans="10:16" x14ac:dyDescent="0.3">
      <c r="J123" s="54"/>
      <c r="K123" s="3" t="s">
        <v>66</v>
      </c>
      <c r="L123" s="33"/>
      <c r="M123" s="3" t="s">
        <v>66</v>
      </c>
      <c r="N123" s="2">
        <f t="shared" si="61"/>
        <v>0</v>
      </c>
      <c r="O123" s="2">
        <f t="shared" si="59"/>
        <v>0</v>
      </c>
      <c r="P123" s="56" t="str">
        <f t="shared" si="60"/>
        <v/>
      </c>
    </row>
    <row r="124" spans="10:16" x14ac:dyDescent="0.3">
      <c r="J124" s="79" t="s">
        <v>63</v>
      </c>
      <c r="K124" s="3" t="s">
        <v>69</v>
      </c>
      <c r="L124" s="33"/>
      <c r="M124" s="3" t="s">
        <v>69</v>
      </c>
      <c r="N124" s="2">
        <f t="shared" si="61"/>
        <v>0</v>
      </c>
      <c r="O124" s="2">
        <f t="shared" si="59"/>
        <v>0</v>
      </c>
      <c r="P124" s="56" t="str">
        <f t="shared" si="60"/>
        <v/>
      </c>
    </row>
    <row r="125" spans="10:16" x14ac:dyDescent="0.3">
      <c r="J125" s="55"/>
      <c r="K125" s="3" t="s">
        <v>71</v>
      </c>
      <c r="L125" s="33"/>
      <c r="M125" s="3" t="s">
        <v>71</v>
      </c>
      <c r="N125" s="2">
        <f t="shared" si="61"/>
        <v>0</v>
      </c>
      <c r="O125" s="2">
        <f t="shared" si="59"/>
        <v>0</v>
      </c>
      <c r="P125" s="56" t="str">
        <f t="shared" si="60"/>
        <v/>
      </c>
    </row>
    <row r="126" spans="10:16" x14ac:dyDescent="0.3">
      <c r="J126" s="84"/>
      <c r="K126" s="3" t="s">
        <v>73</v>
      </c>
      <c r="L126" s="33"/>
      <c r="M126" s="3" t="s">
        <v>73</v>
      </c>
      <c r="N126" s="2">
        <f t="shared" si="61"/>
        <v>0</v>
      </c>
      <c r="O126" s="2">
        <f t="shared" si="59"/>
        <v>0</v>
      </c>
      <c r="P126" s="56" t="str">
        <f t="shared" si="60"/>
        <v/>
      </c>
    </row>
    <row r="127" spans="10:16" x14ac:dyDescent="0.3">
      <c r="J127" s="85"/>
      <c r="K127" s="342" t="s">
        <v>65</v>
      </c>
      <c r="L127" s="343"/>
      <c r="M127" s="344"/>
      <c r="N127" s="81">
        <f>SUM(N119:N126)</f>
        <v>0</v>
      </c>
      <c r="O127" s="81">
        <f>SUM(O119:O126)</f>
        <v>0</v>
      </c>
      <c r="P127" s="86"/>
    </row>
    <row r="128" spans="10:16" ht="14.4" customHeight="1" x14ac:dyDescent="0.3">
      <c r="J128" s="345" t="s">
        <v>103</v>
      </c>
      <c r="K128" s="3" t="s">
        <v>59</v>
      </c>
      <c r="L128" s="33"/>
      <c r="M128" s="3" t="s">
        <v>59</v>
      </c>
      <c r="N128" s="30"/>
      <c r="O128" s="2">
        <f t="shared" ref="O128:O135" si="62">IF($L$5=0,0,IF(AND(N128&gt;0,N128-$L$5&lt;6),ROUNDUP((N128-5)/$L$5,0),ROUNDUP(N128/$L$5,0)))</f>
        <v>0</v>
      </c>
      <c r="P128" s="56" t="str">
        <f t="shared" ref="P128:P135" si="63">IF(AND(N128&lt;$L$5,N128&gt;0),"can be merged","")</f>
        <v/>
      </c>
    </row>
    <row r="129" spans="10:16" x14ac:dyDescent="0.3">
      <c r="J129" s="346"/>
      <c r="K129" s="3" t="s">
        <v>61</v>
      </c>
      <c r="L129" s="33"/>
      <c r="M129" s="3" t="s">
        <v>61</v>
      </c>
      <c r="N129" s="2">
        <f>ROUNDUP((L128*$J$132)*$J$134,0)</f>
        <v>0</v>
      </c>
      <c r="O129" s="2">
        <f t="shared" si="62"/>
        <v>0</v>
      </c>
      <c r="P129" s="56" t="str">
        <f t="shared" si="63"/>
        <v/>
      </c>
    </row>
    <row r="130" spans="10:16" x14ac:dyDescent="0.3">
      <c r="J130" s="348"/>
      <c r="K130" s="3" t="s">
        <v>62</v>
      </c>
      <c r="L130" s="33"/>
      <c r="M130" s="3" t="s">
        <v>62</v>
      </c>
      <c r="N130" s="2">
        <f t="shared" ref="N130:N135" si="64">ROUNDUP((L129*$J$132)*$J$134,0)</f>
        <v>0</v>
      </c>
      <c r="O130" s="2">
        <f t="shared" si="62"/>
        <v>0</v>
      </c>
      <c r="P130" s="56" t="str">
        <f t="shared" si="63"/>
        <v/>
      </c>
    </row>
    <row r="131" spans="10:16" x14ac:dyDescent="0.3">
      <c r="J131" s="79" t="s">
        <v>60</v>
      </c>
      <c r="K131" s="3" t="s">
        <v>64</v>
      </c>
      <c r="L131" s="33"/>
      <c r="M131" s="3" t="s">
        <v>64</v>
      </c>
      <c r="N131" s="2">
        <f t="shared" si="64"/>
        <v>0</v>
      </c>
      <c r="O131" s="2">
        <f t="shared" si="62"/>
        <v>0</v>
      </c>
      <c r="P131" s="56" t="str">
        <f t="shared" si="63"/>
        <v/>
      </c>
    </row>
    <row r="132" spans="10:16" x14ac:dyDescent="0.3">
      <c r="J132" s="54"/>
      <c r="K132" s="3" t="s">
        <v>66</v>
      </c>
      <c r="L132" s="33"/>
      <c r="M132" s="3" t="s">
        <v>66</v>
      </c>
      <c r="N132" s="2">
        <f t="shared" si="64"/>
        <v>0</v>
      </c>
      <c r="O132" s="2">
        <f t="shared" si="62"/>
        <v>0</v>
      </c>
      <c r="P132" s="56" t="str">
        <f t="shared" si="63"/>
        <v/>
      </c>
    </row>
    <row r="133" spans="10:16" x14ac:dyDescent="0.3">
      <c r="J133" s="79" t="s">
        <v>63</v>
      </c>
      <c r="K133" s="3" t="s">
        <v>69</v>
      </c>
      <c r="L133" s="33"/>
      <c r="M133" s="3" t="s">
        <v>69</v>
      </c>
      <c r="N133" s="2">
        <f t="shared" si="64"/>
        <v>0</v>
      </c>
      <c r="O133" s="2">
        <f t="shared" si="62"/>
        <v>0</v>
      </c>
      <c r="P133" s="56" t="str">
        <f t="shared" si="63"/>
        <v/>
      </c>
    </row>
    <row r="134" spans="10:16" x14ac:dyDescent="0.3">
      <c r="J134" s="55"/>
      <c r="K134" s="3" t="s">
        <v>71</v>
      </c>
      <c r="L134" s="33"/>
      <c r="M134" s="3" t="s">
        <v>71</v>
      </c>
      <c r="N134" s="2">
        <f t="shared" si="64"/>
        <v>0</v>
      </c>
      <c r="O134" s="2">
        <f t="shared" si="62"/>
        <v>0</v>
      </c>
      <c r="P134" s="56" t="str">
        <f t="shared" si="63"/>
        <v/>
      </c>
    </row>
    <row r="135" spans="10:16" x14ac:dyDescent="0.3">
      <c r="J135" s="84"/>
      <c r="K135" s="3" t="s">
        <v>73</v>
      </c>
      <c r="L135" s="33"/>
      <c r="M135" s="3" t="s">
        <v>73</v>
      </c>
      <c r="N135" s="2">
        <f t="shared" si="64"/>
        <v>0</v>
      </c>
      <c r="O135" s="2">
        <f t="shared" si="62"/>
        <v>0</v>
      </c>
      <c r="P135" s="56" t="str">
        <f t="shared" si="63"/>
        <v/>
      </c>
    </row>
    <row r="136" spans="10:16" x14ac:dyDescent="0.3">
      <c r="J136" s="85"/>
      <c r="K136" s="342" t="s">
        <v>65</v>
      </c>
      <c r="L136" s="343"/>
      <c r="M136" s="344"/>
      <c r="N136" s="81">
        <f>SUM(N128:N135)</f>
        <v>0</v>
      </c>
      <c r="O136" s="81">
        <f>SUM(O128:O135)</f>
        <v>0</v>
      </c>
      <c r="P136" s="86"/>
    </row>
    <row r="137" spans="10:16" x14ac:dyDescent="0.3">
      <c r="J137" s="345" t="s">
        <v>104</v>
      </c>
      <c r="K137" s="3" t="s">
        <v>59</v>
      </c>
      <c r="L137" s="33"/>
      <c r="M137" s="3" t="s">
        <v>59</v>
      </c>
      <c r="N137" s="30"/>
      <c r="O137" s="2">
        <f t="shared" ref="O137:O144" si="65">IF($L$5=0,0,IF(AND(N137&gt;0,N137-$L$5&lt;6),ROUNDUP((N137-5)/$L$5,0),ROUNDUP(N137/$L$5,0)))</f>
        <v>0</v>
      </c>
      <c r="P137" s="56" t="str">
        <f t="shared" ref="P137:P144" si="66">IF(AND(N137&lt;$L$5,N137&gt;0),"can be merged","")</f>
        <v/>
      </c>
    </row>
    <row r="138" spans="10:16" x14ac:dyDescent="0.3">
      <c r="J138" s="346"/>
      <c r="K138" s="3" t="s">
        <v>61</v>
      </c>
      <c r="L138" s="33"/>
      <c r="M138" s="3" t="s">
        <v>61</v>
      </c>
      <c r="N138" s="2">
        <f>ROUNDUP((L137*$J$141)*$J$143,0)</f>
        <v>0</v>
      </c>
      <c r="O138" s="2">
        <f t="shared" si="65"/>
        <v>0</v>
      </c>
      <c r="P138" s="56" t="str">
        <f t="shared" si="66"/>
        <v/>
      </c>
    </row>
    <row r="139" spans="10:16" x14ac:dyDescent="0.3">
      <c r="J139" s="348"/>
      <c r="K139" s="3" t="s">
        <v>62</v>
      </c>
      <c r="L139" s="33"/>
      <c r="M139" s="3" t="s">
        <v>62</v>
      </c>
      <c r="N139" s="2">
        <f t="shared" ref="N139:N144" si="67">ROUNDUP((L138*$J$141)*$J$143,0)</f>
        <v>0</v>
      </c>
      <c r="O139" s="2">
        <f t="shared" si="65"/>
        <v>0</v>
      </c>
      <c r="P139" s="56" t="str">
        <f t="shared" si="66"/>
        <v/>
      </c>
    </row>
    <row r="140" spans="10:16" x14ac:dyDescent="0.3">
      <c r="J140" s="79" t="s">
        <v>60</v>
      </c>
      <c r="K140" s="3" t="s">
        <v>64</v>
      </c>
      <c r="L140" s="33"/>
      <c r="M140" s="3" t="s">
        <v>64</v>
      </c>
      <c r="N140" s="2">
        <f t="shared" si="67"/>
        <v>0</v>
      </c>
      <c r="O140" s="2">
        <f t="shared" si="65"/>
        <v>0</v>
      </c>
      <c r="P140" s="56" t="str">
        <f t="shared" si="66"/>
        <v/>
      </c>
    </row>
    <row r="141" spans="10:16" x14ac:dyDescent="0.3">
      <c r="J141" s="54"/>
      <c r="K141" s="3" t="s">
        <v>66</v>
      </c>
      <c r="L141" s="33"/>
      <c r="M141" s="3" t="s">
        <v>66</v>
      </c>
      <c r="N141" s="2">
        <f t="shared" si="67"/>
        <v>0</v>
      </c>
      <c r="O141" s="2">
        <f t="shared" si="65"/>
        <v>0</v>
      </c>
      <c r="P141" s="56" t="str">
        <f t="shared" si="66"/>
        <v/>
      </c>
    </row>
    <row r="142" spans="10:16" x14ac:dyDescent="0.3">
      <c r="J142" s="79" t="s">
        <v>63</v>
      </c>
      <c r="K142" s="3" t="s">
        <v>69</v>
      </c>
      <c r="L142" s="33"/>
      <c r="M142" s="3" t="s">
        <v>69</v>
      </c>
      <c r="N142" s="2">
        <f t="shared" si="67"/>
        <v>0</v>
      </c>
      <c r="O142" s="2">
        <f t="shared" si="65"/>
        <v>0</v>
      </c>
      <c r="P142" s="56" t="str">
        <f t="shared" si="66"/>
        <v/>
      </c>
    </row>
    <row r="143" spans="10:16" x14ac:dyDescent="0.3">
      <c r="J143" s="55"/>
      <c r="K143" s="3" t="s">
        <v>71</v>
      </c>
      <c r="L143" s="33"/>
      <c r="M143" s="3" t="s">
        <v>71</v>
      </c>
      <c r="N143" s="2">
        <f t="shared" si="67"/>
        <v>0</v>
      </c>
      <c r="O143" s="2">
        <f t="shared" si="65"/>
        <v>0</v>
      </c>
      <c r="P143" s="56" t="str">
        <f t="shared" si="66"/>
        <v/>
      </c>
    </row>
    <row r="144" spans="10:16" x14ac:dyDescent="0.3">
      <c r="J144" s="84"/>
      <c r="K144" s="3" t="s">
        <v>73</v>
      </c>
      <c r="L144" s="33"/>
      <c r="M144" s="3" t="s">
        <v>73</v>
      </c>
      <c r="N144" s="2">
        <f t="shared" si="67"/>
        <v>0</v>
      </c>
      <c r="O144" s="2">
        <f t="shared" si="65"/>
        <v>0</v>
      </c>
      <c r="P144" s="56" t="str">
        <f t="shared" si="66"/>
        <v/>
      </c>
    </row>
    <row r="145" spans="10:16" x14ac:dyDescent="0.3">
      <c r="J145" s="85"/>
      <c r="K145" s="342" t="s">
        <v>65</v>
      </c>
      <c r="L145" s="343"/>
      <c r="M145" s="344"/>
      <c r="N145" s="81">
        <f>SUM(N137:N144)</f>
        <v>0</v>
      </c>
      <c r="O145" s="81">
        <f>SUM(O137:O144)</f>
        <v>0</v>
      </c>
      <c r="P145" s="86"/>
    </row>
    <row r="146" spans="10:16" x14ac:dyDescent="0.3">
      <c r="J146" s="345" t="s">
        <v>105</v>
      </c>
      <c r="K146" s="3" t="s">
        <v>59</v>
      </c>
      <c r="L146" s="33"/>
      <c r="M146" s="3" t="s">
        <v>59</v>
      </c>
      <c r="N146" s="30"/>
      <c r="O146" s="2">
        <f t="shared" ref="O146:O153" si="68">IF($L$5=0,0,IF(AND(N146&gt;0,N146-$L$5&lt;6),ROUNDUP((N146-5)/$L$5,0),ROUNDUP(N146/$L$5,0)))</f>
        <v>0</v>
      </c>
      <c r="P146" s="56" t="str">
        <f t="shared" ref="P146:P153" si="69">IF(AND(N146&lt;$L$5,N146&gt;0),"can be merged","")</f>
        <v/>
      </c>
    </row>
    <row r="147" spans="10:16" x14ac:dyDescent="0.3">
      <c r="J147" s="346"/>
      <c r="K147" s="3" t="s">
        <v>61</v>
      </c>
      <c r="L147" s="33"/>
      <c r="M147" s="3" t="s">
        <v>61</v>
      </c>
      <c r="N147" s="2">
        <f>ROUNDUP((L146*$J$150)*$J$152,0)</f>
        <v>0</v>
      </c>
      <c r="O147" s="2">
        <f t="shared" si="68"/>
        <v>0</v>
      </c>
      <c r="P147" s="56" t="str">
        <f t="shared" si="69"/>
        <v/>
      </c>
    </row>
    <row r="148" spans="10:16" x14ac:dyDescent="0.3">
      <c r="J148" s="348"/>
      <c r="K148" s="3" t="s">
        <v>62</v>
      </c>
      <c r="L148" s="33"/>
      <c r="M148" s="3" t="s">
        <v>62</v>
      </c>
      <c r="N148" s="2">
        <f t="shared" ref="N148:N153" si="70">ROUNDUP((L147*$J$150)*$J$152,0)</f>
        <v>0</v>
      </c>
      <c r="O148" s="2">
        <f t="shared" si="68"/>
        <v>0</v>
      </c>
      <c r="P148" s="56" t="str">
        <f t="shared" si="69"/>
        <v/>
      </c>
    </row>
    <row r="149" spans="10:16" x14ac:dyDescent="0.3">
      <c r="J149" s="79" t="s">
        <v>60</v>
      </c>
      <c r="K149" s="3" t="s">
        <v>64</v>
      </c>
      <c r="L149" s="33"/>
      <c r="M149" s="3" t="s">
        <v>64</v>
      </c>
      <c r="N149" s="2">
        <f t="shared" si="70"/>
        <v>0</v>
      </c>
      <c r="O149" s="2">
        <f t="shared" si="68"/>
        <v>0</v>
      </c>
      <c r="P149" s="56" t="str">
        <f t="shared" si="69"/>
        <v/>
      </c>
    </row>
    <row r="150" spans="10:16" x14ac:dyDescent="0.3">
      <c r="J150" s="54"/>
      <c r="K150" s="3" t="s">
        <v>66</v>
      </c>
      <c r="L150" s="33"/>
      <c r="M150" s="3" t="s">
        <v>66</v>
      </c>
      <c r="N150" s="2">
        <f t="shared" si="70"/>
        <v>0</v>
      </c>
      <c r="O150" s="2">
        <f t="shared" si="68"/>
        <v>0</v>
      </c>
      <c r="P150" s="56" t="str">
        <f t="shared" si="69"/>
        <v/>
      </c>
    </row>
    <row r="151" spans="10:16" x14ac:dyDescent="0.3">
      <c r="J151" s="79" t="s">
        <v>63</v>
      </c>
      <c r="K151" s="3" t="s">
        <v>69</v>
      </c>
      <c r="L151" s="33"/>
      <c r="M151" s="3" t="s">
        <v>69</v>
      </c>
      <c r="N151" s="2">
        <f t="shared" si="70"/>
        <v>0</v>
      </c>
      <c r="O151" s="2">
        <f t="shared" si="68"/>
        <v>0</v>
      </c>
      <c r="P151" s="56" t="str">
        <f t="shared" si="69"/>
        <v/>
      </c>
    </row>
    <row r="152" spans="10:16" x14ac:dyDescent="0.3">
      <c r="J152" s="55"/>
      <c r="K152" s="3" t="s">
        <v>71</v>
      </c>
      <c r="L152" s="33"/>
      <c r="M152" s="3" t="s">
        <v>71</v>
      </c>
      <c r="N152" s="2">
        <f t="shared" si="70"/>
        <v>0</v>
      </c>
      <c r="O152" s="2">
        <f t="shared" si="68"/>
        <v>0</v>
      </c>
      <c r="P152" s="56" t="str">
        <f t="shared" si="69"/>
        <v/>
      </c>
    </row>
    <row r="153" spans="10:16" x14ac:dyDescent="0.3">
      <c r="J153" s="84"/>
      <c r="K153" s="3" t="s">
        <v>73</v>
      </c>
      <c r="L153" s="33"/>
      <c r="M153" s="3" t="s">
        <v>73</v>
      </c>
      <c r="N153" s="2">
        <f t="shared" si="70"/>
        <v>0</v>
      </c>
      <c r="O153" s="2">
        <f t="shared" si="68"/>
        <v>0</v>
      </c>
      <c r="P153" s="56" t="str">
        <f t="shared" si="69"/>
        <v/>
      </c>
    </row>
    <row r="154" spans="10:16" x14ac:dyDescent="0.3">
      <c r="J154" s="85"/>
      <c r="K154" s="342" t="s">
        <v>65</v>
      </c>
      <c r="L154" s="343"/>
      <c r="M154" s="344"/>
      <c r="N154" s="81">
        <f>SUM(N146:N153)</f>
        <v>0</v>
      </c>
      <c r="O154" s="81">
        <f>SUM(O146:O153)</f>
        <v>0</v>
      </c>
      <c r="P154" s="86"/>
    </row>
    <row r="155" spans="10:16" ht="15" customHeight="1" x14ac:dyDescent="0.3">
      <c r="J155" s="345" t="s">
        <v>106</v>
      </c>
      <c r="K155" s="3" t="s">
        <v>59</v>
      </c>
      <c r="L155" s="33"/>
      <c r="M155" s="3" t="s">
        <v>59</v>
      </c>
      <c r="N155" s="30"/>
      <c r="O155" s="2">
        <f t="shared" ref="O155:O160" si="71">IF($L$5=0,0,IF(AND(N155&gt;0,N155-$L$5&lt;6),ROUNDUP((N155-5)/$L$5,0),ROUNDUP(N155/$L$5,0)))</f>
        <v>0</v>
      </c>
      <c r="P155" s="56" t="str">
        <f t="shared" ref="P155:P160" si="72">IF(AND(N155&lt;$L$5,N155&gt;0),"can be merged","")</f>
        <v/>
      </c>
    </row>
    <row r="156" spans="10:16" x14ac:dyDescent="0.3">
      <c r="J156" s="346"/>
      <c r="K156" s="3" t="s">
        <v>61</v>
      </c>
      <c r="L156" s="33"/>
      <c r="M156" s="3" t="s">
        <v>61</v>
      </c>
      <c r="N156" s="2">
        <f>ROUNDUP((L155*$J$150)*$J$152,0)</f>
        <v>0</v>
      </c>
      <c r="O156" s="2">
        <f t="shared" si="71"/>
        <v>0</v>
      </c>
      <c r="P156" s="56" t="str">
        <f t="shared" si="72"/>
        <v/>
      </c>
    </row>
    <row r="157" spans="10:16" x14ac:dyDescent="0.3">
      <c r="J157" s="79" t="s">
        <v>60</v>
      </c>
      <c r="K157" s="3" t="s">
        <v>62</v>
      </c>
      <c r="L157" s="33"/>
      <c r="M157" s="3" t="s">
        <v>62</v>
      </c>
      <c r="N157" s="2">
        <f t="shared" ref="N157:N160" si="73">ROUNDUP((L156*$J$150)*$J$152,0)</f>
        <v>0</v>
      </c>
      <c r="O157" s="2">
        <f t="shared" si="71"/>
        <v>0</v>
      </c>
      <c r="P157" s="56" t="str">
        <f t="shared" si="72"/>
        <v/>
      </c>
    </row>
    <row r="158" spans="10:16" x14ac:dyDescent="0.3">
      <c r="J158" s="54"/>
      <c r="K158" s="3" t="s">
        <v>64</v>
      </c>
      <c r="L158" s="33"/>
      <c r="M158" s="3" t="s">
        <v>64</v>
      </c>
      <c r="N158" s="2">
        <f t="shared" si="73"/>
        <v>0</v>
      </c>
      <c r="O158" s="2">
        <f t="shared" si="71"/>
        <v>0</v>
      </c>
      <c r="P158" s="56" t="str">
        <f t="shared" si="72"/>
        <v/>
      </c>
    </row>
    <row r="159" spans="10:16" x14ac:dyDescent="0.3">
      <c r="J159" s="79" t="s">
        <v>63</v>
      </c>
      <c r="K159" s="3" t="s">
        <v>66</v>
      </c>
      <c r="L159" s="33"/>
      <c r="M159" s="3" t="s">
        <v>66</v>
      </c>
      <c r="N159" s="2">
        <f t="shared" si="73"/>
        <v>0</v>
      </c>
      <c r="O159" s="2">
        <f t="shared" si="71"/>
        <v>0</v>
      </c>
      <c r="P159" s="56" t="str">
        <f t="shared" si="72"/>
        <v/>
      </c>
    </row>
    <row r="160" spans="10:16" x14ac:dyDescent="0.3">
      <c r="J160" s="55"/>
      <c r="K160" s="3" t="s">
        <v>69</v>
      </c>
      <c r="L160" s="33"/>
      <c r="M160" s="3" t="s">
        <v>69</v>
      </c>
      <c r="N160" s="2">
        <f t="shared" si="73"/>
        <v>0</v>
      </c>
      <c r="O160" s="2">
        <f t="shared" si="71"/>
        <v>0</v>
      </c>
      <c r="P160" s="56" t="str">
        <f t="shared" si="72"/>
        <v/>
      </c>
    </row>
    <row r="161" spans="10:16" x14ac:dyDescent="0.3">
      <c r="J161" s="86"/>
      <c r="K161" s="342" t="s">
        <v>65</v>
      </c>
      <c r="L161" s="343"/>
      <c r="M161" s="344"/>
      <c r="N161" s="81">
        <f>SUM(N155:N160)</f>
        <v>0</v>
      </c>
      <c r="O161" s="81">
        <f>SUM(O155:O160)</f>
        <v>0</v>
      </c>
      <c r="P161" s="86"/>
    </row>
    <row r="162" spans="10:16" x14ac:dyDescent="0.3">
      <c r="N162" s="66">
        <f>N19+N28+N37+N46+N55+N64+N73+N82+N91+N100+N109+N118+N127+N136+N145+N154+N161</f>
        <v>0</v>
      </c>
      <c r="O162" s="66">
        <f>O19+O28+O37+O46+O55+O64+O73+O82+O91+O100+O109+O118+O127+O136+O145+O154+O161</f>
        <v>0</v>
      </c>
    </row>
  </sheetData>
  <sheetProtection algorithmName="SHA-512" hashValue="oVVZyPsSLD5dmUtW1ub4grn/kyY5/Hip6n1HnfubrLul3SeoZqj5mixJEFDdxAfAT/mzjL7gn4Yn4P4zuiZsVA==" saltValue="kYNsCjozzyKGbMwu5IBBxg==" spinCount="100000" sheet="1" objects="1" scenarios="1"/>
  <mergeCells count="81">
    <mergeCell ref="C96:E96"/>
    <mergeCell ref="C101:E101"/>
    <mergeCell ref="C106:E106"/>
    <mergeCell ref="K154:M154"/>
    <mergeCell ref="K109:M109"/>
    <mergeCell ref="K118:M118"/>
    <mergeCell ref="K127:M127"/>
    <mergeCell ref="K136:M136"/>
    <mergeCell ref="K145:M145"/>
    <mergeCell ref="J137:J139"/>
    <mergeCell ref="J146:J148"/>
    <mergeCell ref="J101:J103"/>
    <mergeCell ref="B1:N1"/>
    <mergeCell ref="B3:N3"/>
    <mergeCell ref="B2:N2"/>
    <mergeCell ref="B4:G4"/>
    <mergeCell ref="J4:O4"/>
    <mergeCell ref="E8:H8"/>
    <mergeCell ref="M8:P8"/>
    <mergeCell ref="N9:N10"/>
    <mergeCell ref="G9:G10"/>
    <mergeCell ref="C15:E15"/>
    <mergeCell ref="O9:O10"/>
    <mergeCell ref="M9:M10"/>
    <mergeCell ref="D9:D10"/>
    <mergeCell ref="F9:F10"/>
    <mergeCell ref="K9:K10"/>
    <mergeCell ref="L9:L10"/>
    <mergeCell ref="J47:J49"/>
    <mergeCell ref="J56:J58"/>
    <mergeCell ref="K46:M46"/>
    <mergeCell ref="K55:M55"/>
    <mergeCell ref="B9:B10"/>
    <mergeCell ref="J9:J10"/>
    <mergeCell ref="H9:H10"/>
    <mergeCell ref="C30:E30"/>
    <mergeCell ref="C35:E35"/>
    <mergeCell ref="C9:C10"/>
    <mergeCell ref="E9:E10"/>
    <mergeCell ref="C20:E20"/>
    <mergeCell ref="C25:E25"/>
    <mergeCell ref="K19:M19"/>
    <mergeCell ref="C65:E65"/>
    <mergeCell ref="C70:E70"/>
    <mergeCell ref="C40:E40"/>
    <mergeCell ref="C45:E45"/>
    <mergeCell ref="C50:E50"/>
    <mergeCell ref="C55:E55"/>
    <mergeCell ref="C60:E60"/>
    <mergeCell ref="H80:H81"/>
    <mergeCell ref="E79:H79"/>
    <mergeCell ref="K73:M73"/>
    <mergeCell ref="K82:M82"/>
    <mergeCell ref="J128:J130"/>
    <mergeCell ref="F80:F81"/>
    <mergeCell ref="G80:G81"/>
    <mergeCell ref="J110:J112"/>
    <mergeCell ref="J119:J121"/>
    <mergeCell ref="B74:G74"/>
    <mergeCell ref="C80:C81"/>
    <mergeCell ref="D80:D81"/>
    <mergeCell ref="E80:E81"/>
    <mergeCell ref="B80:B81"/>
    <mergeCell ref="C86:E86"/>
    <mergeCell ref="C91:E91"/>
    <mergeCell ref="K161:M161"/>
    <mergeCell ref="J155:J156"/>
    <mergeCell ref="K91:M91"/>
    <mergeCell ref="K100:M100"/>
    <mergeCell ref="P9:P10"/>
    <mergeCell ref="J11:J13"/>
    <mergeCell ref="J20:J22"/>
    <mergeCell ref="J29:J31"/>
    <mergeCell ref="J38:J40"/>
    <mergeCell ref="K37:M37"/>
    <mergeCell ref="J65:J67"/>
    <mergeCell ref="J74:J76"/>
    <mergeCell ref="J83:J85"/>
    <mergeCell ref="J92:J94"/>
    <mergeCell ref="K64:M64"/>
    <mergeCell ref="K28:M28"/>
  </mergeCells>
  <pageMargins left="0.7" right="0.7" top="0.75" bottom="0.75" header="0.3" footer="0.3"/>
  <pageSetup orientation="portrait" horizontalDpi="0" verticalDpi="0" r:id="rId1"/>
  <ignoredErrors>
    <ignoredError sqref="G20 O19 O37 G15 G25 G30 G35 G40 G45 G50 G55 G60 G65 O154 O145 O136 O127 O118 O109 O100 O91 O82 O73 O64 O55 O46 O28"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dimension ref="A1:K669"/>
  <sheetViews>
    <sheetView zoomScale="85" zoomScaleNormal="85" workbookViewId="0">
      <pane ySplit="1" topLeftCell="A423" activePane="bottomLeft" state="frozen"/>
      <selection pane="bottomLeft" activeCell="A423" sqref="A423"/>
    </sheetView>
  </sheetViews>
  <sheetFormatPr defaultColWidth="12.5546875" defaultRowHeight="14.4" x14ac:dyDescent="0.3"/>
  <cols>
    <col min="1" max="1" width="12.5546875" style="11"/>
    <col min="2" max="2" width="12" style="7" customWidth="1"/>
    <col min="3" max="3" width="13.5546875" style="7" customWidth="1"/>
    <col min="4" max="4" width="63.44140625" style="7" customWidth="1"/>
    <col min="5" max="5" width="27.88671875" style="7" customWidth="1"/>
    <col min="6" max="10" width="12.5546875" style="7"/>
    <col min="11" max="11" width="0" style="7" hidden="1" customWidth="1"/>
    <col min="12" max="16384" width="12.5546875" style="7"/>
  </cols>
  <sheetData>
    <row r="1" spans="1:11" ht="32.25" customHeight="1" x14ac:dyDescent="0.3">
      <c r="A1" s="258" t="s">
        <v>54</v>
      </c>
      <c r="B1" s="258" t="s">
        <v>107</v>
      </c>
      <c r="C1" s="258" t="s">
        <v>108</v>
      </c>
      <c r="D1" s="258" t="s">
        <v>109</v>
      </c>
      <c r="E1" s="258" t="s">
        <v>110</v>
      </c>
      <c r="F1" s="258" t="s">
        <v>111</v>
      </c>
      <c r="G1" s="258" t="s">
        <v>112</v>
      </c>
      <c r="H1" s="258" t="s">
        <v>113</v>
      </c>
      <c r="I1" s="259" t="s">
        <v>14</v>
      </c>
      <c r="J1" s="259" t="s">
        <v>114</v>
      </c>
    </row>
    <row r="2" spans="1:11" ht="15.75" customHeight="1" x14ac:dyDescent="0.3">
      <c r="A2" s="57" t="s">
        <v>115</v>
      </c>
      <c r="B2" s="258"/>
      <c r="C2" s="258"/>
      <c r="D2" s="258"/>
      <c r="E2" s="258"/>
      <c r="F2" s="258"/>
      <c r="G2" s="258"/>
      <c r="H2" s="258"/>
      <c r="I2" s="259"/>
      <c r="J2" s="259"/>
    </row>
    <row r="3" spans="1:11" x14ac:dyDescent="0.3">
      <c r="A3" s="8" t="s">
        <v>116</v>
      </c>
      <c r="B3" s="9" t="s">
        <v>59</v>
      </c>
      <c r="C3" s="6" t="s">
        <v>117</v>
      </c>
      <c r="D3" s="6" t="s">
        <v>118</v>
      </c>
      <c r="E3" s="186" t="s">
        <v>34</v>
      </c>
      <c r="F3" s="52">
        <v>2</v>
      </c>
      <c r="G3" s="52">
        <v>1.5</v>
      </c>
      <c r="H3" s="15">
        <f>SUM(F3:G3)</f>
        <v>3.5</v>
      </c>
      <c r="I3" s="134">
        <v>6</v>
      </c>
      <c r="J3" s="16">
        <f>I3*H3</f>
        <v>21</v>
      </c>
      <c r="K3" s="7">
        <f>IF(I3&gt;0,F3,"")</f>
        <v>2</v>
      </c>
    </row>
    <row r="4" spans="1:11" x14ac:dyDescent="0.3">
      <c r="A4" s="8" t="s">
        <v>116</v>
      </c>
      <c r="B4" s="9" t="s">
        <v>59</v>
      </c>
      <c r="C4" s="6" t="s">
        <v>119</v>
      </c>
      <c r="D4" s="6" t="s">
        <v>120</v>
      </c>
      <c r="E4" s="186" t="s">
        <v>34</v>
      </c>
      <c r="F4" s="52">
        <v>2</v>
      </c>
      <c r="G4" s="52">
        <v>1.5</v>
      </c>
      <c r="H4" s="52">
        <f t="shared" ref="H4:H11" si="0">SUM(F4:G4)</f>
        <v>3.5</v>
      </c>
      <c r="I4" s="134">
        <v>6</v>
      </c>
      <c r="J4" s="8">
        <f>I4*H4</f>
        <v>21</v>
      </c>
      <c r="K4" s="7">
        <f t="shared" ref="K4:K67" si="1">IF(I4&gt;0,F4,"")</f>
        <v>2</v>
      </c>
    </row>
    <row r="5" spans="1:11" x14ac:dyDescent="0.3">
      <c r="A5" s="8" t="s">
        <v>116</v>
      </c>
      <c r="B5" s="9" t="s">
        <v>59</v>
      </c>
      <c r="C5" s="6" t="s">
        <v>121</v>
      </c>
      <c r="D5" s="6" t="s">
        <v>122</v>
      </c>
      <c r="E5" s="101"/>
      <c r="F5" s="52">
        <v>3</v>
      </c>
      <c r="G5" s="52"/>
      <c r="H5" s="52">
        <f t="shared" si="0"/>
        <v>3</v>
      </c>
      <c r="I5" s="134">
        <v>6</v>
      </c>
      <c r="J5" s="8">
        <f t="shared" ref="J5:J11" si="2">I5*H5</f>
        <v>18</v>
      </c>
      <c r="K5" s="7">
        <f t="shared" si="1"/>
        <v>3</v>
      </c>
    </row>
    <row r="6" spans="1:11" x14ac:dyDescent="0.3">
      <c r="A6" s="8" t="s">
        <v>116</v>
      </c>
      <c r="B6" s="9" t="s">
        <v>59</v>
      </c>
      <c r="C6" s="6" t="s">
        <v>123</v>
      </c>
      <c r="D6" s="6" t="s">
        <v>124</v>
      </c>
      <c r="E6" s="101"/>
      <c r="F6" s="52">
        <v>1</v>
      </c>
      <c r="G6" s="52"/>
      <c r="H6" s="52">
        <f t="shared" si="0"/>
        <v>1</v>
      </c>
      <c r="I6" s="134">
        <v>6</v>
      </c>
      <c r="J6" s="8">
        <f t="shared" si="2"/>
        <v>6</v>
      </c>
      <c r="K6" s="7">
        <f t="shared" si="1"/>
        <v>1</v>
      </c>
    </row>
    <row r="7" spans="1:11" x14ac:dyDescent="0.3">
      <c r="A7" s="8" t="s">
        <v>116</v>
      </c>
      <c r="B7" s="9" t="s">
        <v>59</v>
      </c>
      <c r="C7" s="6" t="s">
        <v>125</v>
      </c>
      <c r="D7" s="6" t="s">
        <v>126</v>
      </c>
      <c r="E7" s="6" t="s">
        <v>127</v>
      </c>
      <c r="F7" s="52">
        <v>3</v>
      </c>
      <c r="G7" s="52"/>
      <c r="H7" s="52">
        <f t="shared" si="0"/>
        <v>3</v>
      </c>
      <c r="I7" s="134">
        <v>6</v>
      </c>
      <c r="J7" s="8">
        <f t="shared" si="2"/>
        <v>18</v>
      </c>
      <c r="K7" s="7">
        <f t="shared" si="1"/>
        <v>3</v>
      </c>
    </row>
    <row r="8" spans="1:11" x14ac:dyDescent="0.3">
      <c r="A8" s="8" t="s">
        <v>116</v>
      </c>
      <c r="B8" s="9" t="s">
        <v>59</v>
      </c>
      <c r="C8" s="6" t="s">
        <v>128</v>
      </c>
      <c r="D8" s="6" t="s">
        <v>129</v>
      </c>
      <c r="E8" s="101"/>
      <c r="F8" s="52">
        <v>3</v>
      </c>
      <c r="G8" s="52"/>
      <c r="H8" s="52">
        <f t="shared" si="0"/>
        <v>3</v>
      </c>
      <c r="I8" s="134">
        <v>6</v>
      </c>
      <c r="J8" s="8">
        <f t="shared" si="2"/>
        <v>18</v>
      </c>
      <c r="K8" s="7">
        <f t="shared" si="1"/>
        <v>3</v>
      </c>
    </row>
    <row r="9" spans="1:11" x14ac:dyDescent="0.3">
      <c r="A9" s="8" t="s">
        <v>116</v>
      </c>
      <c r="B9" s="9" t="s">
        <v>59</v>
      </c>
      <c r="C9" s="6" t="s">
        <v>130</v>
      </c>
      <c r="D9" s="6" t="s">
        <v>131</v>
      </c>
      <c r="E9" s="6" t="s">
        <v>38</v>
      </c>
      <c r="F9" s="52">
        <v>2</v>
      </c>
      <c r="G9" s="52"/>
      <c r="H9" s="52">
        <f t="shared" si="0"/>
        <v>2</v>
      </c>
      <c r="I9" s="134">
        <v>6</v>
      </c>
      <c r="J9" s="8">
        <f t="shared" si="2"/>
        <v>12</v>
      </c>
      <c r="K9" s="7">
        <f t="shared" si="1"/>
        <v>2</v>
      </c>
    </row>
    <row r="10" spans="1:11" x14ac:dyDescent="0.3">
      <c r="A10" s="8" t="s">
        <v>116</v>
      </c>
      <c r="B10" s="9" t="s">
        <v>59</v>
      </c>
      <c r="C10" s="6" t="s">
        <v>132</v>
      </c>
      <c r="D10" s="6" t="s">
        <v>133</v>
      </c>
      <c r="E10" s="227"/>
      <c r="F10" s="52">
        <v>3</v>
      </c>
      <c r="G10" s="52"/>
      <c r="H10" s="52">
        <f t="shared" si="0"/>
        <v>3</v>
      </c>
      <c r="I10" s="134">
        <v>6</v>
      </c>
      <c r="J10" s="8">
        <f t="shared" si="2"/>
        <v>18</v>
      </c>
      <c r="K10" s="7">
        <f t="shared" si="1"/>
        <v>3</v>
      </c>
    </row>
    <row r="11" spans="1:11" x14ac:dyDescent="0.3">
      <c r="A11" s="8" t="s">
        <v>116</v>
      </c>
      <c r="B11" s="9" t="s">
        <v>59</v>
      </c>
      <c r="C11" s="6" t="s">
        <v>134</v>
      </c>
      <c r="D11" s="6" t="s">
        <v>135</v>
      </c>
      <c r="E11" s="101"/>
      <c r="F11" s="52">
        <v>3</v>
      </c>
      <c r="G11" s="52"/>
      <c r="H11" s="52">
        <f t="shared" si="0"/>
        <v>3</v>
      </c>
      <c r="I11" s="134">
        <v>6</v>
      </c>
      <c r="J11" s="8">
        <f t="shared" si="2"/>
        <v>18</v>
      </c>
      <c r="K11" s="7">
        <f t="shared" si="1"/>
        <v>3</v>
      </c>
    </row>
    <row r="12" spans="1:11" x14ac:dyDescent="0.3">
      <c r="K12" s="7" t="str">
        <f t="shared" si="1"/>
        <v/>
      </c>
    </row>
    <row r="13" spans="1:11" x14ac:dyDescent="0.3">
      <c r="A13" s="57" t="s">
        <v>136</v>
      </c>
      <c r="B13" s="57"/>
      <c r="K13" s="7" t="str">
        <f t="shared" si="1"/>
        <v/>
      </c>
    </row>
    <row r="14" spans="1:11" x14ac:dyDescent="0.3">
      <c r="A14" s="8" t="s">
        <v>116</v>
      </c>
      <c r="B14" s="9" t="s">
        <v>62</v>
      </c>
      <c r="C14" s="6" t="s">
        <v>137</v>
      </c>
      <c r="D14" s="6" t="s">
        <v>138</v>
      </c>
      <c r="E14" s="186" t="s">
        <v>34</v>
      </c>
      <c r="F14" s="52">
        <v>2</v>
      </c>
      <c r="G14" s="52">
        <v>1.5</v>
      </c>
      <c r="H14" s="41">
        <f t="shared" ref="H14:H88" si="3">SUM(F14:G14)</f>
        <v>3.5</v>
      </c>
      <c r="I14" s="134">
        <v>5</v>
      </c>
      <c r="J14" s="8">
        <f>I14*H14</f>
        <v>17.5</v>
      </c>
      <c r="K14" s="7">
        <f t="shared" si="1"/>
        <v>2</v>
      </c>
    </row>
    <row r="15" spans="1:11" x14ac:dyDescent="0.3">
      <c r="A15" s="8" t="s">
        <v>116</v>
      </c>
      <c r="B15" s="9" t="s">
        <v>62</v>
      </c>
      <c r="C15" s="6" t="s">
        <v>139</v>
      </c>
      <c r="D15" s="6" t="s">
        <v>140</v>
      </c>
      <c r="E15" s="6" t="s">
        <v>141</v>
      </c>
      <c r="F15" s="52">
        <v>3</v>
      </c>
      <c r="G15" s="52"/>
      <c r="H15" s="41">
        <f t="shared" si="3"/>
        <v>3</v>
      </c>
      <c r="I15" s="134">
        <v>5</v>
      </c>
      <c r="J15" s="8">
        <f t="shared" ref="J15:J21" si="4">I15*H15</f>
        <v>15</v>
      </c>
      <c r="K15" s="7">
        <f t="shared" si="1"/>
        <v>3</v>
      </c>
    </row>
    <row r="16" spans="1:11" x14ac:dyDescent="0.3">
      <c r="A16" s="8" t="s">
        <v>116</v>
      </c>
      <c r="B16" s="9" t="s">
        <v>62</v>
      </c>
      <c r="C16" s="6" t="s">
        <v>142</v>
      </c>
      <c r="D16" s="6" t="s">
        <v>143</v>
      </c>
      <c r="E16" s="6" t="s">
        <v>38</v>
      </c>
      <c r="F16" s="52">
        <v>2</v>
      </c>
      <c r="G16" s="52"/>
      <c r="H16" s="41">
        <f t="shared" si="3"/>
        <v>2</v>
      </c>
      <c r="I16" s="134">
        <v>5</v>
      </c>
      <c r="J16" s="8">
        <f t="shared" si="4"/>
        <v>10</v>
      </c>
      <c r="K16" s="7">
        <f t="shared" si="1"/>
        <v>2</v>
      </c>
    </row>
    <row r="17" spans="1:11" x14ac:dyDescent="0.3">
      <c r="A17" s="8" t="s">
        <v>116</v>
      </c>
      <c r="B17" s="9" t="s">
        <v>62</v>
      </c>
      <c r="C17" s="6" t="s">
        <v>144</v>
      </c>
      <c r="D17" s="6" t="s">
        <v>145</v>
      </c>
      <c r="E17" s="6" t="s">
        <v>141</v>
      </c>
      <c r="F17" s="52">
        <v>3</v>
      </c>
      <c r="G17" s="52"/>
      <c r="H17" s="41">
        <f t="shared" si="3"/>
        <v>3</v>
      </c>
      <c r="I17" s="134">
        <v>5</v>
      </c>
      <c r="J17" s="8">
        <f t="shared" si="4"/>
        <v>15</v>
      </c>
      <c r="K17" s="7">
        <f t="shared" si="1"/>
        <v>3</v>
      </c>
    </row>
    <row r="18" spans="1:11" x14ac:dyDescent="0.3">
      <c r="A18" s="8" t="s">
        <v>116</v>
      </c>
      <c r="B18" s="9" t="s">
        <v>62</v>
      </c>
      <c r="C18" s="6" t="s">
        <v>146</v>
      </c>
      <c r="D18" s="6" t="s">
        <v>147</v>
      </c>
      <c r="E18" s="186" t="s">
        <v>34</v>
      </c>
      <c r="F18" s="52">
        <v>2</v>
      </c>
      <c r="G18" s="52">
        <v>1.5</v>
      </c>
      <c r="H18" s="41">
        <f t="shared" si="3"/>
        <v>3.5</v>
      </c>
      <c r="I18" s="134">
        <v>5</v>
      </c>
      <c r="J18" s="8">
        <f t="shared" si="4"/>
        <v>17.5</v>
      </c>
      <c r="K18" s="7">
        <f t="shared" si="1"/>
        <v>2</v>
      </c>
    </row>
    <row r="19" spans="1:11" x14ac:dyDescent="0.3">
      <c r="A19" s="8" t="s">
        <v>116</v>
      </c>
      <c r="B19" s="9" t="s">
        <v>62</v>
      </c>
      <c r="C19" s="6"/>
      <c r="D19" s="6" t="s">
        <v>148</v>
      </c>
      <c r="E19" s="101"/>
      <c r="F19" s="52">
        <v>2</v>
      </c>
      <c r="G19" s="52">
        <v>1.5</v>
      </c>
      <c r="H19" s="41">
        <f t="shared" si="3"/>
        <v>3.5</v>
      </c>
      <c r="I19" s="134">
        <v>5</v>
      </c>
      <c r="J19" s="8">
        <f t="shared" si="4"/>
        <v>17.5</v>
      </c>
      <c r="K19" s="7">
        <f t="shared" si="1"/>
        <v>2</v>
      </c>
    </row>
    <row r="20" spans="1:11" x14ac:dyDescent="0.3">
      <c r="A20" s="8" t="s">
        <v>116</v>
      </c>
      <c r="B20" s="9" t="s">
        <v>62</v>
      </c>
      <c r="C20" s="6" t="s">
        <v>149</v>
      </c>
      <c r="D20" s="6" t="s">
        <v>150</v>
      </c>
      <c r="E20" s="186" t="s">
        <v>34</v>
      </c>
      <c r="F20" s="52">
        <v>3</v>
      </c>
      <c r="G20" s="52"/>
      <c r="H20" s="41">
        <f t="shared" si="3"/>
        <v>3</v>
      </c>
      <c r="I20" s="134">
        <v>5</v>
      </c>
      <c r="J20" s="8">
        <f t="shared" si="4"/>
        <v>15</v>
      </c>
      <c r="K20" s="7">
        <f t="shared" si="1"/>
        <v>3</v>
      </c>
    </row>
    <row r="21" spans="1:11" x14ac:dyDescent="0.3">
      <c r="A21" s="8" t="s">
        <v>116</v>
      </c>
      <c r="B21" s="9" t="s">
        <v>62</v>
      </c>
      <c r="C21" s="6" t="s">
        <v>151</v>
      </c>
      <c r="D21" s="6" t="s">
        <v>152</v>
      </c>
      <c r="E21" s="186" t="s">
        <v>34</v>
      </c>
      <c r="F21" s="52">
        <v>2</v>
      </c>
      <c r="G21" s="52">
        <v>1.5</v>
      </c>
      <c r="H21" s="41">
        <f t="shared" si="3"/>
        <v>3.5</v>
      </c>
      <c r="I21" s="134">
        <v>5</v>
      </c>
      <c r="J21" s="8">
        <f t="shared" si="4"/>
        <v>17.5</v>
      </c>
      <c r="K21" s="7">
        <f t="shared" si="1"/>
        <v>2</v>
      </c>
    </row>
    <row r="22" spans="1:11" x14ac:dyDescent="0.3">
      <c r="K22" s="7" t="str">
        <f t="shared" si="1"/>
        <v/>
      </c>
    </row>
    <row r="23" spans="1:11" x14ac:dyDescent="0.3">
      <c r="A23" s="57" t="s">
        <v>136</v>
      </c>
      <c r="B23" s="57"/>
      <c r="K23" s="7" t="str">
        <f t="shared" si="1"/>
        <v/>
      </c>
    </row>
    <row r="24" spans="1:11" x14ac:dyDescent="0.3">
      <c r="A24" s="8" t="s">
        <v>116</v>
      </c>
      <c r="B24" s="9" t="s">
        <v>66</v>
      </c>
      <c r="C24" s="6" t="s">
        <v>153</v>
      </c>
      <c r="D24" s="6" t="s">
        <v>154</v>
      </c>
      <c r="E24" s="186" t="s">
        <v>34</v>
      </c>
      <c r="F24" s="52">
        <v>2</v>
      </c>
      <c r="G24" s="52">
        <v>1.5</v>
      </c>
      <c r="H24" s="52">
        <f t="shared" si="3"/>
        <v>3.5</v>
      </c>
      <c r="I24" s="134">
        <v>4</v>
      </c>
      <c r="J24" s="8">
        <f>I24*H24</f>
        <v>14</v>
      </c>
      <c r="K24" s="7">
        <f t="shared" si="1"/>
        <v>2</v>
      </c>
    </row>
    <row r="25" spans="1:11" x14ac:dyDescent="0.3">
      <c r="A25" s="8" t="s">
        <v>116</v>
      </c>
      <c r="B25" s="9" t="s">
        <v>66</v>
      </c>
      <c r="C25" s="6" t="s">
        <v>155</v>
      </c>
      <c r="D25" s="6" t="s">
        <v>156</v>
      </c>
      <c r="E25" s="186" t="s">
        <v>34</v>
      </c>
      <c r="F25" s="52">
        <v>2</v>
      </c>
      <c r="G25" s="52">
        <v>1.5</v>
      </c>
      <c r="H25" s="52">
        <f t="shared" si="3"/>
        <v>3.5</v>
      </c>
      <c r="I25" s="134">
        <v>4</v>
      </c>
      <c r="J25" s="8">
        <f t="shared" ref="J25:J30" si="5">I25*H25</f>
        <v>14</v>
      </c>
      <c r="K25" s="7">
        <f t="shared" si="1"/>
        <v>2</v>
      </c>
    </row>
    <row r="26" spans="1:11" x14ac:dyDescent="0.3">
      <c r="A26" s="8" t="s">
        <v>116</v>
      </c>
      <c r="B26" s="9" t="s">
        <v>66</v>
      </c>
      <c r="C26" s="6" t="s">
        <v>157</v>
      </c>
      <c r="D26" s="6" t="s">
        <v>158</v>
      </c>
      <c r="E26" s="186" t="s">
        <v>34</v>
      </c>
      <c r="F26" s="52">
        <v>2</v>
      </c>
      <c r="G26" s="52">
        <v>1.5</v>
      </c>
      <c r="H26" s="52">
        <f t="shared" si="3"/>
        <v>3.5</v>
      </c>
      <c r="I26" s="134">
        <v>4</v>
      </c>
      <c r="J26" s="8">
        <f t="shared" si="5"/>
        <v>14</v>
      </c>
      <c r="K26" s="7">
        <f t="shared" si="1"/>
        <v>2</v>
      </c>
    </row>
    <row r="27" spans="1:11" ht="18.75" customHeight="1" x14ac:dyDescent="0.3">
      <c r="A27" s="8" t="s">
        <v>116</v>
      </c>
      <c r="B27" s="9" t="s">
        <v>66</v>
      </c>
      <c r="C27" s="6" t="s">
        <v>159</v>
      </c>
      <c r="D27" s="6" t="s">
        <v>160</v>
      </c>
      <c r="E27" s="186" t="s">
        <v>34</v>
      </c>
      <c r="F27" s="52">
        <v>3</v>
      </c>
      <c r="G27" s="52"/>
      <c r="H27" s="52">
        <f t="shared" si="3"/>
        <v>3</v>
      </c>
      <c r="I27" s="134">
        <v>4</v>
      </c>
      <c r="J27" s="8">
        <f t="shared" si="5"/>
        <v>12</v>
      </c>
      <c r="K27" s="7">
        <f t="shared" si="1"/>
        <v>3</v>
      </c>
    </row>
    <row r="28" spans="1:11" ht="18" customHeight="1" x14ac:dyDescent="0.3">
      <c r="A28" s="8" t="s">
        <v>116</v>
      </c>
      <c r="B28" s="9" t="s">
        <v>66</v>
      </c>
      <c r="C28" s="6" t="s">
        <v>161</v>
      </c>
      <c r="D28" s="6" t="s">
        <v>162</v>
      </c>
      <c r="E28" s="186" t="s">
        <v>34</v>
      </c>
      <c r="F28" s="52">
        <v>3</v>
      </c>
      <c r="G28" s="52"/>
      <c r="H28" s="52">
        <f t="shared" si="3"/>
        <v>3</v>
      </c>
      <c r="I28" s="134">
        <v>4</v>
      </c>
      <c r="J28" s="8">
        <f t="shared" si="5"/>
        <v>12</v>
      </c>
      <c r="K28" s="7">
        <f t="shared" si="1"/>
        <v>3</v>
      </c>
    </row>
    <row r="29" spans="1:11" x14ac:dyDescent="0.3">
      <c r="A29" s="8" t="s">
        <v>116</v>
      </c>
      <c r="B29" s="9" t="s">
        <v>66</v>
      </c>
      <c r="C29" s="6"/>
      <c r="D29" s="6" t="s">
        <v>163</v>
      </c>
      <c r="E29" s="186" t="s">
        <v>34</v>
      </c>
      <c r="F29" s="52">
        <v>2</v>
      </c>
      <c r="G29" s="52">
        <v>1.5</v>
      </c>
      <c r="H29" s="52">
        <f t="shared" si="3"/>
        <v>3.5</v>
      </c>
      <c r="I29" s="134">
        <v>4</v>
      </c>
      <c r="J29" s="8">
        <f t="shared" si="5"/>
        <v>14</v>
      </c>
      <c r="K29" s="7">
        <f t="shared" si="1"/>
        <v>2</v>
      </c>
    </row>
    <row r="30" spans="1:11" x14ac:dyDescent="0.3">
      <c r="A30" s="8" t="s">
        <v>116</v>
      </c>
      <c r="B30" s="9" t="s">
        <v>66</v>
      </c>
      <c r="C30" s="6" t="s">
        <v>164</v>
      </c>
      <c r="D30" s="6" t="s">
        <v>165</v>
      </c>
      <c r="E30" s="186" t="s">
        <v>34</v>
      </c>
      <c r="F30" s="52">
        <v>2</v>
      </c>
      <c r="G30" s="52">
        <v>1.5</v>
      </c>
      <c r="H30" s="52">
        <f t="shared" si="3"/>
        <v>3.5</v>
      </c>
      <c r="I30" s="134">
        <v>4</v>
      </c>
      <c r="J30" s="8">
        <f t="shared" si="5"/>
        <v>14</v>
      </c>
      <c r="K30" s="7">
        <f t="shared" si="1"/>
        <v>2</v>
      </c>
    </row>
    <row r="31" spans="1:11" x14ac:dyDescent="0.3">
      <c r="K31" s="7" t="str">
        <f t="shared" si="1"/>
        <v/>
      </c>
    </row>
    <row r="32" spans="1:11" x14ac:dyDescent="0.3">
      <c r="A32" s="57" t="s">
        <v>166</v>
      </c>
      <c r="B32" s="60"/>
      <c r="K32" s="7" t="str">
        <f t="shared" si="1"/>
        <v/>
      </c>
    </row>
    <row r="33" spans="1:11" x14ac:dyDescent="0.3">
      <c r="A33" s="62" t="s">
        <v>116</v>
      </c>
      <c r="B33" s="9" t="s">
        <v>71</v>
      </c>
      <c r="C33" s="56" t="s">
        <v>167</v>
      </c>
      <c r="D33" s="56" t="s">
        <v>168</v>
      </c>
      <c r="E33" s="101"/>
      <c r="F33" s="53">
        <v>1</v>
      </c>
      <c r="G33" s="53"/>
      <c r="H33" s="52">
        <f t="shared" si="3"/>
        <v>1</v>
      </c>
      <c r="I33" s="134">
        <v>3</v>
      </c>
      <c r="J33" s="8">
        <f t="shared" ref="J33" si="6">I33*H33</f>
        <v>3</v>
      </c>
      <c r="K33" s="7">
        <f t="shared" si="1"/>
        <v>1</v>
      </c>
    </row>
    <row r="34" spans="1:11" x14ac:dyDescent="0.3">
      <c r="A34" s="8" t="s">
        <v>116</v>
      </c>
      <c r="B34" s="9" t="s">
        <v>71</v>
      </c>
      <c r="C34" s="56" t="s">
        <v>169</v>
      </c>
      <c r="D34" s="56" t="s">
        <v>170</v>
      </c>
      <c r="E34" s="186" t="s">
        <v>34</v>
      </c>
      <c r="F34" s="187">
        <v>2</v>
      </c>
      <c r="G34" s="187"/>
      <c r="H34" s="41">
        <f t="shared" ref="H34:H37" si="7">SUM(F34:G34)</f>
        <v>2</v>
      </c>
      <c r="I34" s="134">
        <v>3</v>
      </c>
      <c r="J34" s="8">
        <f t="shared" ref="J34:J39" si="8">I34*H34</f>
        <v>6</v>
      </c>
      <c r="K34" s="7">
        <f t="shared" si="1"/>
        <v>2</v>
      </c>
    </row>
    <row r="35" spans="1:11" x14ac:dyDescent="0.3">
      <c r="A35" s="8" t="s">
        <v>116</v>
      </c>
      <c r="B35" s="9" t="s">
        <v>71</v>
      </c>
      <c r="C35" s="56"/>
      <c r="D35" s="56" t="s">
        <v>171</v>
      </c>
      <c r="E35" s="186" t="s">
        <v>34</v>
      </c>
      <c r="F35" s="13">
        <v>2</v>
      </c>
      <c r="G35" s="13">
        <v>1.5</v>
      </c>
      <c r="H35" s="41">
        <f t="shared" si="7"/>
        <v>3.5</v>
      </c>
      <c r="I35" s="134">
        <v>3</v>
      </c>
      <c r="J35" s="8">
        <f t="shared" si="8"/>
        <v>10.5</v>
      </c>
      <c r="K35" s="7">
        <f t="shared" si="1"/>
        <v>2</v>
      </c>
    </row>
    <row r="36" spans="1:11" x14ac:dyDescent="0.3">
      <c r="A36" s="8" t="s">
        <v>116</v>
      </c>
      <c r="B36" s="9" t="s">
        <v>71</v>
      </c>
      <c r="C36" s="56" t="s">
        <v>172</v>
      </c>
      <c r="D36" s="56" t="s">
        <v>173</v>
      </c>
      <c r="E36" s="186" t="s">
        <v>34</v>
      </c>
      <c r="F36" s="13">
        <v>2</v>
      </c>
      <c r="G36" s="13">
        <v>1.5</v>
      </c>
      <c r="H36" s="41">
        <f t="shared" si="7"/>
        <v>3.5</v>
      </c>
      <c r="I36" s="134">
        <v>3</v>
      </c>
      <c r="J36" s="8">
        <f t="shared" si="8"/>
        <v>10.5</v>
      </c>
      <c r="K36" s="7">
        <f t="shared" si="1"/>
        <v>2</v>
      </c>
    </row>
    <row r="37" spans="1:11" x14ac:dyDescent="0.3">
      <c r="A37" s="8" t="s">
        <v>116</v>
      </c>
      <c r="B37" s="9" t="s">
        <v>71</v>
      </c>
      <c r="C37" s="56" t="s">
        <v>174</v>
      </c>
      <c r="D37" s="56" t="s">
        <v>175</v>
      </c>
      <c r="E37" s="186" t="s">
        <v>34</v>
      </c>
      <c r="F37" s="13">
        <v>3</v>
      </c>
      <c r="G37" s="13"/>
      <c r="H37" s="41">
        <f t="shared" si="7"/>
        <v>3</v>
      </c>
      <c r="I37" s="134">
        <v>3</v>
      </c>
      <c r="J37" s="8">
        <f t="shared" si="8"/>
        <v>9</v>
      </c>
      <c r="K37" s="7">
        <f t="shared" si="1"/>
        <v>3</v>
      </c>
    </row>
    <row r="38" spans="1:11" x14ac:dyDescent="0.3">
      <c r="A38" s="8" t="s">
        <v>116</v>
      </c>
      <c r="B38" s="9" t="s">
        <v>71</v>
      </c>
      <c r="C38" s="56" t="s">
        <v>176</v>
      </c>
      <c r="D38" s="56" t="s">
        <v>177</v>
      </c>
      <c r="E38" s="186" t="s">
        <v>34</v>
      </c>
      <c r="F38" s="13">
        <v>2</v>
      </c>
      <c r="G38" s="13">
        <v>1.5</v>
      </c>
      <c r="H38" s="41">
        <f t="shared" ref="H38:H39" si="9">SUM(F38:G38)</f>
        <v>3.5</v>
      </c>
      <c r="I38" s="134">
        <v>3</v>
      </c>
      <c r="J38" s="8">
        <f t="shared" si="8"/>
        <v>10.5</v>
      </c>
      <c r="K38" s="7">
        <f t="shared" si="1"/>
        <v>2</v>
      </c>
    </row>
    <row r="39" spans="1:11" x14ac:dyDescent="0.3">
      <c r="A39" s="8" t="s">
        <v>116</v>
      </c>
      <c r="B39" s="9" t="s">
        <v>71</v>
      </c>
      <c r="C39" s="56" t="s">
        <v>178</v>
      </c>
      <c r="D39" s="56" t="s">
        <v>179</v>
      </c>
      <c r="E39" s="186" t="s">
        <v>34</v>
      </c>
      <c r="F39" s="13">
        <v>2</v>
      </c>
      <c r="G39" s="13">
        <v>1.5</v>
      </c>
      <c r="H39" s="41">
        <f t="shared" si="9"/>
        <v>3.5</v>
      </c>
      <c r="I39" s="134">
        <v>3</v>
      </c>
      <c r="J39" s="8">
        <f t="shared" si="8"/>
        <v>10.5</v>
      </c>
      <c r="K39" s="7">
        <f t="shared" si="1"/>
        <v>2</v>
      </c>
    </row>
    <row r="40" spans="1:11" x14ac:dyDescent="0.3">
      <c r="K40" s="7" t="str">
        <f t="shared" si="1"/>
        <v/>
      </c>
    </row>
    <row r="41" spans="1:11" x14ac:dyDescent="0.3">
      <c r="A41" s="57" t="s">
        <v>180</v>
      </c>
      <c r="K41" s="7" t="str">
        <f t="shared" si="1"/>
        <v/>
      </c>
    </row>
    <row r="42" spans="1:11" ht="15" customHeight="1" x14ac:dyDescent="0.3">
      <c r="A42" s="9" t="s">
        <v>181</v>
      </c>
      <c r="B42" s="9" t="s">
        <v>59</v>
      </c>
      <c r="C42" s="56" t="s">
        <v>117</v>
      </c>
      <c r="D42" s="56" t="s">
        <v>118</v>
      </c>
      <c r="E42" s="186" t="s">
        <v>34</v>
      </c>
      <c r="F42" s="52">
        <v>2</v>
      </c>
      <c r="G42" s="52">
        <v>1.5</v>
      </c>
      <c r="H42" s="52">
        <f t="shared" si="3"/>
        <v>3.5</v>
      </c>
      <c r="I42" s="132">
        <v>1</v>
      </c>
      <c r="J42" s="10">
        <f>I42*H42</f>
        <v>3.5</v>
      </c>
      <c r="K42" s="7">
        <f t="shared" si="1"/>
        <v>2</v>
      </c>
    </row>
    <row r="43" spans="1:11" ht="15" customHeight="1" x14ac:dyDescent="0.3">
      <c r="A43" s="9" t="s">
        <v>181</v>
      </c>
      <c r="B43" s="9" t="s">
        <v>59</v>
      </c>
      <c r="C43" s="56" t="s">
        <v>119</v>
      </c>
      <c r="D43" s="56" t="s">
        <v>120</v>
      </c>
      <c r="E43" s="186" t="s">
        <v>34</v>
      </c>
      <c r="F43" s="52">
        <v>2</v>
      </c>
      <c r="G43" s="52">
        <v>1.5</v>
      </c>
      <c r="H43" s="52">
        <f t="shared" si="3"/>
        <v>3.5</v>
      </c>
      <c r="I43" s="132">
        <v>1</v>
      </c>
      <c r="J43" s="10">
        <f t="shared" ref="J43:J49" si="10">I43*H43</f>
        <v>3.5</v>
      </c>
      <c r="K43" s="7">
        <f t="shared" si="1"/>
        <v>2</v>
      </c>
    </row>
    <row r="44" spans="1:11" ht="15" customHeight="1" x14ac:dyDescent="0.3">
      <c r="A44" s="9" t="s">
        <v>181</v>
      </c>
      <c r="B44" s="9" t="s">
        <v>59</v>
      </c>
      <c r="C44" s="56" t="s">
        <v>121</v>
      </c>
      <c r="D44" s="56" t="s">
        <v>122</v>
      </c>
      <c r="E44" s="101"/>
      <c r="F44" s="52">
        <v>3</v>
      </c>
      <c r="G44" s="52"/>
      <c r="H44" s="52">
        <f t="shared" si="3"/>
        <v>3</v>
      </c>
      <c r="I44" s="132">
        <v>1</v>
      </c>
      <c r="J44" s="10">
        <f t="shared" si="10"/>
        <v>3</v>
      </c>
      <c r="K44" s="7">
        <f t="shared" si="1"/>
        <v>3</v>
      </c>
    </row>
    <row r="45" spans="1:11" x14ac:dyDescent="0.3">
      <c r="A45" s="9" t="s">
        <v>181</v>
      </c>
      <c r="B45" s="9" t="s">
        <v>59</v>
      </c>
      <c r="C45" s="56" t="s">
        <v>123</v>
      </c>
      <c r="D45" s="56" t="s">
        <v>124</v>
      </c>
      <c r="E45" s="101"/>
      <c r="F45" s="52">
        <v>1</v>
      </c>
      <c r="G45" s="52"/>
      <c r="H45" s="52">
        <f t="shared" si="3"/>
        <v>1</v>
      </c>
      <c r="I45" s="132">
        <v>1</v>
      </c>
      <c r="J45" s="10">
        <f t="shared" si="10"/>
        <v>1</v>
      </c>
      <c r="K45" s="7">
        <f t="shared" si="1"/>
        <v>1</v>
      </c>
    </row>
    <row r="46" spans="1:11" ht="15" customHeight="1" x14ac:dyDescent="0.3">
      <c r="A46" s="9" t="s">
        <v>181</v>
      </c>
      <c r="B46" s="9" t="s">
        <v>59</v>
      </c>
      <c r="C46" s="56" t="s">
        <v>125</v>
      </c>
      <c r="D46" s="56" t="s">
        <v>126</v>
      </c>
      <c r="E46" s="6" t="s">
        <v>127</v>
      </c>
      <c r="F46" s="52">
        <v>3</v>
      </c>
      <c r="G46" s="52"/>
      <c r="H46" s="52">
        <f t="shared" si="3"/>
        <v>3</v>
      </c>
      <c r="I46" s="132">
        <v>1</v>
      </c>
      <c r="J46" s="10">
        <f t="shared" si="10"/>
        <v>3</v>
      </c>
      <c r="K46" s="7">
        <f t="shared" si="1"/>
        <v>3</v>
      </c>
    </row>
    <row r="47" spans="1:11" ht="15" customHeight="1" x14ac:dyDescent="0.3">
      <c r="A47" s="9" t="s">
        <v>181</v>
      </c>
      <c r="B47" s="9" t="s">
        <v>59</v>
      </c>
      <c r="C47" s="56" t="s">
        <v>128</v>
      </c>
      <c r="D47" s="56" t="s">
        <v>129</v>
      </c>
      <c r="E47" s="101"/>
      <c r="F47" s="52">
        <v>3</v>
      </c>
      <c r="G47" s="52"/>
      <c r="H47" s="52">
        <f t="shared" si="3"/>
        <v>3</v>
      </c>
      <c r="I47" s="132">
        <v>1</v>
      </c>
      <c r="J47" s="10">
        <f t="shared" si="10"/>
        <v>3</v>
      </c>
      <c r="K47" s="7">
        <f t="shared" si="1"/>
        <v>3</v>
      </c>
    </row>
    <row r="48" spans="1:11" ht="15" customHeight="1" x14ac:dyDescent="0.3">
      <c r="A48" s="9" t="s">
        <v>181</v>
      </c>
      <c r="B48" s="9" t="s">
        <v>59</v>
      </c>
      <c r="C48" s="56" t="s">
        <v>130</v>
      </c>
      <c r="D48" s="56" t="s">
        <v>131</v>
      </c>
      <c r="E48" s="6" t="s">
        <v>38</v>
      </c>
      <c r="F48" s="52">
        <v>2</v>
      </c>
      <c r="G48" s="52"/>
      <c r="H48" s="52">
        <f t="shared" si="3"/>
        <v>2</v>
      </c>
      <c r="I48" s="132">
        <v>1</v>
      </c>
      <c r="J48" s="10">
        <f t="shared" si="10"/>
        <v>2</v>
      </c>
      <c r="K48" s="7">
        <f t="shared" si="1"/>
        <v>2</v>
      </c>
    </row>
    <row r="49" spans="1:11" x14ac:dyDescent="0.3">
      <c r="A49" s="9" t="s">
        <v>181</v>
      </c>
      <c r="B49" s="3" t="s">
        <v>59</v>
      </c>
      <c r="C49" s="56" t="s">
        <v>134</v>
      </c>
      <c r="D49" s="56" t="s">
        <v>135</v>
      </c>
      <c r="E49" s="101"/>
      <c r="F49" s="52">
        <v>3</v>
      </c>
      <c r="G49" s="52"/>
      <c r="H49" s="52">
        <f t="shared" si="3"/>
        <v>3</v>
      </c>
      <c r="I49" s="132">
        <v>1</v>
      </c>
      <c r="J49" s="10">
        <f t="shared" si="10"/>
        <v>3</v>
      </c>
      <c r="K49" s="7">
        <f t="shared" si="1"/>
        <v>3</v>
      </c>
    </row>
    <row r="50" spans="1:11" x14ac:dyDescent="0.3">
      <c r="K50" s="7" t="str">
        <f t="shared" si="1"/>
        <v/>
      </c>
    </row>
    <row r="51" spans="1:11" x14ac:dyDescent="0.3">
      <c r="A51" s="57" t="s">
        <v>182</v>
      </c>
      <c r="K51" s="7" t="str">
        <f t="shared" si="1"/>
        <v/>
      </c>
    </row>
    <row r="52" spans="1:11" x14ac:dyDescent="0.3">
      <c r="A52" s="9" t="s">
        <v>181</v>
      </c>
      <c r="B52" s="3" t="s">
        <v>62</v>
      </c>
      <c r="C52" s="56" t="s">
        <v>137</v>
      </c>
      <c r="D52" s="56" t="s">
        <v>138</v>
      </c>
      <c r="E52" s="186" t="s">
        <v>34</v>
      </c>
      <c r="F52" s="52">
        <v>2</v>
      </c>
      <c r="G52" s="52">
        <v>1.5</v>
      </c>
      <c r="H52" s="52">
        <f t="shared" si="3"/>
        <v>3.5</v>
      </c>
      <c r="I52" s="132">
        <v>1</v>
      </c>
      <c r="J52" s="10">
        <f>I52*H52</f>
        <v>3.5</v>
      </c>
      <c r="K52" s="7">
        <f t="shared" si="1"/>
        <v>2</v>
      </c>
    </row>
    <row r="53" spans="1:11" x14ac:dyDescent="0.3">
      <c r="A53" s="9" t="s">
        <v>181</v>
      </c>
      <c r="B53" s="3" t="s">
        <v>62</v>
      </c>
      <c r="C53" s="56" t="s">
        <v>183</v>
      </c>
      <c r="D53" s="56" t="s">
        <v>184</v>
      </c>
      <c r="E53" s="186" t="s">
        <v>34</v>
      </c>
      <c r="F53" s="52">
        <v>3</v>
      </c>
      <c r="G53" s="52"/>
      <c r="H53" s="52">
        <f>SUM(F53:G53)</f>
        <v>3</v>
      </c>
      <c r="I53" s="132">
        <v>1</v>
      </c>
      <c r="J53" s="10">
        <f>I53*H53</f>
        <v>3</v>
      </c>
      <c r="K53" s="7">
        <f t="shared" si="1"/>
        <v>3</v>
      </c>
    </row>
    <row r="54" spans="1:11" x14ac:dyDescent="0.3">
      <c r="A54" s="9" t="s">
        <v>181</v>
      </c>
      <c r="B54" s="3" t="s">
        <v>62</v>
      </c>
      <c r="C54" s="56" t="s">
        <v>185</v>
      </c>
      <c r="D54" s="56" t="s">
        <v>186</v>
      </c>
      <c r="E54" s="6" t="s">
        <v>20</v>
      </c>
      <c r="F54" s="52">
        <v>3</v>
      </c>
      <c r="G54" s="52"/>
      <c r="H54" s="52">
        <f t="shared" si="3"/>
        <v>3</v>
      </c>
      <c r="I54" s="132">
        <v>1</v>
      </c>
      <c r="J54" s="10">
        <f t="shared" ref="J54:J59" si="11">I54*H54</f>
        <v>3</v>
      </c>
      <c r="K54" s="7">
        <f t="shared" si="1"/>
        <v>3</v>
      </c>
    </row>
    <row r="55" spans="1:11" x14ac:dyDescent="0.3">
      <c r="A55" s="9" t="s">
        <v>181</v>
      </c>
      <c r="B55" s="63" t="s">
        <v>62</v>
      </c>
      <c r="C55" s="56" t="s">
        <v>142</v>
      </c>
      <c r="D55" s="56" t="s">
        <v>143</v>
      </c>
      <c r="E55" s="6" t="s">
        <v>38</v>
      </c>
      <c r="F55" s="52">
        <v>2</v>
      </c>
      <c r="G55" s="52"/>
      <c r="H55" s="52">
        <f t="shared" si="3"/>
        <v>2</v>
      </c>
      <c r="I55" s="132">
        <v>1</v>
      </c>
      <c r="J55" s="10">
        <f t="shared" si="11"/>
        <v>2</v>
      </c>
      <c r="K55" s="7">
        <f t="shared" si="1"/>
        <v>2</v>
      </c>
    </row>
    <row r="56" spans="1:11" x14ac:dyDescent="0.3">
      <c r="A56" s="9" t="s">
        <v>181</v>
      </c>
      <c r="B56" s="9" t="s">
        <v>62</v>
      </c>
      <c r="C56" s="56" t="s">
        <v>139</v>
      </c>
      <c r="D56" s="56" t="s">
        <v>140</v>
      </c>
      <c r="E56" s="6" t="s">
        <v>141</v>
      </c>
      <c r="F56" s="52">
        <v>3</v>
      </c>
      <c r="G56" s="52"/>
      <c r="H56" s="52">
        <f t="shared" si="3"/>
        <v>3</v>
      </c>
      <c r="I56" s="132">
        <v>1</v>
      </c>
      <c r="J56" s="10">
        <f t="shared" si="11"/>
        <v>3</v>
      </c>
      <c r="K56" s="7">
        <f t="shared" si="1"/>
        <v>3</v>
      </c>
    </row>
    <row r="57" spans="1:11" x14ac:dyDescent="0.3">
      <c r="A57" s="9" t="s">
        <v>181</v>
      </c>
      <c r="B57" s="9" t="s">
        <v>62</v>
      </c>
      <c r="C57" s="56" t="s">
        <v>149</v>
      </c>
      <c r="D57" s="56" t="s">
        <v>150</v>
      </c>
      <c r="E57" s="186" t="s">
        <v>34</v>
      </c>
      <c r="F57" s="52">
        <v>3</v>
      </c>
      <c r="G57" s="52"/>
      <c r="H57" s="52">
        <f t="shared" si="3"/>
        <v>3</v>
      </c>
      <c r="I57" s="132">
        <v>1</v>
      </c>
      <c r="J57" s="10">
        <f t="shared" si="11"/>
        <v>3</v>
      </c>
      <c r="K57" s="7">
        <f t="shared" si="1"/>
        <v>3</v>
      </c>
    </row>
    <row r="58" spans="1:11" x14ac:dyDescent="0.3">
      <c r="A58" s="9" t="s">
        <v>181</v>
      </c>
      <c r="B58" s="63" t="s">
        <v>62</v>
      </c>
      <c r="C58" s="56" t="s">
        <v>187</v>
      </c>
      <c r="D58" s="56" t="s">
        <v>188</v>
      </c>
      <c r="E58" s="186" t="s">
        <v>34</v>
      </c>
      <c r="F58" s="52">
        <v>2</v>
      </c>
      <c r="G58" s="52">
        <v>1.5</v>
      </c>
      <c r="H58" s="52">
        <f t="shared" si="3"/>
        <v>3.5</v>
      </c>
      <c r="I58" s="132">
        <v>1</v>
      </c>
      <c r="J58" s="10">
        <f t="shared" si="11"/>
        <v>3.5</v>
      </c>
      <c r="K58" s="7">
        <f t="shared" si="1"/>
        <v>2</v>
      </c>
    </row>
    <row r="59" spans="1:11" x14ac:dyDescent="0.3">
      <c r="A59" s="9" t="s">
        <v>181</v>
      </c>
      <c r="B59" s="9" t="s">
        <v>62</v>
      </c>
      <c r="C59" s="56" t="s">
        <v>144</v>
      </c>
      <c r="D59" s="56" t="s">
        <v>145</v>
      </c>
      <c r="E59" s="6" t="s">
        <v>141</v>
      </c>
      <c r="F59" s="52">
        <v>3</v>
      </c>
      <c r="G59" s="52"/>
      <c r="H59" s="52">
        <f t="shared" si="3"/>
        <v>3</v>
      </c>
      <c r="I59" s="132">
        <v>1</v>
      </c>
      <c r="J59" s="10">
        <f t="shared" si="11"/>
        <v>3</v>
      </c>
      <c r="K59" s="7">
        <f t="shared" si="1"/>
        <v>3</v>
      </c>
    </row>
    <row r="60" spans="1:11" x14ac:dyDescent="0.3">
      <c r="K60" s="7" t="str">
        <f t="shared" si="1"/>
        <v/>
      </c>
    </row>
    <row r="61" spans="1:11" x14ac:dyDescent="0.3">
      <c r="A61" s="57" t="s">
        <v>182</v>
      </c>
      <c r="K61" s="7" t="str">
        <f t="shared" si="1"/>
        <v/>
      </c>
    </row>
    <row r="62" spans="1:11" x14ac:dyDescent="0.3">
      <c r="A62" s="9" t="s">
        <v>181</v>
      </c>
      <c r="B62" s="3" t="s">
        <v>66</v>
      </c>
      <c r="C62" s="56" t="s">
        <v>189</v>
      </c>
      <c r="D62" s="56" t="s">
        <v>190</v>
      </c>
      <c r="E62" s="186" t="s">
        <v>34</v>
      </c>
      <c r="F62" s="52">
        <v>3</v>
      </c>
      <c r="G62" s="52"/>
      <c r="H62" s="52">
        <f t="shared" si="3"/>
        <v>3</v>
      </c>
      <c r="I62" s="132">
        <v>1</v>
      </c>
      <c r="J62" s="10">
        <f>I62*H62</f>
        <v>3</v>
      </c>
      <c r="K62" s="7">
        <f t="shared" si="1"/>
        <v>3</v>
      </c>
    </row>
    <row r="63" spans="1:11" x14ac:dyDescent="0.3">
      <c r="A63" s="9" t="s">
        <v>181</v>
      </c>
      <c r="B63" s="3" t="s">
        <v>66</v>
      </c>
      <c r="C63" s="56" t="s">
        <v>153</v>
      </c>
      <c r="D63" s="56" t="s">
        <v>154</v>
      </c>
      <c r="E63" s="186" t="s">
        <v>34</v>
      </c>
      <c r="F63" s="52">
        <v>2</v>
      </c>
      <c r="G63" s="52">
        <v>1.5</v>
      </c>
      <c r="H63" s="52">
        <f t="shared" si="3"/>
        <v>3.5</v>
      </c>
      <c r="I63" s="132">
        <v>1</v>
      </c>
      <c r="J63" s="10">
        <f t="shared" ref="J63:J68" si="12">I63*H63</f>
        <v>3.5</v>
      </c>
      <c r="K63" s="7">
        <f t="shared" si="1"/>
        <v>2</v>
      </c>
    </row>
    <row r="64" spans="1:11" x14ac:dyDescent="0.3">
      <c r="A64" s="9" t="s">
        <v>181</v>
      </c>
      <c r="B64" s="9" t="s">
        <v>66</v>
      </c>
      <c r="C64" s="56" t="s">
        <v>191</v>
      </c>
      <c r="D64" s="56" t="s">
        <v>192</v>
      </c>
      <c r="E64" s="186" t="s">
        <v>34</v>
      </c>
      <c r="F64" s="52">
        <v>2</v>
      </c>
      <c r="G64" s="52">
        <v>1.5</v>
      </c>
      <c r="H64" s="52">
        <f t="shared" si="3"/>
        <v>3.5</v>
      </c>
      <c r="I64" s="132">
        <v>1</v>
      </c>
      <c r="J64" s="10">
        <f t="shared" si="12"/>
        <v>3.5</v>
      </c>
      <c r="K64" s="7">
        <f t="shared" si="1"/>
        <v>2</v>
      </c>
    </row>
    <row r="65" spans="1:11" x14ac:dyDescent="0.3">
      <c r="A65" s="9" t="s">
        <v>181</v>
      </c>
      <c r="B65" s="9" t="s">
        <v>66</v>
      </c>
      <c r="C65" s="56" t="s">
        <v>193</v>
      </c>
      <c r="D65" s="56" t="s">
        <v>194</v>
      </c>
      <c r="E65" s="186" t="s">
        <v>34</v>
      </c>
      <c r="F65" s="52">
        <v>3</v>
      </c>
      <c r="G65" s="52"/>
      <c r="H65" s="52">
        <f t="shared" si="3"/>
        <v>3</v>
      </c>
      <c r="I65" s="132">
        <v>1</v>
      </c>
      <c r="J65" s="10">
        <f t="shared" si="12"/>
        <v>3</v>
      </c>
      <c r="K65" s="7">
        <f t="shared" si="1"/>
        <v>3</v>
      </c>
    </row>
    <row r="66" spans="1:11" x14ac:dyDescent="0.3">
      <c r="A66" s="9" t="s">
        <v>181</v>
      </c>
      <c r="B66" s="9" t="s">
        <v>66</v>
      </c>
      <c r="C66" s="6"/>
      <c r="D66" s="56" t="s">
        <v>195</v>
      </c>
      <c r="E66" s="186" t="s">
        <v>34</v>
      </c>
      <c r="F66" s="52">
        <v>2</v>
      </c>
      <c r="G66" s="52">
        <v>1.5</v>
      </c>
      <c r="H66" s="52">
        <f t="shared" si="3"/>
        <v>3.5</v>
      </c>
      <c r="I66" s="132">
        <v>1</v>
      </c>
      <c r="J66" s="10">
        <f t="shared" si="12"/>
        <v>3.5</v>
      </c>
      <c r="K66" s="7">
        <f t="shared" si="1"/>
        <v>2</v>
      </c>
    </row>
    <row r="67" spans="1:11" x14ac:dyDescent="0.3">
      <c r="A67" s="9" t="s">
        <v>181</v>
      </c>
      <c r="B67" s="9" t="s">
        <v>66</v>
      </c>
      <c r="C67" s="56" t="s">
        <v>196</v>
      </c>
      <c r="D67" s="56" t="s">
        <v>197</v>
      </c>
      <c r="E67" s="186" t="s">
        <v>34</v>
      </c>
      <c r="F67" s="52">
        <v>3</v>
      </c>
      <c r="G67" s="52"/>
      <c r="H67" s="52">
        <f t="shared" si="3"/>
        <v>3</v>
      </c>
      <c r="I67" s="132">
        <v>1</v>
      </c>
      <c r="J67" s="10">
        <f t="shared" si="12"/>
        <v>3</v>
      </c>
      <c r="K67" s="7">
        <f t="shared" si="1"/>
        <v>3</v>
      </c>
    </row>
    <row r="68" spans="1:11" x14ac:dyDescent="0.3">
      <c r="A68" s="61" t="s">
        <v>181</v>
      </c>
      <c r="B68" s="9" t="s">
        <v>66</v>
      </c>
      <c r="C68" s="56" t="s">
        <v>198</v>
      </c>
      <c r="D68" s="56" t="s">
        <v>199</v>
      </c>
      <c r="E68" s="186" t="s">
        <v>34</v>
      </c>
      <c r="F68" s="53">
        <v>2</v>
      </c>
      <c r="G68" s="53">
        <v>1.5</v>
      </c>
      <c r="H68" s="53">
        <f t="shared" si="3"/>
        <v>3.5</v>
      </c>
      <c r="I68" s="133">
        <v>1</v>
      </c>
      <c r="J68" s="64">
        <f t="shared" si="12"/>
        <v>3.5</v>
      </c>
      <c r="K68" s="7">
        <f t="shared" ref="K68:K131" si="13">IF(I68&gt;0,F68,"")</f>
        <v>2</v>
      </c>
    </row>
    <row r="69" spans="1:11" x14ac:dyDescent="0.3">
      <c r="A69" s="9" t="s">
        <v>181</v>
      </c>
      <c r="B69" s="9" t="s">
        <v>66</v>
      </c>
      <c r="C69" s="56" t="s">
        <v>200</v>
      </c>
      <c r="D69" s="56" t="s">
        <v>201</v>
      </c>
      <c r="E69" s="186" t="s">
        <v>34</v>
      </c>
      <c r="F69" s="52">
        <v>3</v>
      </c>
      <c r="G69" s="52"/>
      <c r="H69" s="52">
        <f>SUM(F69:G69)</f>
        <v>3</v>
      </c>
      <c r="I69" s="132">
        <v>1</v>
      </c>
      <c r="J69" s="10">
        <f>I69*H69</f>
        <v>3</v>
      </c>
      <c r="K69" s="7">
        <f t="shared" si="13"/>
        <v>3</v>
      </c>
    </row>
    <row r="70" spans="1:11" x14ac:dyDescent="0.3">
      <c r="K70" s="7" t="str">
        <f t="shared" si="13"/>
        <v/>
      </c>
    </row>
    <row r="71" spans="1:11" x14ac:dyDescent="0.3">
      <c r="A71" s="57" t="s">
        <v>202</v>
      </c>
      <c r="K71" s="7" t="str">
        <f t="shared" si="13"/>
        <v/>
      </c>
    </row>
    <row r="72" spans="1:11" x14ac:dyDescent="0.3">
      <c r="A72" s="173" t="s">
        <v>181</v>
      </c>
      <c r="B72" s="174" t="s">
        <v>71</v>
      </c>
      <c r="C72" s="175" t="s">
        <v>151</v>
      </c>
      <c r="D72" s="175" t="s">
        <v>152</v>
      </c>
      <c r="E72" s="186" t="s">
        <v>34</v>
      </c>
      <c r="F72" s="52">
        <v>2</v>
      </c>
      <c r="G72" s="52">
        <v>1.5</v>
      </c>
      <c r="H72" s="52">
        <f t="shared" si="3"/>
        <v>3.5</v>
      </c>
      <c r="I72" s="134">
        <v>1</v>
      </c>
      <c r="J72" s="8">
        <f>I72*H72</f>
        <v>3.5</v>
      </c>
      <c r="K72" s="7">
        <f t="shared" si="13"/>
        <v>2</v>
      </c>
    </row>
    <row r="73" spans="1:11" x14ac:dyDescent="0.3">
      <c r="A73" s="173" t="s">
        <v>181</v>
      </c>
      <c r="B73" s="174" t="s">
        <v>71</v>
      </c>
      <c r="C73" s="175" t="s">
        <v>203</v>
      </c>
      <c r="D73" s="175" t="s">
        <v>204</v>
      </c>
      <c r="E73" s="186" t="s">
        <v>34</v>
      </c>
      <c r="F73" s="52">
        <v>2</v>
      </c>
      <c r="G73" s="52">
        <v>1.5</v>
      </c>
      <c r="H73" s="52">
        <v>2</v>
      </c>
      <c r="I73" s="134">
        <v>1</v>
      </c>
      <c r="J73" s="8">
        <f>I73*H73</f>
        <v>2</v>
      </c>
      <c r="K73" s="7">
        <f t="shared" si="13"/>
        <v>2</v>
      </c>
    </row>
    <row r="74" spans="1:11" x14ac:dyDescent="0.3">
      <c r="A74" s="173" t="s">
        <v>181</v>
      </c>
      <c r="B74" s="173" t="s">
        <v>71</v>
      </c>
      <c r="C74" s="175" t="s">
        <v>205</v>
      </c>
      <c r="D74" s="175" t="s">
        <v>206</v>
      </c>
      <c r="E74" s="186" t="s">
        <v>34</v>
      </c>
      <c r="F74" s="172">
        <v>2</v>
      </c>
      <c r="G74" s="172"/>
      <c r="H74" s="52">
        <v>2</v>
      </c>
      <c r="I74" s="134">
        <v>1</v>
      </c>
      <c r="J74" s="8">
        <f>I74*H74</f>
        <v>2</v>
      </c>
      <c r="K74" s="7">
        <f t="shared" si="13"/>
        <v>2</v>
      </c>
    </row>
    <row r="75" spans="1:11" x14ac:dyDescent="0.3">
      <c r="A75" s="176" t="s">
        <v>181</v>
      </c>
      <c r="B75" s="173" t="s">
        <v>71</v>
      </c>
      <c r="C75" s="175" t="s">
        <v>167</v>
      </c>
      <c r="D75" s="175" t="s">
        <v>168</v>
      </c>
      <c r="E75" s="101"/>
      <c r="F75" s="53">
        <v>1</v>
      </c>
      <c r="G75" s="53"/>
      <c r="H75" s="53">
        <f t="shared" si="3"/>
        <v>1</v>
      </c>
      <c r="I75" s="135">
        <v>1</v>
      </c>
      <c r="J75" s="62">
        <f>I75*H75</f>
        <v>1</v>
      </c>
      <c r="K75" s="7">
        <f t="shared" si="13"/>
        <v>1</v>
      </c>
    </row>
    <row r="76" spans="1:11" x14ac:dyDescent="0.3">
      <c r="A76" s="173" t="s">
        <v>181</v>
      </c>
      <c r="B76" s="173" t="s">
        <v>71</v>
      </c>
      <c r="C76" s="175" t="s">
        <v>207</v>
      </c>
      <c r="D76" s="175" t="s">
        <v>208</v>
      </c>
      <c r="E76" s="186" t="s">
        <v>20</v>
      </c>
      <c r="F76" s="52">
        <v>3</v>
      </c>
      <c r="G76" s="52"/>
      <c r="H76" s="52">
        <f>SUM(F76:G76)</f>
        <v>3</v>
      </c>
      <c r="I76" s="134">
        <v>1</v>
      </c>
      <c r="J76" s="8">
        <f>I76*H76</f>
        <v>3</v>
      </c>
      <c r="K76" s="7">
        <f t="shared" si="13"/>
        <v>3</v>
      </c>
    </row>
    <row r="77" spans="1:11" x14ac:dyDescent="0.3">
      <c r="A77" s="173" t="s">
        <v>181</v>
      </c>
      <c r="B77" s="173" t="s">
        <v>71</v>
      </c>
      <c r="C77" s="175" t="s">
        <v>161</v>
      </c>
      <c r="D77" s="175" t="s">
        <v>162</v>
      </c>
      <c r="E77" s="186" t="s">
        <v>34</v>
      </c>
      <c r="F77" s="52">
        <v>3</v>
      </c>
      <c r="G77" s="52"/>
      <c r="H77" s="52">
        <f t="shared" ref="H77:H78" si="14">SUM(F77:G77)</f>
        <v>3</v>
      </c>
      <c r="I77" s="134">
        <v>1</v>
      </c>
      <c r="J77" s="8">
        <f t="shared" ref="J77:J79" si="15">I77*H77</f>
        <v>3</v>
      </c>
      <c r="K77" s="7">
        <f t="shared" si="13"/>
        <v>3</v>
      </c>
    </row>
    <row r="78" spans="1:11" x14ac:dyDescent="0.3">
      <c r="A78" s="176" t="s">
        <v>181</v>
      </c>
      <c r="B78" s="173" t="s">
        <v>71</v>
      </c>
      <c r="C78" s="175" t="s">
        <v>176</v>
      </c>
      <c r="D78" s="175" t="s">
        <v>177</v>
      </c>
      <c r="E78" s="186" t="s">
        <v>34</v>
      </c>
      <c r="F78" s="53">
        <v>2</v>
      </c>
      <c r="G78" s="53">
        <v>1.5</v>
      </c>
      <c r="H78" s="53">
        <f t="shared" si="14"/>
        <v>3.5</v>
      </c>
      <c r="I78" s="135">
        <v>1</v>
      </c>
      <c r="J78" s="8">
        <f t="shared" si="15"/>
        <v>3.5</v>
      </c>
      <c r="K78" s="7">
        <f t="shared" si="13"/>
        <v>2</v>
      </c>
    </row>
    <row r="79" spans="1:11" x14ac:dyDescent="0.3">
      <c r="A79" s="173" t="s">
        <v>181</v>
      </c>
      <c r="B79" s="173" t="s">
        <v>71</v>
      </c>
      <c r="C79" s="175" t="s">
        <v>209</v>
      </c>
      <c r="D79" s="175" t="s">
        <v>210</v>
      </c>
      <c r="E79" s="186" t="s">
        <v>34</v>
      </c>
      <c r="F79" s="52">
        <v>3</v>
      </c>
      <c r="G79" s="52"/>
      <c r="H79" s="52">
        <f>SUM(F79:G79)</f>
        <v>3</v>
      </c>
      <c r="I79" s="134">
        <v>1</v>
      </c>
      <c r="J79" s="8">
        <f t="shared" si="15"/>
        <v>3</v>
      </c>
      <c r="K79" s="7">
        <f t="shared" si="13"/>
        <v>3</v>
      </c>
    </row>
    <row r="80" spans="1:11" x14ac:dyDescent="0.3">
      <c r="K80" s="7" t="str">
        <f t="shared" si="13"/>
        <v/>
      </c>
    </row>
    <row r="81" spans="1:11" x14ac:dyDescent="0.3">
      <c r="A81" s="59" t="s">
        <v>211</v>
      </c>
      <c r="K81" s="7" t="str">
        <f t="shared" si="13"/>
        <v/>
      </c>
    </row>
    <row r="82" spans="1:11" x14ac:dyDescent="0.3">
      <c r="A82" s="9" t="s">
        <v>212</v>
      </c>
      <c r="B82" s="3" t="s">
        <v>59</v>
      </c>
      <c r="C82" s="56" t="s">
        <v>213</v>
      </c>
      <c r="D82" s="56" t="s">
        <v>214</v>
      </c>
      <c r="E82" s="186" t="s">
        <v>34</v>
      </c>
      <c r="F82" s="52"/>
      <c r="G82" s="52">
        <v>3</v>
      </c>
      <c r="H82" s="52">
        <f t="shared" si="3"/>
        <v>3</v>
      </c>
      <c r="I82" s="134">
        <v>1</v>
      </c>
      <c r="J82" s="8">
        <f>I82*H82</f>
        <v>3</v>
      </c>
      <c r="K82" s="7">
        <f t="shared" si="13"/>
        <v>0</v>
      </c>
    </row>
    <row r="83" spans="1:11" x14ac:dyDescent="0.3">
      <c r="A83" s="9" t="s">
        <v>212</v>
      </c>
      <c r="B83" s="3" t="s">
        <v>59</v>
      </c>
      <c r="C83" s="56" t="s">
        <v>121</v>
      </c>
      <c r="D83" s="56" t="s">
        <v>215</v>
      </c>
      <c r="E83" s="6" t="s">
        <v>141</v>
      </c>
      <c r="F83" s="52">
        <v>3</v>
      </c>
      <c r="G83" s="52"/>
      <c r="H83" s="52">
        <f t="shared" si="3"/>
        <v>3</v>
      </c>
      <c r="I83" s="134">
        <v>1</v>
      </c>
      <c r="J83" s="8">
        <f t="shared" ref="J83:J90" si="16">I83*H83</f>
        <v>3</v>
      </c>
      <c r="K83" s="7">
        <f t="shared" si="13"/>
        <v>3</v>
      </c>
    </row>
    <row r="84" spans="1:11" x14ac:dyDescent="0.3">
      <c r="A84" s="9" t="s">
        <v>212</v>
      </c>
      <c r="B84" s="9" t="s">
        <v>59</v>
      </c>
      <c r="C84" s="56" t="s">
        <v>123</v>
      </c>
      <c r="D84" s="56" t="s">
        <v>216</v>
      </c>
      <c r="E84" s="101"/>
      <c r="F84" s="52">
        <v>1</v>
      </c>
      <c r="G84" s="52"/>
      <c r="H84" s="52">
        <f t="shared" si="3"/>
        <v>1</v>
      </c>
      <c r="I84" s="134">
        <v>1</v>
      </c>
      <c r="J84" s="8">
        <f t="shared" si="16"/>
        <v>1</v>
      </c>
      <c r="K84" s="7">
        <f t="shared" si="13"/>
        <v>1</v>
      </c>
    </row>
    <row r="85" spans="1:11" x14ac:dyDescent="0.3">
      <c r="A85" s="9" t="s">
        <v>212</v>
      </c>
      <c r="B85" s="9" t="s">
        <v>59</v>
      </c>
      <c r="C85" s="56" t="s">
        <v>217</v>
      </c>
      <c r="D85" s="56" t="s">
        <v>218</v>
      </c>
      <c r="E85" s="6" t="s">
        <v>36</v>
      </c>
      <c r="F85" s="52">
        <v>3</v>
      </c>
      <c r="G85" s="52"/>
      <c r="H85" s="52">
        <f t="shared" si="3"/>
        <v>3</v>
      </c>
      <c r="I85" s="134">
        <v>1</v>
      </c>
      <c r="J85" s="8">
        <f t="shared" si="16"/>
        <v>3</v>
      </c>
      <c r="K85" s="7">
        <f t="shared" si="13"/>
        <v>3</v>
      </c>
    </row>
    <row r="86" spans="1:11" x14ac:dyDescent="0.3">
      <c r="A86" s="9" t="s">
        <v>212</v>
      </c>
      <c r="B86" s="9" t="s">
        <v>59</v>
      </c>
      <c r="C86" s="56" t="s">
        <v>128</v>
      </c>
      <c r="D86" s="56" t="s">
        <v>129</v>
      </c>
      <c r="E86" s="101"/>
      <c r="F86" s="52">
        <v>3</v>
      </c>
      <c r="G86" s="52"/>
      <c r="H86" s="52">
        <f t="shared" si="3"/>
        <v>3</v>
      </c>
      <c r="I86" s="134">
        <v>1</v>
      </c>
      <c r="J86" s="8">
        <f t="shared" si="16"/>
        <v>3</v>
      </c>
      <c r="K86" s="7">
        <f t="shared" si="13"/>
        <v>3</v>
      </c>
    </row>
    <row r="87" spans="1:11" x14ac:dyDescent="0.3">
      <c r="A87" s="9" t="s">
        <v>212</v>
      </c>
      <c r="B87" s="9" t="s">
        <v>59</v>
      </c>
      <c r="C87" s="56" t="s">
        <v>130</v>
      </c>
      <c r="D87" s="56" t="s">
        <v>131</v>
      </c>
      <c r="E87" s="6" t="s">
        <v>38</v>
      </c>
      <c r="F87" s="52">
        <v>2</v>
      </c>
      <c r="G87" s="52"/>
      <c r="H87" s="52">
        <f t="shared" si="3"/>
        <v>2</v>
      </c>
      <c r="I87" s="134">
        <v>1</v>
      </c>
      <c r="J87" s="8">
        <f t="shared" si="16"/>
        <v>2</v>
      </c>
      <c r="K87" s="7">
        <f t="shared" si="13"/>
        <v>2</v>
      </c>
    </row>
    <row r="88" spans="1:11" x14ac:dyDescent="0.3">
      <c r="A88" s="9" t="s">
        <v>212</v>
      </c>
      <c r="B88" s="9" t="s">
        <v>59</v>
      </c>
      <c r="C88" s="56" t="s">
        <v>134</v>
      </c>
      <c r="D88" s="56" t="s">
        <v>135</v>
      </c>
      <c r="E88" s="101"/>
      <c r="F88" s="52">
        <v>3</v>
      </c>
      <c r="G88" s="52"/>
      <c r="H88" s="52">
        <f t="shared" si="3"/>
        <v>3</v>
      </c>
      <c r="I88" s="134">
        <v>1</v>
      </c>
      <c r="J88" s="8">
        <f t="shared" si="16"/>
        <v>3</v>
      </c>
      <c r="K88" s="7">
        <f t="shared" si="13"/>
        <v>3</v>
      </c>
    </row>
    <row r="89" spans="1:11" x14ac:dyDescent="0.3">
      <c r="A89" s="9" t="s">
        <v>212</v>
      </c>
      <c r="B89" s="9" t="s">
        <v>59</v>
      </c>
      <c r="C89" s="56" t="s">
        <v>219</v>
      </c>
      <c r="D89" s="56" t="s">
        <v>220</v>
      </c>
      <c r="E89" s="6" t="s">
        <v>221</v>
      </c>
      <c r="F89" s="52">
        <v>3</v>
      </c>
      <c r="G89" s="52"/>
      <c r="H89" s="52">
        <f>SUM(F89:G89)</f>
        <v>3</v>
      </c>
      <c r="I89" s="134">
        <v>1</v>
      </c>
      <c r="J89" s="8">
        <f t="shared" si="16"/>
        <v>3</v>
      </c>
      <c r="K89" s="7">
        <f t="shared" si="13"/>
        <v>3</v>
      </c>
    </row>
    <row r="90" spans="1:11" x14ac:dyDescent="0.3">
      <c r="A90" s="9" t="s">
        <v>212</v>
      </c>
      <c r="B90" s="9" t="s">
        <v>59</v>
      </c>
      <c r="C90" s="56" t="s">
        <v>222</v>
      </c>
      <c r="D90" s="56" t="s">
        <v>223</v>
      </c>
      <c r="E90" s="6" t="s">
        <v>221</v>
      </c>
      <c r="F90" s="53">
        <v>3</v>
      </c>
      <c r="G90" s="53">
        <v>1.5</v>
      </c>
      <c r="H90" s="53">
        <f>SUM(F90:G90)</f>
        <v>4.5</v>
      </c>
      <c r="I90" s="135">
        <v>1</v>
      </c>
      <c r="J90" s="62">
        <f t="shared" si="16"/>
        <v>4.5</v>
      </c>
      <c r="K90" s="7">
        <f t="shared" si="13"/>
        <v>3</v>
      </c>
    </row>
    <row r="91" spans="1:11" x14ac:dyDescent="0.3">
      <c r="A91" s="3" t="s">
        <v>212</v>
      </c>
      <c r="B91" s="9" t="s">
        <v>59</v>
      </c>
      <c r="C91" s="56" t="s">
        <v>224</v>
      </c>
      <c r="D91" s="56" t="s">
        <v>225</v>
      </c>
      <c r="E91" s="6" t="s">
        <v>221</v>
      </c>
      <c r="F91" s="52">
        <v>1</v>
      </c>
      <c r="G91" s="52"/>
      <c r="H91" s="52">
        <f>SUM(F91:G91)</f>
        <v>1</v>
      </c>
      <c r="I91" s="134">
        <v>1</v>
      </c>
      <c r="J91" s="8">
        <f>I91*H91</f>
        <v>1</v>
      </c>
      <c r="K91" s="7">
        <f t="shared" si="13"/>
        <v>1</v>
      </c>
    </row>
    <row r="92" spans="1:11" x14ac:dyDescent="0.3">
      <c r="K92" s="7" t="str">
        <f t="shared" si="13"/>
        <v/>
      </c>
    </row>
    <row r="93" spans="1:11" x14ac:dyDescent="0.3">
      <c r="A93" s="59" t="s">
        <v>211</v>
      </c>
      <c r="K93" s="7" t="str">
        <f t="shared" si="13"/>
        <v/>
      </c>
    </row>
    <row r="94" spans="1:11" x14ac:dyDescent="0.3">
      <c r="A94" s="9" t="s">
        <v>212</v>
      </c>
      <c r="B94" s="9" t="s">
        <v>62</v>
      </c>
      <c r="C94" s="56" t="s">
        <v>226</v>
      </c>
      <c r="D94" s="56" t="s">
        <v>227</v>
      </c>
      <c r="E94" s="6" t="s">
        <v>221</v>
      </c>
      <c r="F94" s="52">
        <v>3</v>
      </c>
      <c r="G94" s="52">
        <v>1.5</v>
      </c>
      <c r="H94" s="52">
        <f>SUM(F94:G94)</f>
        <v>4.5</v>
      </c>
      <c r="I94" s="134">
        <v>1</v>
      </c>
      <c r="J94" s="8">
        <f>I94*H94</f>
        <v>4.5</v>
      </c>
      <c r="K94" s="7">
        <f t="shared" si="13"/>
        <v>3</v>
      </c>
    </row>
    <row r="95" spans="1:11" x14ac:dyDescent="0.3">
      <c r="A95" s="9" t="s">
        <v>212</v>
      </c>
      <c r="B95" s="9" t="s">
        <v>62</v>
      </c>
      <c r="C95" s="56" t="s">
        <v>228</v>
      </c>
      <c r="D95" s="56" t="s">
        <v>229</v>
      </c>
      <c r="E95" s="186" t="s">
        <v>34</v>
      </c>
      <c r="F95" s="52">
        <v>3</v>
      </c>
      <c r="G95" s="52"/>
      <c r="H95" s="52">
        <f t="shared" ref="H95:H111" si="17">SUM(F95:G95)</f>
        <v>3</v>
      </c>
      <c r="I95" s="134">
        <v>1</v>
      </c>
      <c r="J95" s="8">
        <f t="shared" ref="J95:J102" si="18">I95*H95</f>
        <v>3</v>
      </c>
      <c r="K95" s="7">
        <f t="shared" si="13"/>
        <v>3</v>
      </c>
    </row>
    <row r="96" spans="1:11" x14ac:dyDescent="0.3">
      <c r="A96" s="9" t="s">
        <v>212</v>
      </c>
      <c r="B96" s="9" t="s">
        <v>62</v>
      </c>
      <c r="C96" s="56" t="s">
        <v>230</v>
      </c>
      <c r="D96" s="56" t="s">
        <v>138</v>
      </c>
      <c r="E96" s="186" t="s">
        <v>34</v>
      </c>
      <c r="F96" s="52"/>
      <c r="G96" s="52">
        <v>3</v>
      </c>
      <c r="H96" s="52">
        <f t="shared" si="17"/>
        <v>3</v>
      </c>
      <c r="I96" s="134">
        <v>1</v>
      </c>
      <c r="J96" s="8">
        <f t="shared" si="18"/>
        <v>3</v>
      </c>
      <c r="K96" s="7">
        <f t="shared" si="13"/>
        <v>0</v>
      </c>
    </row>
    <row r="97" spans="1:11" x14ac:dyDescent="0.3">
      <c r="A97" s="9" t="s">
        <v>212</v>
      </c>
      <c r="B97" s="9" t="s">
        <v>62</v>
      </c>
      <c r="C97" s="56" t="s">
        <v>231</v>
      </c>
      <c r="D97" s="56" t="s">
        <v>232</v>
      </c>
      <c r="E97" s="6" t="s">
        <v>221</v>
      </c>
      <c r="F97" s="52">
        <v>3</v>
      </c>
      <c r="G97" s="52"/>
      <c r="H97" s="52">
        <f t="shared" si="17"/>
        <v>3</v>
      </c>
      <c r="I97" s="134">
        <v>1</v>
      </c>
      <c r="J97" s="8">
        <f t="shared" si="18"/>
        <v>3</v>
      </c>
      <c r="K97" s="7">
        <f t="shared" si="13"/>
        <v>3</v>
      </c>
    </row>
    <row r="98" spans="1:11" x14ac:dyDescent="0.3">
      <c r="A98" s="9" t="s">
        <v>212</v>
      </c>
      <c r="B98" s="9" t="s">
        <v>62</v>
      </c>
      <c r="C98" s="56" t="s">
        <v>185</v>
      </c>
      <c r="D98" s="56" t="s">
        <v>186</v>
      </c>
      <c r="E98" s="6" t="s">
        <v>20</v>
      </c>
      <c r="F98" s="52">
        <v>3</v>
      </c>
      <c r="G98" s="52"/>
      <c r="H98" s="52">
        <f t="shared" si="17"/>
        <v>3</v>
      </c>
      <c r="I98" s="134">
        <v>1</v>
      </c>
      <c r="J98" s="8">
        <f t="shared" si="18"/>
        <v>3</v>
      </c>
      <c r="K98" s="7">
        <f t="shared" si="13"/>
        <v>3</v>
      </c>
    </row>
    <row r="99" spans="1:11" x14ac:dyDescent="0.3">
      <c r="A99" s="9" t="s">
        <v>212</v>
      </c>
      <c r="B99" s="9" t="s">
        <v>62</v>
      </c>
      <c r="C99" s="56" t="s">
        <v>144</v>
      </c>
      <c r="D99" s="56" t="s">
        <v>145</v>
      </c>
      <c r="E99" s="6" t="s">
        <v>141</v>
      </c>
      <c r="F99" s="52">
        <v>3</v>
      </c>
      <c r="G99" s="52"/>
      <c r="H99" s="52">
        <f t="shared" si="17"/>
        <v>3</v>
      </c>
      <c r="I99" s="134">
        <v>1</v>
      </c>
      <c r="J99" s="8">
        <f t="shared" si="18"/>
        <v>3</v>
      </c>
      <c r="K99" s="7">
        <f t="shared" si="13"/>
        <v>3</v>
      </c>
    </row>
    <row r="100" spans="1:11" x14ac:dyDescent="0.3">
      <c r="A100" s="9" t="s">
        <v>212</v>
      </c>
      <c r="B100" s="9" t="s">
        <v>62</v>
      </c>
      <c r="C100" s="56" t="s">
        <v>142</v>
      </c>
      <c r="D100" s="56" t="s">
        <v>143</v>
      </c>
      <c r="E100" s="6" t="s">
        <v>38</v>
      </c>
      <c r="F100" s="52">
        <v>2</v>
      </c>
      <c r="G100" s="52"/>
      <c r="H100" s="52">
        <f t="shared" si="17"/>
        <v>2</v>
      </c>
      <c r="I100" s="134">
        <v>1</v>
      </c>
      <c r="J100" s="8">
        <f t="shared" si="18"/>
        <v>2</v>
      </c>
      <c r="K100" s="7">
        <f t="shared" si="13"/>
        <v>2</v>
      </c>
    </row>
    <row r="101" spans="1:11" x14ac:dyDescent="0.3">
      <c r="A101" s="9" t="s">
        <v>212</v>
      </c>
      <c r="B101" s="9" t="s">
        <v>62</v>
      </c>
      <c r="C101" s="56" t="s">
        <v>233</v>
      </c>
      <c r="D101" s="56" t="s">
        <v>234</v>
      </c>
      <c r="E101" s="6" t="s">
        <v>221</v>
      </c>
      <c r="F101" s="52">
        <v>3</v>
      </c>
      <c r="G101" s="52"/>
      <c r="H101" s="52">
        <f t="shared" si="17"/>
        <v>3</v>
      </c>
      <c r="I101" s="134">
        <v>1</v>
      </c>
      <c r="J101" s="8">
        <f t="shared" si="18"/>
        <v>3</v>
      </c>
      <c r="K101" s="7">
        <f t="shared" si="13"/>
        <v>3</v>
      </c>
    </row>
    <row r="102" spans="1:11" x14ac:dyDescent="0.3">
      <c r="A102" s="9" t="s">
        <v>212</v>
      </c>
      <c r="B102" s="9" t="s">
        <v>62</v>
      </c>
      <c r="C102" s="56" t="s">
        <v>139</v>
      </c>
      <c r="D102" s="56" t="s">
        <v>140</v>
      </c>
      <c r="E102" s="6" t="s">
        <v>141</v>
      </c>
      <c r="F102" s="52">
        <v>3</v>
      </c>
      <c r="G102" s="52"/>
      <c r="H102" s="52">
        <f t="shared" si="17"/>
        <v>3</v>
      </c>
      <c r="I102" s="134">
        <v>1</v>
      </c>
      <c r="J102" s="8">
        <f t="shared" si="18"/>
        <v>3</v>
      </c>
      <c r="K102" s="7">
        <f t="shared" si="13"/>
        <v>3</v>
      </c>
    </row>
    <row r="103" spans="1:11" x14ac:dyDescent="0.3">
      <c r="K103" s="7" t="str">
        <f t="shared" si="13"/>
        <v/>
      </c>
    </row>
    <row r="104" spans="1:11" x14ac:dyDescent="0.3">
      <c r="A104" s="58" t="s">
        <v>211</v>
      </c>
      <c r="K104" s="7" t="str">
        <f t="shared" si="13"/>
        <v/>
      </c>
    </row>
    <row r="105" spans="1:11" x14ac:dyDescent="0.3">
      <c r="A105" s="9" t="s">
        <v>212</v>
      </c>
      <c r="B105" s="3" t="s">
        <v>66</v>
      </c>
      <c r="C105" s="56" t="s">
        <v>235</v>
      </c>
      <c r="D105" s="56" t="s">
        <v>236</v>
      </c>
      <c r="E105" s="6" t="s">
        <v>221</v>
      </c>
      <c r="F105" s="52">
        <v>3</v>
      </c>
      <c r="G105" s="52"/>
      <c r="H105" s="52">
        <f t="shared" si="17"/>
        <v>3</v>
      </c>
      <c r="I105" s="134">
        <v>1</v>
      </c>
      <c r="J105" s="8">
        <f>I105*H105</f>
        <v>3</v>
      </c>
      <c r="K105" s="7">
        <f t="shared" si="13"/>
        <v>3</v>
      </c>
    </row>
    <row r="106" spans="1:11" x14ac:dyDescent="0.3">
      <c r="A106" s="9" t="s">
        <v>212</v>
      </c>
      <c r="B106" s="3" t="s">
        <v>66</v>
      </c>
      <c r="C106" s="56"/>
      <c r="D106" s="56" t="s">
        <v>237</v>
      </c>
      <c r="E106" s="6" t="s">
        <v>221</v>
      </c>
      <c r="F106" s="52">
        <v>2</v>
      </c>
      <c r="G106" s="52">
        <v>1.5</v>
      </c>
      <c r="H106" s="52">
        <f t="shared" si="17"/>
        <v>3.5</v>
      </c>
      <c r="I106" s="134">
        <v>1</v>
      </c>
      <c r="J106" s="8">
        <f t="shared" ref="J106:J111" si="19">I106*H106</f>
        <v>3.5</v>
      </c>
      <c r="K106" s="7">
        <f t="shared" si="13"/>
        <v>2</v>
      </c>
    </row>
    <row r="107" spans="1:11" x14ac:dyDescent="0.3">
      <c r="A107" s="9" t="s">
        <v>212</v>
      </c>
      <c r="B107" s="9" t="s">
        <v>66</v>
      </c>
      <c r="C107" s="56" t="s">
        <v>238</v>
      </c>
      <c r="D107" s="56" t="s">
        <v>239</v>
      </c>
      <c r="E107" s="6" t="s">
        <v>221</v>
      </c>
      <c r="F107" s="52">
        <v>3</v>
      </c>
      <c r="G107" s="52">
        <v>1.5</v>
      </c>
      <c r="H107" s="52">
        <f t="shared" si="17"/>
        <v>4.5</v>
      </c>
      <c r="I107" s="134">
        <v>1</v>
      </c>
      <c r="J107" s="8">
        <f t="shared" si="19"/>
        <v>4.5</v>
      </c>
      <c r="K107" s="7">
        <f t="shared" si="13"/>
        <v>3</v>
      </c>
    </row>
    <row r="108" spans="1:11" ht="18" customHeight="1" x14ac:dyDescent="0.3">
      <c r="A108" s="9" t="s">
        <v>212</v>
      </c>
      <c r="B108" s="9" t="s">
        <v>66</v>
      </c>
      <c r="C108" s="56" t="s">
        <v>240</v>
      </c>
      <c r="D108" s="56" t="s">
        <v>160</v>
      </c>
      <c r="E108" s="6" t="s">
        <v>221</v>
      </c>
      <c r="F108" s="52">
        <v>3</v>
      </c>
      <c r="G108" s="52"/>
      <c r="H108" s="52">
        <f t="shared" si="17"/>
        <v>3</v>
      </c>
      <c r="I108" s="134">
        <v>1</v>
      </c>
      <c r="J108" s="8">
        <f t="shared" si="19"/>
        <v>3</v>
      </c>
      <c r="K108" s="7">
        <f t="shared" si="13"/>
        <v>3</v>
      </c>
    </row>
    <row r="109" spans="1:11" x14ac:dyDescent="0.3">
      <c r="A109" s="9" t="s">
        <v>212</v>
      </c>
      <c r="B109" s="9" t="s">
        <v>66</v>
      </c>
      <c r="C109" s="56" t="s">
        <v>241</v>
      </c>
      <c r="D109" s="56" t="s">
        <v>242</v>
      </c>
      <c r="E109" s="6" t="s">
        <v>221</v>
      </c>
      <c r="F109" s="52"/>
      <c r="G109" s="52">
        <v>1.5</v>
      </c>
      <c r="H109" s="52">
        <f t="shared" si="17"/>
        <v>1.5</v>
      </c>
      <c r="I109" s="134">
        <v>1</v>
      </c>
      <c r="J109" s="8">
        <f t="shared" si="19"/>
        <v>1.5</v>
      </c>
      <c r="K109" s="7">
        <f t="shared" si="13"/>
        <v>0</v>
      </c>
    </row>
    <row r="110" spans="1:11" x14ac:dyDescent="0.3">
      <c r="A110" s="9" t="s">
        <v>212</v>
      </c>
      <c r="B110" s="9" t="s">
        <v>66</v>
      </c>
      <c r="C110" s="56" t="s">
        <v>243</v>
      </c>
      <c r="D110" s="56" t="s">
        <v>244</v>
      </c>
      <c r="E110" s="6" t="s">
        <v>221</v>
      </c>
      <c r="F110" s="52"/>
      <c r="G110" s="52">
        <v>1.5</v>
      </c>
      <c r="H110" s="52">
        <f t="shared" si="17"/>
        <v>1.5</v>
      </c>
      <c r="I110" s="134">
        <v>1</v>
      </c>
      <c r="J110" s="8">
        <f t="shared" si="19"/>
        <v>1.5</v>
      </c>
      <c r="K110" s="7">
        <f t="shared" si="13"/>
        <v>0</v>
      </c>
    </row>
    <row r="111" spans="1:11" x14ac:dyDescent="0.3">
      <c r="A111" s="9" t="s">
        <v>212</v>
      </c>
      <c r="B111" s="9" t="s">
        <v>66</v>
      </c>
      <c r="C111" s="56" t="s">
        <v>245</v>
      </c>
      <c r="D111" s="56" t="s">
        <v>246</v>
      </c>
      <c r="E111" s="6" t="s">
        <v>221</v>
      </c>
      <c r="F111" s="53">
        <v>3</v>
      </c>
      <c r="G111" s="53"/>
      <c r="H111" s="53">
        <f t="shared" si="17"/>
        <v>3</v>
      </c>
      <c r="I111" s="135">
        <v>1</v>
      </c>
      <c r="J111" s="62">
        <f t="shared" si="19"/>
        <v>3</v>
      </c>
      <c r="K111" s="7">
        <f t="shared" si="13"/>
        <v>3</v>
      </c>
    </row>
    <row r="112" spans="1:11" x14ac:dyDescent="0.3">
      <c r="A112" s="9" t="s">
        <v>212</v>
      </c>
      <c r="B112" s="9" t="s">
        <v>66</v>
      </c>
      <c r="C112" s="56" t="s">
        <v>247</v>
      </c>
      <c r="D112" s="56" t="s">
        <v>248</v>
      </c>
      <c r="E112" s="6" t="s">
        <v>221</v>
      </c>
      <c r="F112" s="52">
        <v>3</v>
      </c>
      <c r="G112" s="52"/>
      <c r="H112" s="52">
        <f>SUM(F112:G112)</f>
        <v>3</v>
      </c>
      <c r="I112" s="134">
        <v>1</v>
      </c>
      <c r="J112" s="8">
        <f>I112*H112</f>
        <v>3</v>
      </c>
      <c r="K112" s="7">
        <f t="shared" si="13"/>
        <v>3</v>
      </c>
    </row>
    <row r="113" spans="1:11" x14ac:dyDescent="0.3">
      <c r="A113" s="9" t="s">
        <v>212</v>
      </c>
      <c r="B113" s="9" t="s">
        <v>66</v>
      </c>
      <c r="C113" s="56" t="s">
        <v>249</v>
      </c>
      <c r="D113" s="56" t="s">
        <v>201</v>
      </c>
      <c r="E113" s="6" t="s">
        <v>221</v>
      </c>
      <c r="F113" s="52">
        <v>2</v>
      </c>
      <c r="G113" s="52"/>
      <c r="H113" s="52">
        <f>SUM(F113:G113)</f>
        <v>2</v>
      </c>
      <c r="I113" s="134">
        <v>1</v>
      </c>
      <c r="J113" s="8">
        <f>I113*H113</f>
        <v>2</v>
      </c>
      <c r="K113" s="7">
        <f t="shared" si="13"/>
        <v>2</v>
      </c>
    </row>
    <row r="114" spans="1:11" x14ac:dyDescent="0.3">
      <c r="K114" s="7" t="str">
        <f t="shared" si="13"/>
        <v/>
      </c>
    </row>
    <row r="115" spans="1:11" x14ac:dyDescent="0.3">
      <c r="A115" s="58" t="s">
        <v>250</v>
      </c>
      <c r="K115" s="7" t="str">
        <f t="shared" si="13"/>
        <v/>
      </c>
    </row>
    <row r="116" spans="1:11" x14ac:dyDescent="0.3">
      <c r="A116" s="9" t="s">
        <v>212</v>
      </c>
      <c r="B116" s="9" t="s">
        <v>71</v>
      </c>
      <c r="C116" s="56" t="s">
        <v>251</v>
      </c>
      <c r="D116" s="56" t="s">
        <v>252</v>
      </c>
      <c r="E116" s="6" t="s">
        <v>221</v>
      </c>
      <c r="F116" s="52">
        <v>3</v>
      </c>
      <c r="G116" s="52">
        <v>1.5</v>
      </c>
      <c r="H116" s="52">
        <f t="shared" ref="H116:H117" si="20">SUM(F116:G116)</f>
        <v>4.5</v>
      </c>
      <c r="I116" s="134">
        <v>1</v>
      </c>
      <c r="J116" s="8">
        <f>I116*H116</f>
        <v>4.5</v>
      </c>
      <c r="K116" s="7">
        <f t="shared" si="13"/>
        <v>3</v>
      </c>
    </row>
    <row r="117" spans="1:11" x14ac:dyDescent="0.3">
      <c r="A117" s="9" t="s">
        <v>212</v>
      </c>
      <c r="B117" s="9" t="s">
        <v>71</v>
      </c>
      <c r="C117" s="56" t="s">
        <v>253</v>
      </c>
      <c r="D117" s="56" t="s">
        <v>254</v>
      </c>
      <c r="E117" s="186" t="s">
        <v>34</v>
      </c>
      <c r="F117" s="52">
        <v>3</v>
      </c>
      <c r="G117" s="52">
        <v>1.5</v>
      </c>
      <c r="H117" s="52">
        <f t="shared" si="20"/>
        <v>4.5</v>
      </c>
      <c r="I117" s="134">
        <v>1</v>
      </c>
      <c r="J117" s="8">
        <f t="shared" ref="J117" si="21">I117*H117</f>
        <v>4.5</v>
      </c>
      <c r="K117" s="7">
        <f t="shared" si="13"/>
        <v>3</v>
      </c>
    </row>
    <row r="118" spans="1:11" x14ac:dyDescent="0.3">
      <c r="A118" s="9" t="s">
        <v>212</v>
      </c>
      <c r="B118" s="9" t="s">
        <v>71</v>
      </c>
      <c r="C118" s="56" t="s">
        <v>255</v>
      </c>
      <c r="D118" s="56" t="s">
        <v>256</v>
      </c>
      <c r="E118" s="186" t="s">
        <v>221</v>
      </c>
      <c r="F118" s="52">
        <v>2</v>
      </c>
      <c r="G118" s="52"/>
      <c r="H118" s="52">
        <f t="shared" ref="H118:H123" si="22">SUM(F118:G118)</f>
        <v>2</v>
      </c>
      <c r="I118" s="134">
        <v>1</v>
      </c>
      <c r="J118" s="8">
        <f>I118*H118</f>
        <v>2</v>
      </c>
      <c r="K118" s="7">
        <f t="shared" si="13"/>
        <v>2</v>
      </c>
    </row>
    <row r="119" spans="1:11" x14ac:dyDescent="0.3">
      <c r="A119" s="9" t="s">
        <v>212</v>
      </c>
      <c r="B119" s="9" t="s">
        <v>71</v>
      </c>
      <c r="C119" s="56" t="s">
        <v>257</v>
      </c>
      <c r="D119" s="56" t="s">
        <v>258</v>
      </c>
      <c r="E119" s="6" t="s">
        <v>221</v>
      </c>
      <c r="F119" s="52">
        <v>2</v>
      </c>
      <c r="G119" s="52">
        <v>1.5</v>
      </c>
      <c r="H119" s="52">
        <f t="shared" si="22"/>
        <v>3.5</v>
      </c>
      <c r="I119" s="134">
        <v>1</v>
      </c>
      <c r="J119" s="8">
        <f>I119*H119</f>
        <v>3.5</v>
      </c>
      <c r="K119" s="7">
        <f t="shared" si="13"/>
        <v>2</v>
      </c>
    </row>
    <row r="120" spans="1:11" x14ac:dyDescent="0.3">
      <c r="A120" s="9" t="s">
        <v>212</v>
      </c>
      <c r="B120" s="9" t="s">
        <v>71</v>
      </c>
      <c r="C120" s="56" t="s">
        <v>259</v>
      </c>
      <c r="D120" s="56" t="s">
        <v>260</v>
      </c>
      <c r="E120" s="6" t="s">
        <v>221</v>
      </c>
      <c r="F120" s="52">
        <v>3</v>
      </c>
      <c r="G120" s="52">
        <v>1.5</v>
      </c>
      <c r="H120" s="52">
        <f t="shared" si="22"/>
        <v>4.5</v>
      </c>
      <c r="I120" s="134">
        <v>1</v>
      </c>
      <c r="J120" s="8">
        <f>I120*H120</f>
        <v>4.5</v>
      </c>
      <c r="K120" s="7">
        <f t="shared" si="13"/>
        <v>3</v>
      </c>
    </row>
    <row r="121" spans="1:11" x14ac:dyDescent="0.3">
      <c r="A121" s="9" t="s">
        <v>212</v>
      </c>
      <c r="B121" s="9" t="s">
        <v>71</v>
      </c>
      <c r="C121" s="56" t="s">
        <v>167</v>
      </c>
      <c r="D121" s="56" t="s">
        <v>168</v>
      </c>
      <c r="E121" s="101"/>
      <c r="F121" s="52">
        <v>1</v>
      </c>
      <c r="G121" s="52"/>
      <c r="H121" s="52">
        <f t="shared" si="22"/>
        <v>1</v>
      </c>
      <c r="I121" s="134">
        <v>1</v>
      </c>
      <c r="J121" s="8">
        <f t="shared" ref="J121:J122" si="23">I121*H121</f>
        <v>1</v>
      </c>
      <c r="K121" s="7">
        <f t="shared" si="13"/>
        <v>1</v>
      </c>
    </row>
    <row r="122" spans="1:11" x14ac:dyDescent="0.3">
      <c r="A122" s="9" t="s">
        <v>212</v>
      </c>
      <c r="B122" s="9" t="s">
        <v>71</v>
      </c>
      <c r="C122" s="56" t="s">
        <v>261</v>
      </c>
      <c r="D122" s="56" t="s">
        <v>262</v>
      </c>
      <c r="E122" s="186" t="s">
        <v>221</v>
      </c>
      <c r="F122" s="13"/>
      <c r="G122" s="187">
        <v>2</v>
      </c>
      <c r="H122" s="187">
        <f t="shared" si="22"/>
        <v>2</v>
      </c>
      <c r="I122" s="134">
        <v>1</v>
      </c>
      <c r="J122" s="8">
        <f t="shared" si="23"/>
        <v>2</v>
      </c>
      <c r="K122" s="7">
        <f t="shared" si="13"/>
        <v>0</v>
      </c>
    </row>
    <row r="123" spans="1:11" x14ac:dyDescent="0.3">
      <c r="A123" s="9" t="s">
        <v>212</v>
      </c>
      <c r="B123" s="9" t="s">
        <v>71</v>
      </c>
      <c r="C123" s="56" t="s">
        <v>263</v>
      </c>
      <c r="D123" s="56" t="s">
        <v>264</v>
      </c>
      <c r="E123" s="186" t="s">
        <v>221</v>
      </c>
      <c r="F123" s="13"/>
      <c r="G123" s="13">
        <v>1.5</v>
      </c>
      <c r="H123" s="13">
        <f t="shared" si="22"/>
        <v>1.5</v>
      </c>
      <c r="I123" s="134">
        <v>1</v>
      </c>
      <c r="J123" s="8">
        <f t="shared" ref="J123" si="24">I123*H123</f>
        <v>1.5</v>
      </c>
      <c r="K123" s="7">
        <f t="shared" si="13"/>
        <v>0</v>
      </c>
    </row>
    <row r="124" spans="1:11" x14ac:dyDescent="0.3">
      <c r="C124"/>
      <c r="K124" s="7" t="str">
        <f t="shared" si="13"/>
        <v/>
      </c>
    </row>
    <row r="125" spans="1:11" x14ac:dyDescent="0.3">
      <c r="A125" s="58" t="s">
        <v>265</v>
      </c>
      <c r="K125" s="7" t="str">
        <f t="shared" si="13"/>
        <v/>
      </c>
    </row>
    <row r="126" spans="1:11" x14ac:dyDescent="0.3">
      <c r="A126" s="9" t="s">
        <v>266</v>
      </c>
      <c r="B126" s="3" t="s">
        <v>59</v>
      </c>
      <c r="C126" s="56" t="s">
        <v>117</v>
      </c>
      <c r="D126" s="56" t="s">
        <v>118</v>
      </c>
      <c r="E126" s="6" t="s">
        <v>34</v>
      </c>
      <c r="F126" s="52">
        <v>2</v>
      </c>
      <c r="G126" s="52">
        <v>1.5</v>
      </c>
      <c r="H126" s="52">
        <f t="shared" ref="H126:H131" si="25">SUM(F126:G126)</f>
        <v>3.5</v>
      </c>
      <c r="I126" s="134">
        <f>'2 - Section Count Projection'!$O$29</f>
        <v>0</v>
      </c>
      <c r="J126" s="8">
        <f t="shared" ref="J126:J132" si="26">I126*H126</f>
        <v>0</v>
      </c>
      <c r="K126" s="7" t="str">
        <f t="shared" si="13"/>
        <v/>
      </c>
    </row>
    <row r="127" spans="1:11" x14ac:dyDescent="0.3">
      <c r="A127" s="9" t="s">
        <v>266</v>
      </c>
      <c r="B127" s="3" t="s">
        <v>59</v>
      </c>
      <c r="C127" s="56" t="s">
        <v>119</v>
      </c>
      <c r="D127" s="56" t="s">
        <v>120</v>
      </c>
      <c r="E127" s="6" t="s">
        <v>34</v>
      </c>
      <c r="F127" s="52">
        <v>2</v>
      </c>
      <c r="G127" s="52">
        <v>1.5</v>
      </c>
      <c r="H127" s="52">
        <f t="shared" si="25"/>
        <v>3.5</v>
      </c>
      <c r="I127" s="134">
        <f>'2 - Section Count Projection'!$O$29</f>
        <v>0</v>
      </c>
      <c r="J127" s="8">
        <f t="shared" si="26"/>
        <v>0</v>
      </c>
      <c r="K127" s="7" t="str">
        <f t="shared" si="13"/>
        <v/>
      </c>
    </row>
    <row r="128" spans="1:11" x14ac:dyDescent="0.3">
      <c r="A128" s="9" t="s">
        <v>266</v>
      </c>
      <c r="B128" s="9" t="s">
        <v>59</v>
      </c>
      <c r="C128" s="56" t="s">
        <v>121</v>
      </c>
      <c r="D128" s="56" t="s">
        <v>122</v>
      </c>
      <c r="E128" s="101"/>
      <c r="F128" s="52">
        <v>3</v>
      </c>
      <c r="G128" s="52"/>
      <c r="H128" s="52">
        <f t="shared" si="25"/>
        <v>3</v>
      </c>
      <c r="I128" s="134">
        <f>'2 - Section Count Projection'!$O$29</f>
        <v>0</v>
      </c>
      <c r="J128" s="8">
        <f t="shared" si="26"/>
        <v>0</v>
      </c>
      <c r="K128" s="7" t="str">
        <f t="shared" si="13"/>
        <v/>
      </c>
    </row>
    <row r="129" spans="1:11" x14ac:dyDescent="0.3">
      <c r="A129" s="9" t="s">
        <v>266</v>
      </c>
      <c r="B129" s="9" t="s">
        <v>59</v>
      </c>
      <c r="C129" s="56" t="s">
        <v>123</v>
      </c>
      <c r="D129" s="56" t="s">
        <v>124</v>
      </c>
      <c r="E129" s="101"/>
      <c r="F129" s="52">
        <v>1</v>
      </c>
      <c r="G129" s="52"/>
      <c r="H129" s="52">
        <f t="shared" si="25"/>
        <v>1</v>
      </c>
      <c r="I129" s="134">
        <f>'2 - Section Count Projection'!$O$29</f>
        <v>0</v>
      </c>
      <c r="J129" s="8">
        <f t="shared" si="26"/>
        <v>0</v>
      </c>
      <c r="K129" s="7" t="str">
        <f t="shared" si="13"/>
        <v/>
      </c>
    </row>
    <row r="130" spans="1:11" x14ac:dyDescent="0.3">
      <c r="A130" s="9" t="s">
        <v>266</v>
      </c>
      <c r="B130" s="9" t="s">
        <v>59</v>
      </c>
      <c r="C130" s="56" t="s">
        <v>125</v>
      </c>
      <c r="D130" s="56" t="s">
        <v>126</v>
      </c>
      <c r="E130" s="6" t="s">
        <v>127</v>
      </c>
      <c r="F130" s="52">
        <v>3</v>
      </c>
      <c r="G130" s="52"/>
      <c r="H130" s="52">
        <f t="shared" si="25"/>
        <v>3</v>
      </c>
      <c r="I130" s="134">
        <f>'2 - Section Count Projection'!$O$29</f>
        <v>0</v>
      </c>
      <c r="J130" s="8">
        <f t="shared" si="26"/>
        <v>0</v>
      </c>
      <c r="K130" s="7" t="str">
        <f t="shared" si="13"/>
        <v/>
      </c>
    </row>
    <row r="131" spans="1:11" x14ac:dyDescent="0.3">
      <c r="A131" s="9" t="s">
        <v>266</v>
      </c>
      <c r="B131" s="9" t="s">
        <v>59</v>
      </c>
      <c r="C131" s="56" t="s">
        <v>128</v>
      </c>
      <c r="D131" s="56" t="s">
        <v>129</v>
      </c>
      <c r="E131" s="101"/>
      <c r="F131" s="52">
        <v>3</v>
      </c>
      <c r="G131" s="52"/>
      <c r="H131" s="52">
        <f t="shared" si="25"/>
        <v>3</v>
      </c>
      <c r="I131" s="134">
        <f>'2 - Section Count Projection'!$O$29</f>
        <v>0</v>
      </c>
      <c r="J131" s="8">
        <f t="shared" si="26"/>
        <v>0</v>
      </c>
      <c r="K131" s="7" t="str">
        <f t="shared" si="13"/>
        <v/>
      </c>
    </row>
    <row r="132" spans="1:11" x14ac:dyDescent="0.3">
      <c r="A132" s="9" t="s">
        <v>266</v>
      </c>
      <c r="B132" s="9" t="s">
        <v>59</v>
      </c>
      <c r="C132" s="56" t="s">
        <v>130</v>
      </c>
      <c r="D132" s="56" t="s">
        <v>131</v>
      </c>
      <c r="E132" s="6" t="s">
        <v>38</v>
      </c>
      <c r="F132" s="52">
        <v>2</v>
      </c>
      <c r="G132" s="52"/>
      <c r="H132" s="52">
        <f>SUM(F132:G132)</f>
        <v>2</v>
      </c>
      <c r="I132" s="134">
        <f>'2 - Section Count Projection'!$O$29</f>
        <v>0</v>
      </c>
      <c r="J132" s="8">
        <f t="shared" si="26"/>
        <v>0</v>
      </c>
      <c r="K132" s="7" t="str">
        <f t="shared" ref="K132:K195" si="27">IF(I132&gt;0,F132,"")</f>
        <v/>
      </c>
    </row>
    <row r="133" spans="1:11" x14ac:dyDescent="0.3">
      <c r="A133" s="9" t="s">
        <v>266</v>
      </c>
      <c r="B133" s="9" t="s">
        <v>59</v>
      </c>
      <c r="C133" s="56" t="s">
        <v>134</v>
      </c>
      <c r="D133" s="56" t="s">
        <v>135</v>
      </c>
      <c r="E133" s="101"/>
      <c r="F133" s="52">
        <v>3</v>
      </c>
      <c r="G133" s="52"/>
      <c r="H133" s="52">
        <f>SUM(F133:G133)</f>
        <v>3</v>
      </c>
      <c r="I133" s="134">
        <f>'2 - Section Count Projection'!$O$29</f>
        <v>0</v>
      </c>
      <c r="J133" s="8">
        <f>I133*H133</f>
        <v>0</v>
      </c>
      <c r="K133" s="7" t="str">
        <f t="shared" si="27"/>
        <v/>
      </c>
    </row>
    <row r="134" spans="1:11" x14ac:dyDescent="0.3">
      <c r="K134" s="7" t="str">
        <f t="shared" si="27"/>
        <v/>
      </c>
    </row>
    <row r="135" spans="1:11" x14ac:dyDescent="0.3">
      <c r="A135" s="58" t="s">
        <v>267</v>
      </c>
      <c r="K135" s="7" t="str">
        <f t="shared" si="27"/>
        <v/>
      </c>
    </row>
    <row r="136" spans="1:11" x14ac:dyDescent="0.3">
      <c r="A136" s="9" t="s">
        <v>266</v>
      </c>
      <c r="B136" s="9" t="s">
        <v>62</v>
      </c>
      <c r="C136" s="56" t="s">
        <v>137</v>
      </c>
      <c r="D136" s="56" t="s">
        <v>138</v>
      </c>
      <c r="E136" s="6" t="s">
        <v>34</v>
      </c>
      <c r="F136" s="52">
        <v>2</v>
      </c>
      <c r="G136" s="52">
        <v>1.5</v>
      </c>
      <c r="H136" s="52">
        <f>SUM(F136:G136)</f>
        <v>3.5</v>
      </c>
      <c r="I136" s="134">
        <f>'2 - Section Count Projection'!$O$31</f>
        <v>0</v>
      </c>
      <c r="J136" s="8">
        <f>I136*H136</f>
        <v>0</v>
      </c>
      <c r="K136" s="7" t="str">
        <f t="shared" si="27"/>
        <v/>
      </c>
    </row>
    <row r="137" spans="1:11" x14ac:dyDescent="0.3">
      <c r="A137" s="9" t="s">
        <v>266</v>
      </c>
      <c r="B137" s="9" t="s">
        <v>62</v>
      </c>
      <c r="C137" s="56" t="s">
        <v>185</v>
      </c>
      <c r="D137" s="56" t="s">
        <v>186</v>
      </c>
      <c r="E137" s="6" t="s">
        <v>20</v>
      </c>
      <c r="F137" s="52">
        <v>3</v>
      </c>
      <c r="G137" s="52"/>
      <c r="H137" s="52">
        <f t="shared" ref="H137:H153" si="28">SUM(F137:G137)</f>
        <v>3</v>
      </c>
      <c r="I137" s="134">
        <f>'2 - Section Count Projection'!$O$31</f>
        <v>0</v>
      </c>
      <c r="J137" s="8">
        <f t="shared" ref="J137:J153" si="29">I137*H137</f>
        <v>0</v>
      </c>
      <c r="K137" s="7" t="str">
        <f t="shared" si="27"/>
        <v/>
      </c>
    </row>
    <row r="138" spans="1:11" x14ac:dyDescent="0.3">
      <c r="A138" s="9" t="s">
        <v>266</v>
      </c>
      <c r="B138" s="9" t="s">
        <v>62</v>
      </c>
      <c r="C138" s="56" t="s">
        <v>144</v>
      </c>
      <c r="D138" s="56" t="s">
        <v>145</v>
      </c>
      <c r="E138" s="6" t="s">
        <v>141</v>
      </c>
      <c r="F138" s="52">
        <v>3</v>
      </c>
      <c r="G138" s="52"/>
      <c r="H138" s="52">
        <f t="shared" si="28"/>
        <v>3</v>
      </c>
      <c r="I138" s="134">
        <f>'2 - Section Count Projection'!$O$31</f>
        <v>0</v>
      </c>
      <c r="J138" s="8">
        <f t="shared" si="29"/>
        <v>0</v>
      </c>
      <c r="K138" s="7" t="str">
        <f t="shared" si="27"/>
        <v/>
      </c>
    </row>
    <row r="139" spans="1:11" x14ac:dyDescent="0.3">
      <c r="A139" s="9" t="s">
        <v>266</v>
      </c>
      <c r="B139" s="9" t="s">
        <v>62</v>
      </c>
      <c r="C139" s="56" t="s">
        <v>142</v>
      </c>
      <c r="D139" s="56" t="s">
        <v>143</v>
      </c>
      <c r="E139" s="6" t="s">
        <v>38</v>
      </c>
      <c r="F139" s="52">
        <v>2</v>
      </c>
      <c r="G139" s="52"/>
      <c r="H139" s="52">
        <f t="shared" si="28"/>
        <v>2</v>
      </c>
      <c r="I139" s="134">
        <f>'2 - Section Count Projection'!$O$31</f>
        <v>0</v>
      </c>
      <c r="J139" s="8">
        <f t="shared" si="29"/>
        <v>0</v>
      </c>
      <c r="K139" s="7" t="str">
        <f t="shared" si="27"/>
        <v/>
      </c>
    </row>
    <row r="140" spans="1:11" x14ac:dyDescent="0.3">
      <c r="A140" s="9" t="s">
        <v>266</v>
      </c>
      <c r="B140" s="9" t="s">
        <v>62</v>
      </c>
      <c r="C140" s="56" t="s">
        <v>139</v>
      </c>
      <c r="D140" s="56" t="s">
        <v>140</v>
      </c>
      <c r="E140" s="6" t="s">
        <v>141</v>
      </c>
      <c r="F140" s="52">
        <v>3</v>
      </c>
      <c r="G140" s="52"/>
      <c r="H140" s="52">
        <f t="shared" si="28"/>
        <v>3</v>
      </c>
      <c r="I140" s="134">
        <f>'2 - Section Count Projection'!$O$31</f>
        <v>0</v>
      </c>
      <c r="J140" s="8">
        <f t="shared" si="29"/>
        <v>0</v>
      </c>
      <c r="K140" s="7" t="str">
        <f t="shared" si="27"/>
        <v/>
      </c>
    </row>
    <row r="141" spans="1:11" x14ac:dyDescent="0.3">
      <c r="A141" s="9" t="s">
        <v>266</v>
      </c>
      <c r="B141" s="9" t="s">
        <v>62</v>
      </c>
      <c r="C141" s="56" t="s">
        <v>268</v>
      </c>
      <c r="D141" s="56" t="s">
        <v>269</v>
      </c>
      <c r="E141" s="6" t="s">
        <v>20</v>
      </c>
      <c r="F141" s="52">
        <v>3</v>
      </c>
      <c r="G141" s="52"/>
      <c r="H141" s="52">
        <f t="shared" si="28"/>
        <v>3</v>
      </c>
      <c r="I141" s="134">
        <f>'2 - Section Count Projection'!$O$31</f>
        <v>0</v>
      </c>
      <c r="J141" s="8">
        <f t="shared" si="29"/>
        <v>0</v>
      </c>
      <c r="K141" s="7" t="str">
        <f t="shared" si="27"/>
        <v/>
      </c>
    </row>
    <row r="142" spans="1:11" x14ac:dyDescent="0.3">
      <c r="A142" s="9" t="s">
        <v>266</v>
      </c>
      <c r="B142" s="9" t="s">
        <v>62</v>
      </c>
      <c r="C142" s="56" t="s">
        <v>270</v>
      </c>
      <c r="D142" s="56" t="s">
        <v>271</v>
      </c>
      <c r="E142" s="6" t="s">
        <v>34</v>
      </c>
      <c r="F142" s="52">
        <v>2</v>
      </c>
      <c r="G142" s="52">
        <v>1.5</v>
      </c>
      <c r="H142" s="52">
        <f t="shared" si="28"/>
        <v>3.5</v>
      </c>
      <c r="I142" s="134">
        <f>'2 - Section Count Projection'!$O$31</f>
        <v>0</v>
      </c>
      <c r="J142" s="8">
        <f t="shared" si="29"/>
        <v>0</v>
      </c>
      <c r="K142" s="7" t="str">
        <f t="shared" si="27"/>
        <v/>
      </c>
    </row>
    <row r="143" spans="1:11" ht="17.25" customHeight="1" x14ac:dyDescent="0.3">
      <c r="A143" s="9" t="s">
        <v>266</v>
      </c>
      <c r="B143" s="9" t="s">
        <v>62</v>
      </c>
      <c r="C143" s="56" t="s">
        <v>161</v>
      </c>
      <c r="D143" s="56" t="s">
        <v>162</v>
      </c>
      <c r="E143" s="6" t="s">
        <v>34</v>
      </c>
      <c r="F143" s="52">
        <v>3</v>
      </c>
      <c r="G143" s="52"/>
      <c r="H143" s="52">
        <f t="shared" si="28"/>
        <v>3</v>
      </c>
      <c r="I143" s="134">
        <f>'2 - Section Count Projection'!$O$31</f>
        <v>0</v>
      </c>
      <c r="J143" s="8">
        <f t="shared" si="29"/>
        <v>0</v>
      </c>
      <c r="K143" s="7" t="str">
        <f t="shared" si="27"/>
        <v/>
      </c>
    </row>
    <row r="144" spans="1:11" x14ac:dyDescent="0.3">
      <c r="K144" s="7" t="str">
        <f t="shared" si="27"/>
        <v/>
      </c>
    </row>
    <row r="145" spans="1:11" x14ac:dyDescent="0.3">
      <c r="A145" s="58" t="s">
        <v>267</v>
      </c>
      <c r="K145" s="7" t="str">
        <f t="shared" si="27"/>
        <v/>
      </c>
    </row>
    <row r="146" spans="1:11" x14ac:dyDescent="0.3">
      <c r="A146" s="9" t="s">
        <v>266</v>
      </c>
      <c r="B146" s="63" t="s">
        <v>66</v>
      </c>
      <c r="C146" s="56" t="s">
        <v>272</v>
      </c>
      <c r="D146" s="56" t="s">
        <v>273</v>
      </c>
      <c r="E146" s="6" t="s">
        <v>34</v>
      </c>
      <c r="F146" s="52">
        <v>2</v>
      </c>
      <c r="G146" s="52">
        <v>1.5</v>
      </c>
      <c r="H146" s="52">
        <f t="shared" si="28"/>
        <v>3.5</v>
      </c>
      <c r="I146" s="134">
        <f>'2 - Section Count Projection'!$O$33</f>
        <v>0</v>
      </c>
      <c r="J146" s="8">
        <f t="shared" si="29"/>
        <v>0</v>
      </c>
      <c r="K146" s="7" t="str">
        <f t="shared" si="27"/>
        <v/>
      </c>
    </row>
    <row r="147" spans="1:11" x14ac:dyDescent="0.3">
      <c r="A147" s="9" t="s">
        <v>266</v>
      </c>
      <c r="B147" s="63" t="s">
        <v>66</v>
      </c>
      <c r="C147" s="56" t="s">
        <v>274</v>
      </c>
      <c r="D147" s="56" t="s">
        <v>275</v>
      </c>
      <c r="E147" s="6" t="s">
        <v>127</v>
      </c>
      <c r="F147" s="52">
        <v>3</v>
      </c>
      <c r="G147" s="52"/>
      <c r="H147" s="52">
        <f t="shared" si="28"/>
        <v>3</v>
      </c>
      <c r="I147" s="134">
        <f>'2 - Section Count Projection'!$O$33</f>
        <v>0</v>
      </c>
      <c r="J147" s="8">
        <f t="shared" si="29"/>
        <v>0</v>
      </c>
      <c r="K147" s="7" t="str">
        <f t="shared" si="27"/>
        <v/>
      </c>
    </row>
    <row r="148" spans="1:11" x14ac:dyDescent="0.3">
      <c r="A148" s="9" t="s">
        <v>266</v>
      </c>
      <c r="B148" s="63" t="s">
        <v>66</v>
      </c>
      <c r="C148" s="56" t="s">
        <v>155</v>
      </c>
      <c r="D148" s="56" t="s">
        <v>156</v>
      </c>
      <c r="E148" s="6" t="s">
        <v>34</v>
      </c>
      <c r="F148" s="52">
        <v>2</v>
      </c>
      <c r="G148" s="52">
        <v>1.5</v>
      </c>
      <c r="H148" s="52">
        <f t="shared" si="28"/>
        <v>3.5</v>
      </c>
      <c r="I148" s="134">
        <f>'2 - Section Count Projection'!$O$33</f>
        <v>0</v>
      </c>
      <c r="J148" s="8">
        <f t="shared" si="29"/>
        <v>0</v>
      </c>
      <c r="K148" s="7" t="str">
        <f t="shared" si="27"/>
        <v/>
      </c>
    </row>
    <row r="149" spans="1:11" x14ac:dyDescent="0.3">
      <c r="A149" s="9" t="s">
        <v>266</v>
      </c>
      <c r="B149" s="63" t="s">
        <v>66</v>
      </c>
      <c r="C149" s="56"/>
      <c r="D149" s="56" t="s">
        <v>276</v>
      </c>
      <c r="E149" s="6" t="s">
        <v>34</v>
      </c>
      <c r="F149" s="52">
        <v>3</v>
      </c>
      <c r="G149" s="52"/>
      <c r="H149" s="52">
        <f t="shared" si="28"/>
        <v>3</v>
      </c>
      <c r="I149" s="134">
        <f>'2 - Section Count Projection'!$O$33</f>
        <v>0</v>
      </c>
      <c r="J149" s="8">
        <f t="shared" si="29"/>
        <v>0</v>
      </c>
      <c r="K149" s="7" t="str">
        <f t="shared" si="27"/>
        <v/>
      </c>
    </row>
    <row r="150" spans="1:11" x14ac:dyDescent="0.3">
      <c r="A150" s="9" t="s">
        <v>266</v>
      </c>
      <c r="B150" s="63" t="s">
        <v>66</v>
      </c>
      <c r="C150" s="56" t="s">
        <v>277</v>
      </c>
      <c r="D150" s="56" t="s">
        <v>278</v>
      </c>
      <c r="E150" s="6" t="s">
        <v>34</v>
      </c>
      <c r="F150" s="52">
        <v>3</v>
      </c>
      <c r="G150" s="52"/>
      <c r="H150" s="52">
        <f t="shared" si="28"/>
        <v>3</v>
      </c>
      <c r="I150" s="134">
        <f>'2 - Section Count Projection'!$O$33</f>
        <v>0</v>
      </c>
      <c r="J150" s="8">
        <f t="shared" si="29"/>
        <v>0</v>
      </c>
      <c r="K150" s="7" t="str">
        <f t="shared" si="27"/>
        <v/>
      </c>
    </row>
    <row r="151" spans="1:11" x14ac:dyDescent="0.3">
      <c r="A151" s="9" t="s">
        <v>266</v>
      </c>
      <c r="B151" s="63" t="s">
        <v>66</v>
      </c>
      <c r="C151" s="56" t="s">
        <v>279</v>
      </c>
      <c r="D151" s="56" t="s">
        <v>280</v>
      </c>
      <c r="E151" s="6" t="s">
        <v>20</v>
      </c>
      <c r="F151" s="52">
        <v>3</v>
      </c>
      <c r="G151" s="52"/>
      <c r="H151" s="52">
        <f t="shared" si="28"/>
        <v>3</v>
      </c>
      <c r="I151" s="134">
        <f>'2 - Section Count Projection'!$O$33</f>
        <v>0</v>
      </c>
      <c r="J151" s="8">
        <f t="shared" si="29"/>
        <v>0</v>
      </c>
      <c r="K151" s="7" t="str">
        <f t="shared" si="27"/>
        <v/>
      </c>
    </row>
    <row r="152" spans="1:11" x14ac:dyDescent="0.3">
      <c r="A152" s="9" t="s">
        <v>266</v>
      </c>
      <c r="B152" s="63" t="s">
        <v>66</v>
      </c>
      <c r="C152" s="56" t="s">
        <v>281</v>
      </c>
      <c r="D152" s="56" t="s">
        <v>282</v>
      </c>
      <c r="E152" s="6" t="s">
        <v>20</v>
      </c>
      <c r="F152" s="52">
        <v>2</v>
      </c>
      <c r="G152" s="52">
        <v>1.5</v>
      </c>
      <c r="H152" s="52">
        <f t="shared" si="28"/>
        <v>3.5</v>
      </c>
      <c r="I152" s="134">
        <f>'2 - Section Count Projection'!$O$33</f>
        <v>0</v>
      </c>
      <c r="J152" s="8">
        <f t="shared" si="29"/>
        <v>0</v>
      </c>
      <c r="K152" s="7" t="str">
        <f t="shared" si="27"/>
        <v/>
      </c>
    </row>
    <row r="153" spans="1:11" x14ac:dyDescent="0.3">
      <c r="A153" s="9" t="s">
        <v>266</v>
      </c>
      <c r="B153" s="63" t="s">
        <v>66</v>
      </c>
      <c r="C153" s="56" t="s">
        <v>283</v>
      </c>
      <c r="D153" s="56" t="s">
        <v>284</v>
      </c>
      <c r="E153" s="6" t="s">
        <v>34</v>
      </c>
      <c r="F153" s="52">
        <v>3</v>
      </c>
      <c r="G153" s="52"/>
      <c r="H153" s="52">
        <f t="shared" si="28"/>
        <v>3</v>
      </c>
      <c r="I153" s="134">
        <f>'2 - Section Count Projection'!$O$33</f>
        <v>0</v>
      </c>
      <c r="J153" s="8">
        <f t="shared" si="29"/>
        <v>0</v>
      </c>
      <c r="K153" s="7" t="str">
        <f t="shared" si="27"/>
        <v/>
      </c>
    </row>
    <row r="154" spans="1:11" x14ac:dyDescent="0.3">
      <c r="K154" s="7" t="str">
        <f t="shared" si="27"/>
        <v/>
      </c>
    </row>
    <row r="155" spans="1:11" x14ac:dyDescent="0.3">
      <c r="A155" s="58" t="s">
        <v>285</v>
      </c>
      <c r="K155" s="7" t="str">
        <f t="shared" si="27"/>
        <v/>
      </c>
    </row>
    <row r="156" spans="1:11" x14ac:dyDescent="0.3">
      <c r="A156" s="9" t="s">
        <v>266</v>
      </c>
      <c r="B156" s="9" t="s">
        <v>71</v>
      </c>
      <c r="C156" s="56" t="s">
        <v>153</v>
      </c>
      <c r="D156" s="56" t="s">
        <v>154</v>
      </c>
      <c r="E156" s="6" t="s">
        <v>34</v>
      </c>
      <c r="F156" s="52">
        <v>2</v>
      </c>
      <c r="G156" s="52">
        <v>1.5</v>
      </c>
      <c r="H156" s="52">
        <f t="shared" ref="H156:H162" si="30">SUM(F156:G156)</f>
        <v>3.5</v>
      </c>
      <c r="I156" s="134">
        <f>'2 - Section Count Projection'!$O$35</f>
        <v>0</v>
      </c>
      <c r="J156" s="8">
        <f t="shared" ref="J156:J162" si="31">I156*H156</f>
        <v>0</v>
      </c>
      <c r="K156" s="7" t="str">
        <f t="shared" si="27"/>
        <v/>
      </c>
    </row>
    <row r="157" spans="1:11" x14ac:dyDescent="0.3">
      <c r="A157" s="9" t="s">
        <v>266</v>
      </c>
      <c r="B157" s="9" t="s">
        <v>71</v>
      </c>
      <c r="C157" s="56" t="s">
        <v>167</v>
      </c>
      <c r="D157" s="56" t="s">
        <v>168</v>
      </c>
      <c r="E157" s="101"/>
      <c r="F157" s="52">
        <v>1</v>
      </c>
      <c r="G157" s="52"/>
      <c r="H157" s="52">
        <f t="shared" si="30"/>
        <v>1</v>
      </c>
      <c r="I157" s="134">
        <f>'2 - Section Count Projection'!$O$35</f>
        <v>0</v>
      </c>
      <c r="J157" s="8">
        <f t="shared" si="31"/>
        <v>0</v>
      </c>
      <c r="K157" s="7" t="str">
        <f t="shared" si="27"/>
        <v/>
      </c>
    </row>
    <row r="158" spans="1:11" x14ac:dyDescent="0.3">
      <c r="A158" s="9" t="s">
        <v>266</v>
      </c>
      <c r="B158" s="9" t="s">
        <v>71</v>
      </c>
      <c r="C158" s="56" t="s">
        <v>146</v>
      </c>
      <c r="D158" s="56" t="s">
        <v>147</v>
      </c>
      <c r="E158" s="6" t="s">
        <v>34</v>
      </c>
      <c r="F158" s="52">
        <v>2</v>
      </c>
      <c r="G158" s="52">
        <v>1.5</v>
      </c>
      <c r="H158" s="52">
        <f t="shared" si="30"/>
        <v>3.5</v>
      </c>
      <c r="I158" s="134">
        <f>'2 - Section Count Projection'!$O$35</f>
        <v>0</v>
      </c>
      <c r="J158" s="8">
        <f t="shared" si="31"/>
        <v>0</v>
      </c>
      <c r="K158" s="7" t="str">
        <f t="shared" si="27"/>
        <v/>
      </c>
    </row>
    <row r="159" spans="1:11" x14ac:dyDescent="0.3">
      <c r="A159" s="9" t="s">
        <v>266</v>
      </c>
      <c r="B159" s="9" t="s">
        <v>71</v>
      </c>
      <c r="C159" s="56" t="s">
        <v>191</v>
      </c>
      <c r="D159" s="56" t="s">
        <v>192</v>
      </c>
      <c r="E159" s="6" t="s">
        <v>34</v>
      </c>
      <c r="F159" s="52">
        <v>2</v>
      </c>
      <c r="G159" s="52">
        <v>1.5</v>
      </c>
      <c r="H159" s="52">
        <f t="shared" si="30"/>
        <v>3.5</v>
      </c>
      <c r="I159" s="134">
        <f>'2 - Section Count Projection'!$O$35</f>
        <v>0</v>
      </c>
      <c r="J159" s="8">
        <f t="shared" si="31"/>
        <v>0</v>
      </c>
      <c r="K159" s="7" t="str">
        <f t="shared" si="27"/>
        <v/>
      </c>
    </row>
    <row r="160" spans="1:11" x14ac:dyDescent="0.3">
      <c r="A160" s="9" t="s">
        <v>266</v>
      </c>
      <c r="B160" s="9" t="s">
        <v>71</v>
      </c>
      <c r="C160" s="56" t="s">
        <v>286</v>
      </c>
      <c r="D160" s="56" t="s">
        <v>287</v>
      </c>
      <c r="E160" s="6" t="s">
        <v>34</v>
      </c>
      <c r="F160" s="52">
        <v>3</v>
      </c>
      <c r="G160" s="52"/>
      <c r="H160" s="52">
        <f t="shared" si="30"/>
        <v>3</v>
      </c>
      <c r="I160" s="134">
        <f>'2 - Section Count Projection'!$O$35</f>
        <v>0</v>
      </c>
      <c r="J160" s="8">
        <f t="shared" si="31"/>
        <v>0</v>
      </c>
      <c r="K160" s="7" t="str">
        <f t="shared" si="27"/>
        <v/>
      </c>
    </row>
    <row r="161" spans="1:11" x14ac:dyDescent="0.3">
      <c r="A161" s="9" t="s">
        <v>266</v>
      </c>
      <c r="B161" s="9" t="s">
        <v>71</v>
      </c>
      <c r="C161" s="56" t="s">
        <v>157</v>
      </c>
      <c r="D161" s="56" t="s">
        <v>288</v>
      </c>
      <c r="E161" s="6" t="s">
        <v>34</v>
      </c>
      <c r="F161" s="172">
        <v>2</v>
      </c>
      <c r="G161" s="172"/>
      <c r="H161" s="172">
        <v>2</v>
      </c>
      <c r="I161" s="134">
        <f>'2 - Section Count Projection'!$O$35</f>
        <v>0</v>
      </c>
      <c r="J161" s="8">
        <f t="shared" si="31"/>
        <v>0</v>
      </c>
      <c r="K161" s="7" t="str">
        <f t="shared" si="27"/>
        <v/>
      </c>
    </row>
    <row r="162" spans="1:11" x14ac:dyDescent="0.3">
      <c r="A162" s="9" t="s">
        <v>266</v>
      </c>
      <c r="B162" s="9" t="s">
        <v>71</v>
      </c>
      <c r="C162" s="56"/>
      <c r="D162" s="56" t="s">
        <v>289</v>
      </c>
      <c r="E162" s="6" t="s">
        <v>34</v>
      </c>
      <c r="F162" s="52">
        <v>3</v>
      </c>
      <c r="G162" s="52"/>
      <c r="H162" s="52">
        <f t="shared" si="30"/>
        <v>3</v>
      </c>
      <c r="I162" s="134">
        <f>'2 - Section Count Projection'!$O$35</f>
        <v>0</v>
      </c>
      <c r="J162" s="8">
        <f t="shared" si="31"/>
        <v>0</v>
      </c>
      <c r="K162" s="7" t="str">
        <f t="shared" si="27"/>
        <v/>
      </c>
    </row>
    <row r="163" spans="1:11" x14ac:dyDescent="0.3">
      <c r="K163" s="7" t="str">
        <f t="shared" si="27"/>
        <v/>
      </c>
    </row>
    <row r="164" spans="1:11" x14ac:dyDescent="0.3">
      <c r="A164" s="58" t="s">
        <v>290</v>
      </c>
      <c r="K164" s="7" t="str">
        <f t="shared" si="27"/>
        <v/>
      </c>
    </row>
    <row r="165" spans="1:11" x14ac:dyDescent="0.3">
      <c r="A165" s="9" t="s">
        <v>291</v>
      </c>
      <c r="B165" s="3" t="s">
        <v>59</v>
      </c>
      <c r="C165" s="56" t="s">
        <v>123</v>
      </c>
      <c r="D165" s="56" t="s">
        <v>124</v>
      </c>
      <c r="E165" s="101"/>
      <c r="F165" s="52">
        <v>1</v>
      </c>
      <c r="G165" s="52"/>
      <c r="H165" s="52">
        <f>SUM(F165:G165)</f>
        <v>1</v>
      </c>
      <c r="I165" s="134">
        <v>4</v>
      </c>
      <c r="J165" s="8">
        <f>I165*H165</f>
        <v>4</v>
      </c>
      <c r="K165" s="7">
        <f t="shared" si="27"/>
        <v>1</v>
      </c>
    </row>
    <row r="166" spans="1:11" x14ac:dyDescent="0.3">
      <c r="A166" s="9" t="s">
        <v>291</v>
      </c>
      <c r="B166" s="3" t="s">
        <v>59</v>
      </c>
      <c r="C166" s="56" t="s">
        <v>217</v>
      </c>
      <c r="D166" s="56" t="s">
        <v>218</v>
      </c>
      <c r="E166" s="6" t="s">
        <v>36</v>
      </c>
      <c r="F166" s="52">
        <v>3</v>
      </c>
      <c r="G166" s="52"/>
      <c r="H166" s="52">
        <f t="shared" ref="H166:H171" si="32">SUM(F166:G166)</f>
        <v>3</v>
      </c>
      <c r="I166" s="134">
        <v>4</v>
      </c>
      <c r="J166" s="8">
        <f t="shared" ref="J166:J171" si="33">I166*H166</f>
        <v>12</v>
      </c>
      <c r="K166" s="7">
        <f t="shared" si="27"/>
        <v>3</v>
      </c>
    </row>
    <row r="167" spans="1:11" x14ac:dyDescent="0.3">
      <c r="A167" s="9" t="s">
        <v>291</v>
      </c>
      <c r="B167" s="9" t="s">
        <v>59</v>
      </c>
      <c r="C167" s="56" t="s">
        <v>128</v>
      </c>
      <c r="D167" s="56" t="s">
        <v>129</v>
      </c>
      <c r="E167" s="101"/>
      <c r="F167" s="52">
        <v>3</v>
      </c>
      <c r="G167" s="52"/>
      <c r="H167" s="52">
        <f t="shared" si="32"/>
        <v>3</v>
      </c>
      <c r="I167" s="134">
        <v>4</v>
      </c>
      <c r="J167" s="8">
        <f t="shared" si="33"/>
        <v>12</v>
      </c>
      <c r="K167" s="7">
        <f t="shared" si="27"/>
        <v>3</v>
      </c>
    </row>
    <row r="168" spans="1:11" x14ac:dyDescent="0.3">
      <c r="A168" s="9" t="s">
        <v>291</v>
      </c>
      <c r="B168" s="9" t="s">
        <v>59</v>
      </c>
      <c r="C168" s="56" t="s">
        <v>130</v>
      </c>
      <c r="D168" s="56" t="s">
        <v>292</v>
      </c>
      <c r="E168" s="6" t="s">
        <v>38</v>
      </c>
      <c r="F168" s="52">
        <v>2</v>
      </c>
      <c r="G168" s="52"/>
      <c r="H168" s="52">
        <f t="shared" si="32"/>
        <v>2</v>
      </c>
      <c r="I168" s="134">
        <v>4</v>
      </c>
      <c r="J168" s="8">
        <f t="shared" si="33"/>
        <v>8</v>
      </c>
      <c r="K168" s="7">
        <f t="shared" si="27"/>
        <v>2</v>
      </c>
    </row>
    <row r="169" spans="1:11" x14ac:dyDescent="0.3">
      <c r="A169" s="9" t="s">
        <v>291</v>
      </c>
      <c r="B169" s="9" t="s">
        <v>59</v>
      </c>
      <c r="C169" s="56" t="s">
        <v>139</v>
      </c>
      <c r="D169" s="56" t="s">
        <v>140</v>
      </c>
      <c r="E169" s="6" t="s">
        <v>141</v>
      </c>
      <c r="F169" s="52">
        <v>3</v>
      </c>
      <c r="G169" s="52"/>
      <c r="H169" s="52">
        <f t="shared" si="32"/>
        <v>3</v>
      </c>
      <c r="I169" s="134">
        <v>4</v>
      </c>
      <c r="J169" s="8">
        <f t="shared" si="33"/>
        <v>12</v>
      </c>
      <c r="K169" s="7">
        <f t="shared" si="27"/>
        <v>3</v>
      </c>
    </row>
    <row r="170" spans="1:11" x14ac:dyDescent="0.3">
      <c r="A170" s="9" t="s">
        <v>291</v>
      </c>
      <c r="B170" s="9" t="s">
        <v>59</v>
      </c>
      <c r="C170" s="56" t="s">
        <v>134</v>
      </c>
      <c r="D170" s="56" t="s">
        <v>135</v>
      </c>
      <c r="E170" s="101"/>
      <c r="F170" s="52">
        <v>3</v>
      </c>
      <c r="G170" s="52"/>
      <c r="H170" s="52">
        <f t="shared" si="32"/>
        <v>3</v>
      </c>
      <c r="I170" s="134">
        <v>4</v>
      </c>
      <c r="J170" s="8">
        <f t="shared" si="33"/>
        <v>12</v>
      </c>
      <c r="K170" s="7">
        <f t="shared" si="27"/>
        <v>3</v>
      </c>
    </row>
    <row r="171" spans="1:11" x14ac:dyDescent="0.3">
      <c r="A171" s="9" t="s">
        <v>291</v>
      </c>
      <c r="B171" s="9" t="s">
        <v>59</v>
      </c>
      <c r="C171" s="56" t="s">
        <v>293</v>
      </c>
      <c r="D171" s="56" t="s">
        <v>294</v>
      </c>
      <c r="E171" s="101"/>
      <c r="F171" s="52">
        <v>3</v>
      </c>
      <c r="G171" s="52"/>
      <c r="H171" s="52">
        <f t="shared" si="32"/>
        <v>3</v>
      </c>
      <c r="I171" s="134">
        <v>4</v>
      </c>
      <c r="J171" s="8">
        <f t="shared" si="33"/>
        <v>12</v>
      </c>
      <c r="K171" s="7">
        <f t="shared" si="27"/>
        <v>3</v>
      </c>
    </row>
    <row r="172" spans="1:11" ht="16.5" customHeight="1" x14ac:dyDescent="0.3">
      <c r="A172" s="27" t="s">
        <v>291</v>
      </c>
      <c r="B172" s="27" t="s">
        <v>59</v>
      </c>
      <c r="C172" s="56" t="s">
        <v>295</v>
      </c>
      <c r="D172" s="56" t="s">
        <v>296</v>
      </c>
      <c r="E172" s="280" t="s">
        <v>32</v>
      </c>
      <c r="F172" s="52">
        <v>3</v>
      </c>
      <c r="G172" s="52"/>
      <c r="H172" s="52">
        <f>SUM(F172:G172)</f>
        <v>3</v>
      </c>
      <c r="I172" s="134">
        <v>4</v>
      </c>
      <c r="J172" s="8">
        <f>I172*H172</f>
        <v>12</v>
      </c>
      <c r="K172" s="7">
        <f t="shared" si="27"/>
        <v>3</v>
      </c>
    </row>
    <row r="173" spans="1:11" ht="15.75" customHeight="1" x14ac:dyDescent="0.3">
      <c r="K173" s="7" t="str">
        <f t="shared" si="27"/>
        <v/>
      </c>
    </row>
    <row r="174" spans="1:11" ht="15.75" customHeight="1" x14ac:dyDescent="0.3">
      <c r="A174" s="58" t="s">
        <v>290</v>
      </c>
      <c r="K174" s="7" t="str">
        <f t="shared" si="27"/>
        <v/>
      </c>
    </row>
    <row r="175" spans="1:11" x14ac:dyDescent="0.3">
      <c r="A175" s="14" t="s">
        <v>291</v>
      </c>
      <c r="B175" s="136" t="s">
        <v>62</v>
      </c>
      <c r="C175" s="56" t="s">
        <v>297</v>
      </c>
      <c r="D175" s="56" t="s">
        <v>298</v>
      </c>
      <c r="E175" s="6" t="s">
        <v>141</v>
      </c>
      <c r="F175" s="52">
        <v>3</v>
      </c>
      <c r="G175" s="52"/>
      <c r="H175" s="15">
        <f>SUM(F175:G175)</f>
        <v>3</v>
      </c>
      <c r="I175" s="134">
        <v>4</v>
      </c>
      <c r="J175" s="16">
        <f>I175*H175</f>
        <v>12</v>
      </c>
      <c r="K175" s="7">
        <f t="shared" si="27"/>
        <v>3</v>
      </c>
    </row>
    <row r="176" spans="1:11" x14ac:dyDescent="0.3">
      <c r="A176" s="14" t="s">
        <v>291</v>
      </c>
      <c r="B176" s="136" t="s">
        <v>62</v>
      </c>
      <c r="C176" s="56" t="s">
        <v>142</v>
      </c>
      <c r="D176" s="56" t="s">
        <v>143</v>
      </c>
      <c r="E176" s="6" t="s">
        <v>38</v>
      </c>
      <c r="F176" s="52">
        <v>2</v>
      </c>
      <c r="G176" s="52"/>
      <c r="H176" s="15">
        <f t="shared" ref="H176:H181" si="34">SUM(F176:G176)</f>
        <v>2</v>
      </c>
      <c r="I176" s="134">
        <v>4</v>
      </c>
      <c r="J176" s="16">
        <f t="shared" ref="J176:J181" si="35">I176*H176</f>
        <v>8</v>
      </c>
      <c r="K176" s="7">
        <f t="shared" si="27"/>
        <v>2</v>
      </c>
    </row>
    <row r="177" spans="1:11" x14ac:dyDescent="0.3">
      <c r="A177" s="14" t="s">
        <v>291</v>
      </c>
      <c r="B177" s="27" t="s">
        <v>62</v>
      </c>
      <c r="C177" s="56" t="s">
        <v>299</v>
      </c>
      <c r="D177" s="56" t="s">
        <v>300</v>
      </c>
      <c r="E177" s="6" t="s">
        <v>32</v>
      </c>
      <c r="F177" s="52">
        <v>3</v>
      </c>
      <c r="G177" s="52"/>
      <c r="H177" s="15">
        <f t="shared" si="34"/>
        <v>3</v>
      </c>
      <c r="I177" s="134">
        <v>4</v>
      </c>
      <c r="J177" s="16">
        <f t="shared" si="35"/>
        <v>12</v>
      </c>
      <c r="K177" s="7">
        <f t="shared" si="27"/>
        <v>3</v>
      </c>
    </row>
    <row r="178" spans="1:11" x14ac:dyDescent="0.3">
      <c r="A178" s="14" t="s">
        <v>291</v>
      </c>
      <c r="B178" s="27" t="s">
        <v>62</v>
      </c>
      <c r="C178" s="56" t="s">
        <v>301</v>
      </c>
      <c r="D178" s="56" t="s">
        <v>302</v>
      </c>
      <c r="E178" s="6" t="s">
        <v>32</v>
      </c>
      <c r="F178" s="52">
        <v>1</v>
      </c>
      <c r="G178" s="52">
        <v>1.5</v>
      </c>
      <c r="H178" s="15">
        <f t="shared" si="34"/>
        <v>2.5</v>
      </c>
      <c r="I178" s="134">
        <v>4</v>
      </c>
      <c r="J178" s="16">
        <f t="shared" si="35"/>
        <v>10</v>
      </c>
      <c r="K178" s="7">
        <f t="shared" si="27"/>
        <v>1</v>
      </c>
    </row>
    <row r="179" spans="1:11" x14ac:dyDescent="0.3">
      <c r="A179" s="14" t="s">
        <v>291</v>
      </c>
      <c r="B179" s="27" t="s">
        <v>62</v>
      </c>
      <c r="C179" s="56" t="s">
        <v>303</v>
      </c>
      <c r="D179" s="56" t="s">
        <v>304</v>
      </c>
      <c r="E179" s="6" t="s">
        <v>32</v>
      </c>
      <c r="F179" s="52">
        <v>2</v>
      </c>
      <c r="G179" s="52">
        <v>1.5</v>
      </c>
      <c r="H179" s="15">
        <f t="shared" si="34"/>
        <v>3.5</v>
      </c>
      <c r="I179" s="134">
        <v>4</v>
      </c>
      <c r="J179" s="16">
        <f t="shared" si="35"/>
        <v>14</v>
      </c>
      <c r="K179" s="7">
        <f t="shared" si="27"/>
        <v>2</v>
      </c>
    </row>
    <row r="180" spans="1:11" x14ac:dyDescent="0.3">
      <c r="A180" s="14" t="s">
        <v>291</v>
      </c>
      <c r="B180" s="14" t="s">
        <v>62</v>
      </c>
      <c r="C180" s="56" t="s">
        <v>305</v>
      </c>
      <c r="D180" s="56" t="s">
        <v>306</v>
      </c>
      <c r="E180" s="6" t="s">
        <v>127</v>
      </c>
      <c r="F180" s="52">
        <v>3</v>
      </c>
      <c r="G180" s="52"/>
      <c r="H180" s="15">
        <f t="shared" si="34"/>
        <v>3</v>
      </c>
      <c r="I180" s="134">
        <v>4</v>
      </c>
      <c r="J180" s="16">
        <f t="shared" si="35"/>
        <v>12</v>
      </c>
      <c r="K180" s="7">
        <f t="shared" si="27"/>
        <v>3</v>
      </c>
    </row>
    <row r="181" spans="1:11" x14ac:dyDescent="0.3">
      <c r="A181" s="14" t="s">
        <v>291</v>
      </c>
      <c r="B181" s="14" t="s">
        <v>62</v>
      </c>
      <c r="C181" s="56" t="s">
        <v>307</v>
      </c>
      <c r="D181" s="56" t="s">
        <v>308</v>
      </c>
      <c r="E181" s="101"/>
      <c r="F181" s="52">
        <v>3</v>
      </c>
      <c r="G181" s="52"/>
      <c r="H181" s="15">
        <f t="shared" si="34"/>
        <v>3</v>
      </c>
      <c r="I181" s="134">
        <v>4</v>
      </c>
      <c r="J181" s="16">
        <f t="shared" si="35"/>
        <v>12</v>
      </c>
      <c r="K181" s="7">
        <f t="shared" si="27"/>
        <v>3</v>
      </c>
    </row>
    <row r="182" spans="1:11" x14ac:dyDescent="0.3">
      <c r="K182" s="7" t="str">
        <f t="shared" si="27"/>
        <v/>
      </c>
    </row>
    <row r="183" spans="1:11" x14ac:dyDescent="0.3">
      <c r="A183" s="58" t="s">
        <v>290</v>
      </c>
      <c r="K183" s="7" t="str">
        <f t="shared" si="27"/>
        <v/>
      </c>
    </row>
    <row r="184" spans="1:11" x14ac:dyDescent="0.3">
      <c r="A184" s="14" t="s">
        <v>291</v>
      </c>
      <c r="B184" s="3" t="s">
        <v>66</v>
      </c>
      <c r="C184" s="56" t="s">
        <v>309</v>
      </c>
      <c r="D184" s="56" t="s">
        <v>310</v>
      </c>
      <c r="E184" s="6" t="s">
        <v>20</v>
      </c>
      <c r="F184" s="52">
        <v>3</v>
      </c>
      <c r="G184" s="52"/>
      <c r="H184" s="15">
        <f>SUM(F184:G184)</f>
        <v>3</v>
      </c>
      <c r="I184" s="134">
        <v>2</v>
      </c>
      <c r="J184" s="16">
        <f>I184*H184</f>
        <v>6</v>
      </c>
      <c r="K184" s="7">
        <f t="shared" si="27"/>
        <v>3</v>
      </c>
    </row>
    <row r="185" spans="1:11" x14ac:dyDescent="0.3">
      <c r="A185" s="14" t="s">
        <v>291</v>
      </c>
      <c r="B185" s="3" t="s">
        <v>66</v>
      </c>
      <c r="C185" s="56" t="s">
        <v>185</v>
      </c>
      <c r="D185" s="56" t="s">
        <v>186</v>
      </c>
      <c r="E185" s="6" t="s">
        <v>20</v>
      </c>
      <c r="F185" s="52">
        <v>3</v>
      </c>
      <c r="G185" s="52"/>
      <c r="H185" s="15">
        <f t="shared" ref="H185:H190" si="36">SUM(F185:G185)</f>
        <v>3</v>
      </c>
      <c r="I185" s="134">
        <v>2</v>
      </c>
      <c r="J185" s="16">
        <f t="shared" ref="J185:J190" si="37">I185*H185</f>
        <v>6</v>
      </c>
      <c r="K185" s="7">
        <f t="shared" si="27"/>
        <v>3</v>
      </c>
    </row>
    <row r="186" spans="1:11" x14ac:dyDescent="0.3">
      <c r="A186" s="14" t="s">
        <v>291</v>
      </c>
      <c r="B186" s="14" t="s">
        <v>66</v>
      </c>
      <c r="C186" s="56" t="s">
        <v>274</v>
      </c>
      <c r="D186" s="56" t="s">
        <v>275</v>
      </c>
      <c r="E186" s="6" t="s">
        <v>127</v>
      </c>
      <c r="F186" s="52">
        <v>3</v>
      </c>
      <c r="G186" s="52"/>
      <c r="H186" s="15">
        <f t="shared" si="36"/>
        <v>3</v>
      </c>
      <c r="I186" s="134">
        <v>2</v>
      </c>
      <c r="J186" s="16">
        <f t="shared" si="37"/>
        <v>6</v>
      </c>
      <c r="K186" s="7">
        <f t="shared" si="27"/>
        <v>3</v>
      </c>
    </row>
    <row r="187" spans="1:11" x14ac:dyDescent="0.3">
      <c r="A187" s="14" t="s">
        <v>291</v>
      </c>
      <c r="B187" s="14" t="s">
        <v>66</v>
      </c>
      <c r="C187" s="56" t="s">
        <v>311</v>
      </c>
      <c r="D187" s="56" t="s">
        <v>312</v>
      </c>
      <c r="E187" s="6" t="s">
        <v>32</v>
      </c>
      <c r="F187" s="52">
        <v>1</v>
      </c>
      <c r="G187" s="52">
        <v>1.5</v>
      </c>
      <c r="H187" s="15">
        <f t="shared" si="36"/>
        <v>2.5</v>
      </c>
      <c r="I187" s="134">
        <v>2</v>
      </c>
      <c r="J187" s="16">
        <f t="shared" si="37"/>
        <v>5</v>
      </c>
      <c r="K187" s="7">
        <f t="shared" si="27"/>
        <v>1</v>
      </c>
    </row>
    <row r="188" spans="1:11" x14ac:dyDescent="0.3">
      <c r="A188" s="14" t="s">
        <v>291</v>
      </c>
      <c r="B188" s="14" t="s">
        <v>66</v>
      </c>
      <c r="C188" s="56" t="s">
        <v>313</v>
      </c>
      <c r="D188" s="56" t="s">
        <v>314</v>
      </c>
      <c r="E188" s="6" t="s">
        <v>32</v>
      </c>
      <c r="F188" s="52">
        <v>2</v>
      </c>
      <c r="G188" s="52">
        <v>1.5</v>
      </c>
      <c r="H188" s="15">
        <f t="shared" si="36"/>
        <v>3.5</v>
      </c>
      <c r="I188" s="134">
        <v>2</v>
      </c>
      <c r="J188" s="16">
        <f t="shared" si="37"/>
        <v>7</v>
      </c>
      <c r="K188" s="7">
        <f t="shared" si="27"/>
        <v>2</v>
      </c>
    </row>
    <row r="189" spans="1:11" x14ac:dyDescent="0.3">
      <c r="A189" s="14" t="s">
        <v>291</v>
      </c>
      <c r="B189" s="14" t="s">
        <v>66</v>
      </c>
      <c r="C189" s="56" t="s">
        <v>315</v>
      </c>
      <c r="D189" s="56" t="s">
        <v>316</v>
      </c>
      <c r="E189" s="101"/>
      <c r="F189" s="52">
        <v>3</v>
      </c>
      <c r="G189" s="52"/>
      <c r="H189" s="15">
        <f t="shared" si="36"/>
        <v>3</v>
      </c>
      <c r="I189" s="134">
        <v>2</v>
      </c>
      <c r="J189" s="16">
        <f t="shared" si="37"/>
        <v>6</v>
      </c>
      <c r="K189" s="7">
        <f t="shared" si="27"/>
        <v>3</v>
      </c>
    </row>
    <row r="190" spans="1:11" x14ac:dyDescent="0.3">
      <c r="A190" s="14" t="s">
        <v>291</v>
      </c>
      <c r="B190" s="14" t="s">
        <v>66</v>
      </c>
      <c r="C190" s="56" t="s">
        <v>317</v>
      </c>
      <c r="D190" s="56" t="s">
        <v>318</v>
      </c>
      <c r="E190" s="101"/>
      <c r="F190" s="52">
        <v>3</v>
      </c>
      <c r="G190" s="52"/>
      <c r="H190" s="15">
        <f t="shared" si="36"/>
        <v>3</v>
      </c>
      <c r="I190" s="134">
        <v>2</v>
      </c>
      <c r="J190" s="16">
        <f t="shared" si="37"/>
        <v>6</v>
      </c>
      <c r="K190" s="7">
        <f t="shared" si="27"/>
        <v>3</v>
      </c>
    </row>
    <row r="191" spans="1:11" ht="18.75" customHeight="1" x14ac:dyDescent="0.3">
      <c r="A191" s="27" t="s">
        <v>291</v>
      </c>
      <c r="B191" s="27" t="s">
        <v>66</v>
      </c>
      <c r="C191" s="56" t="s">
        <v>319</v>
      </c>
      <c r="D191" s="56" t="s">
        <v>320</v>
      </c>
      <c r="E191" s="101"/>
      <c r="F191" s="52">
        <v>3</v>
      </c>
      <c r="G191" s="52"/>
      <c r="H191" s="15">
        <f>SUM(F191:G191)</f>
        <v>3</v>
      </c>
      <c r="I191" s="134">
        <v>2</v>
      </c>
      <c r="J191" s="16">
        <f>I191*H191</f>
        <v>6</v>
      </c>
      <c r="K191" s="7">
        <f t="shared" si="27"/>
        <v>3</v>
      </c>
    </row>
    <row r="192" spans="1:11" x14ac:dyDescent="0.3">
      <c r="K192" s="7" t="str">
        <f t="shared" si="27"/>
        <v/>
      </c>
    </row>
    <row r="193" spans="1:11" x14ac:dyDescent="0.3">
      <c r="A193" s="58" t="s">
        <v>321</v>
      </c>
      <c r="K193" s="7" t="str">
        <f t="shared" si="27"/>
        <v/>
      </c>
    </row>
    <row r="194" spans="1:11" x14ac:dyDescent="0.3">
      <c r="A194" s="14" t="s">
        <v>291</v>
      </c>
      <c r="B194" s="3" t="s">
        <v>71</v>
      </c>
      <c r="C194" s="56" t="s">
        <v>121</v>
      </c>
      <c r="D194" s="56" t="s">
        <v>122</v>
      </c>
      <c r="E194" s="101"/>
      <c r="F194" s="52">
        <v>3</v>
      </c>
      <c r="G194" s="52"/>
      <c r="H194" s="15">
        <f>SUM(F194:G194)</f>
        <v>3</v>
      </c>
      <c r="I194" s="134">
        <v>2</v>
      </c>
      <c r="J194" s="16">
        <f>I194*H194</f>
        <v>6</v>
      </c>
      <c r="K194" s="7">
        <f t="shared" si="27"/>
        <v>3</v>
      </c>
    </row>
    <row r="195" spans="1:11" x14ac:dyDescent="0.3">
      <c r="A195" s="14" t="s">
        <v>291</v>
      </c>
      <c r="B195" s="3" t="s">
        <v>71</v>
      </c>
      <c r="C195" s="56" t="s">
        <v>167</v>
      </c>
      <c r="D195" s="56" t="s">
        <v>168</v>
      </c>
      <c r="E195" s="101"/>
      <c r="F195" s="52">
        <v>1</v>
      </c>
      <c r="G195" s="52"/>
      <c r="H195" s="15">
        <f>SUM(F195:G195)</f>
        <v>1</v>
      </c>
      <c r="I195" s="134">
        <v>2</v>
      </c>
      <c r="J195" s="16">
        <f>I195*H195</f>
        <v>2</v>
      </c>
      <c r="K195" s="7">
        <f t="shared" si="27"/>
        <v>1</v>
      </c>
    </row>
    <row r="196" spans="1:11" x14ac:dyDescent="0.3">
      <c r="A196" s="14" t="s">
        <v>291</v>
      </c>
      <c r="B196" s="14" t="s">
        <v>71</v>
      </c>
      <c r="C196" s="56" t="s">
        <v>144</v>
      </c>
      <c r="D196" s="56" t="s">
        <v>145</v>
      </c>
      <c r="E196" s="6" t="s">
        <v>141</v>
      </c>
      <c r="F196" s="52">
        <v>3</v>
      </c>
      <c r="G196" s="52"/>
      <c r="H196" s="15">
        <f>SUM(F196:G196)</f>
        <v>3</v>
      </c>
      <c r="I196" s="134">
        <v>2</v>
      </c>
      <c r="J196" s="16">
        <f>I196*H196</f>
        <v>6</v>
      </c>
      <c r="K196" s="7">
        <f t="shared" ref="K196:K259" si="38">IF(I196&gt;0,F196,"")</f>
        <v>3</v>
      </c>
    </row>
    <row r="197" spans="1:11" x14ac:dyDescent="0.3">
      <c r="A197" s="14" t="s">
        <v>291</v>
      </c>
      <c r="B197" s="14" t="s">
        <v>71</v>
      </c>
      <c r="C197" s="56" t="s">
        <v>322</v>
      </c>
      <c r="D197" s="56" t="s">
        <v>323</v>
      </c>
      <c r="E197" s="6" t="s">
        <v>32</v>
      </c>
      <c r="F197" s="52">
        <v>1</v>
      </c>
      <c r="G197" s="52">
        <v>1.5</v>
      </c>
      <c r="H197" s="15">
        <f>SUM(F197:G197)</f>
        <v>2.5</v>
      </c>
      <c r="I197" s="134">
        <v>2</v>
      </c>
      <c r="J197" s="16">
        <f>I197*H197</f>
        <v>5</v>
      </c>
      <c r="K197" s="7">
        <f t="shared" si="38"/>
        <v>1</v>
      </c>
    </row>
    <row r="198" spans="1:11" x14ac:dyDescent="0.3">
      <c r="A198" s="14" t="s">
        <v>291</v>
      </c>
      <c r="B198" s="14" t="s">
        <v>71</v>
      </c>
      <c r="C198" s="56" t="s">
        <v>324</v>
      </c>
      <c r="D198" s="141" t="s">
        <v>325</v>
      </c>
      <c r="E198" s="101"/>
      <c r="F198" s="172">
        <v>2</v>
      </c>
      <c r="G198" s="172"/>
      <c r="H198" s="15">
        <f>SUM(F198:G198)</f>
        <v>2</v>
      </c>
      <c r="I198" s="134">
        <v>2</v>
      </c>
      <c r="J198" s="16">
        <f>I198*H198</f>
        <v>4</v>
      </c>
      <c r="K198" s="7">
        <f t="shared" si="38"/>
        <v>2</v>
      </c>
    </row>
    <row r="199" spans="1:11" x14ac:dyDescent="0.3">
      <c r="B199" s="11"/>
      <c r="C199" s="11"/>
      <c r="D199" s="11"/>
      <c r="E199" s="11"/>
      <c r="F199" s="11"/>
      <c r="G199" s="11"/>
      <c r="H199" s="11"/>
      <c r="I199" s="11"/>
      <c r="J199" s="11"/>
      <c r="K199" s="7" t="str">
        <f t="shared" si="38"/>
        <v/>
      </c>
    </row>
    <row r="200" spans="1:11" x14ac:dyDescent="0.3">
      <c r="A200" s="58" t="s">
        <v>326</v>
      </c>
      <c r="B200" s="11"/>
      <c r="C200" s="11"/>
      <c r="D200" s="11"/>
      <c r="E200" s="11"/>
      <c r="F200" s="11"/>
      <c r="G200" s="11"/>
      <c r="H200" s="11"/>
      <c r="I200" s="11"/>
      <c r="J200" s="11"/>
      <c r="K200" s="7" t="str">
        <f t="shared" si="38"/>
        <v/>
      </c>
    </row>
    <row r="201" spans="1:11" x14ac:dyDescent="0.3">
      <c r="A201" s="14" t="s">
        <v>327</v>
      </c>
      <c r="B201" s="9" t="s">
        <v>59</v>
      </c>
      <c r="C201" s="6" t="s">
        <v>123</v>
      </c>
      <c r="D201" s="6" t="s">
        <v>124</v>
      </c>
      <c r="E201" s="101"/>
      <c r="F201" s="52">
        <v>1</v>
      </c>
      <c r="G201" s="52"/>
      <c r="H201" s="15">
        <f>SUM(F201:G201)</f>
        <v>1</v>
      </c>
      <c r="I201" s="134">
        <v>4</v>
      </c>
      <c r="J201" s="16">
        <f>I201*H201</f>
        <v>4</v>
      </c>
      <c r="K201" s="7">
        <f t="shared" si="38"/>
        <v>1</v>
      </c>
    </row>
    <row r="202" spans="1:11" x14ac:dyDescent="0.3">
      <c r="A202" s="14" t="s">
        <v>327</v>
      </c>
      <c r="B202" s="9" t="s">
        <v>59</v>
      </c>
      <c r="C202" s="6" t="s">
        <v>217</v>
      </c>
      <c r="D202" s="6" t="s">
        <v>218</v>
      </c>
      <c r="E202" s="6" t="s">
        <v>36</v>
      </c>
      <c r="F202" s="52">
        <v>3</v>
      </c>
      <c r="G202" s="52"/>
      <c r="H202" s="15">
        <f t="shared" ref="H202:H207" si="39">SUM(F202:G202)</f>
        <v>3</v>
      </c>
      <c r="I202" s="134">
        <v>4</v>
      </c>
      <c r="J202" s="16">
        <f t="shared" ref="J202:J207" si="40">I202*H202</f>
        <v>12</v>
      </c>
      <c r="K202" s="7">
        <f t="shared" si="38"/>
        <v>3</v>
      </c>
    </row>
    <row r="203" spans="1:11" x14ac:dyDescent="0.3">
      <c r="A203" s="14" t="s">
        <v>327</v>
      </c>
      <c r="B203" s="9" t="s">
        <v>59</v>
      </c>
      <c r="C203" s="6" t="s">
        <v>128</v>
      </c>
      <c r="D203" s="6" t="s">
        <v>129</v>
      </c>
      <c r="E203" s="101"/>
      <c r="F203" s="52">
        <v>3</v>
      </c>
      <c r="G203" s="52"/>
      <c r="H203" s="15">
        <f t="shared" si="39"/>
        <v>3</v>
      </c>
      <c r="I203" s="134">
        <v>4</v>
      </c>
      <c r="J203" s="16">
        <f t="shared" si="40"/>
        <v>12</v>
      </c>
      <c r="K203" s="7">
        <f t="shared" si="38"/>
        <v>3</v>
      </c>
    </row>
    <row r="204" spans="1:11" x14ac:dyDescent="0.3">
      <c r="A204" s="14" t="s">
        <v>327</v>
      </c>
      <c r="B204" s="9" t="s">
        <v>59</v>
      </c>
      <c r="C204" s="6" t="s">
        <v>130</v>
      </c>
      <c r="D204" s="6" t="s">
        <v>292</v>
      </c>
      <c r="E204" s="6" t="s">
        <v>38</v>
      </c>
      <c r="F204" s="52">
        <v>2</v>
      </c>
      <c r="G204" s="52"/>
      <c r="H204" s="15">
        <f t="shared" si="39"/>
        <v>2</v>
      </c>
      <c r="I204" s="134">
        <v>4</v>
      </c>
      <c r="J204" s="16">
        <f t="shared" si="40"/>
        <v>8</v>
      </c>
      <c r="K204" s="7">
        <f t="shared" si="38"/>
        <v>2</v>
      </c>
    </row>
    <row r="205" spans="1:11" x14ac:dyDescent="0.3">
      <c r="A205" s="14" t="s">
        <v>327</v>
      </c>
      <c r="B205" s="9" t="s">
        <v>59</v>
      </c>
      <c r="C205" s="6" t="s">
        <v>139</v>
      </c>
      <c r="D205" s="6" t="s">
        <v>140</v>
      </c>
      <c r="E205" s="6" t="s">
        <v>141</v>
      </c>
      <c r="F205" s="52">
        <v>3</v>
      </c>
      <c r="G205" s="52"/>
      <c r="H205" s="15">
        <f t="shared" si="39"/>
        <v>3</v>
      </c>
      <c r="I205" s="134">
        <v>4</v>
      </c>
      <c r="J205" s="16">
        <f t="shared" si="40"/>
        <v>12</v>
      </c>
      <c r="K205" s="7">
        <f t="shared" si="38"/>
        <v>3</v>
      </c>
    </row>
    <row r="206" spans="1:11" x14ac:dyDescent="0.3">
      <c r="A206" s="14" t="s">
        <v>327</v>
      </c>
      <c r="B206" s="9" t="s">
        <v>59</v>
      </c>
      <c r="C206" s="6" t="s">
        <v>134</v>
      </c>
      <c r="D206" s="6" t="s">
        <v>135</v>
      </c>
      <c r="E206" s="101"/>
      <c r="F206" s="52">
        <v>3</v>
      </c>
      <c r="G206" s="52"/>
      <c r="H206" s="15">
        <f t="shared" si="39"/>
        <v>3</v>
      </c>
      <c r="I206" s="134">
        <v>4</v>
      </c>
      <c r="J206" s="16">
        <f t="shared" si="40"/>
        <v>12</v>
      </c>
      <c r="K206" s="7">
        <f t="shared" si="38"/>
        <v>3</v>
      </c>
    </row>
    <row r="207" spans="1:11" x14ac:dyDescent="0.3">
      <c r="A207" s="14" t="s">
        <v>327</v>
      </c>
      <c r="B207" s="9" t="s">
        <v>59</v>
      </c>
      <c r="C207" s="6" t="s">
        <v>293</v>
      </c>
      <c r="D207" s="6" t="s">
        <v>294</v>
      </c>
      <c r="E207" s="101"/>
      <c r="F207" s="52">
        <v>3</v>
      </c>
      <c r="G207" s="52"/>
      <c r="H207" s="15">
        <f t="shared" si="39"/>
        <v>3</v>
      </c>
      <c r="I207" s="134">
        <v>4</v>
      </c>
      <c r="J207" s="16">
        <f t="shared" si="40"/>
        <v>12</v>
      </c>
      <c r="K207" s="7">
        <f t="shared" si="38"/>
        <v>3</v>
      </c>
    </row>
    <row r="208" spans="1:11" ht="15" customHeight="1" x14ac:dyDescent="0.3">
      <c r="A208" s="14" t="s">
        <v>327</v>
      </c>
      <c r="B208" s="27" t="s">
        <v>59</v>
      </c>
      <c r="C208" s="6" t="s">
        <v>295</v>
      </c>
      <c r="D208" s="6" t="s">
        <v>296</v>
      </c>
      <c r="E208" s="6" t="s">
        <v>32</v>
      </c>
      <c r="F208" s="52">
        <v>3</v>
      </c>
      <c r="G208" s="52"/>
      <c r="H208" s="52">
        <f>SUM(F208:G208)</f>
        <v>3</v>
      </c>
      <c r="I208" s="134">
        <v>4</v>
      </c>
      <c r="J208" s="8">
        <f>I208*H208</f>
        <v>12</v>
      </c>
      <c r="K208" s="7">
        <f t="shared" si="38"/>
        <v>3</v>
      </c>
    </row>
    <row r="209" spans="1:11" x14ac:dyDescent="0.3">
      <c r="K209" s="7" t="str">
        <f t="shared" si="38"/>
        <v/>
      </c>
    </row>
    <row r="210" spans="1:11" x14ac:dyDescent="0.3">
      <c r="A210" s="58" t="s">
        <v>326</v>
      </c>
      <c r="K210" s="7" t="str">
        <f t="shared" si="38"/>
        <v/>
      </c>
    </row>
    <row r="211" spans="1:11" x14ac:dyDescent="0.3">
      <c r="A211" s="14" t="s">
        <v>327</v>
      </c>
      <c r="B211" s="3" t="s">
        <v>62</v>
      </c>
      <c r="C211" s="56" t="s">
        <v>297</v>
      </c>
      <c r="D211" s="56" t="s">
        <v>298</v>
      </c>
      <c r="E211" s="6" t="s">
        <v>141</v>
      </c>
      <c r="F211" s="52">
        <v>3</v>
      </c>
      <c r="G211" s="52"/>
      <c r="H211" s="15">
        <f>SUM(F211:G211)</f>
        <v>3</v>
      </c>
      <c r="I211" s="134">
        <v>4</v>
      </c>
      <c r="J211" s="16">
        <f>I211*H211</f>
        <v>12</v>
      </c>
      <c r="K211" s="7">
        <f t="shared" si="38"/>
        <v>3</v>
      </c>
    </row>
    <row r="212" spans="1:11" x14ac:dyDescent="0.3">
      <c r="A212" s="14" t="s">
        <v>327</v>
      </c>
      <c r="B212" s="3" t="s">
        <v>62</v>
      </c>
      <c r="C212" s="56" t="s">
        <v>142</v>
      </c>
      <c r="D212" s="56" t="s">
        <v>143</v>
      </c>
      <c r="E212" s="6" t="s">
        <v>38</v>
      </c>
      <c r="F212" s="52">
        <v>2</v>
      </c>
      <c r="G212" s="52"/>
      <c r="H212" s="15">
        <f t="shared" ref="H212:H217" si="41">SUM(F212:G212)</f>
        <v>2</v>
      </c>
      <c r="I212" s="134">
        <v>4</v>
      </c>
      <c r="J212" s="16">
        <f t="shared" ref="J212:J217" si="42">I212*H212</f>
        <v>8</v>
      </c>
      <c r="K212" s="7">
        <f t="shared" si="38"/>
        <v>2</v>
      </c>
    </row>
    <row r="213" spans="1:11" x14ac:dyDescent="0.3">
      <c r="A213" s="14" t="s">
        <v>327</v>
      </c>
      <c r="B213" s="14" t="s">
        <v>62</v>
      </c>
      <c r="C213" s="56" t="s">
        <v>307</v>
      </c>
      <c r="D213" s="56" t="s">
        <v>308</v>
      </c>
      <c r="E213" s="101"/>
      <c r="F213" s="52">
        <v>3</v>
      </c>
      <c r="G213" s="52"/>
      <c r="H213" s="15">
        <f t="shared" si="41"/>
        <v>3</v>
      </c>
      <c r="I213" s="134">
        <v>4</v>
      </c>
      <c r="J213" s="16">
        <f t="shared" si="42"/>
        <v>12</v>
      </c>
      <c r="K213" s="7">
        <f t="shared" si="38"/>
        <v>3</v>
      </c>
    </row>
    <row r="214" spans="1:11" x14ac:dyDescent="0.3">
      <c r="A214" s="14" t="s">
        <v>327</v>
      </c>
      <c r="B214" s="14" t="s">
        <v>62</v>
      </c>
      <c r="C214" s="56" t="s">
        <v>328</v>
      </c>
      <c r="D214" s="56" t="s">
        <v>329</v>
      </c>
      <c r="E214" s="6" t="s">
        <v>32</v>
      </c>
      <c r="F214" s="52">
        <v>3</v>
      </c>
      <c r="G214" s="52"/>
      <c r="H214" s="15">
        <f t="shared" si="41"/>
        <v>3</v>
      </c>
      <c r="I214" s="134">
        <v>4</v>
      </c>
      <c r="J214" s="16">
        <f t="shared" si="42"/>
        <v>12</v>
      </c>
      <c r="K214" s="7">
        <f t="shared" si="38"/>
        <v>3</v>
      </c>
    </row>
    <row r="215" spans="1:11" x14ac:dyDescent="0.3">
      <c r="A215" s="14" t="s">
        <v>327</v>
      </c>
      <c r="B215" s="14" t="s">
        <v>62</v>
      </c>
      <c r="C215" s="56" t="s">
        <v>330</v>
      </c>
      <c r="D215" s="56" t="s">
        <v>331</v>
      </c>
      <c r="E215" s="6" t="s">
        <v>43</v>
      </c>
      <c r="F215" s="52">
        <v>3</v>
      </c>
      <c r="G215" s="52"/>
      <c r="H215" s="15">
        <f t="shared" si="41"/>
        <v>3</v>
      </c>
      <c r="I215" s="134">
        <v>4</v>
      </c>
      <c r="J215" s="16">
        <f t="shared" si="42"/>
        <v>12</v>
      </c>
      <c r="K215" s="7">
        <f t="shared" si="38"/>
        <v>3</v>
      </c>
    </row>
    <row r="216" spans="1:11" x14ac:dyDescent="0.3">
      <c r="A216" s="14" t="s">
        <v>327</v>
      </c>
      <c r="B216" s="14" t="s">
        <v>62</v>
      </c>
      <c r="C216" s="56" t="s">
        <v>305</v>
      </c>
      <c r="D216" s="56" t="s">
        <v>306</v>
      </c>
      <c r="E216" s="6" t="s">
        <v>127</v>
      </c>
      <c r="F216" s="52">
        <v>3</v>
      </c>
      <c r="G216" s="52"/>
      <c r="H216" s="15">
        <f t="shared" si="41"/>
        <v>3</v>
      </c>
      <c r="I216" s="134">
        <v>4</v>
      </c>
      <c r="J216" s="16">
        <f t="shared" si="42"/>
        <v>12</v>
      </c>
      <c r="K216" s="7">
        <f t="shared" si="38"/>
        <v>3</v>
      </c>
    </row>
    <row r="217" spans="1:11" x14ac:dyDescent="0.3">
      <c r="A217" s="14" t="s">
        <v>327</v>
      </c>
      <c r="B217" s="14" t="s">
        <v>62</v>
      </c>
      <c r="C217" s="56" t="s">
        <v>332</v>
      </c>
      <c r="D217" s="56" t="s">
        <v>333</v>
      </c>
      <c r="E217" s="101"/>
      <c r="F217" s="52">
        <v>3</v>
      </c>
      <c r="G217" s="52"/>
      <c r="H217" s="15">
        <f t="shared" si="41"/>
        <v>3</v>
      </c>
      <c r="I217" s="134">
        <v>4</v>
      </c>
      <c r="J217" s="16">
        <f t="shared" si="42"/>
        <v>12</v>
      </c>
      <c r="K217" s="7">
        <f t="shared" si="38"/>
        <v>3</v>
      </c>
    </row>
    <row r="218" spans="1:11" x14ac:dyDescent="0.3">
      <c r="K218" s="7" t="str">
        <f t="shared" si="38"/>
        <v/>
      </c>
    </row>
    <row r="219" spans="1:11" x14ac:dyDescent="0.3">
      <c r="A219" s="58" t="s">
        <v>326</v>
      </c>
      <c r="K219" s="7" t="str">
        <f t="shared" si="38"/>
        <v/>
      </c>
    </row>
    <row r="220" spans="1:11" x14ac:dyDescent="0.3">
      <c r="A220" s="14" t="s">
        <v>327</v>
      </c>
      <c r="B220" s="3" t="s">
        <v>66</v>
      </c>
      <c r="C220" s="56" t="s">
        <v>309</v>
      </c>
      <c r="D220" s="56" t="s">
        <v>310</v>
      </c>
      <c r="E220" s="6" t="s">
        <v>20</v>
      </c>
      <c r="F220" s="52">
        <v>3</v>
      </c>
      <c r="G220" s="52"/>
      <c r="H220" s="15">
        <f>SUM(F220:G220)</f>
        <v>3</v>
      </c>
      <c r="I220" s="134">
        <v>2</v>
      </c>
      <c r="J220" s="16">
        <f>I220*H220</f>
        <v>6</v>
      </c>
      <c r="K220" s="7">
        <f t="shared" si="38"/>
        <v>3</v>
      </c>
    </row>
    <row r="221" spans="1:11" x14ac:dyDescent="0.3">
      <c r="A221" s="14" t="s">
        <v>327</v>
      </c>
      <c r="B221" s="3" t="s">
        <v>66</v>
      </c>
      <c r="C221" s="56" t="s">
        <v>185</v>
      </c>
      <c r="D221" s="56" t="s">
        <v>186</v>
      </c>
      <c r="E221" s="6" t="s">
        <v>20</v>
      </c>
      <c r="F221" s="52">
        <v>3</v>
      </c>
      <c r="G221" s="52"/>
      <c r="H221" s="15">
        <f t="shared" ref="H221:H226" si="43">SUM(F221:G221)</f>
        <v>3</v>
      </c>
      <c r="I221" s="134">
        <v>2</v>
      </c>
      <c r="J221" s="16">
        <f t="shared" ref="J221:J226" si="44">I221*H221</f>
        <v>6</v>
      </c>
      <c r="K221" s="7">
        <f t="shared" si="38"/>
        <v>3</v>
      </c>
    </row>
    <row r="222" spans="1:11" x14ac:dyDescent="0.3">
      <c r="A222" s="14" t="s">
        <v>327</v>
      </c>
      <c r="B222" s="14" t="s">
        <v>66</v>
      </c>
      <c r="C222" s="56" t="s">
        <v>274</v>
      </c>
      <c r="D222" s="56" t="s">
        <v>275</v>
      </c>
      <c r="E222" s="6" t="s">
        <v>127</v>
      </c>
      <c r="F222" s="52">
        <v>3</v>
      </c>
      <c r="G222" s="52"/>
      <c r="H222" s="15">
        <f t="shared" si="43"/>
        <v>3</v>
      </c>
      <c r="I222" s="134">
        <v>2</v>
      </c>
      <c r="J222" s="16">
        <f t="shared" si="44"/>
        <v>6</v>
      </c>
      <c r="K222" s="7">
        <f t="shared" si="38"/>
        <v>3</v>
      </c>
    </row>
    <row r="223" spans="1:11" x14ac:dyDescent="0.3">
      <c r="A223" s="14" t="s">
        <v>327</v>
      </c>
      <c r="B223" s="14" t="s">
        <v>66</v>
      </c>
      <c r="C223" s="56" t="s">
        <v>315</v>
      </c>
      <c r="D223" s="56" t="s">
        <v>316</v>
      </c>
      <c r="E223" s="101"/>
      <c r="F223" s="52">
        <v>3</v>
      </c>
      <c r="G223" s="52"/>
      <c r="H223" s="15">
        <f t="shared" si="43"/>
        <v>3</v>
      </c>
      <c r="I223" s="134">
        <v>2</v>
      </c>
      <c r="J223" s="16">
        <f t="shared" si="44"/>
        <v>6</v>
      </c>
      <c r="K223" s="7">
        <f t="shared" si="38"/>
        <v>3</v>
      </c>
    </row>
    <row r="224" spans="1:11" x14ac:dyDescent="0.3">
      <c r="A224" s="14" t="s">
        <v>327</v>
      </c>
      <c r="B224" s="14" t="s">
        <v>66</v>
      </c>
      <c r="C224" s="56" t="s">
        <v>317</v>
      </c>
      <c r="D224" s="56" t="s">
        <v>318</v>
      </c>
      <c r="E224" s="101"/>
      <c r="F224" s="52">
        <v>3</v>
      </c>
      <c r="G224" s="52"/>
      <c r="H224" s="15">
        <f t="shared" si="43"/>
        <v>3</v>
      </c>
      <c r="I224" s="134">
        <v>2</v>
      </c>
      <c r="J224" s="16">
        <f t="shared" si="44"/>
        <v>6</v>
      </c>
      <c r="K224" s="7">
        <f t="shared" si="38"/>
        <v>3</v>
      </c>
    </row>
    <row r="225" spans="1:11" x14ac:dyDescent="0.3">
      <c r="A225" s="14" t="s">
        <v>327</v>
      </c>
      <c r="B225" s="14" t="s">
        <v>66</v>
      </c>
      <c r="C225" s="56" t="s">
        <v>319</v>
      </c>
      <c r="D225" s="56" t="s">
        <v>320</v>
      </c>
      <c r="E225" s="101"/>
      <c r="F225" s="52">
        <v>3</v>
      </c>
      <c r="G225" s="52"/>
      <c r="H225" s="15">
        <f t="shared" si="43"/>
        <v>3</v>
      </c>
      <c r="I225" s="134">
        <v>2</v>
      </c>
      <c r="J225" s="16">
        <f t="shared" si="44"/>
        <v>6</v>
      </c>
      <c r="K225" s="7">
        <f t="shared" si="38"/>
        <v>3</v>
      </c>
    </row>
    <row r="226" spans="1:11" x14ac:dyDescent="0.3">
      <c r="A226" s="14" t="s">
        <v>327</v>
      </c>
      <c r="B226" s="14" t="s">
        <v>66</v>
      </c>
      <c r="C226" s="56" t="s">
        <v>334</v>
      </c>
      <c r="D226" s="56" t="s">
        <v>335</v>
      </c>
      <c r="E226" s="6" t="s">
        <v>43</v>
      </c>
      <c r="F226" s="52">
        <v>2</v>
      </c>
      <c r="G226" s="52">
        <v>1.5</v>
      </c>
      <c r="H226" s="15">
        <f t="shared" si="43"/>
        <v>3.5</v>
      </c>
      <c r="I226" s="134">
        <v>2</v>
      </c>
      <c r="J226" s="16">
        <f t="shared" si="44"/>
        <v>7</v>
      </c>
      <c r="K226" s="7">
        <f t="shared" si="38"/>
        <v>2</v>
      </c>
    </row>
    <row r="227" spans="1:11" x14ac:dyDescent="0.3">
      <c r="A227" s="7"/>
      <c r="K227" s="7" t="str">
        <f t="shared" si="38"/>
        <v/>
      </c>
    </row>
    <row r="228" spans="1:11" x14ac:dyDescent="0.3">
      <c r="A228" s="58" t="s">
        <v>336</v>
      </c>
      <c r="K228" s="7" t="str">
        <f t="shared" si="38"/>
        <v/>
      </c>
    </row>
    <row r="229" spans="1:11" x14ac:dyDescent="0.3">
      <c r="A229" s="14" t="s">
        <v>327</v>
      </c>
      <c r="B229" s="3" t="s">
        <v>71</v>
      </c>
      <c r="C229" s="56" t="s">
        <v>121</v>
      </c>
      <c r="D229" s="56" t="s">
        <v>122</v>
      </c>
      <c r="E229" s="101"/>
      <c r="F229" s="52">
        <v>3</v>
      </c>
      <c r="G229" s="12"/>
      <c r="H229" s="15">
        <f>SUM(F229:G229)</f>
        <v>3</v>
      </c>
      <c r="I229" s="134">
        <v>2</v>
      </c>
      <c r="J229" s="16">
        <f>I229*H229</f>
        <v>6</v>
      </c>
      <c r="K229" s="7">
        <f t="shared" si="38"/>
        <v>3</v>
      </c>
    </row>
    <row r="230" spans="1:11" x14ac:dyDescent="0.3">
      <c r="A230" s="14" t="s">
        <v>327</v>
      </c>
      <c r="B230" s="3" t="s">
        <v>71</v>
      </c>
      <c r="C230" s="56" t="s">
        <v>167</v>
      </c>
      <c r="D230" s="56" t="s">
        <v>168</v>
      </c>
      <c r="E230" s="101"/>
      <c r="F230" s="52">
        <v>1</v>
      </c>
      <c r="G230" s="13"/>
      <c r="H230" s="52">
        <f t="shared" ref="H230:H233" si="45">SUM(F230:G230)</f>
        <v>1</v>
      </c>
      <c r="I230" s="134">
        <v>2</v>
      </c>
      <c r="J230" s="8">
        <f t="shared" ref="J230:J233" si="46">I230*H230</f>
        <v>2</v>
      </c>
      <c r="K230" s="7">
        <f t="shared" si="38"/>
        <v>1</v>
      </c>
    </row>
    <row r="231" spans="1:11" x14ac:dyDescent="0.3">
      <c r="A231" s="14" t="s">
        <v>327</v>
      </c>
      <c r="B231" s="14" t="s">
        <v>71</v>
      </c>
      <c r="C231" s="56" t="s">
        <v>144</v>
      </c>
      <c r="D231" s="56" t="s">
        <v>145</v>
      </c>
      <c r="E231" s="6" t="s">
        <v>141</v>
      </c>
      <c r="F231" s="52">
        <v>3</v>
      </c>
      <c r="G231" s="13"/>
      <c r="H231" s="52">
        <f t="shared" si="45"/>
        <v>3</v>
      </c>
      <c r="I231" s="134">
        <v>2</v>
      </c>
      <c r="J231" s="8">
        <f t="shared" si="46"/>
        <v>6</v>
      </c>
      <c r="K231" s="7">
        <f t="shared" si="38"/>
        <v>3</v>
      </c>
    </row>
    <row r="232" spans="1:11" x14ac:dyDescent="0.3">
      <c r="A232" s="14" t="s">
        <v>327</v>
      </c>
      <c r="B232" s="9" t="s">
        <v>71</v>
      </c>
      <c r="C232" s="56" t="s">
        <v>337</v>
      </c>
      <c r="D232" s="56" t="s">
        <v>338</v>
      </c>
      <c r="E232" s="6" t="s">
        <v>43</v>
      </c>
      <c r="F232" s="52">
        <v>3</v>
      </c>
      <c r="G232" s="13"/>
      <c r="H232" s="52">
        <f t="shared" si="45"/>
        <v>3</v>
      </c>
      <c r="I232" s="134">
        <v>2</v>
      </c>
      <c r="J232" s="8">
        <f t="shared" si="46"/>
        <v>6</v>
      </c>
      <c r="K232" s="7">
        <f t="shared" si="38"/>
        <v>3</v>
      </c>
    </row>
    <row r="233" spans="1:11" x14ac:dyDescent="0.3">
      <c r="A233" s="14" t="s">
        <v>327</v>
      </c>
      <c r="B233" s="14" t="s">
        <v>71</v>
      </c>
      <c r="C233" s="56" t="s">
        <v>339</v>
      </c>
      <c r="D233" s="56" t="s">
        <v>340</v>
      </c>
      <c r="E233" s="101"/>
      <c r="F233" s="172">
        <v>2</v>
      </c>
      <c r="G233" s="187"/>
      <c r="H233" s="52">
        <f t="shared" si="45"/>
        <v>2</v>
      </c>
      <c r="I233" s="134">
        <v>2</v>
      </c>
      <c r="J233" s="8">
        <f t="shared" si="46"/>
        <v>4</v>
      </c>
      <c r="K233" s="7">
        <f t="shared" si="38"/>
        <v>2</v>
      </c>
    </row>
    <row r="234" spans="1:11" x14ac:dyDescent="0.3">
      <c r="A234" s="90"/>
      <c r="B234" s="90"/>
      <c r="C234"/>
      <c r="E234" s="228"/>
      <c r="F234" s="91"/>
      <c r="G234" s="92"/>
      <c r="H234" s="91"/>
      <c r="I234" s="11"/>
      <c r="J234" s="11"/>
      <c r="K234" s="7" t="str">
        <f t="shared" si="38"/>
        <v/>
      </c>
    </row>
    <row r="235" spans="1:11" x14ac:dyDescent="0.3">
      <c r="A235" s="37" t="s">
        <v>341</v>
      </c>
      <c r="K235" s="7" t="str">
        <f t="shared" si="38"/>
        <v/>
      </c>
    </row>
    <row r="236" spans="1:11" x14ac:dyDescent="0.3">
      <c r="A236" s="14" t="s">
        <v>342</v>
      </c>
      <c r="B236" s="9" t="s">
        <v>59</v>
      </c>
      <c r="C236" s="6" t="s">
        <v>123</v>
      </c>
      <c r="D236" s="6" t="s">
        <v>124</v>
      </c>
      <c r="E236" s="101"/>
      <c r="F236" s="52">
        <v>1</v>
      </c>
      <c r="G236" s="13"/>
      <c r="H236" s="15">
        <f t="shared" ref="H236:H243" si="47">SUM(F236:G236)</f>
        <v>1</v>
      </c>
      <c r="I236" s="134">
        <f>'2 - Section Count Projection'!$O$56</f>
        <v>0</v>
      </c>
      <c r="J236" s="16">
        <f t="shared" ref="J236:J243" si="48">I236*H236</f>
        <v>0</v>
      </c>
      <c r="K236" s="7" t="str">
        <f t="shared" si="38"/>
        <v/>
      </c>
    </row>
    <row r="237" spans="1:11" x14ac:dyDescent="0.3">
      <c r="A237" s="14" t="s">
        <v>342</v>
      </c>
      <c r="B237" s="9" t="s">
        <v>59</v>
      </c>
      <c r="C237" s="6" t="s">
        <v>217</v>
      </c>
      <c r="D237" s="6" t="s">
        <v>218</v>
      </c>
      <c r="E237" s="6" t="s">
        <v>36</v>
      </c>
      <c r="F237" s="52">
        <v>3</v>
      </c>
      <c r="G237" s="13"/>
      <c r="H237" s="15">
        <f t="shared" si="47"/>
        <v>3</v>
      </c>
      <c r="I237" s="134">
        <f>'2 - Section Count Projection'!$O$56</f>
        <v>0</v>
      </c>
      <c r="J237" s="16">
        <f t="shared" si="48"/>
        <v>0</v>
      </c>
      <c r="K237" s="7" t="str">
        <f t="shared" si="38"/>
        <v/>
      </c>
    </row>
    <row r="238" spans="1:11" x14ac:dyDescent="0.3">
      <c r="A238" s="14" t="s">
        <v>342</v>
      </c>
      <c r="B238" s="9" t="s">
        <v>59</v>
      </c>
      <c r="C238" s="6" t="s">
        <v>128</v>
      </c>
      <c r="D238" s="6" t="s">
        <v>129</v>
      </c>
      <c r="E238" s="101"/>
      <c r="F238" s="52">
        <v>3</v>
      </c>
      <c r="G238" s="13"/>
      <c r="H238" s="15">
        <f t="shared" si="47"/>
        <v>3</v>
      </c>
      <c r="I238" s="134">
        <f>'2 - Section Count Projection'!$O$56</f>
        <v>0</v>
      </c>
      <c r="J238" s="16">
        <f t="shared" si="48"/>
        <v>0</v>
      </c>
      <c r="K238" s="7" t="str">
        <f t="shared" si="38"/>
        <v/>
      </c>
    </row>
    <row r="239" spans="1:11" x14ac:dyDescent="0.3">
      <c r="A239" s="14" t="s">
        <v>342</v>
      </c>
      <c r="B239" s="9" t="s">
        <v>59</v>
      </c>
      <c r="C239" s="6" t="s">
        <v>130</v>
      </c>
      <c r="D239" s="6" t="s">
        <v>292</v>
      </c>
      <c r="E239" s="6" t="s">
        <v>38</v>
      </c>
      <c r="F239" s="52">
        <v>2</v>
      </c>
      <c r="G239" s="13"/>
      <c r="H239" s="15">
        <f t="shared" si="47"/>
        <v>2</v>
      </c>
      <c r="I239" s="134">
        <f>'2 - Section Count Projection'!$O$56</f>
        <v>0</v>
      </c>
      <c r="J239" s="16">
        <f t="shared" si="48"/>
        <v>0</v>
      </c>
      <c r="K239" s="7" t="str">
        <f t="shared" si="38"/>
        <v/>
      </c>
    </row>
    <row r="240" spans="1:11" x14ac:dyDescent="0.3">
      <c r="A240" s="14" t="s">
        <v>342</v>
      </c>
      <c r="B240" s="9" t="s">
        <v>59</v>
      </c>
      <c r="C240" s="6" t="s">
        <v>139</v>
      </c>
      <c r="D240" s="6" t="s">
        <v>140</v>
      </c>
      <c r="E240" s="6" t="s">
        <v>127</v>
      </c>
      <c r="F240" s="52">
        <v>3</v>
      </c>
      <c r="G240" s="13"/>
      <c r="H240" s="15">
        <f t="shared" si="47"/>
        <v>3</v>
      </c>
      <c r="I240" s="134">
        <f>'2 - Section Count Projection'!$O$56</f>
        <v>0</v>
      </c>
      <c r="J240" s="16">
        <f t="shared" si="48"/>
        <v>0</v>
      </c>
      <c r="K240" s="7" t="str">
        <f t="shared" si="38"/>
        <v/>
      </c>
    </row>
    <row r="241" spans="1:11" x14ac:dyDescent="0.3">
      <c r="A241" s="14" t="s">
        <v>342</v>
      </c>
      <c r="B241" s="9" t="s">
        <v>59</v>
      </c>
      <c r="C241" s="6" t="s">
        <v>134</v>
      </c>
      <c r="D241" s="6" t="s">
        <v>135</v>
      </c>
      <c r="E241" s="6" t="s">
        <v>141</v>
      </c>
      <c r="F241" s="52">
        <v>3</v>
      </c>
      <c r="G241" s="13"/>
      <c r="H241" s="15">
        <f t="shared" si="47"/>
        <v>3</v>
      </c>
      <c r="I241" s="134">
        <f>'2 - Section Count Projection'!$O$56</f>
        <v>0</v>
      </c>
      <c r="J241" s="16">
        <f t="shared" si="48"/>
        <v>0</v>
      </c>
      <c r="K241" s="7" t="str">
        <f t="shared" si="38"/>
        <v/>
      </c>
    </row>
    <row r="242" spans="1:11" x14ac:dyDescent="0.3">
      <c r="A242" s="14" t="s">
        <v>342</v>
      </c>
      <c r="B242" s="9" t="s">
        <v>59</v>
      </c>
      <c r="C242" s="6" t="s">
        <v>293</v>
      </c>
      <c r="D242" s="6" t="s">
        <v>294</v>
      </c>
      <c r="E242" s="101"/>
      <c r="F242" s="52">
        <v>3</v>
      </c>
      <c r="G242" s="16"/>
      <c r="H242" s="52">
        <f t="shared" si="47"/>
        <v>3</v>
      </c>
      <c r="I242" s="134">
        <f>'2 - Section Count Projection'!$O$56</f>
        <v>0</v>
      </c>
      <c r="J242" s="16">
        <f t="shared" si="48"/>
        <v>0</v>
      </c>
      <c r="K242" s="7" t="str">
        <f t="shared" si="38"/>
        <v/>
      </c>
    </row>
    <row r="243" spans="1:11" x14ac:dyDescent="0.3">
      <c r="A243" s="14" t="s">
        <v>342</v>
      </c>
      <c r="B243" s="27" t="s">
        <v>59</v>
      </c>
      <c r="C243" s="6" t="s">
        <v>295</v>
      </c>
      <c r="D243" s="6" t="s">
        <v>296</v>
      </c>
      <c r="E243" s="6" t="s">
        <v>32</v>
      </c>
      <c r="F243" s="52">
        <v>3</v>
      </c>
      <c r="G243" s="13"/>
      <c r="H243" s="15">
        <f t="shared" si="47"/>
        <v>3</v>
      </c>
      <c r="I243" s="134">
        <f>'2 - Section Count Projection'!$O$56</f>
        <v>0</v>
      </c>
      <c r="J243" s="16">
        <f t="shared" si="48"/>
        <v>0</v>
      </c>
      <c r="K243" s="7" t="str">
        <f t="shared" si="38"/>
        <v/>
      </c>
    </row>
    <row r="244" spans="1:11" x14ac:dyDescent="0.3">
      <c r="K244" s="7" t="str">
        <f t="shared" si="38"/>
        <v/>
      </c>
    </row>
    <row r="245" spans="1:11" x14ac:dyDescent="0.3">
      <c r="A245" s="58" t="s">
        <v>341</v>
      </c>
      <c r="K245" s="7" t="str">
        <f t="shared" si="38"/>
        <v/>
      </c>
    </row>
    <row r="246" spans="1:11" x14ac:dyDescent="0.3">
      <c r="A246" s="14" t="s">
        <v>342</v>
      </c>
      <c r="B246" s="14" t="s">
        <v>62</v>
      </c>
      <c r="C246" s="6" t="s">
        <v>297</v>
      </c>
      <c r="D246" s="6" t="s">
        <v>298</v>
      </c>
      <c r="E246" s="6" t="s">
        <v>141</v>
      </c>
      <c r="F246" s="52">
        <v>3</v>
      </c>
      <c r="G246" s="16"/>
      <c r="H246" s="15">
        <f t="shared" ref="H246:H252" si="49">SUM(F246:G246)</f>
        <v>3</v>
      </c>
      <c r="I246" s="134"/>
      <c r="J246" s="16">
        <f t="shared" ref="J246:J252" si="50">I246*H246</f>
        <v>0</v>
      </c>
      <c r="K246" s="7" t="str">
        <f t="shared" si="38"/>
        <v/>
      </c>
    </row>
    <row r="247" spans="1:11" x14ac:dyDescent="0.3">
      <c r="A247" s="14" t="s">
        <v>291</v>
      </c>
      <c r="B247" s="14" t="s">
        <v>62</v>
      </c>
      <c r="C247" s="6" t="s">
        <v>142</v>
      </c>
      <c r="D247" s="6" t="s">
        <v>143</v>
      </c>
      <c r="E247" s="6" t="s">
        <v>38</v>
      </c>
      <c r="F247" s="52">
        <v>2</v>
      </c>
      <c r="G247" s="16"/>
      <c r="H247" s="15">
        <f t="shared" si="49"/>
        <v>2</v>
      </c>
      <c r="I247" s="134">
        <f>'2 - Section Count Projection'!$O$58</f>
        <v>0</v>
      </c>
      <c r="J247" s="16">
        <f t="shared" si="50"/>
        <v>0</v>
      </c>
      <c r="K247" s="7" t="str">
        <f t="shared" si="38"/>
        <v/>
      </c>
    </row>
    <row r="248" spans="1:11" x14ac:dyDescent="0.3">
      <c r="A248" s="14" t="s">
        <v>342</v>
      </c>
      <c r="B248" s="14" t="s">
        <v>62</v>
      </c>
      <c r="C248" s="6" t="s">
        <v>343</v>
      </c>
      <c r="D248" s="6" t="s">
        <v>344</v>
      </c>
      <c r="E248" s="6" t="s">
        <v>32</v>
      </c>
      <c r="F248" s="52">
        <v>3</v>
      </c>
      <c r="G248" s="16"/>
      <c r="H248" s="15">
        <f t="shared" si="49"/>
        <v>3</v>
      </c>
      <c r="I248" s="134">
        <f>'2 - Section Count Projection'!$O$58</f>
        <v>0</v>
      </c>
      <c r="J248" s="16">
        <f t="shared" si="50"/>
        <v>0</v>
      </c>
      <c r="K248" s="7" t="str">
        <f t="shared" si="38"/>
        <v/>
      </c>
    </row>
    <row r="249" spans="1:11" x14ac:dyDescent="0.3">
      <c r="A249" s="14" t="s">
        <v>342</v>
      </c>
      <c r="B249" s="14" t="s">
        <v>62</v>
      </c>
      <c r="C249" s="6" t="s">
        <v>301</v>
      </c>
      <c r="D249" s="6" t="s">
        <v>302</v>
      </c>
      <c r="E249" s="6" t="s">
        <v>32</v>
      </c>
      <c r="F249" s="52">
        <v>1</v>
      </c>
      <c r="G249" s="16">
        <v>1.5</v>
      </c>
      <c r="H249" s="15">
        <f t="shared" si="49"/>
        <v>2.5</v>
      </c>
      <c r="I249" s="134">
        <f>'2 - Section Count Projection'!$O$58</f>
        <v>0</v>
      </c>
      <c r="J249" s="16">
        <f t="shared" si="50"/>
        <v>0</v>
      </c>
      <c r="K249" s="7" t="str">
        <f t="shared" si="38"/>
        <v/>
      </c>
    </row>
    <row r="250" spans="1:11" x14ac:dyDescent="0.3">
      <c r="A250" s="14" t="s">
        <v>342</v>
      </c>
      <c r="B250" s="14" t="s">
        <v>62</v>
      </c>
      <c r="C250" s="6" t="s">
        <v>303</v>
      </c>
      <c r="D250" s="6" t="s">
        <v>304</v>
      </c>
      <c r="E250" s="6" t="s">
        <v>32</v>
      </c>
      <c r="F250" s="52">
        <v>2</v>
      </c>
      <c r="G250" s="16">
        <v>1.5</v>
      </c>
      <c r="H250" s="15">
        <f t="shared" si="49"/>
        <v>3.5</v>
      </c>
      <c r="I250" s="134">
        <f>'2 - Section Count Projection'!$O$58</f>
        <v>0</v>
      </c>
      <c r="J250" s="16">
        <f t="shared" si="50"/>
        <v>0</v>
      </c>
      <c r="K250" s="7" t="str">
        <f t="shared" si="38"/>
        <v/>
      </c>
    </row>
    <row r="251" spans="1:11" x14ac:dyDescent="0.3">
      <c r="A251" s="14" t="s">
        <v>342</v>
      </c>
      <c r="B251" s="14" t="s">
        <v>62</v>
      </c>
      <c r="C251" s="6" t="s">
        <v>305</v>
      </c>
      <c r="D251" s="6" t="s">
        <v>306</v>
      </c>
      <c r="E251" s="6" t="s">
        <v>127</v>
      </c>
      <c r="F251" s="52">
        <v>3</v>
      </c>
      <c r="G251" s="16"/>
      <c r="H251" s="15">
        <f t="shared" si="49"/>
        <v>3</v>
      </c>
      <c r="I251" s="134">
        <f>'2 - Section Count Projection'!$O$58</f>
        <v>0</v>
      </c>
      <c r="J251" s="16">
        <f t="shared" si="50"/>
        <v>0</v>
      </c>
      <c r="K251" s="7" t="str">
        <f t="shared" si="38"/>
        <v/>
      </c>
    </row>
    <row r="252" spans="1:11" x14ac:dyDescent="0.3">
      <c r="A252" s="14" t="s">
        <v>342</v>
      </c>
      <c r="B252" s="14" t="s">
        <v>62</v>
      </c>
      <c r="C252" s="6" t="s">
        <v>307</v>
      </c>
      <c r="D252" s="6" t="s">
        <v>308</v>
      </c>
      <c r="E252" s="101"/>
      <c r="F252" s="52">
        <v>3</v>
      </c>
      <c r="G252" s="16"/>
      <c r="H252" s="15">
        <f t="shared" si="49"/>
        <v>3</v>
      </c>
      <c r="I252" s="134">
        <f>'2 - Section Count Projection'!$O$58</f>
        <v>0</v>
      </c>
      <c r="J252" s="16">
        <f t="shared" si="50"/>
        <v>0</v>
      </c>
      <c r="K252" s="7" t="str">
        <f t="shared" si="38"/>
        <v/>
      </c>
    </row>
    <row r="253" spans="1:11" x14ac:dyDescent="0.3">
      <c r="K253" s="7" t="str">
        <f t="shared" si="38"/>
        <v/>
      </c>
    </row>
    <row r="254" spans="1:11" x14ac:dyDescent="0.3">
      <c r="A254" s="58" t="s">
        <v>341</v>
      </c>
      <c r="K254" s="7" t="str">
        <f t="shared" si="38"/>
        <v/>
      </c>
    </row>
    <row r="255" spans="1:11" x14ac:dyDescent="0.3">
      <c r="A255" s="14" t="s">
        <v>342</v>
      </c>
      <c r="B255" s="14" t="s">
        <v>66</v>
      </c>
      <c r="C255" s="6" t="s">
        <v>309</v>
      </c>
      <c r="D255" s="6" t="s">
        <v>310</v>
      </c>
      <c r="E255" s="6" t="s">
        <v>20</v>
      </c>
      <c r="F255" s="52">
        <v>3</v>
      </c>
      <c r="G255" s="16"/>
      <c r="H255" s="15">
        <f t="shared" ref="H255:H262" si="51">SUM(F255:G255)</f>
        <v>3</v>
      </c>
      <c r="I255" s="134">
        <f>'2 - Section Count Projection'!$O$60</f>
        <v>0</v>
      </c>
      <c r="J255" s="16">
        <f t="shared" ref="J255:J260" si="52">I255*H255</f>
        <v>0</v>
      </c>
      <c r="K255" s="7" t="str">
        <f t="shared" si="38"/>
        <v/>
      </c>
    </row>
    <row r="256" spans="1:11" x14ac:dyDescent="0.3">
      <c r="A256" s="14" t="s">
        <v>291</v>
      </c>
      <c r="B256" s="14" t="s">
        <v>66</v>
      </c>
      <c r="C256" s="6" t="s">
        <v>185</v>
      </c>
      <c r="D256" s="6" t="s">
        <v>186</v>
      </c>
      <c r="E256" s="6" t="s">
        <v>20</v>
      </c>
      <c r="F256" s="52">
        <v>3</v>
      </c>
      <c r="G256" s="16"/>
      <c r="H256" s="15">
        <f t="shared" si="51"/>
        <v>3</v>
      </c>
      <c r="I256" s="134">
        <f>'2 - Section Count Projection'!$O$60</f>
        <v>0</v>
      </c>
      <c r="J256" s="16">
        <f t="shared" si="52"/>
        <v>0</v>
      </c>
      <c r="K256" s="7" t="str">
        <f t="shared" si="38"/>
        <v/>
      </c>
    </row>
    <row r="257" spans="1:11" x14ac:dyDescent="0.3">
      <c r="A257" s="14" t="s">
        <v>342</v>
      </c>
      <c r="B257" s="14" t="s">
        <v>66</v>
      </c>
      <c r="C257" s="6" t="s">
        <v>274</v>
      </c>
      <c r="D257" s="6" t="s">
        <v>275</v>
      </c>
      <c r="E257" s="6" t="s">
        <v>127</v>
      </c>
      <c r="F257" s="52">
        <v>3</v>
      </c>
      <c r="G257" s="16"/>
      <c r="H257" s="15">
        <f t="shared" si="51"/>
        <v>3</v>
      </c>
      <c r="I257" s="134">
        <f>'2 - Section Count Projection'!$O$60</f>
        <v>0</v>
      </c>
      <c r="J257" s="16">
        <f t="shared" si="52"/>
        <v>0</v>
      </c>
      <c r="K257" s="7" t="str">
        <f t="shared" si="38"/>
        <v/>
      </c>
    </row>
    <row r="258" spans="1:11" x14ac:dyDescent="0.3">
      <c r="A258" s="14" t="s">
        <v>342</v>
      </c>
      <c r="B258" s="14" t="s">
        <v>66</v>
      </c>
      <c r="C258" s="6" t="s">
        <v>311</v>
      </c>
      <c r="D258" s="6" t="s">
        <v>312</v>
      </c>
      <c r="E258" s="6" t="s">
        <v>32</v>
      </c>
      <c r="F258" s="52">
        <v>1</v>
      </c>
      <c r="G258" s="16">
        <v>1.5</v>
      </c>
      <c r="H258" s="15">
        <f t="shared" si="51"/>
        <v>2.5</v>
      </c>
      <c r="I258" s="134">
        <f>'2 - Section Count Projection'!$O$60</f>
        <v>0</v>
      </c>
      <c r="J258" s="16">
        <f t="shared" si="52"/>
        <v>0</v>
      </c>
      <c r="K258" s="7" t="str">
        <f t="shared" si="38"/>
        <v/>
      </c>
    </row>
    <row r="259" spans="1:11" x14ac:dyDescent="0.3">
      <c r="A259" s="14" t="s">
        <v>342</v>
      </c>
      <c r="B259" s="14" t="s">
        <v>66</v>
      </c>
      <c r="C259" s="45" t="s">
        <v>313</v>
      </c>
      <c r="D259" s="6" t="s">
        <v>314</v>
      </c>
      <c r="E259" s="6" t="s">
        <v>32</v>
      </c>
      <c r="F259" s="52">
        <v>2</v>
      </c>
      <c r="G259" s="16">
        <v>1.5</v>
      </c>
      <c r="H259" s="15">
        <f t="shared" si="51"/>
        <v>3.5</v>
      </c>
      <c r="I259" s="134">
        <f>'2 - Section Count Projection'!$O$60</f>
        <v>0</v>
      </c>
      <c r="J259" s="16">
        <f t="shared" si="52"/>
        <v>0</v>
      </c>
      <c r="K259" s="7" t="str">
        <f t="shared" si="38"/>
        <v/>
      </c>
    </row>
    <row r="260" spans="1:11" x14ac:dyDescent="0.3">
      <c r="A260" s="14" t="s">
        <v>342</v>
      </c>
      <c r="B260" s="14" t="s">
        <v>66</v>
      </c>
      <c r="C260" s="6" t="s">
        <v>315</v>
      </c>
      <c r="D260" s="6" t="s">
        <v>316</v>
      </c>
      <c r="E260" s="101"/>
      <c r="F260" s="52">
        <v>3</v>
      </c>
      <c r="G260" s="16"/>
      <c r="H260" s="15">
        <f t="shared" si="51"/>
        <v>3</v>
      </c>
      <c r="I260" s="134">
        <f>'2 - Section Count Projection'!$O$60</f>
        <v>0</v>
      </c>
      <c r="J260" s="16">
        <f t="shared" si="52"/>
        <v>0</v>
      </c>
      <c r="K260" s="7" t="str">
        <f t="shared" ref="K260:K323" si="53">IF(I260&gt;0,F260,"")</f>
        <v/>
      </c>
    </row>
    <row r="261" spans="1:11" x14ac:dyDescent="0.3">
      <c r="A261" s="65" t="s">
        <v>342</v>
      </c>
      <c r="B261" s="14" t="s">
        <v>66</v>
      </c>
      <c r="C261" s="6" t="s">
        <v>317</v>
      </c>
      <c r="D261" s="6" t="s">
        <v>318</v>
      </c>
      <c r="E261" s="101"/>
      <c r="F261" s="52">
        <v>3</v>
      </c>
      <c r="G261" s="16"/>
      <c r="H261" s="15">
        <f t="shared" si="51"/>
        <v>3</v>
      </c>
      <c r="I261" s="134">
        <f>'2 - Section Count Projection'!$O$60</f>
        <v>0</v>
      </c>
      <c r="J261" s="16">
        <f t="shared" ref="J261:J262" si="54">I261*H261</f>
        <v>0</v>
      </c>
      <c r="K261" s="7" t="str">
        <f t="shared" si="53"/>
        <v/>
      </c>
    </row>
    <row r="262" spans="1:11" x14ac:dyDescent="0.3">
      <c r="A262" s="14" t="s">
        <v>342</v>
      </c>
      <c r="B262" s="27" t="s">
        <v>66</v>
      </c>
      <c r="C262" s="6" t="s">
        <v>319</v>
      </c>
      <c r="D262" s="6" t="s">
        <v>320</v>
      </c>
      <c r="E262" s="101"/>
      <c r="F262" s="52">
        <v>3</v>
      </c>
      <c r="G262" s="16"/>
      <c r="H262" s="15">
        <f t="shared" si="51"/>
        <v>3</v>
      </c>
      <c r="I262" s="134">
        <f>'2 - Section Count Projection'!$O$60</f>
        <v>0</v>
      </c>
      <c r="J262" s="16">
        <f t="shared" si="54"/>
        <v>0</v>
      </c>
      <c r="K262" s="7" t="str">
        <f t="shared" si="53"/>
        <v/>
      </c>
    </row>
    <row r="263" spans="1:11" x14ac:dyDescent="0.3">
      <c r="K263" s="7" t="str">
        <f t="shared" si="53"/>
        <v/>
      </c>
    </row>
    <row r="264" spans="1:11" x14ac:dyDescent="0.3">
      <c r="A264" s="58" t="s">
        <v>345</v>
      </c>
      <c r="K264" s="7" t="str">
        <f t="shared" si="53"/>
        <v/>
      </c>
    </row>
    <row r="265" spans="1:11" x14ac:dyDescent="0.3">
      <c r="A265" s="14" t="s">
        <v>342</v>
      </c>
      <c r="B265" s="3" t="s">
        <v>71</v>
      </c>
      <c r="C265" s="6" t="s">
        <v>121</v>
      </c>
      <c r="D265" s="6" t="s">
        <v>122</v>
      </c>
      <c r="E265" s="101"/>
      <c r="F265" s="52">
        <v>3</v>
      </c>
      <c r="G265" s="6"/>
      <c r="H265" s="15">
        <f>SUM(F265:G265)</f>
        <v>3</v>
      </c>
      <c r="I265" s="134">
        <f>'2 - Section Count Projection'!$O$62</f>
        <v>0</v>
      </c>
      <c r="J265" s="16">
        <f>I265*H265</f>
        <v>0</v>
      </c>
      <c r="K265" s="7" t="str">
        <f t="shared" si="53"/>
        <v/>
      </c>
    </row>
    <row r="266" spans="1:11" x14ac:dyDescent="0.3">
      <c r="A266" s="14" t="s">
        <v>342</v>
      </c>
      <c r="B266" s="3" t="s">
        <v>71</v>
      </c>
      <c r="C266" s="6" t="s">
        <v>167</v>
      </c>
      <c r="D266" s="6" t="s">
        <v>168</v>
      </c>
      <c r="E266" s="101"/>
      <c r="F266" s="52">
        <v>1</v>
      </c>
      <c r="G266" s="6"/>
      <c r="H266" s="15">
        <f>SUM(F266:G266)</f>
        <v>1</v>
      </c>
      <c r="I266" s="134">
        <f>'2 - Section Count Projection'!$O$62</f>
        <v>0</v>
      </c>
      <c r="J266" s="16">
        <f t="shared" ref="J266:J269" si="55">I266*H266</f>
        <v>0</v>
      </c>
      <c r="K266" s="7" t="str">
        <f t="shared" si="53"/>
        <v/>
      </c>
    </row>
    <row r="267" spans="1:11" x14ac:dyDescent="0.3">
      <c r="A267" s="14" t="s">
        <v>342</v>
      </c>
      <c r="B267" s="14" t="s">
        <v>71</v>
      </c>
      <c r="C267" s="6" t="s">
        <v>144</v>
      </c>
      <c r="D267" s="6" t="s">
        <v>145</v>
      </c>
      <c r="E267" s="6" t="s">
        <v>141</v>
      </c>
      <c r="F267" s="52">
        <v>3</v>
      </c>
      <c r="G267" s="6"/>
      <c r="H267" s="15">
        <f>SUM(F267:G267)</f>
        <v>3</v>
      </c>
      <c r="I267" s="134">
        <f>'2 - Section Count Projection'!$O$62</f>
        <v>0</v>
      </c>
      <c r="J267" s="16">
        <f t="shared" si="55"/>
        <v>0</v>
      </c>
      <c r="K267" s="7" t="str">
        <f t="shared" si="53"/>
        <v/>
      </c>
    </row>
    <row r="268" spans="1:11" x14ac:dyDescent="0.3">
      <c r="A268" s="14" t="s">
        <v>342</v>
      </c>
      <c r="B268" s="14" t="s">
        <v>71</v>
      </c>
      <c r="C268" s="6" t="s">
        <v>322</v>
      </c>
      <c r="D268" s="6" t="s">
        <v>323</v>
      </c>
      <c r="E268" s="6" t="s">
        <v>32</v>
      </c>
      <c r="F268" s="52">
        <v>1</v>
      </c>
      <c r="G268" s="52">
        <v>1.5</v>
      </c>
      <c r="H268" s="15">
        <f>SUM(F268:G268)</f>
        <v>2.5</v>
      </c>
      <c r="I268" s="134">
        <f>'2 - Section Count Projection'!$O$62</f>
        <v>0</v>
      </c>
      <c r="J268" s="16">
        <f t="shared" si="55"/>
        <v>0</v>
      </c>
      <c r="K268" s="7" t="str">
        <f t="shared" si="53"/>
        <v/>
      </c>
    </row>
    <row r="269" spans="1:11" x14ac:dyDescent="0.3">
      <c r="A269" s="14" t="s">
        <v>342</v>
      </c>
      <c r="B269" s="14" t="s">
        <v>71</v>
      </c>
      <c r="C269" s="6" t="s">
        <v>324</v>
      </c>
      <c r="D269" s="110" t="s">
        <v>325</v>
      </c>
      <c r="E269" s="101"/>
      <c r="F269" s="172">
        <v>2</v>
      </c>
      <c r="G269" s="186"/>
      <c r="H269" s="15">
        <f>SUM(F269:G269)</f>
        <v>2</v>
      </c>
      <c r="I269" s="134">
        <f>'2 - Section Count Projection'!$O$62</f>
        <v>0</v>
      </c>
      <c r="J269" s="16">
        <f t="shared" si="55"/>
        <v>0</v>
      </c>
      <c r="K269" s="7" t="str">
        <f t="shared" si="53"/>
        <v/>
      </c>
    </row>
    <row r="270" spans="1:11" x14ac:dyDescent="0.3">
      <c r="K270" s="7" t="str">
        <f t="shared" si="53"/>
        <v/>
      </c>
    </row>
    <row r="271" spans="1:11" x14ac:dyDescent="0.3">
      <c r="A271" s="58" t="s">
        <v>346</v>
      </c>
      <c r="K271" s="7" t="str">
        <f t="shared" si="53"/>
        <v/>
      </c>
    </row>
    <row r="272" spans="1:11" x14ac:dyDescent="0.3">
      <c r="A272" s="14" t="s">
        <v>347</v>
      </c>
      <c r="B272" s="3" t="s">
        <v>59</v>
      </c>
      <c r="C272" s="6" t="s">
        <v>348</v>
      </c>
      <c r="D272" s="110" t="s">
        <v>349</v>
      </c>
      <c r="E272" s="6" t="s">
        <v>20</v>
      </c>
      <c r="F272" s="52">
        <v>3</v>
      </c>
      <c r="G272" s="52"/>
      <c r="H272" s="15">
        <f>SUM(F272:G272)</f>
        <v>3</v>
      </c>
      <c r="I272" s="134">
        <v>2</v>
      </c>
      <c r="J272" s="16">
        <f>I272*H272</f>
        <v>6</v>
      </c>
      <c r="K272" s="7">
        <f t="shared" si="53"/>
        <v>3</v>
      </c>
    </row>
    <row r="273" spans="1:11" x14ac:dyDescent="0.3">
      <c r="A273" s="14" t="s">
        <v>347</v>
      </c>
      <c r="B273" s="3" t="s">
        <v>59</v>
      </c>
      <c r="C273" s="6" t="s">
        <v>350</v>
      </c>
      <c r="D273" s="110" t="s">
        <v>351</v>
      </c>
      <c r="E273" s="101"/>
      <c r="F273" s="52">
        <v>3</v>
      </c>
      <c r="G273" s="52"/>
      <c r="H273" s="15">
        <f t="shared" ref="H273:H278" si="56">SUM(F273:G273)</f>
        <v>3</v>
      </c>
      <c r="I273" s="134">
        <v>2</v>
      </c>
      <c r="J273" s="16">
        <f t="shared" ref="J273:J278" si="57">I273*H273</f>
        <v>6</v>
      </c>
      <c r="K273" s="7">
        <f t="shared" si="53"/>
        <v>3</v>
      </c>
    </row>
    <row r="274" spans="1:11" x14ac:dyDescent="0.3">
      <c r="A274" s="14" t="s">
        <v>347</v>
      </c>
      <c r="B274" s="14" t="s">
        <v>59</v>
      </c>
      <c r="C274" s="6" t="s">
        <v>352</v>
      </c>
      <c r="D274" s="6" t="s">
        <v>353</v>
      </c>
      <c r="E274" s="101"/>
      <c r="F274" s="52">
        <v>1</v>
      </c>
      <c r="G274" s="52"/>
      <c r="H274" s="15">
        <f t="shared" si="56"/>
        <v>1</v>
      </c>
      <c r="I274" s="134">
        <v>2</v>
      </c>
      <c r="J274" s="16">
        <f t="shared" si="57"/>
        <v>2</v>
      </c>
      <c r="K274" s="7">
        <f t="shared" si="53"/>
        <v>1</v>
      </c>
    </row>
    <row r="275" spans="1:11" x14ac:dyDescent="0.3">
      <c r="A275" s="14" t="s">
        <v>347</v>
      </c>
      <c r="B275" s="14" t="s">
        <v>59</v>
      </c>
      <c r="C275" s="6" t="s">
        <v>354</v>
      </c>
      <c r="D275" s="6" t="s">
        <v>355</v>
      </c>
      <c r="E275" s="101"/>
      <c r="F275" s="52">
        <v>3</v>
      </c>
      <c r="G275" s="52"/>
      <c r="H275" s="15">
        <f t="shared" si="56"/>
        <v>3</v>
      </c>
      <c r="I275" s="134">
        <v>2</v>
      </c>
      <c r="J275" s="16">
        <f t="shared" si="57"/>
        <v>6</v>
      </c>
      <c r="K275" s="7">
        <f t="shared" si="53"/>
        <v>3</v>
      </c>
    </row>
    <row r="276" spans="1:11" x14ac:dyDescent="0.3">
      <c r="A276" s="14" t="s">
        <v>347</v>
      </c>
      <c r="B276" s="14" t="s">
        <v>59</v>
      </c>
      <c r="C276" s="6" t="s">
        <v>356</v>
      </c>
      <c r="D276" s="6" t="s">
        <v>357</v>
      </c>
      <c r="E276" s="6" t="s">
        <v>38</v>
      </c>
      <c r="F276" s="52">
        <v>2</v>
      </c>
      <c r="G276" s="52"/>
      <c r="H276" s="15">
        <f t="shared" si="56"/>
        <v>2</v>
      </c>
      <c r="I276" s="134">
        <v>2</v>
      </c>
      <c r="J276" s="16">
        <f t="shared" si="57"/>
        <v>4</v>
      </c>
      <c r="K276" s="7">
        <f t="shared" si="53"/>
        <v>2</v>
      </c>
    </row>
    <row r="277" spans="1:11" x14ac:dyDescent="0.3">
      <c r="A277" s="14" t="s">
        <v>347</v>
      </c>
      <c r="B277" s="14" t="s">
        <v>59</v>
      </c>
      <c r="C277" s="6" t="s">
        <v>358</v>
      </c>
      <c r="D277" s="6" t="s">
        <v>359</v>
      </c>
      <c r="E277" s="6" t="s">
        <v>141</v>
      </c>
      <c r="F277" s="52">
        <v>3</v>
      </c>
      <c r="G277" s="52"/>
      <c r="H277" s="15">
        <f t="shared" si="56"/>
        <v>3</v>
      </c>
      <c r="I277" s="134">
        <v>2</v>
      </c>
      <c r="J277" s="16">
        <f t="shared" si="57"/>
        <v>6</v>
      </c>
      <c r="K277" s="7">
        <f t="shared" si="53"/>
        <v>3</v>
      </c>
    </row>
    <row r="278" spans="1:11" x14ac:dyDescent="0.3">
      <c r="A278" s="14" t="s">
        <v>347</v>
      </c>
      <c r="B278" s="14" t="s">
        <v>59</v>
      </c>
      <c r="C278" s="6" t="s">
        <v>360</v>
      </c>
      <c r="D278" s="6" t="s">
        <v>361</v>
      </c>
      <c r="E278" s="6" t="s">
        <v>141</v>
      </c>
      <c r="F278" s="52">
        <v>3</v>
      </c>
      <c r="G278" s="52"/>
      <c r="H278" s="15">
        <f t="shared" si="56"/>
        <v>3</v>
      </c>
      <c r="I278" s="134">
        <v>2</v>
      </c>
      <c r="J278" s="16">
        <f t="shared" si="57"/>
        <v>6</v>
      </c>
      <c r="K278" s="7">
        <f t="shared" si="53"/>
        <v>3</v>
      </c>
    </row>
    <row r="279" spans="1:11" x14ac:dyDescent="0.3">
      <c r="A279" s="90"/>
      <c r="B279" s="90"/>
      <c r="C279" s="109"/>
      <c r="D279" s="109"/>
      <c r="F279" s="91"/>
      <c r="K279" s="7" t="str">
        <f t="shared" si="53"/>
        <v/>
      </c>
    </row>
    <row r="280" spans="1:11" x14ac:dyDescent="0.3">
      <c r="A280" s="58" t="s">
        <v>362</v>
      </c>
      <c r="K280" s="7" t="str">
        <f t="shared" si="53"/>
        <v/>
      </c>
    </row>
    <row r="281" spans="1:11" x14ac:dyDescent="0.3">
      <c r="A281" s="14" t="s">
        <v>347</v>
      </c>
      <c r="B281" s="3" t="s">
        <v>62</v>
      </c>
      <c r="C281" s="6" t="s">
        <v>185</v>
      </c>
      <c r="D281" s="6" t="s">
        <v>186</v>
      </c>
      <c r="E281" s="6" t="s">
        <v>20</v>
      </c>
      <c r="F281" s="5">
        <v>3</v>
      </c>
      <c r="G281" s="52"/>
      <c r="H281" s="15">
        <f t="shared" ref="H281:H286" si="58">SUM(F281:G281)</f>
        <v>3</v>
      </c>
      <c r="I281" s="134">
        <v>2</v>
      </c>
      <c r="J281" s="16">
        <f>I281*H281</f>
        <v>6</v>
      </c>
      <c r="K281" s="7">
        <f t="shared" si="53"/>
        <v>3</v>
      </c>
    </row>
    <row r="282" spans="1:11" x14ac:dyDescent="0.3">
      <c r="A282" s="14" t="s">
        <v>347</v>
      </c>
      <c r="B282" s="3" t="s">
        <v>62</v>
      </c>
      <c r="C282" s="6" t="s">
        <v>363</v>
      </c>
      <c r="D282" s="6" t="s">
        <v>145</v>
      </c>
      <c r="E282" s="6" t="s">
        <v>141</v>
      </c>
      <c r="F282" s="5">
        <v>3</v>
      </c>
      <c r="G282" s="12"/>
      <c r="H282" s="15">
        <f t="shared" si="58"/>
        <v>3</v>
      </c>
      <c r="I282" s="134">
        <v>2</v>
      </c>
      <c r="J282" s="16">
        <f t="shared" ref="J282:J289" si="59">I282*H282</f>
        <v>6</v>
      </c>
      <c r="K282" s="7">
        <f t="shared" si="53"/>
        <v>3</v>
      </c>
    </row>
    <row r="283" spans="1:11" x14ac:dyDescent="0.3">
      <c r="A283" s="14" t="s">
        <v>347</v>
      </c>
      <c r="B283" s="14" t="s">
        <v>62</v>
      </c>
      <c r="C283" s="6" t="s">
        <v>217</v>
      </c>
      <c r="D283" s="6" t="s">
        <v>364</v>
      </c>
      <c r="E283" s="6" t="s">
        <v>36</v>
      </c>
      <c r="F283" s="5">
        <v>3</v>
      </c>
      <c r="G283" s="12"/>
      <c r="H283" s="15">
        <f t="shared" si="58"/>
        <v>3</v>
      </c>
      <c r="I283" s="134">
        <v>2</v>
      </c>
      <c r="J283" s="16">
        <f t="shared" si="59"/>
        <v>6</v>
      </c>
      <c r="K283" s="7">
        <f t="shared" si="53"/>
        <v>3</v>
      </c>
    </row>
    <row r="284" spans="1:11" x14ac:dyDescent="0.3">
      <c r="A284" s="14" t="s">
        <v>347</v>
      </c>
      <c r="B284" s="14" t="s">
        <v>62</v>
      </c>
      <c r="C284" s="6" t="s">
        <v>365</v>
      </c>
      <c r="D284" s="6" t="s">
        <v>143</v>
      </c>
      <c r="E284" s="6" t="s">
        <v>38</v>
      </c>
      <c r="F284" s="5">
        <v>2</v>
      </c>
      <c r="G284" s="12"/>
      <c r="H284" s="15">
        <f t="shared" si="58"/>
        <v>2</v>
      </c>
      <c r="I284" s="134">
        <v>2</v>
      </c>
      <c r="J284" s="16">
        <f t="shared" si="59"/>
        <v>4</v>
      </c>
      <c r="K284" s="7">
        <f t="shared" si="53"/>
        <v>2</v>
      </c>
    </row>
    <row r="285" spans="1:11" x14ac:dyDescent="0.3">
      <c r="A285" s="14" t="s">
        <v>347</v>
      </c>
      <c r="B285" s="14" t="s">
        <v>62</v>
      </c>
      <c r="C285" s="6" t="s">
        <v>366</v>
      </c>
      <c r="D285" s="6" t="s">
        <v>367</v>
      </c>
      <c r="E285" s="6" t="s">
        <v>20</v>
      </c>
      <c r="F285" s="5">
        <v>2</v>
      </c>
      <c r="G285" s="13">
        <v>1.5</v>
      </c>
      <c r="H285" s="15">
        <f t="shared" si="58"/>
        <v>3.5</v>
      </c>
      <c r="I285" s="134">
        <v>2</v>
      </c>
      <c r="J285" s="16">
        <f t="shared" si="59"/>
        <v>7</v>
      </c>
      <c r="K285" s="7">
        <f t="shared" si="53"/>
        <v>2</v>
      </c>
    </row>
    <row r="286" spans="1:11" x14ac:dyDescent="0.3">
      <c r="A286" s="14" t="s">
        <v>347</v>
      </c>
      <c r="B286" s="14" t="s">
        <v>62</v>
      </c>
      <c r="C286" s="6" t="s">
        <v>368</v>
      </c>
      <c r="D286" s="7" t="s">
        <v>369</v>
      </c>
      <c r="E286" s="6" t="s">
        <v>20</v>
      </c>
      <c r="F286" s="5">
        <v>3</v>
      </c>
      <c r="G286" s="12"/>
      <c r="H286" s="15">
        <f t="shared" si="58"/>
        <v>3</v>
      </c>
      <c r="I286" s="134">
        <v>2</v>
      </c>
      <c r="J286" s="16">
        <f t="shared" si="59"/>
        <v>6</v>
      </c>
      <c r="K286" s="7">
        <f t="shared" si="53"/>
        <v>3</v>
      </c>
    </row>
    <row r="287" spans="1:11" x14ac:dyDescent="0.3">
      <c r="D287" s="138"/>
      <c r="K287" s="7" t="str">
        <f t="shared" si="53"/>
        <v/>
      </c>
    </row>
    <row r="288" spans="1:11" x14ac:dyDescent="0.3">
      <c r="A288" s="58" t="s">
        <v>362</v>
      </c>
      <c r="D288" s="137"/>
      <c r="K288" s="7" t="str">
        <f t="shared" si="53"/>
        <v/>
      </c>
    </row>
    <row r="289" spans="1:11" x14ac:dyDescent="0.3">
      <c r="A289" s="14" t="s">
        <v>347</v>
      </c>
      <c r="B289" s="14" t="s">
        <v>66</v>
      </c>
      <c r="C289" s="6" t="s">
        <v>370</v>
      </c>
      <c r="D289" s="6" t="s">
        <v>371</v>
      </c>
      <c r="E289" s="6" t="s">
        <v>20</v>
      </c>
      <c r="F289" s="5">
        <v>3</v>
      </c>
      <c r="G289" s="13"/>
      <c r="H289" s="15">
        <f t="shared" ref="H289:H294" si="60">SUM(F289:G289)</f>
        <v>3</v>
      </c>
      <c r="I289" s="134">
        <v>2</v>
      </c>
      <c r="J289" s="16">
        <f t="shared" si="59"/>
        <v>6</v>
      </c>
      <c r="K289" s="7">
        <f t="shared" si="53"/>
        <v>3</v>
      </c>
    </row>
    <row r="290" spans="1:11" x14ac:dyDescent="0.3">
      <c r="A290" s="14" t="s">
        <v>347</v>
      </c>
      <c r="B290" s="14" t="s">
        <v>66</v>
      </c>
      <c r="C290" s="6" t="s">
        <v>372</v>
      </c>
      <c r="D290" s="6" t="s">
        <v>373</v>
      </c>
      <c r="E290" s="6" t="s">
        <v>20</v>
      </c>
      <c r="F290" s="5">
        <v>3</v>
      </c>
      <c r="G290" s="13"/>
      <c r="H290" s="15">
        <f t="shared" si="60"/>
        <v>3</v>
      </c>
      <c r="I290" s="134">
        <v>2</v>
      </c>
      <c r="J290" s="16">
        <f>I290*H290</f>
        <v>6</v>
      </c>
      <c r="K290" s="7">
        <f t="shared" si="53"/>
        <v>3</v>
      </c>
    </row>
    <row r="291" spans="1:11" x14ac:dyDescent="0.3">
      <c r="A291" s="14" t="s">
        <v>347</v>
      </c>
      <c r="B291" s="14" t="s">
        <v>66</v>
      </c>
      <c r="C291" s="6" t="s">
        <v>374</v>
      </c>
      <c r="D291" s="6" t="s">
        <v>375</v>
      </c>
      <c r="E291" s="6" t="s">
        <v>20</v>
      </c>
      <c r="F291" s="5">
        <v>3</v>
      </c>
      <c r="G291" s="13"/>
      <c r="H291" s="15">
        <f t="shared" si="60"/>
        <v>3</v>
      </c>
      <c r="I291" s="134">
        <v>2</v>
      </c>
      <c r="J291" s="16">
        <f>I291*H291</f>
        <v>6</v>
      </c>
      <c r="K291" s="7">
        <f t="shared" si="53"/>
        <v>3</v>
      </c>
    </row>
    <row r="292" spans="1:11" x14ac:dyDescent="0.3">
      <c r="A292" s="14" t="s">
        <v>347</v>
      </c>
      <c r="B292" s="14" t="s">
        <v>66</v>
      </c>
      <c r="C292" s="6" t="s">
        <v>309</v>
      </c>
      <c r="D292" s="6" t="s">
        <v>310</v>
      </c>
      <c r="E292" s="6" t="s">
        <v>20</v>
      </c>
      <c r="F292" s="5">
        <v>3</v>
      </c>
      <c r="G292" s="13"/>
      <c r="H292" s="15">
        <f t="shared" si="60"/>
        <v>3</v>
      </c>
      <c r="I292" s="134">
        <v>2</v>
      </c>
      <c r="J292" s="16">
        <f>I292*H292</f>
        <v>6</v>
      </c>
      <c r="K292" s="7">
        <f t="shared" si="53"/>
        <v>3</v>
      </c>
    </row>
    <row r="293" spans="1:11" x14ac:dyDescent="0.3">
      <c r="A293" s="14" t="s">
        <v>347</v>
      </c>
      <c r="B293" s="14" t="s">
        <v>66</v>
      </c>
      <c r="C293" s="6" t="s">
        <v>376</v>
      </c>
      <c r="D293" s="6" t="s">
        <v>377</v>
      </c>
      <c r="E293" s="6" t="s">
        <v>378</v>
      </c>
      <c r="F293" s="5">
        <v>2</v>
      </c>
      <c r="G293" s="13">
        <v>1.5</v>
      </c>
      <c r="H293" s="15">
        <f t="shared" si="60"/>
        <v>3.5</v>
      </c>
      <c r="I293" s="134">
        <v>2</v>
      </c>
      <c r="J293" s="16">
        <f>I293*H293</f>
        <v>7</v>
      </c>
      <c r="K293" s="7">
        <f t="shared" si="53"/>
        <v>2</v>
      </c>
    </row>
    <row r="294" spans="1:11" x14ac:dyDescent="0.3">
      <c r="A294" s="14" t="s">
        <v>347</v>
      </c>
      <c r="B294" s="14" t="s">
        <v>66</v>
      </c>
      <c r="C294" s="6" t="s">
        <v>274</v>
      </c>
      <c r="D294" s="6" t="s">
        <v>275</v>
      </c>
      <c r="E294" s="6" t="s">
        <v>127</v>
      </c>
      <c r="F294" s="5">
        <v>3</v>
      </c>
      <c r="G294" s="13"/>
      <c r="H294" s="15">
        <f t="shared" si="60"/>
        <v>3</v>
      </c>
      <c r="I294" s="134">
        <v>2</v>
      </c>
      <c r="J294" s="16">
        <f>I294*H294</f>
        <v>6</v>
      </c>
      <c r="K294" s="7">
        <f t="shared" si="53"/>
        <v>3</v>
      </c>
    </row>
    <row r="295" spans="1:11" x14ac:dyDescent="0.3">
      <c r="K295" s="7" t="str">
        <f t="shared" si="53"/>
        <v/>
      </c>
    </row>
    <row r="296" spans="1:11" x14ac:dyDescent="0.3">
      <c r="A296" s="58" t="s">
        <v>379</v>
      </c>
      <c r="D296" s="137"/>
      <c r="K296" s="7" t="str">
        <f t="shared" si="53"/>
        <v/>
      </c>
    </row>
    <row r="297" spans="1:11" x14ac:dyDescent="0.3">
      <c r="A297" s="155" t="s">
        <v>347</v>
      </c>
      <c r="B297" s="155" t="s">
        <v>71</v>
      </c>
      <c r="C297" s="4" t="s">
        <v>380</v>
      </c>
      <c r="D297" s="4" t="s">
        <v>381</v>
      </c>
      <c r="E297" s="4" t="s">
        <v>20</v>
      </c>
      <c r="F297" s="5">
        <v>3</v>
      </c>
      <c r="G297" s="13"/>
      <c r="H297" s="15">
        <f t="shared" ref="H297:H302" si="61">SUM(F297:G297)</f>
        <v>3</v>
      </c>
      <c r="I297" s="134">
        <v>2</v>
      </c>
      <c r="J297" s="16">
        <f t="shared" ref="J297" si="62">I297*H297</f>
        <v>6</v>
      </c>
      <c r="K297" s="7">
        <f t="shared" si="53"/>
        <v>3</v>
      </c>
    </row>
    <row r="298" spans="1:11" x14ac:dyDescent="0.3">
      <c r="A298" s="155" t="s">
        <v>347</v>
      </c>
      <c r="B298" s="155" t="s">
        <v>71</v>
      </c>
      <c r="C298" s="4" t="s">
        <v>382</v>
      </c>
      <c r="D298" s="4" t="s">
        <v>383</v>
      </c>
      <c r="E298" s="4" t="s">
        <v>20</v>
      </c>
      <c r="F298" s="5">
        <v>3</v>
      </c>
      <c r="G298" s="13"/>
      <c r="H298" s="15">
        <f t="shared" si="61"/>
        <v>3</v>
      </c>
      <c r="I298" s="134">
        <v>2</v>
      </c>
      <c r="J298" s="16">
        <f>I298*H298</f>
        <v>6</v>
      </c>
      <c r="K298" s="7">
        <f t="shared" si="53"/>
        <v>3</v>
      </c>
    </row>
    <row r="299" spans="1:11" x14ac:dyDescent="0.3">
      <c r="A299" s="155" t="s">
        <v>347</v>
      </c>
      <c r="B299" s="155" t="s">
        <v>71</v>
      </c>
      <c r="C299" s="4" t="s">
        <v>384</v>
      </c>
      <c r="D299" s="4" t="s">
        <v>280</v>
      </c>
      <c r="E299" s="4" t="s">
        <v>20</v>
      </c>
      <c r="F299" s="5">
        <v>3</v>
      </c>
      <c r="G299" s="13"/>
      <c r="H299" s="15">
        <f t="shared" si="61"/>
        <v>3</v>
      </c>
      <c r="I299" s="134">
        <v>2</v>
      </c>
      <c r="J299" s="16">
        <f>I299*H299</f>
        <v>6</v>
      </c>
      <c r="K299" s="7">
        <f t="shared" si="53"/>
        <v>3</v>
      </c>
    </row>
    <row r="300" spans="1:11" x14ac:dyDescent="0.3">
      <c r="A300" s="155" t="s">
        <v>347</v>
      </c>
      <c r="B300" s="155" t="s">
        <v>71</v>
      </c>
      <c r="C300" s="4" t="s">
        <v>385</v>
      </c>
      <c r="D300" s="4" t="s">
        <v>386</v>
      </c>
      <c r="E300" s="4" t="s">
        <v>20</v>
      </c>
      <c r="F300" s="5">
        <v>3</v>
      </c>
      <c r="G300" s="13"/>
      <c r="H300" s="15">
        <f t="shared" si="61"/>
        <v>3</v>
      </c>
      <c r="I300" s="134">
        <v>2</v>
      </c>
      <c r="J300" s="16">
        <f>I300*H300</f>
        <v>6</v>
      </c>
      <c r="K300" s="7">
        <f t="shared" si="53"/>
        <v>3</v>
      </c>
    </row>
    <row r="301" spans="1:11" x14ac:dyDescent="0.3">
      <c r="A301" s="155" t="s">
        <v>347</v>
      </c>
      <c r="B301" s="155" t="s">
        <v>71</v>
      </c>
      <c r="C301" s="4" t="s">
        <v>167</v>
      </c>
      <c r="D301" s="4" t="s">
        <v>168</v>
      </c>
      <c r="E301" s="101"/>
      <c r="F301" s="5">
        <v>1</v>
      </c>
      <c r="G301" s="13"/>
      <c r="H301" s="15">
        <f t="shared" si="61"/>
        <v>1</v>
      </c>
      <c r="I301" s="134">
        <v>2</v>
      </c>
      <c r="J301" s="16">
        <f>I301*H301</f>
        <v>2</v>
      </c>
      <c r="K301" s="7">
        <f t="shared" si="53"/>
        <v>1</v>
      </c>
    </row>
    <row r="302" spans="1:11" x14ac:dyDescent="0.3">
      <c r="A302" s="155" t="s">
        <v>347</v>
      </c>
      <c r="B302" s="155" t="s">
        <v>71</v>
      </c>
      <c r="C302" s="4" t="s">
        <v>387</v>
      </c>
      <c r="D302" s="4" t="s">
        <v>388</v>
      </c>
      <c r="E302" s="4" t="s">
        <v>20</v>
      </c>
      <c r="F302" s="5">
        <v>3</v>
      </c>
      <c r="G302" s="13"/>
      <c r="H302" s="15">
        <f t="shared" si="61"/>
        <v>3</v>
      </c>
      <c r="I302" s="134">
        <v>2</v>
      </c>
      <c r="J302" s="16">
        <f>I302*H302</f>
        <v>6</v>
      </c>
      <c r="K302" s="7">
        <f t="shared" si="53"/>
        <v>3</v>
      </c>
    </row>
    <row r="303" spans="1:11" x14ac:dyDescent="0.3">
      <c r="K303" s="7" t="str">
        <f t="shared" si="53"/>
        <v/>
      </c>
    </row>
    <row r="304" spans="1:11" x14ac:dyDescent="0.3">
      <c r="A304" s="58" t="s">
        <v>389</v>
      </c>
      <c r="K304" s="7" t="str">
        <f t="shared" si="53"/>
        <v/>
      </c>
    </row>
    <row r="305" spans="1:11" x14ac:dyDescent="0.3">
      <c r="A305" s="8" t="s">
        <v>390</v>
      </c>
      <c r="B305" s="9" t="s">
        <v>59</v>
      </c>
      <c r="C305" s="6" t="s">
        <v>391</v>
      </c>
      <c r="D305" s="6" t="s">
        <v>392</v>
      </c>
      <c r="E305" s="6" t="s">
        <v>378</v>
      </c>
      <c r="F305" s="43">
        <v>6</v>
      </c>
      <c r="G305" s="44"/>
      <c r="H305" s="17">
        <f t="shared" ref="H305:H313" si="63">SUM(F305:G305)</f>
        <v>6</v>
      </c>
      <c r="I305" s="134">
        <f>'2 - Section Count Projection'!$O$83</f>
        <v>0</v>
      </c>
      <c r="J305" s="16">
        <f t="shared" ref="J305:J313" si="64">I305*H305</f>
        <v>0</v>
      </c>
      <c r="K305" s="7" t="str">
        <f t="shared" si="53"/>
        <v/>
      </c>
    </row>
    <row r="306" spans="1:11" x14ac:dyDescent="0.3">
      <c r="A306" s="8" t="s">
        <v>390</v>
      </c>
      <c r="B306" s="9" t="s">
        <v>59</v>
      </c>
      <c r="C306" s="6" t="s">
        <v>121</v>
      </c>
      <c r="D306" s="6" t="s">
        <v>122</v>
      </c>
      <c r="E306" s="101"/>
      <c r="F306" s="43">
        <v>3</v>
      </c>
      <c r="G306" s="44"/>
      <c r="H306" s="17">
        <f t="shared" si="63"/>
        <v>3</v>
      </c>
      <c r="I306" s="134">
        <f>'2 - Section Count Projection'!$O$83</f>
        <v>0</v>
      </c>
      <c r="J306" s="16">
        <f t="shared" si="64"/>
        <v>0</v>
      </c>
      <c r="K306" s="7" t="str">
        <f t="shared" si="53"/>
        <v/>
      </c>
    </row>
    <row r="307" spans="1:11" x14ac:dyDescent="0.3">
      <c r="A307" s="8" t="s">
        <v>390</v>
      </c>
      <c r="B307" s="9" t="s">
        <v>59</v>
      </c>
      <c r="C307" s="6" t="s">
        <v>123</v>
      </c>
      <c r="D307" s="6" t="s">
        <v>124</v>
      </c>
      <c r="E307" s="101"/>
      <c r="F307" s="43">
        <v>1</v>
      </c>
      <c r="G307" s="44"/>
      <c r="H307" s="17">
        <f t="shared" si="63"/>
        <v>1</v>
      </c>
      <c r="I307" s="134">
        <f>'2 - Section Count Projection'!$O$83</f>
        <v>0</v>
      </c>
      <c r="J307" s="16">
        <f t="shared" si="64"/>
        <v>0</v>
      </c>
      <c r="K307" s="7" t="str">
        <f t="shared" si="53"/>
        <v/>
      </c>
    </row>
    <row r="308" spans="1:11" x14ac:dyDescent="0.3">
      <c r="A308" s="8" t="s">
        <v>390</v>
      </c>
      <c r="B308" s="9" t="s">
        <v>59</v>
      </c>
      <c r="C308" s="6" t="s">
        <v>132</v>
      </c>
      <c r="D308" s="6" t="s">
        <v>133</v>
      </c>
      <c r="E308" s="227"/>
      <c r="F308" s="43">
        <v>3</v>
      </c>
      <c r="G308" s="44"/>
      <c r="H308" s="17">
        <f t="shared" si="63"/>
        <v>3</v>
      </c>
      <c r="I308" s="134">
        <f>'2 - Section Count Projection'!$O$83</f>
        <v>0</v>
      </c>
      <c r="J308" s="16">
        <f t="shared" si="64"/>
        <v>0</v>
      </c>
      <c r="K308" s="7" t="str">
        <f t="shared" si="53"/>
        <v/>
      </c>
    </row>
    <row r="309" spans="1:11" x14ac:dyDescent="0.3">
      <c r="A309" s="8" t="s">
        <v>390</v>
      </c>
      <c r="B309" s="9" t="s">
        <v>59</v>
      </c>
      <c r="C309" s="6" t="s">
        <v>128</v>
      </c>
      <c r="D309" s="6" t="s">
        <v>129</v>
      </c>
      <c r="E309" s="101"/>
      <c r="F309" s="43">
        <v>3</v>
      </c>
      <c r="G309" s="44"/>
      <c r="H309" s="17">
        <f t="shared" si="63"/>
        <v>3</v>
      </c>
      <c r="I309" s="134">
        <f>'2 - Section Count Projection'!$O$83</f>
        <v>0</v>
      </c>
      <c r="J309" s="16">
        <f t="shared" si="64"/>
        <v>0</v>
      </c>
      <c r="K309" s="7" t="str">
        <f t="shared" si="53"/>
        <v/>
      </c>
    </row>
    <row r="310" spans="1:11" x14ac:dyDescent="0.3">
      <c r="A310" s="8" t="s">
        <v>390</v>
      </c>
      <c r="B310" s="9" t="s">
        <v>59</v>
      </c>
      <c r="C310" s="6" t="s">
        <v>130</v>
      </c>
      <c r="D310" s="6" t="s">
        <v>131</v>
      </c>
      <c r="E310" s="6" t="s">
        <v>38</v>
      </c>
      <c r="F310" s="43">
        <v>2</v>
      </c>
      <c r="G310" s="44"/>
      <c r="H310" s="17">
        <f t="shared" si="63"/>
        <v>2</v>
      </c>
      <c r="I310" s="134">
        <f>'2 - Section Count Projection'!$O$83</f>
        <v>0</v>
      </c>
      <c r="J310" s="16">
        <f t="shared" si="64"/>
        <v>0</v>
      </c>
      <c r="K310" s="7" t="str">
        <f t="shared" si="53"/>
        <v/>
      </c>
    </row>
    <row r="311" spans="1:11" x14ac:dyDescent="0.3">
      <c r="A311" s="8" t="s">
        <v>390</v>
      </c>
      <c r="B311" s="9" t="s">
        <v>59</v>
      </c>
      <c r="C311" s="6" t="s">
        <v>139</v>
      </c>
      <c r="D311" s="6" t="s">
        <v>140</v>
      </c>
      <c r="E311" s="6" t="s">
        <v>141</v>
      </c>
      <c r="F311" s="43">
        <v>3</v>
      </c>
      <c r="G311" s="44"/>
      <c r="H311" s="17">
        <f t="shared" si="63"/>
        <v>3</v>
      </c>
      <c r="I311" s="134">
        <f>'2 - Section Count Projection'!$O$83</f>
        <v>0</v>
      </c>
      <c r="J311" s="16">
        <f t="shared" si="64"/>
        <v>0</v>
      </c>
      <c r="K311" s="7" t="str">
        <f t="shared" si="53"/>
        <v/>
      </c>
    </row>
    <row r="312" spans="1:11" x14ac:dyDescent="0.3">
      <c r="A312" s="8" t="s">
        <v>390</v>
      </c>
      <c r="B312" s="9" t="s">
        <v>59</v>
      </c>
      <c r="C312" s="6" t="s">
        <v>393</v>
      </c>
      <c r="D312" s="6" t="s">
        <v>394</v>
      </c>
      <c r="E312" s="101"/>
      <c r="F312" s="43">
        <v>3</v>
      </c>
      <c r="G312" s="44"/>
      <c r="H312" s="17">
        <f t="shared" si="63"/>
        <v>3</v>
      </c>
      <c r="I312" s="134">
        <f>'2 - Section Count Projection'!$O$83</f>
        <v>0</v>
      </c>
      <c r="J312" s="16">
        <f t="shared" si="64"/>
        <v>0</v>
      </c>
      <c r="K312" s="7" t="str">
        <f t="shared" si="53"/>
        <v/>
      </c>
    </row>
    <row r="313" spans="1:11" x14ac:dyDescent="0.3">
      <c r="A313" s="8" t="s">
        <v>390</v>
      </c>
      <c r="B313" s="9" t="s">
        <v>59</v>
      </c>
      <c r="C313" s="6" t="s">
        <v>134</v>
      </c>
      <c r="D313" s="6" t="s">
        <v>135</v>
      </c>
      <c r="E313" s="6" t="s">
        <v>141</v>
      </c>
      <c r="F313" s="43">
        <v>3</v>
      </c>
      <c r="G313" s="44"/>
      <c r="H313" s="17">
        <f t="shared" si="63"/>
        <v>3</v>
      </c>
      <c r="I313" s="134">
        <f>'2 - Section Count Projection'!$O$83</f>
        <v>0</v>
      </c>
      <c r="J313" s="16">
        <f t="shared" si="64"/>
        <v>0</v>
      </c>
      <c r="K313" s="7" t="str">
        <f t="shared" si="53"/>
        <v/>
      </c>
    </row>
    <row r="314" spans="1:11" x14ac:dyDescent="0.3">
      <c r="A314" s="7"/>
      <c r="K314" s="7" t="str">
        <f t="shared" si="53"/>
        <v/>
      </c>
    </row>
    <row r="315" spans="1:11" x14ac:dyDescent="0.3">
      <c r="A315" s="58" t="s">
        <v>395</v>
      </c>
      <c r="K315" s="7" t="str">
        <f t="shared" si="53"/>
        <v/>
      </c>
    </row>
    <row r="316" spans="1:11" x14ac:dyDescent="0.3">
      <c r="A316" s="8" t="s">
        <v>390</v>
      </c>
      <c r="B316" s="9" t="s">
        <v>62</v>
      </c>
      <c r="C316" s="6" t="s">
        <v>396</v>
      </c>
      <c r="D316" s="6" t="s">
        <v>397</v>
      </c>
      <c r="E316" s="6" t="s">
        <v>398</v>
      </c>
      <c r="F316" s="52">
        <v>3</v>
      </c>
      <c r="G316" s="52"/>
      <c r="H316" s="15">
        <f>SUM(F316:G316)</f>
        <v>3</v>
      </c>
      <c r="I316" s="134">
        <f>'2 - Section Count Projection'!$O$85</f>
        <v>0</v>
      </c>
      <c r="J316" s="16">
        <f>I316*H316</f>
        <v>0</v>
      </c>
      <c r="K316" s="7" t="str">
        <f t="shared" si="53"/>
        <v/>
      </c>
    </row>
    <row r="317" spans="1:11" x14ac:dyDescent="0.3">
      <c r="A317" s="8" t="s">
        <v>390</v>
      </c>
      <c r="B317" s="9" t="s">
        <v>62</v>
      </c>
      <c r="C317" s="6" t="s">
        <v>274</v>
      </c>
      <c r="D317" s="6" t="s">
        <v>275</v>
      </c>
      <c r="E317" s="6" t="s">
        <v>127</v>
      </c>
      <c r="F317" s="52">
        <v>3</v>
      </c>
      <c r="G317" s="52"/>
      <c r="H317" s="15">
        <f t="shared" ref="H317:H324" si="65">SUM(F317:G317)</f>
        <v>3</v>
      </c>
      <c r="I317" s="134">
        <f>'2 - Section Count Projection'!$O$85</f>
        <v>0</v>
      </c>
      <c r="J317" s="16">
        <f t="shared" ref="J317:J324" si="66">I317*H317</f>
        <v>0</v>
      </c>
      <c r="K317" s="7" t="str">
        <f t="shared" si="53"/>
        <v/>
      </c>
    </row>
    <row r="318" spans="1:11" x14ac:dyDescent="0.3">
      <c r="A318" s="8" t="s">
        <v>390</v>
      </c>
      <c r="B318" s="9" t="s">
        <v>62</v>
      </c>
      <c r="C318" s="6" t="s">
        <v>399</v>
      </c>
      <c r="D318" s="6" t="s">
        <v>400</v>
      </c>
      <c r="E318" s="6" t="s">
        <v>378</v>
      </c>
      <c r="F318" s="52">
        <v>3</v>
      </c>
      <c r="G318" s="52"/>
      <c r="H318" s="15">
        <f t="shared" si="65"/>
        <v>3</v>
      </c>
      <c r="I318" s="134">
        <f>'2 - Section Count Projection'!$O$85</f>
        <v>0</v>
      </c>
      <c r="J318" s="16">
        <f t="shared" si="66"/>
        <v>0</v>
      </c>
      <c r="K318" s="7" t="str">
        <f t="shared" si="53"/>
        <v/>
      </c>
    </row>
    <row r="319" spans="1:11" x14ac:dyDescent="0.3">
      <c r="A319" s="8" t="s">
        <v>390</v>
      </c>
      <c r="B319" s="9" t="s">
        <v>62</v>
      </c>
      <c r="C319" s="6" t="s">
        <v>401</v>
      </c>
      <c r="D319" s="6" t="s">
        <v>402</v>
      </c>
      <c r="E319" s="6" t="s">
        <v>34</v>
      </c>
      <c r="F319" s="52">
        <v>2</v>
      </c>
      <c r="G319" s="52">
        <v>1.5</v>
      </c>
      <c r="H319" s="15">
        <f t="shared" si="65"/>
        <v>3.5</v>
      </c>
      <c r="I319" s="134">
        <f>'2 - Section Count Projection'!$O$85</f>
        <v>0</v>
      </c>
      <c r="J319" s="16">
        <f t="shared" si="66"/>
        <v>0</v>
      </c>
      <c r="K319" s="7" t="str">
        <f t="shared" si="53"/>
        <v/>
      </c>
    </row>
    <row r="320" spans="1:11" x14ac:dyDescent="0.3">
      <c r="A320" s="8" t="s">
        <v>390</v>
      </c>
      <c r="B320" s="9" t="s">
        <v>62</v>
      </c>
      <c r="C320" s="6" t="s">
        <v>403</v>
      </c>
      <c r="D320" s="6" t="s">
        <v>404</v>
      </c>
      <c r="E320" s="6" t="s">
        <v>20</v>
      </c>
      <c r="F320" s="52">
        <v>3</v>
      </c>
      <c r="G320" s="52"/>
      <c r="H320" s="15">
        <f t="shared" si="65"/>
        <v>3</v>
      </c>
      <c r="I320" s="134">
        <f>'2 - Section Count Projection'!$O$85</f>
        <v>0</v>
      </c>
      <c r="J320" s="16">
        <f t="shared" si="66"/>
        <v>0</v>
      </c>
      <c r="K320" s="7" t="str">
        <f t="shared" si="53"/>
        <v/>
      </c>
    </row>
    <row r="321" spans="1:11" x14ac:dyDescent="0.3">
      <c r="A321" s="8" t="s">
        <v>390</v>
      </c>
      <c r="B321" s="9" t="s">
        <v>62</v>
      </c>
      <c r="C321" s="6" t="s">
        <v>405</v>
      </c>
      <c r="D321" s="6" t="s">
        <v>406</v>
      </c>
      <c r="E321" s="6" t="s">
        <v>20</v>
      </c>
      <c r="F321" s="52">
        <v>3</v>
      </c>
      <c r="G321" s="52"/>
      <c r="H321" s="15">
        <f t="shared" si="65"/>
        <v>3</v>
      </c>
      <c r="I321" s="134">
        <f>'2 - Section Count Projection'!$O$85</f>
        <v>0</v>
      </c>
      <c r="J321" s="16">
        <f t="shared" si="66"/>
        <v>0</v>
      </c>
      <c r="K321" s="7" t="str">
        <f t="shared" si="53"/>
        <v/>
      </c>
    </row>
    <row r="322" spans="1:11" x14ac:dyDescent="0.3">
      <c r="A322" s="8" t="s">
        <v>390</v>
      </c>
      <c r="B322" s="9" t="s">
        <v>62</v>
      </c>
      <c r="C322" s="6" t="s">
        <v>144</v>
      </c>
      <c r="D322" s="6" t="s">
        <v>145</v>
      </c>
      <c r="E322" s="6" t="s">
        <v>141</v>
      </c>
      <c r="F322" s="52">
        <v>3</v>
      </c>
      <c r="G322" s="52"/>
      <c r="H322" s="15">
        <f t="shared" si="65"/>
        <v>3</v>
      </c>
      <c r="I322" s="134">
        <f>'2 - Section Count Projection'!$O$85</f>
        <v>0</v>
      </c>
      <c r="J322" s="16">
        <f t="shared" si="66"/>
        <v>0</v>
      </c>
      <c r="K322" s="7" t="str">
        <f t="shared" si="53"/>
        <v/>
      </c>
    </row>
    <row r="323" spans="1:11" x14ac:dyDescent="0.3">
      <c r="A323" s="8" t="s">
        <v>390</v>
      </c>
      <c r="B323" s="9" t="s">
        <v>62</v>
      </c>
      <c r="C323" s="6" t="s">
        <v>217</v>
      </c>
      <c r="D323" s="6" t="s">
        <v>218</v>
      </c>
      <c r="E323" s="6" t="s">
        <v>36</v>
      </c>
      <c r="F323" s="52">
        <v>3</v>
      </c>
      <c r="G323" s="52"/>
      <c r="H323" s="15">
        <f t="shared" si="65"/>
        <v>3</v>
      </c>
      <c r="I323" s="134">
        <f>'2 - Section Count Projection'!$O$85</f>
        <v>0</v>
      </c>
      <c r="J323" s="16">
        <f t="shared" si="66"/>
        <v>0</v>
      </c>
      <c r="K323" s="7" t="str">
        <f t="shared" si="53"/>
        <v/>
      </c>
    </row>
    <row r="324" spans="1:11" x14ac:dyDescent="0.3">
      <c r="A324" s="8" t="s">
        <v>390</v>
      </c>
      <c r="B324" s="9" t="s">
        <v>62</v>
      </c>
      <c r="C324" s="6" t="s">
        <v>365</v>
      </c>
      <c r="D324" s="6" t="s">
        <v>143</v>
      </c>
      <c r="E324" s="6" t="s">
        <v>38</v>
      </c>
      <c r="F324" s="52">
        <v>2</v>
      </c>
      <c r="G324" s="52"/>
      <c r="H324" s="15">
        <f t="shared" si="65"/>
        <v>2</v>
      </c>
      <c r="I324" s="134">
        <f>'2 - Section Count Projection'!$O$85</f>
        <v>0</v>
      </c>
      <c r="J324" s="16">
        <f t="shared" si="66"/>
        <v>0</v>
      </c>
      <c r="K324" s="7" t="str">
        <f t="shared" ref="K324:K387" si="67">IF(I324&gt;0,F324,"")</f>
        <v/>
      </c>
    </row>
    <row r="325" spans="1:11" x14ac:dyDescent="0.3">
      <c r="K325" s="7" t="str">
        <f t="shared" si="67"/>
        <v/>
      </c>
    </row>
    <row r="326" spans="1:11" x14ac:dyDescent="0.3">
      <c r="A326" s="58" t="s">
        <v>395</v>
      </c>
      <c r="K326" s="7" t="str">
        <f t="shared" si="67"/>
        <v/>
      </c>
    </row>
    <row r="327" spans="1:11" x14ac:dyDescent="0.3">
      <c r="A327" s="8" t="s">
        <v>390</v>
      </c>
      <c r="B327" s="9" t="s">
        <v>66</v>
      </c>
      <c r="C327" s="6" t="s">
        <v>407</v>
      </c>
      <c r="D327" s="6" t="s">
        <v>408</v>
      </c>
      <c r="E327" s="6" t="s">
        <v>378</v>
      </c>
      <c r="F327" s="52">
        <v>3</v>
      </c>
      <c r="G327" s="52"/>
      <c r="H327" s="17">
        <f>SUM(F327:G327)</f>
        <v>3</v>
      </c>
      <c r="I327" s="134">
        <f>'2 - Section Count Projection'!$O$87</f>
        <v>0</v>
      </c>
      <c r="J327" s="16">
        <f>I327*H327</f>
        <v>0</v>
      </c>
      <c r="K327" s="7" t="str">
        <f t="shared" si="67"/>
        <v/>
      </c>
    </row>
    <row r="328" spans="1:11" x14ac:dyDescent="0.3">
      <c r="A328" s="8" t="s">
        <v>390</v>
      </c>
      <c r="B328" s="9" t="s">
        <v>66</v>
      </c>
      <c r="C328" s="6" t="s">
        <v>409</v>
      </c>
      <c r="D328" s="6" t="s">
        <v>410</v>
      </c>
      <c r="E328" s="6" t="s">
        <v>20</v>
      </c>
      <c r="F328" s="52">
        <v>3</v>
      </c>
      <c r="G328" s="52"/>
      <c r="H328" s="17">
        <f t="shared" ref="H328:H333" si="68">SUM(F328:G328)</f>
        <v>3</v>
      </c>
      <c r="I328" s="134">
        <f>'2 - Section Count Projection'!$O$87</f>
        <v>0</v>
      </c>
      <c r="J328" s="16">
        <f t="shared" ref="J328:J333" si="69">I328*H328</f>
        <v>0</v>
      </c>
      <c r="K328" s="7" t="str">
        <f t="shared" si="67"/>
        <v/>
      </c>
    </row>
    <row r="329" spans="1:11" x14ac:dyDescent="0.3">
      <c r="A329" s="8" t="s">
        <v>390</v>
      </c>
      <c r="B329" s="9" t="s">
        <v>66</v>
      </c>
      <c r="C329" s="6" t="s">
        <v>411</v>
      </c>
      <c r="D329" s="6" t="s">
        <v>412</v>
      </c>
      <c r="E329" s="6" t="s">
        <v>20</v>
      </c>
      <c r="F329" s="52">
        <v>3</v>
      </c>
      <c r="G329" s="52"/>
      <c r="H329" s="17">
        <f t="shared" si="68"/>
        <v>3</v>
      </c>
      <c r="I329" s="134">
        <f>'2 - Section Count Projection'!$O$87</f>
        <v>0</v>
      </c>
      <c r="J329" s="16">
        <f t="shared" si="69"/>
        <v>0</v>
      </c>
      <c r="K329" s="7" t="str">
        <f t="shared" si="67"/>
        <v/>
      </c>
    </row>
    <row r="330" spans="1:11" x14ac:dyDescent="0.3">
      <c r="A330" s="8" t="s">
        <v>390</v>
      </c>
      <c r="B330" s="9" t="s">
        <v>66</v>
      </c>
      <c r="C330" s="4" t="s">
        <v>413</v>
      </c>
      <c r="D330" s="4" t="s">
        <v>414</v>
      </c>
      <c r="E330" s="6" t="s">
        <v>20</v>
      </c>
      <c r="F330" s="52">
        <v>3</v>
      </c>
      <c r="G330" s="52"/>
      <c r="H330" s="17">
        <f t="shared" si="68"/>
        <v>3</v>
      </c>
      <c r="I330" s="134">
        <f>'2 - Section Count Projection'!$O$87</f>
        <v>0</v>
      </c>
      <c r="J330" s="16">
        <f t="shared" si="69"/>
        <v>0</v>
      </c>
      <c r="K330" s="7" t="str">
        <f t="shared" si="67"/>
        <v/>
      </c>
    </row>
    <row r="331" spans="1:11" x14ac:dyDescent="0.3">
      <c r="A331" s="8" t="s">
        <v>390</v>
      </c>
      <c r="B331" s="9" t="s">
        <v>66</v>
      </c>
      <c r="C331" s="4" t="s">
        <v>415</v>
      </c>
      <c r="D331" s="4" t="s">
        <v>416</v>
      </c>
      <c r="E331" s="6" t="s">
        <v>378</v>
      </c>
      <c r="F331" s="52">
        <v>2</v>
      </c>
      <c r="G331" s="52">
        <v>1.5</v>
      </c>
      <c r="H331" s="17">
        <f t="shared" si="68"/>
        <v>3.5</v>
      </c>
      <c r="I331" s="134">
        <f>'2 - Section Count Projection'!$O$87</f>
        <v>0</v>
      </c>
      <c r="J331" s="16">
        <f t="shared" si="69"/>
        <v>0</v>
      </c>
      <c r="K331" s="7" t="str">
        <f t="shared" si="67"/>
        <v/>
      </c>
    </row>
    <row r="332" spans="1:11" x14ac:dyDescent="0.3">
      <c r="A332" s="8" t="s">
        <v>390</v>
      </c>
      <c r="B332" s="9" t="s">
        <v>66</v>
      </c>
      <c r="C332" s="4" t="s">
        <v>374</v>
      </c>
      <c r="D332" s="4" t="s">
        <v>375</v>
      </c>
      <c r="E332" s="6" t="s">
        <v>20</v>
      </c>
      <c r="F332" s="52">
        <v>3</v>
      </c>
      <c r="G332" s="52"/>
      <c r="H332" s="17">
        <f t="shared" si="68"/>
        <v>3</v>
      </c>
      <c r="I332" s="134">
        <f>'2 - Section Count Projection'!$O$87</f>
        <v>0</v>
      </c>
      <c r="J332" s="16">
        <f t="shared" si="69"/>
        <v>0</v>
      </c>
      <c r="K332" s="7" t="str">
        <f t="shared" si="67"/>
        <v/>
      </c>
    </row>
    <row r="333" spans="1:11" x14ac:dyDescent="0.3">
      <c r="A333" s="62" t="s">
        <v>390</v>
      </c>
      <c r="B333" s="61" t="s">
        <v>66</v>
      </c>
      <c r="C333" s="4" t="s">
        <v>417</v>
      </c>
      <c r="D333" s="4" t="s">
        <v>418</v>
      </c>
      <c r="E333" s="101"/>
      <c r="F333" s="53">
        <v>2</v>
      </c>
      <c r="G333" s="53">
        <v>1.5</v>
      </c>
      <c r="H333" s="142">
        <f t="shared" si="68"/>
        <v>3.5</v>
      </c>
      <c r="I333" s="135">
        <f>'2 - Section Count Projection'!$O$87</f>
        <v>0</v>
      </c>
      <c r="J333" s="140">
        <f t="shared" si="69"/>
        <v>0</v>
      </c>
      <c r="K333" s="7" t="str">
        <f t="shared" si="67"/>
        <v/>
      </c>
    </row>
    <row r="334" spans="1:11" x14ac:dyDescent="0.3">
      <c r="A334" s="8" t="s">
        <v>390</v>
      </c>
      <c r="B334" s="9" t="s">
        <v>66</v>
      </c>
      <c r="C334" s="4" t="s">
        <v>419</v>
      </c>
      <c r="D334" s="4" t="s">
        <v>420</v>
      </c>
      <c r="E334" s="6" t="s">
        <v>34</v>
      </c>
      <c r="F334" s="52">
        <v>2</v>
      </c>
      <c r="G334" s="52">
        <v>1.5</v>
      </c>
      <c r="H334" s="17">
        <f>SUM(F334:G334)</f>
        <v>3.5</v>
      </c>
      <c r="I334" s="134">
        <f>'2 - Section Count Projection'!$O$87</f>
        <v>0</v>
      </c>
      <c r="J334" s="16">
        <f>I334*H334</f>
        <v>0</v>
      </c>
      <c r="K334" s="7" t="str">
        <f t="shared" si="67"/>
        <v/>
      </c>
    </row>
    <row r="335" spans="1:11" x14ac:dyDescent="0.3">
      <c r="K335" s="7" t="str">
        <f t="shared" si="67"/>
        <v/>
      </c>
    </row>
    <row r="336" spans="1:11" x14ac:dyDescent="0.3">
      <c r="A336" s="58" t="s">
        <v>421</v>
      </c>
      <c r="K336" s="7" t="str">
        <f t="shared" si="67"/>
        <v/>
      </c>
    </row>
    <row r="337" spans="1:11" x14ac:dyDescent="0.3">
      <c r="A337" s="156" t="s">
        <v>390</v>
      </c>
      <c r="B337" s="153" t="s">
        <v>71</v>
      </c>
      <c r="C337" s="4" t="s">
        <v>422</v>
      </c>
      <c r="D337" s="4" t="s">
        <v>423</v>
      </c>
      <c r="E337" s="4" t="s">
        <v>20</v>
      </c>
      <c r="F337" s="5">
        <v>3</v>
      </c>
      <c r="G337" s="5"/>
      <c r="H337" s="157">
        <f>SUM(F337:G337)</f>
        <v>3</v>
      </c>
      <c r="I337" s="134">
        <f>'2 - Section Count Projection'!$O$89</f>
        <v>0</v>
      </c>
      <c r="J337" s="16">
        <f>I337*H337</f>
        <v>0</v>
      </c>
      <c r="K337" s="7" t="str">
        <f t="shared" si="67"/>
        <v/>
      </c>
    </row>
    <row r="338" spans="1:11" x14ac:dyDescent="0.3">
      <c r="A338" s="156" t="s">
        <v>390</v>
      </c>
      <c r="B338" s="153" t="s">
        <v>71</v>
      </c>
      <c r="C338" s="4" t="s">
        <v>424</v>
      </c>
      <c r="D338" s="4" t="s">
        <v>425</v>
      </c>
      <c r="E338" s="4" t="s">
        <v>20</v>
      </c>
      <c r="F338" s="5">
        <v>3</v>
      </c>
      <c r="G338" s="5"/>
      <c r="H338" s="157">
        <f t="shared" ref="H338:H343" si="70">SUM(F338:G338)</f>
        <v>3</v>
      </c>
      <c r="I338" s="134">
        <f>'2 - Section Count Projection'!$O$89</f>
        <v>0</v>
      </c>
      <c r="J338" s="16">
        <f t="shared" ref="J338:J343" si="71">I338*H338</f>
        <v>0</v>
      </c>
      <c r="K338" s="7" t="str">
        <f t="shared" si="67"/>
        <v/>
      </c>
    </row>
    <row r="339" spans="1:11" x14ac:dyDescent="0.3">
      <c r="A339" s="156" t="s">
        <v>390</v>
      </c>
      <c r="B339" s="153" t="s">
        <v>71</v>
      </c>
      <c r="C339" s="4" t="s">
        <v>426</v>
      </c>
      <c r="D339" s="4" t="s">
        <v>427</v>
      </c>
      <c r="E339" s="4" t="s">
        <v>20</v>
      </c>
      <c r="F339" s="5">
        <v>3</v>
      </c>
      <c r="G339" s="5"/>
      <c r="H339" s="157">
        <f t="shared" si="70"/>
        <v>3</v>
      </c>
      <c r="I339" s="134">
        <f>'2 - Section Count Projection'!$O$89</f>
        <v>0</v>
      </c>
      <c r="J339" s="16">
        <f t="shared" si="71"/>
        <v>0</v>
      </c>
      <c r="K339" s="7" t="str">
        <f t="shared" si="67"/>
        <v/>
      </c>
    </row>
    <row r="340" spans="1:11" ht="16.5" customHeight="1" x14ac:dyDescent="0.3">
      <c r="A340" s="156" t="s">
        <v>390</v>
      </c>
      <c r="B340" s="153" t="s">
        <v>71</v>
      </c>
      <c r="C340" s="4" t="s">
        <v>428</v>
      </c>
      <c r="D340" s="4" t="s">
        <v>429</v>
      </c>
      <c r="E340" s="4" t="s">
        <v>378</v>
      </c>
      <c r="F340" s="5">
        <v>2</v>
      </c>
      <c r="G340" s="5">
        <v>1.5</v>
      </c>
      <c r="H340" s="157">
        <f t="shared" si="70"/>
        <v>3.5</v>
      </c>
      <c r="I340" s="134">
        <f>'2 - Section Count Projection'!$O$89</f>
        <v>0</v>
      </c>
      <c r="J340" s="16">
        <f t="shared" si="71"/>
        <v>0</v>
      </c>
      <c r="K340" s="7" t="str">
        <f t="shared" si="67"/>
        <v/>
      </c>
    </row>
    <row r="341" spans="1:11" x14ac:dyDescent="0.3">
      <c r="A341" s="156" t="s">
        <v>390</v>
      </c>
      <c r="B341" s="153" t="s">
        <v>71</v>
      </c>
      <c r="C341" s="4" t="s">
        <v>430</v>
      </c>
      <c r="D341" s="4" t="s">
        <v>431</v>
      </c>
      <c r="E341" s="4" t="s">
        <v>20</v>
      </c>
      <c r="F341" s="5">
        <v>3</v>
      </c>
      <c r="G341" s="5"/>
      <c r="H341" s="157">
        <f t="shared" si="70"/>
        <v>3</v>
      </c>
      <c r="I341" s="134">
        <f>'2 - Section Count Projection'!$O$89</f>
        <v>0</v>
      </c>
      <c r="J341" s="16">
        <f t="shared" si="71"/>
        <v>0</v>
      </c>
      <c r="K341" s="7" t="str">
        <f t="shared" si="67"/>
        <v/>
      </c>
    </row>
    <row r="342" spans="1:11" x14ac:dyDescent="0.3">
      <c r="A342" s="156" t="s">
        <v>390</v>
      </c>
      <c r="B342" s="153" t="s">
        <v>71</v>
      </c>
      <c r="C342" s="4" t="s">
        <v>432</v>
      </c>
      <c r="D342" s="4" t="s">
        <v>433</v>
      </c>
      <c r="E342" s="4" t="s">
        <v>378</v>
      </c>
      <c r="F342" s="5">
        <v>3</v>
      </c>
      <c r="G342" s="5"/>
      <c r="H342" s="157">
        <f t="shared" si="70"/>
        <v>3</v>
      </c>
      <c r="I342" s="134">
        <f>'2 - Section Count Projection'!$O$89</f>
        <v>0</v>
      </c>
      <c r="J342" s="16">
        <f t="shared" si="71"/>
        <v>0</v>
      </c>
      <c r="K342" s="7" t="str">
        <f t="shared" si="67"/>
        <v/>
      </c>
    </row>
    <row r="343" spans="1:11" x14ac:dyDescent="0.3">
      <c r="A343" s="158" t="s">
        <v>390</v>
      </c>
      <c r="B343" s="153" t="s">
        <v>71</v>
      </c>
      <c r="C343" s="4" t="s">
        <v>167</v>
      </c>
      <c r="D343" s="4" t="s">
        <v>168</v>
      </c>
      <c r="E343" s="101"/>
      <c r="F343" s="159">
        <v>1</v>
      </c>
      <c r="G343" s="159"/>
      <c r="H343" s="160">
        <f t="shared" si="70"/>
        <v>1</v>
      </c>
      <c r="I343" s="134">
        <f>'2 - Section Count Projection'!$O$89</f>
        <v>0</v>
      </c>
      <c r="J343" s="140">
        <f t="shared" si="71"/>
        <v>0</v>
      </c>
      <c r="K343" s="7" t="str">
        <f t="shared" si="67"/>
        <v/>
      </c>
    </row>
    <row r="344" spans="1:11" x14ac:dyDescent="0.3">
      <c r="A344" s="156" t="s">
        <v>390</v>
      </c>
      <c r="B344" s="153" t="s">
        <v>71</v>
      </c>
      <c r="C344" s="4" t="s">
        <v>434</v>
      </c>
      <c r="D344" s="4" t="s">
        <v>435</v>
      </c>
      <c r="E344" s="6" t="s">
        <v>34</v>
      </c>
      <c r="F344" s="5">
        <v>2</v>
      </c>
      <c r="G344" s="5">
        <v>1.5</v>
      </c>
      <c r="H344" s="157">
        <f>SUM(F344:G344)</f>
        <v>3.5</v>
      </c>
      <c r="I344" s="134">
        <f>'2 - Section Count Projection'!$O$89</f>
        <v>0</v>
      </c>
      <c r="J344" s="16">
        <f>I344*H344</f>
        <v>0</v>
      </c>
      <c r="K344" s="7" t="str">
        <f t="shared" si="67"/>
        <v/>
      </c>
    </row>
    <row r="345" spans="1:11" x14ac:dyDescent="0.3">
      <c r="A345" s="161"/>
      <c r="B345" s="162"/>
      <c r="C345" s="151"/>
      <c r="D345" s="151"/>
      <c r="E345" s="151"/>
      <c r="F345" s="163"/>
      <c r="G345" s="163"/>
      <c r="H345" s="164"/>
      <c r="I345" s="152"/>
      <c r="J345" s="100"/>
      <c r="K345" s="7" t="str">
        <f t="shared" si="67"/>
        <v/>
      </c>
    </row>
    <row r="346" spans="1:11" x14ac:dyDescent="0.3">
      <c r="A346" s="58" t="s">
        <v>436</v>
      </c>
      <c r="K346" s="7" t="str">
        <f t="shared" si="67"/>
        <v/>
      </c>
    </row>
    <row r="347" spans="1:11" x14ac:dyDescent="0.3">
      <c r="A347" s="8" t="s">
        <v>437</v>
      </c>
      <c r="B347" s="9" t="s">
        <v>59</v>
      </c>
      <c r="C347" s="148" t="s">
        <v>391</v>
      </c>
      <c r="D347" s="4" t="s">
        <v>392</v>
      </c>
      <c r="E347" s="6" t="s">
        <v>378</v>
      </c>
      <c r="F347" s="52">
        <v>6</v>
      </c>
      <c r="G347" s="52"/>
      <c r="H347" s="17">
        <f>SUM(F347:G347)</f>
        <v>6</v>
      </c>
      <c r="I347" s="134">
        <v>1</v>
      </c>
      <c r="J347" s="16">
        <f>I347*H347</f>
        <v>6</v>
      </c>
      <c r="K347" s="7">
        <f t="shared" si="67"/>
        <v>6</v>
      </c>
    </row>
    <row r="348" spans="1:11" x14ac:dyDescent="0.3">
      <c r="A348" s="8" t="s">
        <v>437</v>
      </c>
      <c r="B348" s="9" t="s">
        <v>59</v>
      </c>
      <c r="C348" s="148" t="s">
        <v>121</v>
      </c>
      <c r="D348" s="4" t="s">
        <v>122</v>
      </c>
      <c r="E348" s="101"/>
      <c r="F348" s="52">
        <v>3</v>
      </c>
      <c r="G348" s="52"/>
      <c r="H348" s="17">
        <f t="shared" ref="H348:H355" si="72">SUM(F348:G348)</f>
        <v>3</v>
      </c>
      <c r="I348" s="134">
        <v>1</v>
      </c>
      <c r="J348" s="16">
        <f t="shared" ref="J348:J355" si="73">I348*H348</f>
        <v>3</v>
      </c>
      <c r="K348" s="7">
        <f t="shared" si="67"/>
        <v>3</v>
      </c>
    </row>
    <row r="349" spans="1:11" x14ac:dyDescent="0.3">
      <c r="A349" s="8" t="s">
        <v>437</v>
      </c>
      <c r="B349" s="9" t="s">
        <v>59</v>
      </c>
      <c r="C349" s="148" t="s">
        <v>123</v>
      </c>
      <c r="D349" s="4" t="s">
        <v>124</v>
      </c>
      <c r="E349" s="101"/>
      <c r="F349" s="52">
        <v>1</v>
      </c>
      <c r="G349" s="52"/>
      <c r="H349" s="17">
        <f t="shared" si="72"/>
        <v>1</v>
      </c>
      <c r="I349" s="134">
        <v>1</v>
      </c>
      <c r="J349" s="16">
        <f t="shared" si="73"/>
        <v>1</v>
      </c>
      <c r="K349" s="7">
        <f t="shared" si="67"/>
        <v>1</v>
      </c>
    </row>
    <row r="350" spans="1:11" x14ac:dyDescent="0.3">
      <c r="A350" s="8" t="s">
        <v>437</v>
      </c>
      <c r="B350" s="9" t="s">
        <v>59</v>
      </c>
      <c r="C350" s="148" t="s">
        <v>132</v>
      </c>
      <c r="D350" s="4" t="s">
        <v>133</v>
      </c>
      <c r="E350" s="227"/>
      <c r="F350" s="52">
        <v>3</v>
      </c>
      <c r="G350" s="52"/>
      <c r="H350" s="17">
        <f t="shared" si="72"/>
        <v>3</v>
      </c>
      <c r="I350" s="134">
        <v>1</v>
      </c>
      <c r="J350" s="16">
        <f t="shared" si="73"/>
        <v>3</v>
      </c>
      <c r="K350" s="7">
        <f t="shared" si="67"/>
        <v>3</v>
      </c>
    </row>
    <row r="351" spans="1:11" x14ac:dyDescent="0.3">
      <c r="A351" s="8" t="s">
        <v>437</v>
      </c>
      <c r="B351" s="9" t="s">
        <v>59</v>
      </c>
      <c r="C351" s="148" t="s">
        <v>128</v>
      </c>
      <c r="D351" s="4" t="s">
        <v>129</v>
      </c>
      <c r="E351" s="101"/>
      <c r="F351" s="52">
        <v>3</v>
      </c>
      <c r="G351" s="52"/>
      <c r="H351" s="17">
        <f t="shared" si="72"/>
        <v>3</v>
      </c>
      <c r="I351" s="134">
        <v>1</v>
      </c>
      <c r="J351" s="16">
        <f t="shared" si="73"/>
        <v>3</v>
      </c>
      <c r="K351" s="7">
        <f t="shared" si="67"/>
        <v>3</v>
      </c>
    </row>
    <row r="352" spans="1:11" x14ac:dyDescent="0.3">
      <c r="A352" s="8" t="s">
        <v>437</v>
      </c>
      <c r="B352" s="9" t="s">
        <v>59</v>
      </c>
      <c r="C352" s="148" t="s">
        <v>130</v>
      </c>
      <c r="D352" s="4" t="s">
        <v>131</v>
      </c>
      <c r="E352" s="6" t="s">
        <v>38</v>
      </c>
      <c r="F352" s="52">
        <v>2</v>
      </c>
      <c r="G352" s="52"/>
      <c r="H352" s="17">
        <f t="shared" si="72"/>
        <v>2</v>
      </c>
      <c r="I352" s="134">
        <v>1</v>
      </c>
      <c r="J352" s="16">
        <f t="shared" si="73"/>
        <v>2</v>
      </c>
      <c r="K352" s="7">
        <f t="shared" si="67"/>
        <v>2</v>
      </c>
    </row>
    <row r="353" spans="1:11" x14ac:dyDescent="0.3">
      <c r="A353" s="8" t="s">
        <v>437</v>
      </c>
      <c r="B353" s="9" t="s">
        <v>59</v>
      </c>
      <c r="C353" s="148" t="s">
        <v>139</v>
      </c>
      <c r="D353" s="4" t="s">
        <v>140</v>
      </c>
      <c r="E353" s="6" t="s">
        <v>141</v>
      </c>
      <c r="F353" s="52">
        <v>3</v>
      </c>
      <c r="G353" s="52"/>
      <c r="H353" s="17">
        <f t="shared" si="72"/>
        <v>3</v>
      </c>
      <c r="I353" s="134">
        <v>1</v>
      </c>
      <c r="J353" s="16">
        <f t="shared" si="73"/>
        <v>3</v>
      </c>
      <c r="K353" s="7">
        <f t="shared" si="67"/>
        <v>3</v>
      </c>
    </row>
    <row r="354" spans="1:11" x14ac:dyDescent="0.3">
      <c r="A354" s="8" t="s">
        <v>437</v>
      </c>
      <c r="B354" s="9" t="s">
        <v>59</v>
      </c>
      <c r="C354" s="148" t="s">
        <v>393</v>
      </c>
      <c r="D354" s="4" t="s">
        <v>394</v>
      </c>
      <c r="E354" s="101"/>
      <c r="F354" s="52">
        <v>3</v>
      </c>
      <c r="G354" s="52"/>
      <c r="H354" s="17">
        <f t="shared" si="72"/>
        <v>3</v>
      </c>
      <c r="I354" s="134">
        <v>1</v>
      </c>
      <c r="J354" s="16">
        <f t="shared" si="73"/>
        <v>3</v>
      </c>
      <c r="K354" s="7">
        <f t="shared" si="67"/>
        <v>3</v>
      </c>
    </row>
    <row r="355" spans="1:11" x14ac:dyDescent="0.3">
      <c r="A355" s="8" t="s">
        <v>437</v>
      </c>
      <c r="B355" s="9" t="s">
        <v>59</v>
      </c>
      <c r="C355" s="148" t="s">
        <v>134</v>
      </c>
      <c r="D355" s="4" t="s">
        <v>135</v>
      </c>
      <c r="E355" s="6" t="s">
        <v>141</v>
      </c>
      <c r="F355" s="52">
        <v>3</v>
      </c>
      <c r="G355" s="52"/>
      <c r="H355" s="17">
        <f t="shared" si="72"/>
        <v>3</v>
      </c>
      <c r="I355" s="134">
        <v>1</v>
      </c>
      <c r="J355" s="16">
        <f t="shared" si="73"/>
        <v>3</v>
      </c>
      <c r="K355" s="7">
        <f t="shared" si="67"/>
        <v>3</v>
      </c>
    </row>
    <row r="356" spans="1:11" x14ac:dyDescent="0.3">
      <c r="C356" s="42"/>
      <c r="D356" s="42"/>
      <c r="K356" s="7" t="str">
        <f t="shared" si="67"/>
        <v/>
      </c>
    </row>
    <row r="357" spans="1:11" x14ac:dyDescent="0.3">
      <c r="A357" s="58" t="s">
        <v>438</v>
      </c>
      <c r="C357" s="42"/>
      <c r="D357" s="42"/>
      <c r="K357" s="7" t="str">
        <f t="shared" si="67"/>
        <v/>
      </c>
    </row>
    <row r="358" spans="1:11" x14ac:dyDescent="0.3">
      <c r="A358" s="8" t="s">
        <v>437</v>
      </c>
      <c r="B358" s="9" t="s">
        <v>62</v>
      </c>
      <c r="C358" s="148" t="s">
        <v>396</v>
      </c>
      <c r="D358" s="4" t="s">
        <v>439</v>
      </c>
      <c r="E358" s="6" t="s">
        <v>141</v>
      </c>
      <c r="F358" s="52">
        <v>3</v>
      </c>
      <c r="G358" s="52"/>
      <c r="H358" s="15">
        <f t="shared" ref="H358:H366" si="74">SUM(F358:G358)</f>
        <v>3</v>
      </c>
      <c r="I358" s="134">
        <v>1</v>
      </c>
      <c r="J358" s="16">
        <f t="shared" ref="J358:J366" si="75">I358*H358</f>
        <v>3</v>
      </c>
      <c r="K358" s="7">
        <f t="shared" si="67"/>
        <v>3</v>
      </c>
    </row>
    <row r="359" spans="1:11" x14ac:dyDescent="0.3">
      <c r="A359" s="8" t="s">
        <v>437</v>
      </c>
      <c r="B359" s="9" t="s">
        <v>62</v>
      </c>
      <c r="C359" s="148" t="s">
        <v>274</v>
      </c>
      <c r="D359" s="4" t="s">
        <v>275</v>
      </c>
      <c r="E359" s="6" t="s">
        <v>127</v>
      </c>
      <c r="F359" s="52">
        <v>3</v>
      </c>
      <c r="G359" s="52"/>
      <c r="H359" s="15">
        <f t="shared" si="74"/>
        <v>3</v>
      </c>
      <c r="I359" s="134">
        <v>1</v>
      </c>
      <c r="J359" s="16">
        <f t="shared" si="75"/>
        <v>3</v>
      </c>
      <c r="K359" s="7">
        <f t="shared" si="67"/>
        <v>3</v>
      </c>
    </row>
    <row r="360" spans="1:11" x14ac:dyDescent="0.3">
      <c r="A360" s="8" t="s">
        <v>437</v>
      </c>
      <c r="B360" s="9" t="s">
        <v>62</v>
      </c>
      <c r="C360" s="148" t="s">
        <v>399</v>
      </c>
      <c r="D360" s="4" t="s">
        <v>440</v>
      </c>
      <c r="E360" s="6" t="s">
        <v>378</v>
      </c>
      <c r="F360" s="52">
        <v>3</v>
      </c>
      <c r="G360" s="52"/>
      <c r="H360" s="15">
        <f t="shared" si="74"/>
        <v>3</v>
      </c>
      <c r="I360" s="134">
        <v>1</v>
      </c>
      <c r="J360" s="16">
        <f t="shared" si="75"/>
        <v>3</v>
      </c>
      <c r="K360" s="7">
        <f t="shared" si="67"/>
        <v>3</v>
      </c>
    </row>
    <row r="361" spans="1:11" x14ac:dyDescent="0.3">
      <c r="A361" s="8" t="s">
        <v>437</v>
      </c>
      <c r="B361" s="9" t="s">
        <v>62</v>
      </c>
      <c r="C361" s="148" t="s">
        <v>401</v>
      </c>
      <c r="D361" s="4" t="s">
        <v>402</v>
      </c>
      <c r="E361" s="6" t="s">
        <v>34</v>
      </c>
      <c r="F361" s="52">
        <v>2</v>
      </c>
      <c r="G361" s="52">
        <v>1.5</v>
      </c>
      <c r="H361" s="15">
        <f t="shared" si="74"/>
        <v>3.5</v>
      </c>
      <c r="I361" s="134">
        <v>1</v>
      </c>
      <c r="J361" s="16">
        <f t="shared" si="75"/>
        <v>3.5</v>
      </c>
      <c r="K361" s="7">
        <f t="shared" si="67"/>
        <v>2</v>
      </c>
    </row>
    <row r="362" spans="1:11" x14ac:dyDescent="0.3">
      <c r="A362" s="8" t="s">
        <v>437</v>
      </c>
      <c r="B362" s="9" t="s">
        <v>62</v>
      </c>
      <c r="C362" s="148" t="s">
        <v>403</v>
      </c>
      <c r="D362" s="4" t="s">
        <v>441</v>
      </c>
      <c r="E362" s="6" t="s">
        <v>20</v>
      </c>
      <c r="F362" s="52">
        <v>3</v>
      </c>
      <c r="G362" s="52"/>
      <c r="H362" s="15">
        <f t="shared" si="74"/>
        <v>3</v>
      </c>
      <c r="I362" s="134">
        <v>1</v>
      </c>
      <c r="J362" s="16">
        <f t="shared" si="75"/>
        <v>3</v>
      </c>
      <c r="K362" s="7">
        <f t="shared" si="67"/>
        <v>3</v>
      </c>
    </row>
    <row r="363" spans="1:11" x14ac:dyDescent="0.3">
      <c r="A363" s="8" t="s">
        <v>437</v>
      </c>
      <c r="B363" s="9" t="s">
        <v>62</v>
      </c>
      <c r="C363" s="148" t="s">
        <v>405</v>
      </c>
      <c r="D363" s="4" t="s">
        <v>442</v>
      </c>
      <c r="E363" s="6" t="s">
        <v>20</v>
      </c>
      <c r="F363" s="52">
        <v>3</v>
      </c>
      <c r="G363" s="52"/>
      <c r="H363" s="15">
        <f t="shared" si="74"/>
        <v>3</v>
      </c>
      <c r="I363" s="134">
        <v>1</v>
      </c>
      <c r="J363" s="16">
        <f t="shared" si="75"/>
        <v>3</v>
      </c>
      <c r="K363" s="7">
        <f t="shared" si="67"/>
        <v>3</v>
      </c>
    </row>
    <row r="364" spans="1:11" x14ac:dyDescent="0.3">
      <c r="A364" s="8" t="s">
        <v>437</v>
      </c>
      <c r="B364" s="9" t="s">
        <v>62</v>
      </c>
      <c r="C364" s="148" t="s">
        <v>144</v>
      </c>
      <c r="D364" s="4" t="s">
        <v>145</v>
      </c>
      <c r="E364" s="6" t="s">
        <v>141</v>
      </c>
      <c r="F364" s="52">
        <v>3</v>
      </c>
      <c r="G364" s="52"/>
      <c r="H364" s="15">
        <f t="shared" si="74"/>
        <v>3</v>
      </c>
      <c r="I364" s="134">
        <v>1</v>
      </c>
      <c r="J364" s="16">
        <f t="shared" si="75"/>
        <v>3</v>
      </c>
      <c r="K364" s="7">
        <f t="shared" si="67"/>
        <v>3</v>
      </c>
    </row>
    <row r="365" spans="1:11" x14ac:dyDescent="0.3">
      <c r="A365" s="8" t="s">
        <v>437</v>
      </c>
      <c r="B365" s="9" t="s">
        <v>62</v>
      </c>
      <c r="C365" s="148" t="s">
        <v>217</v>
      </c>
      <c r="D365" s="4" t="s">
        <v>218</v>
      </c>
      <c r="E365" s="6" t="s">
        <v>36</v>
      </c>
      <c r="F365" s="52">
        <v>3</v>
      </c>
      <c r="G365" s="52"/>
      <c r="H365" s="15">
        <f t="shared" si="74"/>
        <v>3</v>
      </c>
      <c r="I365" s="134">
        <v>1</v>
      </c>
      <c r="J365" s="16">
        <f t="shared" si="75"/>
        <v>3</v>
      </c>
      <c r="K365" s="7">
        <f t="shared" si="67"/>
        <v>3</v>
      </c>
    </row>
    <row r="366" spans="1:11" x14ac:dyDescent="0.3">
      <c r="A366" s="8" t="s">
        <v>437</v>
      </c>
      <c r="B366" s="9" t="s">
        <v>62</v>
      </c>
      <c r="C366" s="148" t="s">
        <v>142</v>
      </c>
      <c r="D366" s="4" t="s">
        <v>143</v>
      </c>
      <c r="E366" s="6" t="s">
        <v>38</v>
      </c>
      <c r="F366" s="52">
        <v>2</v>
      </c>
      <c r="G366" s="52"/>
      <c r="H366" s="15">
        <f t="shared" si="74"/>
        <v>2</v>
      </c>
      <c r="I366" s="134">
        <v>1</v>
      </c>
      <c r="J366" s="16">
        <f t="shared" si="75"/>
        <v>2</v>
      </c>
      <c r="K366" s="7">
        <f t="shared" si="67"/>
        <v>2</v>
      </c>
    </row>
    <row r="367" spans="1:11" x14ac:dyDescent="0.3">
      <c r="K367" s="7" t="str">
        <f t="shared" si="67"/>
        <v/>
      </c>
    </row>
    <row r="368" spans="1:11" x14ac:dyDescent="0.3">
      <c r="A368" s="58" t="s">
        <v>438</v>
      </c>
      <c r="K368" s="7" t="str">
        <f t="shared" si="67"/>
        <v/>
      </c>
    </row>
    <row r="369" spans="1:11" x14ac:dyDescent="0.3">
      <c r="A369" s="8" t="s">
        <v>437</v>
      </c>
      <c r="B369" s="9" t="s">
        <v>66</v>
      </c>
      <c r="C369" s="148" t="s">
        <v>407</v>
      </c>
      <c r="D369" s="6" t="s">
        <v>408</v>
      </c>
      <c r="E369" s="6" t="s">
        <v>378</v>
      </c>
      <c r="F369" s="52">
        <v>3</v>
      </c>
      <c r="G369" s="52"/>
      <c r="H369" s="17">
        <f t="shared" ref="H369:H375" si="76">SUM(F369:G369)</f>
        <v>3</v>
      </c>
      <c r="I369" s="134">
        <v>1</v>
      </c>
      <c r="J369" s="16">
        <f t="shared" ref="J369:J375" si="77">I369*H369</f>
        <v>3</v>
      </c>
      <c r="K369" s="7">
        <f t="shared" si="67"/>
        <v>3</v>
      </c>
    </row>
    <row r="370" spans="1:11" x14ac:dyDescent="0.3">
      <c r="A370" s="8" t="s">
        <v>437</v>
      </c>
      <c r="B370" s="9" t="s">
        <v>66</v>
      </c>
      <c r="C370" s="148" t="s">
        <v>409</v>
      </c>
      <c r="D370" s="6" t="s">
        <v>410</v>
      </c>
      <c r="E370" s="6" t="s">
        <v>20</v>
      </c>
      <c r="F370" s="52">
        <v>3</v>
      </c>
      <c r="G370" s="52"/>
      <c r="H370" s="17">
        <f t="shared" si="76"/>
        <v>3</v>
      </c>
      <c r="I370" s="134">
        <v>1</v>
      </c>
      <c r="J370" s="16">
        <f t="shared" si="77"/>
        <v>3</v>
      </c>
      <c r="K370" s="7">
        <f t="shared" si="67"/>
        <v>3</v>
      </c>
    </row>
    <row r="371" spans="1:11" x14ac:dyDescent="0.3">
      <c r="A371" s="8" t="s">
        <v>437</v>
      </c>
      <c r="B371" s="9" t="s">
        <v>66</v>
      </c>
      <c r="C371" s="148" t="s">
        <v>411</v>
      </c>
      <c r="D371" s="6" t="s">
        <v>412</v>
      </c>
      <c r="E371" s="6" t="s">
        <v>20</v>
      </c>
      <c r="F371" s="52">
        <v>3</v>
      </c>
      <c r="G371" s="52"/>
      <c r="H371" s="17">
        <f t="shared" si="76"/>
        <v>3</v>
      </c>
      <c r="I371" s="134">
        <v>1</v>
      </c>
      <c r="J371" s="16">
        <f t="shared" si="77"/>
        <v>3</v>
      </c>
      <c r="K371" s="7">
        <f t="shared" si="67"/>
        <v>3</v>
      </c>
    </row>
    <row r="372" spans="1:11" x14ac:dyDescent="0.3">
      <c r="A372" s="8" t="s">
        <v>437</v>
      </c>
      <c r="B372" s="9" t="s">
        <v>66</v>
      </c>
      <c r="C372" s="148" t="s">
        <v>413</v>
      </c>
      <c r="D372" s="6" t="s">
        <v>443</v>
      </c>
      <c r="E372" s="6" t="s">
        <v>20</v>
      </c>
      <c r="F372" s="52">
        <v>3</v>
      </c>
      <c r="G372" s="52"/>
      <c r="H372" s="17">
        <f t="shared" si="76"/>
        <v>3</v>
      </c>
      <c r="I372" s="134">
        <v>1</v>
      </c>
      <c r="J372" s="16">
        <f t="shared" si="77"/>
        <v>3</v>
      </c>
      <c r="K372" s="7">
        <f t="shared" si="67"/>
        <v>3</v>
      </c>
    </row>
    <row r="373" spans="1:11" x14ac:dyDescent="0.3">
      <c r="A373" s="8" t="s">
        <v>437</v>
      </c>
      <c r="B373" s="9" t="s">
        <v>66</v>
      </c>
      <c r="C373" s="148" t="s">
        <v>415</v>
      </c>
      <c r="D373" s="6" t="s">
        <v>416</v>
      </c>
      <c r="E373" s="6" t="s">
        <v>378</v>
      </c>
      <c r="F373" s="52">
        <v>2</v>
      </c>
      <c r="G373" s="52">
        <v>1.5</v>
      </c>
      <c r="H373" s="17">
        <f t="shared" si="76"/>
        <v>3.5</v>
      </c>
      <c r="I373" s="134">
        <v>1</v>
      </c>
      <c r="J373" s="16">
        <f t="shared" si="77"/>
        <v>3.5</v>
      </c>
      <c r="K373" s="7">
        <f t="shared" si="67"/>
        <v>2</v>
      </c>
    </row>
    <row r="374" spans="1:11" x14ac:dyDescent="0.3">
      <c r="A374" s="8" t="s">
        <v>437</v>
      </c>
      <c r="B374" s="9" t="s">
        <v>66</v>
      </c>
      <c r="C374" s="148" t="s">
        <v>374</v>
      </c>
      <c r="D374" s="6" t="s">
        <v>375</v>
      </c>
      <c r="E374" s="6" t="s">
        <v>20</v>
      </c>
      <c r="F374" s="52">
        <v>3</v>
      </c>
      <c r="G374" s="52"/>
      <c r="H374" s="17">
        <f t="shared" si="76"/>
        <v>3</v>
      </c>
      <c r="I374" s="134">
        <v>1</v>
      </c>
      <c r="J374" s="16">
        <f t="shared" si="77"/>
        <v>3</v>
      </c>
      <c r="K374" s="7">
        <f t="shared" si="67"/>
        <v>3</v>
      </c>
    </row>
    <row r="375" spans="1:11" x14ac:dyDescent="0.3">
      <c r="A375" s="62" t="s">
        <v>437</v>
      </c>
      <c r="B375" s="61" t="s">
        <v>66</v>
      </c>
      <c r="C375" s="148" t="s">
        <v>417</v>
      </c>
      <c r="D375" s="6" t="s">
        <v>418</v>
      </c>
      <c r="E375" s="6" t="s">
        <v>20</v>
      </c>
      <c r="F375" s="53">
        <v>2</v>
      </c>
      <c r="G375" s="53">
        <v>1.5</v>
      </c>
      <c r="H375" s="142">
        <f t="shared" si="76"/>
        <v>3.5</v>
      </c>
      <c r="I375" s="135">
        <v>1</v>
      </c>
      <c r="J375" s="140">
        <f t="shared" si="77"/>
        <v>3.5</v>
      </c>
      <c r="K375" s="7">
        <f t="shared" si="67"/>
        <v>2</v>
      </c>
    </row>
    <row r="376" spans="1:11" x14ac:dyDescent="0.3">
      <c r="A376" s="8" t="s">
        <v>437</v>
      </c>
      <c r="B376" s="9" t="s">
        <v>66</v>
      </c>
      <c r="C376" s="6" t="s">
        <v>444</v>
      </c>
      <c r="D376" s="6" t="s">
        <v>445</v>
      </c>
      <c r="E376" s="6" t="s">
        <v>378</v>
      </c>
      <c r="F376" s="52">
        <v>3</v>
      </c>
      <c r="G376" s="52"/>
      <c r="H376" s="15">
        <f>SUM(F376:G376)</f>
        <v>3</v>
      </c>
      <c r="I376" s="134">
        <v>1</v>
      </c>
      <c r="J376" s="16">
        <f>I376*H376</f>
        <v>3</v>
      </c>
      <c r="K376" s="7">
        <f t="shared" si="67"/>
        <v>3</v>
      </c>
    </row>
    <row r="377" spans="1:11" x14ac:dyDescent="0.3">
      <c r="K377" s="7" t="str">
        <f t="shared" si="67"/>
        <v/>
      </c>
    </row>
    <row r="378" spans="1:11" x14ac:dyDescent="0.3">
      <c r="A378" s="58" t="s">
        <v>446</v>
      </c>
      <c r="K378" s="7" t="str">
        <f t="shared" si="67"/>
        <v/>
      </c>
    </row>
    <row r="379" spans="1:11" x14ac:dyDescent="0.3">
      <c r="A379" s="156" t="s">
        <v>437</v>
      </c>
      <c r="B379" s="153" t="s">
        <v>71</v>
      </c>
      <c r="C379" s="165" t="s">
        <v>422</v>
      </c>
      <c r="D379" s="4" t="s">
        <v>423</v>
      </c>
      <c r="E379" s="4" t="s">
        <v>20</v>
      </c>
      <c r="F379" s="5">
        <v>3</v>
      </c>
      <c r="G379" s="5"/>
      <c r="H379" s="157">
        <f t="shared" ref="H379:H385" si="78">SUM(F379:G379)</f>
        <v>3</v>
      </c>
      <c r="I379" s="166">
        <v>1</v>
      </c>
      <c r="J379" s="167">
        <f t="shared" ref="J379:J385" si="79">I379*H379</f>
        <v>3</v>
      </c>
      <c r="K379" s="7">
        <f t="shared" si="67"/>
        <v>3</v>
      </c>
    </row>
    <row r="380" spans="1:11" x14ac:dyDescent="0.3">
      <c r="A380" s="156" t="s">
        <v>437</v>
      </c>
      <c r="B380" s="153" t="s">
        <v>71</v>
      </c>
      <c r="C380" s="165" t="s">
        <v>424</v>
      </c>
      <c r="D380" s="4" t="s">
        <v>425</v>
      </c>
      <c r="E380" s="4" t="s">
        <v>20</v>
      </c>
      <c r="F380" s="5">
        <v>3</v>
      </c>
      <c r="G380" s="5"/>
      <c r="H380" s="157">
        <f t="shared" si="78"/>
        <v>3</v>
      </c>
      <c r="I380" s="166">
        <v>1</v>
      </c>
      <c r="J380" s="167">
        <f t="shared" si="79"/>
        <v>3</v>
      </c>
      <c r="K380" s="7">
        <f t="shared" si="67"/>
        <v>3</v>
      </c>
    </row>
    <row r="381" spans="1:11" x14ac:dyDescent="0.3">
      <c r="A381" s="156" t="s">
        <v>437</v>
      </c>
      <c r="B381" s="153" t="s">
        <v>71</v>
      </c>
      <c r="C381" s="165" t="s">
        <v>447</v>
      </c>
      <c r="D381" s="4" t="s">
        <v>448</v>
      </c>
      <c r="E381" s="101"/>
      <c r="F381" s="5">
        <v>3</v>
      </c>
      <c r="G381" s="5"/>
      <c r="H381" s="157">
        <f t="shared" si="78"/>
        <v>3</v>
      </c>
      <c r="I381" s="166">
        <v>1</v>
      </c>
      <c r="J381" s="167">
        <f t="shared" si="79"/>
        <v>3</v>
      </c>
      <c r="K381" s="7">
        <f t="shared" si="67"/>
        <v>3</v>
      </c>
    </row>
    <row r="382" spans="1:11" ht="15" customHeight="1" x14ac:dyDescent="0.3">
      <c r="A382" s="156" t="s">
        <v>437</v>
      </c>
      <c r="B382" s="153" t="s">
        <v>71</v>
      </c>
      <c r="C382" s="165" t="s">
        <v>449</v>
      </c>
      <c r="D382" s="4" t="s">
        <v>450</v>
      </c>
      <c r="E382" s="101"/>
      <c r="F382" s="5">
        <v>2</v>
      </c>
      <c r="G382" s="5">
        <v>1.5</v>
      </c>
      <c r="H382" s="157">
        <f t="shared" si="78"/>
        <v>3.5</v>
      </c>
      <c r="I382" s="166">
        <v>1</v>
      </c>
      <c r="J382" s="167">
        <f t="shared" si="79"/>
        <v>3.5</v>
      </c>
      <c r="K382" s="7">
        <f t="shared" si="67"/>
        <v>2</v>
      </c>
    </row>
    <row r="383" spans="1:11" x14ac:dyDescent="0.3">
      <c r="A383" s="156" t="s">
        <v>437</v>
      </c>
      <c r="B383" s="153" t="s">
        <v>71</v>
      </c>
      <c r="C383" s="165" t="s">
        <v>451</v>
      </c>
      <c r="D383" s="4" t="s">
        <v>452</v>
      </c>
      <c r="E383" s="101"/>
      <c r="F383" s="5">
        <v>3</v>
      </c>
      <c r="G383" s="5"/>
      <c r="H383" s="157">
        <f t="shared" si="78"/>
        <v>3</v>
      </c>
      <c r="I383" s="166">
        <v>1</v>
      </c>
      <c r="J383" s="167">
        <f t="shared" si="79"/>
        <v>3</v>
      </c>
      <c r="K383" s="7">
        <f t="shared" si="67"/>
        <v>3</v>
      </c>
    </row>
    <row r="384" spans="1:11" x14ac:dyDescent="0.3">
      <c r="A384" s="156" t="s">
        <v>437</v>
      </c>
      <c r="B384" s="153" t="s">
        <v>71</v>
      </c>
      <c r="C384" s="165" t="s">
        <v>453</v>
      </c>
      <c r="D384" s="4" t="s">
        <v>454</v>
      </c>
      <c r="E384" s="101"/>
      <c r="F384" s="5">
        <v>3</v>
      </c>
      <c r="G384" s="5"/>
      <c r="H384" s="157">
        <f t="shared" si="78"/>
        <v>3</v>
      </c>
      <c r="I384" s="166">
        <v>1</v>
      </c>
      <c r="J384" s="167">
        <f t="shared" si="79"/>
        <v>3</v>
      </c>
      <c r="K384" s="7">
        <f t="shared" si="67"/>
        <v>3</v>
      </c>
    </row>
    <row r="385" spans="1:11" x14ac:dyDescent="0.3">
      <c r="A385" s="158" t="s">
        <v>437</v>
      </c>
      <c r="B385" s="153" t="s">
        <v>71</v>
      </c>
      <c r="C385" s="165" t="s">
        <v>167</v>
      </c>
      <c r="D385" s="4" t="s">
        <v>168</v>
      </c>
      <c r="E385" s="101"/>
      <c r="F385" s="159">
        <v>1</v>
      </c>
      <c r="G385" s="159"/>
      <c r="H385" s="160">
        <f t="shared" si="78"/>
        <v>1</v>
      </c>
      <c r="I385" s="166">
        <v>1</v>
      </c>
      <c r="J385" s="168">
        <f t="shared" si="79"/>
        <v>1</v>
      </c>
      <c r="K385" s="7">
        <f t="shared" si="67"/>
        <v>1</v>
      </c>
    </row>
    <row r="386" spans="1:11" x14ac:dyDescent="0.3">
      <c r="A386" s="156" t="s">
        <v>437</v>
      </c>
      <c r="B386" s="153" t="s">
        <v>71</v>
      </c>
      <c r="C386" s="4" t="s">
        <v>455</v>
      </c>
      <c r="D386" s="4" t="s">
        <v>456</v>
      </c>
      <c r="E386" s="4" t="s">
        <v>378</v>
      </c>
      <c r="F386" s="5">
        <v>3</v>
      </c>
      <c r="G386" s="5"/>
      <c r="H386" s="169">
        <f>SUM(F386:G386)</f>
        <v>3</v>
      </c>
      <c r="I386" s="166">
        <v>1</v>
      </c>
      <c r="J386" s="167">
        <f>I386*H386</f>
        <v>3</v>
      </c>
      <c r="K386" s="7">
        <f t="shared" si="67"/>
        <v>3</v>
      </c>
    </row>
    <row r="387" spans="1:11" x14ac:dyDescent="0.3">
      <c r="K387" s="7" t="str">
        <f t="shared" si="67"/>
        <v/>
      </c>
    </row>
    <row r="388" spans="1:11" x14ac:dyDescent="0.3">
      <c r="A388" s="58" t="s">
        <v>457</v>
      </c>
      <c r="K388" s="7" t="str">
        <f t="shared" ref="K388:K451" si="80">IF(I388&gt;0,F388,"")</f>
        <v/>
      </c>
    </row>
    <row r="389" spans="1:11" x14ac:dyDescent="0.3">
      <c r="A389" s="8" t="s">
        <v>458</v>
      </c>
      <c r="B389" s="9" t="s">
        <v>59</v>
      </c>
      <c r="C389" s="6" t="s">
        <v>391</v>
      </c>
      <c r="D389" s="6" t="s">
        <v>392</v>
      </c>
      <c r="E389" s="6" t="s">
        <v>378</v>
      </c>
      <c r="F389" s="52">
        <v>6</v>
      </c>
      <c r="G389" s="52"/>
      <c r="H389" s="17">
        <f t="shared" ref="H389:H397" si="81">SUM(F389:G389)</f>
        <v>6</v>
      </c>
      <c r="I389" s="134">
        <f>'2 - Section Count Projection'!$O$101</f>
        <v>0</v>
      </c>
      <c r="J389" s="16">
        <f t="shared" ref="J389:J397" si="82">I389*H389</f>
        <v>0</v>
      </c>
      <c r="K389" s="7" t="str">
        <f t="shared" si="80"/>
        <v/>
      </c>
    </row>
    <row r="390" spans="1:11" x14ac:dyDescent="0.3">
      <c r="A390" s="8" t="s">
        <v>458</v>
      </c>
      <c r="B390" s="9" t="s">
        <v>59</v>
      </c>
      <c r="C390" s="6" t="s">
        <v>121</v>
      </c>
      <c r="D390" s="6" t="s">
        <v>122</v>
      </c>
      <c r="E390" s="101"/>
      <c r="F390" s="52">
        <v>3</v>
      </c>
      <c r="G390" s="52"/>
      <c r="H390" s="17">
        <f t="shared" si="81"/>
        <v>3</v>
      </c>
      <c r="I390" s="134">
        <f>'2 - Section Count Projection'!$O$101</f>
        <v>0</v>
      </c>
      <c r="J390" s="16">
        <f t="shared" si="82"/>
        <v>0</v>
      </c>
      <c r="K390" s="7" t="str">
        <f t="shared" si="80"/>
        <v/>
      </c>
    </row>
    <row r="391" spans="1:11" x14ac:dyDescent="0.3">
      <c r="A391" s="8" t="s">
        <v>458</v>
      </c>
      <c r="B391" s="9" t="s">
        <v>59</v>
      </c>
      <c r="C391" s="6" t="s">
        <v>123</v>
      </c>
      <c r="D391" s="6" t="s">
        <v>124</v>
      </c>
      <c r="E391" s="101"/>
      <c r="F391" s="52">
        <v>1</v>
      </c>
      <c r="G391" s="52"/>
      <c r="H391" s="17">
        <f t="shared" si="81"/>
        <v>1</v>
      </c>
      <c r="I391" s="134">
        <f>'2 - Section Count Projection'!$O$101</f>
        <v>0</v>
      </c>
      <c r="J391" s="16">
        <f t="shared" si="82"/>
        <v>0</v>
      </c>
      <c r="K391" s="7" t="str">
        <f t="shared" si="80"/>
        <v/>
      </c>
    </row>
    <row r="392" spans="1:11" x14ac:dyDescent="0.3">
      <c r="A392" s="8" t="s">
        <v>458</v>
      </c>
      <c r="B392" s="9" t="s">
        <v>59</v>
      </c>
      <c r="C392" s="6" t="s">
        <v>132</v>
      </c>
      <c r="D392" s="6" t="s">
        <v>133</v>
      </c>
      <c r="E392" s="227"/>
      <c r="F392" s="52">
        <v>3</v>
      </c>
      <c r="G392" s="52"/>
      <c r="H392" s="17">
        <f t="shared" si="81"/>
        <v>3</v>
      </c>
      <c r="I392" s="134">
        <f>'2 - Section Count Projection'!$O$101</f>
        <v>0</v>
      </c>
      <c r="J392" s="16">
        <f t="shared" si="82"/>
        <v>0</v>
      </c>
      <c r="K392" s="7" t="str">
        <f t="shared" si="80"/>
        <v/>
      </c>
    </row>
    <row r="393" spans="1:11" x14ac:dyDescent="0.3">
      <c r="A393" s="8" t="s">
        <v>458</v>
      </c>
      <c r="B393" s="9" t="s">
        <v>59</v>
      </c>
      <c r="C393" s="6" t="s">
        <v>128</v>
      </c>
      <c r="D393" s="6" t="s">
        <v>129</v>
      </c>
      <c r="E393" s="101"/>
      <c r="F393" s="52">
        <v>3</v>
      </c>
      <c r="G393" s="52"/>
      <c r="H393" s="17">
        <f t="shared" si="81"/>
        <v>3</v>
      </c>
      <c r="I393" s="134">
        <f>'2 - Section Count Projection'!$O$101</f>
        <v>0</v>
      </c>
      <c r="J393" s="16">
        <f t="shared" si="82"/>
        <v>0</v>
      </c>
      <c r="K393" s="7" t="str">
        <f t="shared" si="80"/>
        <v/>
      </c>
    </row>
    <row r="394" spans="1:11" x14ac:dyDescent="0.3">
      <c r="A394" s="8" t="s">
        <v>458</v>
      </c>
      <c r="B394" s="9" t="s">
        <v>59</v>
      </c>
      <c r="C394" s="6" t="s">
        <v>130</v>
      </c>
      <c r="D394" s="6" t="s">
        <v>131</v>
      </c>
      <c r="E394" s="6" t="s">
        <v>38</v>
      </c>
      <c r="F394" s="52">
        <v>2</v>
      </c>
      <c r="G394" s="52"/>
      <c r="H394" s="17">
        <f t="shared" si="81"/>
        <v>2</v>
      </c>
      <c r="I394" s="134">
        <f>'2 - Section Count Projection'!$O$101</f>
        <v>0</v>
      </c>
      <c r="J394" s="16">
        <f t="shared" si="82"/>
        <v>0</v>
      </c>
      <c r="K394" s="7" t="str">
        <f t="shared" si="80"/>
        <v/>
      </c>
    </row>
    <row r="395" spans="1:11" x14ac:dyDescent="0.3">
      <c r="A395" s="8" t="s">
        <v>458</v>
      </c>
      <c r="B395" s="9" t="s">
        <v>59</v>
      </c>
      <c r="C395" s="6" t="s">
        <v>139</v>
      </c>
      <c r="D395" s="6" t="s">
        <v>140</v>
      </c>
      <c r="E395" s="6" t="s">
        <v>141</v>
      </c>
      <c r="F395" s="52">
        <v>3</v>
      </c>
      <c r="G395" s="52"/>
      <c r="H395" s="17">
        <f t="shared" si="81"/>
        <v>3</v>
      </c>
      <c r="I395" s="134">
        <f>'2 - Section Count Projection'!$O$101</f>
        <v>0</v>
      </c>
      <c r="J395" s="16">
        <f t="shared" si="82"/>
        <v>0</v>
      </c>
      <c r="K395" s="7" t="str">
        <f t="shared" si="80"/>
        <v/>
      </c>
    </row>
    <row r="396" spans="1:11" x14ac:dyDescent="0.3">
      <c r="A396" s="8" t="s">
        <v>458</v>
      </c>
      <c r="B396" s="9" t="s">
        <v>59</v>
      </c>
      <c r="C396" s="6" t="s">
        <v>393</v>
      </c>
      <c r="D396" s="6" t="s">
        <v>394</v>
      </c>
      <c r="E396" s="101"/>
      <c r="F396" s="52">
        <v>3</v>
      </c>
      <c r="G396" s="52"/>
      <c r="H396" s="17">
        <f t="shared" si="81"/>
        <v>3</v>
      </c>
      <c r="I396" s="134">
        <f>'2 - Section Count Projection'!$O$101</f>
        <v>0</v>
      </c>
      <c r="J396" s="16">
        <f t="shared" si="82"/>
        <v>0</v>
      </c>
      <c r="K396" s="7" t="str">
        <f t="shared" si="80"/>
        <v/>
      </c>
    </row>
    <row r="397" spans="1:11" x14ac:dyDescent="0.3">
      <c r="A397" s="8" t="s">
        <v>458</v>
      </c>
      <c r="B397" s="9" t="s">
        <v>59</v>
      </c>
      <c r="C397" s="6" t="s">
        <v>134</v>
      </c>
      <c r="D397" s="6" t="s">
        <v>135</v>
      </c>
      <c r="E397" s="6" t="s">
        <v>141</v>
      </c>
      <c r="F397" s="52">
        <v>3</v>
      </c>
      <c r="G397" s="52"/>
      <c r="H397" s="17">
        <f t="shared" si="81"/>
        <v>3</v>
      </c>
      <c r="I397" s="134">
        <f>'2 - Section Count Projection'!$O$101</f>
        <v>0</v>
      </c>
      <c r="J397" s="16">
        <f t="shared" si="82"/>
        <v>0</v>
      </c>
      <c r="K397" s="7" t="str">
        <f t="shared" si="80"/>
        <v/>
      </c>
    </row>
    <row r="398" spans="1:11" x14ac:dyDescent="0.3">
      <c r="K398" s="7" t="str">
        <f t="shared" si="80"/>
        <v/>
      </c>
    </row>
    <row r="399" spans="1:11" x14ac:dyDescent="0.3">
      <c r="A399" s="58" t="s">
        <v>459</v>
      </c>
      <c r="K399" s="7" t="str">
        <f t="shared" si="80"/>
        <v/>
      </c>
    </row>
    <row r="400" spans="1:11" x14ac:dyDescent="0.3">
      <c r="A400" s="8" t="s">
        <v>458</v>
      </c>
      <c r="B400" s="9" t="s">
        <v>62</v>
      </c>
      <c r="C400" s="6" t="s">
        <v>396</v>
      </c>
      <c r="D400" s="6" t="s">
        <v>397</v>
      </c>
      <c r="E400" s="6" t="s">
        <v>398</v>
      </c>
      <c r="F400" s="52">
        <v>3</v>
      </c>
      <c r="G400" s="52"/>
      <c r="H400" s="15">
        <f t="shared" ref="H400:H408" si="83">SUM(F400:G400)</f>
        <v>3</v>
      </c>
      <c r="I400" s="134">
        <f>'2 - Section Count Projection'!$O$103</f>
        <v>0</v>
      </c>
      <c r="J400" s="16">
        <f t="shared" ref="J400:J408" si="84">I400*H400</f>
        <v>0</v>
      </c>
      <c r="K400" s="7" t="str">
        <f t="shared" si="80"/>
        <v/>
      </c>
    </row>
    <row r="401" spans="1:11" x14ac:dyDescent="0.3">
      <c r="A401" s="8" t="s">
        <v>458</v>
      </c>
      <c r="B401" s="9" t="s">
        <v>62</v>
      </c>
      <c r="C401" s="6" t="s">
        <v>274</v>
      </c>
      <c r="D401" s="6" t="s">
        <v>275</v>
      </c>
      <c r="E401" s="6" t="s">
        <v>127</v>
      </c>
      <c r="F401" s="52">
        <v>3</v>
      </c>
      <c r="G401" s="52"/>
      <c r="H401" s="15">
        <f t="shared" si="83"/>
        <v>3</v>
      </c>
      <c r="I401" s="134">
        <f>'2 - Section Count Projection'!$O$103</f>
        <v>0</v>
      </c>
      <c r="J401" s="16">
        <f t="shared" si="84"/>
        <v>0</v>
      </c>
      <c r="K401" s="7" t="str">
        <f t="shared" si="80"/>
        <v/>
      </c>
    </row>
    <row r="402" spans="1:11" x14ac:dyDescent="0.3">
      <c r="A402" s="8" t="s">
        <v>458</v>
      </c>
      <c r="B402" s="9" t="s">
        <v>62</v>
      </c>
      <c r="C402" s="6" t="s">
        <v>399</v>
      </c>
      <c r="D402" s="6" t="s">
        <v>400</v>
      </c>
      <c r="E402" s="6" t="s">
        <v>378</v>
      </c>
      <c r="F402" s="52">
        <v>3</v>
      </c>
      <c r="G402" s="52"/>
      <c r="H402" s="15">
        <f t="shared" si="83"/>
        <v>3</v>
      </c>
      <c r="I402" s="134">
        <f>'2 - Section Count Projection'!$O$103</f>
        <v>0</v>
      </c>
      <c r="J402" s="16">
        <f t="shared" si="84"/>
        <v>0</v>
      </c>
      <c r="K402" s="7" t="str">
        <f t="shared" si="80"/>
        <v/>
      </c>
    </row>
    <row r="403" spans="1:11" x14ac:dyDescent="0.3">
      <c r="A403" s="8" t="s">
        <v>458</v>
      </c>
      <c r="B403" s="9" t="s">
        <v>62</v>
      </c>
      <c r="C403" s="6" t="s">
        <v>401</v>
      </c>
      <c r="D403" s="6" t="s">
        <v>402</v>
      </c>
      <c r="E403" s="6" t="s">
        <v>34</v>
      </c>
      <c r="F403" s="52">
        <v>2</v>
      </c>
      <c r="G403" s="52">
        <v>1.5</v>
      </c>
      <c r="H403" s="15">
        <f t="shared" si="83"/>
        <v>3.5</v>
      </c>
      <c r="I403" s="134">
        <f>'2 - Section Count Projection'!$O$103</f>
        <v>0</v>
      </c>
      <c r="J403" s="16">
        <f t="shared" si="84"/>
        <v>0</v>
      </c>
      <c r="K403" s="7" t="str">
        <f t="shared" si="80"/>
        <v/>
      </c>
    </row>
    <row r="404" spans="1:11" x14ac:dyDescent="0.3">
      <c r="A404" s="8" t="s">
        <v>458</v>
      </c>
      <c r="B404" s="9" t="s">
        <v>62</v>
      </c>
      <c r="C404" s="6" t="s">
        <v>403</v>
      </c>
      <c r="D404" s="6" t="s">
        <v>404</v>
      </c>
      <c r="E404" s="6" t="s">
        <v>20</v>
      </c>
      <c r="F404" s="52">
        <v>3</v>
      </c>
      <c r="G404" s="52"/>
      <c r="H404" s="15">
        <f t="shared" si="83"/>
        <v>3</v>
      </c>
      <c r="I404" s="134">
        <f>'2 - Section Count Projection'!$O$103</f>
        <v>0</v>
      </c>
      <c r="J404" s="16">
        <f t="shared" si="84"/>
        <v>0</v>
      </c>
      <c r="K404" s="7" t="str">
        <f t="shared" si="80"/>
        <v/>
      </c>
    </row>
    <row r="405" spans="1:11" x14ac:dyDescent="0.3">
      <c r="A405" s="8" t="s">
        <v>458</v>
      </c>
      <c r="B405" s="9" t="s">
        <v>62</v>
      </c>
      <c r="C405" s="6" t="s">
        <v>405</v>
      </c>
      <c r="D405" s="6" t="s">
        <v>406</v>
      </c>
      <c r="E405" s="6" t="s">
        <v>20</v>
      </c>
      <c r="F405" s="52">
        <v>3</v>
      </c>
      <c r="G405" s="52"/>
      <c r="H405" s="15">
        <f t="shared" si="83"/>
        <v>3</v>
      </c>
      <c r="I405" s="134">
        <f>'2 - Section Count Projection'!$O$103</f>
        <v>0</v>
      </c>
      <c r="J405" s="16">
        <f t="shared" si="84"/>
        <v>0</v>
      </c>
      <c r="K405" s="7" t="str">
        <f t="shared" si="80"/>
        <v/>
      </c>
    </row>
    <row r="406" spans="1:11" x14ac:dyDescent="0.3">
      <c r="A406" s="8" t="s">
        <v>458</v>
      </c>
      <c r="B406" s="9" t="s">
        <v>62</v>
      </c>
      <c r="C406" s="6" t="s">
        <v>144</v>
      </c>
      <c r="D406" s="6" t="s">
        <v>145</v>
      </c>
      <c r="E406" s="6" t="s">
        <v>141</v>
      </c>
      <c r="F406" s="52">
        <v>3</v>
      </c>
      <c r="G406" s="52"/>
      <c r="H406" s="15">
        <f t="shared" si="83"/>
        <v>3</v>
      </c>
      <c r="I406" s="134">
        <f>'2 - Section Count Projection'!$O$103</f>
        <v>0</v>
      </c>
      <c r="J406" s="16">
        <f t="shared" si="84"/>
        <v>0</v>
      </c>
      <c r="K406" s="7" t="str">
        <f t="shared" si="80"/>
        <v/>
      </c>
    </row>
    <row r="407" spans="1:11" x14ac:dyDescent="0.3">
      <c r="A407" s="8" t="s">
        <v>458</v>
      </c>
      <c r="B407" s="9" t="s">
        <v>62</v>
      </c>
      <c r="C407" s="6" t="s">
        <v>217</v>
      </c>
      <c r="D407" s="6" t="s">
        <v>218</v>
      </c>
      <c r="E407" s="6" t="s">
        <v>36</v>
      </c>
      <c r="F407" s="52">
        <v>3</v>
      </c>
      <c r="G407" s="52"/>
      <c r="H407" s="15">
        <f t="shared" si="83"/>
        <v>3</v>
      </c>
      <c r="I407" s="134">
        <f>'2 - Section Count Projection'!$O$103</f>
        <v>0</v>
      </c>
      <c r="J407" s="16">
        <f t="shared" si="84"/>
        <v>0</v>
      </c>
      <c r="K407" s="7" t="str">
        <f t="shared" si="80"/>
        <v/>
      </c>
    </row>
    <row r="408" spans="1:11" x14ac:dyDescent="0.3">
      <c r="A408" s="8" t="s">
        <v>458</v>
      </c>
      <c r="B408" s="9" t="s">
        <v>62</v>
      </c>
      <c r="C408" s="6" t="s">
        <v>142</v>
      </c>
      <c r="D408" s="6" t="s">
        <v>143</v>
      </c>
      <c r="E408" s="6" t="s">
        <v>38</v>
      </c>
      <c r="F408" s="52">
        <v>2</v>
      </c>
      <c r="G408" s="52"/>
      <c r="H408" s="15">
        <f t="shared" si="83"/>
        <v>2</v>
      </c>
      <c r="I408" s="134">
        <f>'2 - Section Count Projection'!$O$103</f>
        <v>0</v>
      </c>
      <c r="J408" s="16">
        <f t="shared" si="84"/>
        <v>0</v>
      </c>
      <c r="K408" s="7" t="str">
        <f t="shared" si="80"/>
        <v/>
      </c>
    </row>
    <row r="409" spans="1:11" x14ac:dyDescent="0.3">
      <c r="K409" s="7" t="str">
        <f t="shared" si="80"/>
        <v/>
      </c>
    </row>
    <row r="410" spans="1:11" x14ac:dyDescent="0.3">
      <c r="A410" s="58" t="s">
        <v>459</v>
      </c>
      <c r="K410" s="7" t="str">
        <f t="shared" si="80"/>
        <v/>
      </c>
    </row>
    <row r="411" spans="1:11" x14ac:dyDescent="0.3">
      <c r="A411" s="8" t="s">
        <v>458</v>
      </c>
      <c r="B411" s="9" t="s">
        <v>66</v>
      </c>
      <c r="C411" s="6" t="s">
        <v>407</v>
      </c>
      <c r="D411" s="6" t="s">
        <v>408</v>
      </c>
      <c r="E411" s="6" t="s">
        <v>378</v>
      </c>
      <c r="F411" s="52">
        <v>3</v>
      </c>
      <c r="G411" s="52"/>
      <c r="H411" s="17">
        <f t="shared" ref="H411:H417" si="85">SUM(F411:G411)</f>
        <v>3</v>
      </c>
      <c r="I411" s="134">
        <f>'2 - Section Count Projection'!$O$105</f>
        <v>0</v>
      </c>
      <c r="J411" s="16">
        <f t="shared" ref="J411:J417" si="86">I411*H411</f>
        <v>0</v>
      </c>
      <c r="K411" s="7" t="str">
        <f t="shared" si="80"/>
        <v/>
      </c>
    </row>
    <row r="412" spans="1:11" x14ac:dyDescent="0.3">
      <c r="A412" s="8" t="s">
        <v>458</v>
      </c>
      <c r="B412" s="9" t="s">
        <v>66</v>
      </c>
      <c r="C412" s="6" t="s">
        <v>409</v>
      </c>
      <c r="D412" s="6" t="s">
        <v>410</v>
      </c>
      <c r="E412" s="6" t="s">
        <v>20</v>
      </c>
      <c r="F412" s="52">
        <v>3</v>
      </c>
      <c r="G412" s="52"/>
      <c r="H412" s="17">
        <f t="shared" si="85"/>
        <v>3</v>
      </c>
      <c r="I412" s="134">
        <f>'2 - Section Count Projection'!$O$105</f>
        <v>0</v>
      </c>
      <c r="J412" s="16">
        <f t="shared" si="86"/>
        <v>0</v>
      </c>
      <c r="K412" s="7" t="str">
        <f t="shared" si="80"/>
        <v/>
      </c>
    </row>
    <row r="413" spans="1:11" x14ac:dyDescent="0.3">
      <c r="A413" s="8" t="s">
        <v>458</v>
      </c>
      <c r="B413" s="9" t="s">
        <v>66</v>
      </c>
      <c r="C413" s="6" t="s">
        <v>411</v>
      </c>
      <c r="D413" s="6" t="s">
        <v>412</v>
      </c>
      <c r="E413" s="6" t="s">
        <v>20</v>
      </c>
      <c r="F413" s="52">
        <v>3</v>
      </c>
      <c r="G413" s="52"/>
      <c r="H413" s="17">
        <f t="shared" si="85"/>
        <v>3</v>
      </c>
      <c r="I413" s="134">
        <f>'2 - Section Count Projection'!$O$105</f>
        <v>0</v>
      </c>
      <c r="J413" s="16">
        <f t="shared" si="86"/>
        <v>0</v>
      </c>
      <c r="K413" s="7" t="str">
        <f t="shared" si="80"/>
        <v/>
      </c>
    </row>
    <row r="414" spans="1:11" x14ac:dyDescent="0.3">
      <c r="A414" s="8" t="s">
        <v>458</v>
      </c>
      <c r="B414" s="9" t="s">
        <v>66</v>
      </c>
      <c r="C414" s="6" t="s">
        <v>413</v>
      </c>
      <c r="D414" s="6" t="s">
        <v>414</v>
      </c>
      <c r="E414" s="6" t="s">
        <v>20</v>
      </c>
      <c r="F414" s="52">
        <v>3</v>
      </c>
      <c r="G414" s="52"/>
      <c r="H414" s="17">
        <f t="shared" si="85"/>
        <v>3</v>
      </c>
      <c r="I414" s="134">
        <f>'2 - Section Count Projection'!$O$105</f>
        <v>0</v>
      </c>
      <c r="J414" s="16">
        <f t="shared" si="86"/>
        <v>0</v>
      </c>
      <c r="K414" s="7" t="str">
        <f t="shared" si="80"/>
        <v/>
      </c>
    </row>
    <row r="415" spans="1:11" x14ac:dyDescent="0.3">
      <c r="A415" s="8" t="s">
        <v>458</v>
      </c>
      <c r="B415" s="9" t="s">
        <v>66</v>
      </c>
      <c r="C415" s="6" t="s">
        <v>415</v>
      </c>
      <c r="D415" s="6" t="s">
        <v>416</v>
      </c>
      <c r="E415" s="6" t="s">
        <v>378</v>
      </c>
      <c r="F415" s="52">
        <v>2</v>
      </c>
      <c r="G415" s="52">
        <v>1.5</v>
      </c>
      <c r="H415" s="17">
        <f t="shared" si="85"/>
        <v>3.5</v>
      </c>
      <c r="I415" s="134">
        <f>'2 - Section Count Projection'!$O$105</f>
        <v>0</v>
      </c>
      <c r="J415" s="16">
        <f t="shared" si="86"/>
        <v>0</v>
      </c>
      <c r="K415" s="7" t="str">
        <f t="shared" si="80"/>
        <v/>
      </c>
    </row>
    <row r="416" spans="1:11" x14ac:dyDescent="0.3">
      <c r="A416" s="8" t="s">
        <v>458</v>
      </c>
      <c r="B416" s="9" t="s">
        <v>66</v>
      </c>
      <c r="C416" s="6" t="s">
        <v>374</v>
      </c>
      <c r="D416" s="6" t="s">
        <v>375</v>
      </c>
      <c r="E416" s="6" t="s">
        <v>20</v>
      </c>
      <c r="F416" s="52">
        <v>3</v>
      </c>
      <c r="G416" s="52"/>
      <c r="H416" s="17">
        <f t="shared" si="85"/>
        <v>3</v>
      </c>
      <c r="I416" s="134">
        <f>'2 - Section Count Projection'!$O$105</f>
        <v>0</v>
      </c>
      <c r="J416" s="16">
        <f t="shared" si="86"/>
        <v>0</v>
      </c>
      <c r="K416" s="7" t="str">
        <f t="shared" si="80"/>
        <v/>
      </c>
    </row>
    <row r="417" spans="1:11" x14ac:dyDescent="0.3">
      <c r="A417" s="62" t="s">
        <v>458</v>
      </c>
      <c r="B417" s="61" t="s">
        <v>66</v>
      </c>
      <c r="C417" s="6" t="s">
        <v>417</v>
      </c>
      <c r="D417" s="6" t="s">
        <v>418</v>
      </c>
      <c r="E417" s="6" t="s">
        <v>20</v>
      </c>
      <c r="F417" s="53">
        <v>2</v>
      </c>
      <c r="G417" s="53">
        <v>1.5</v>
      </c>
      <c r="H417" s="142">
        <f t="shared" si="85"/>
        <v>3.5</v>
      </c>
      <c r="I417" s="135">
        <f>'2 - Section Count Projection'!$O$105</f>
        <v>0</v>
      </c>
      <c r="J417" s="140">
        <f t="shared" si="86"/>
        <v>0</v>
      </c>
      <c r="K417" s="7" t="str">
        <f t="shared" si="80"/>
        <v/>
      </c>
    </row>
    <row r="418" spans="1:11" x14ac:dyDescent="0.3">
      <c r="A418" s="8" t="s">
        <v>458</v>
      </c>
      <c r="B418" s="9" t="s">
        <v>66</v>
      </c>
      <c r="C418" s="6" t="s">
        <v>460</v>
      </c>
      <c r="D418" s="6" t="s">
        <v>461</v>
      </c>
      <c r="E418" s="6" t="s">
        <v>20</v>
      </c>
      <c r="F418" s="52">
        <v>3</v>
      </c>
      <c r="G418" s="52"/>
      <c r="H418" s="17">
        <f>SUM(F418:G418)</f>
        <v>3</v>
      </c>
      <c r="I418" s="134">
        <f>'2 - Section Count Projection'!$O$105</f>
        <v>0</v>
      </c>
      <c r="J418" s="16">
        <f>I418*H418</f>
        <v>0</v>
      </c>
      <c r="K418" s="7" t="str">
        <f t="shared" si="80"/>
        <v/>
      </c>
    </row>
    <row r="419" spans="1:11" x14ac:dyDescent="0.3">
      <c r="K419" s="7" t="str">
        <f t="shared" si="80"/>
        <v/>
      </c>
    </row>
    <row r="420" spans="1:11" x14ac:dyDescent="0.3">
      <c r="A420" s="170" t="s">
        <v>462</v>
      </c>
      <c r="B420" s="171"/>
      <c r="C420" s="171"/>
      <c r="D420" s="171"/>
      <c r="E420" s="171"/>
      <c r="F420" s="171"/>
      <c r="G420" s="171"/>
      <c r="H420" s="171"/>
      <c r="I420" s="171"/>
      <c r="J420" s="171"/>
      <c r="K420" s="7" t="str">
        <f t="shared" si="80"/>
        <v/>
      </c>
    </row>
    <row r="421" spans="1:11" x14ac:dyDescent="0.3">
      <c r="A421" s="156" t="s">
        <v>458</v>
      </c>
      <c r="B421" s="153" t="s">
        <v>71</v>
      </c>
      <c r="C421" s="4" t="s">
        <v>422</v>
      </c>
      <c r="D421" s="4" t="s">
        <v>423</v>
      </c>
      <c r="E421" s="4" t="s">
        <v>20</v>
      </c>
      <c r="F421" s="5">
        <v>3</v>
      </c>
      <c r="G421" s="5"/>
      <c r="H421" s="157">
        <f t="shared" ref="H421:H427" si="87">SUM(F421:G421)</f>
        <v>3</v>
      </c>
      <c r="I421" s="166">
        <f>'2 - Section Count Projection'!$O$107</f>
        <v>0</v>
      </c>
      <c r="J421" s="167">
        <f t="shared" ref="J421:J427" si="88">I421*H421</f>
        <v>0</v>
      </c>
      <c r="K421" s="7" t="str">
        <f t="shared" si="80"/>
        <v/>
      </c>
    </row>
    <row r="422" spans="1:11" x14ac:dyDescent="0.3">
      <c r="A422" s="156" t="s">
        <v>458</v>
      </c>
      <c r="B422" s="153" t="s">
        <v>71</v>
      </c>
      <c r="C422" s="4" t="s">
        <v>424</v>
      </c>
      <c r="D422" s="4" t="s">
        <v>425</v>
      </c>
      <c r="E422" s="4" t="s">
        <v>20</v>
      </c>
      <c r="F422" s="5">
        <v>3</v>
      </c>
      <c r="G422" s="5"/>
      <c r="H422" s="157">
        <f t="shared" si="87"/>
        <v>3</v>
      </c>
      <c r="I422" s="166">
        <f>'2 - Section Count Projection'!$O$107</f>
        <v>0</v>
      </c>
      <c r="J422" s="167">
        <f t="shared" si="88"/>
        <v>0</v>
      </c>
      <c r="K422" s="7" t="str">
        <f t="shared" si="80"/>
        <v/>
      </c>
    </row>
    <row r="423" spans="1:11" x14ac:dyDescent="0.3">
      <c r="A423" s="156" t="s">
        <v>458</v>
      </c>
      <c r="B423" s="153" t="s">
        <v>71</v>
      </c>
      <c r="C423" s="4" t="s">
        <v>426</v>
      </c>
      <c r="D423" s="4" t="s">
        <v>427</v>
      </c>
      <c r="E423" s="4" t="s">
        <v>20</v>
      </c>
      <c r="F423" s="5">
        <v>3</v>
      </c>
      <c r="G423" s="5"/>
      <c r="H423" s="157">
        <f t="shared" si="87"/>
        <v>3</v>
      </c>
      <c r="I423" s="166">
        <f>'2 - Section Count Projection'!$O$107</f>
        <v>0</v>
      </c>
      <c r="J423" s="167">
        <f t="shared" si="88"/>
        <v>0</v>
      </c>
      <c r="K423" s="7" t="str">
        <f t="shared" si="80"/>
        <v/>
      </c>
    </row>
    <row r="424" spans="1:11" ht="15" customHeight="1" x14ac:dyDescent="0.3">
      <c r="A424" s="156" t="s">
        <v>458</v>
      </c>
      <c r="B424" s="153" t="s">
        <v>71</v>
      </c>
      <c r="C424" s="4" t="s">
        <v>428</v>
      </c>
      <c r="D424" s="4" t="s">
        <v>429</v>
      </c>
      <c r="E424" s="4" t="s">
        <v>378</v>
      </c>
      <c r="F424" s="5">
        <v>2</v>
      </c>
      <c r="G424" s="5">
        <v>1.5</v>
      </c>
      <c r="H424" s="157">
        <f t="shared" si="87"/>
        <v>3.5</v>
      </c>
      <c r="I424" s="166">
        <f>'2 - Section Count Projection'!$O$107</f>
        <v>0</v>
      </c>
      <c r="J424" s="167">
        <f t="shared" si="88"/>
        <v>0</v>
      </c>
      <c r="K424" s="7" t="str">
        <f t="shared" si="80"/>
        <v/>
      </c>
    </row>
    <row r="425" spans="1:11" x14ac:dyDescent="0.3">
      <c r="A425" s="156" t="s">
        <v>458</v>
      </c>
      <c r="B425" s="153" t="s">
        <v>71</v>
      </c>
      <c r="C425" s="4" t="s">
        <v>463</v>
      </c>
      <c r="D425" s="4" t="s">
        <v>431</v>
      </c>
      <c r="E425" s="4" t="s">
        <v>20</v>
      </c>
      <c r="F425" s="5">
        <v>3</v>
      </c>
      <c r="G425" s="5"/>
      <c r="H425" s="157">
        <f t="shared" si="87"/>
        <v>3</v>
      </c>
      <c r="I425" s="166">
        <f>'2 - Section Count Projection'!$O$107</f>
        <v>0</v>
      </c>
      <c r="J425" s="167">
        <f t="shared" si="88"/>
        <v>0</v>
      </c>
      <c r="K425" s="7" t="str">
        <f t="shared" si="80"/>
        <v/>
      </c>
    </row>
    <row r="426" spans="1:11" x14ac:dyDescent="0.3">
      <c r="A426" s="156" t="s">
        <v>458</v>
      </c>
      <c r="B426" s="153" t="s">
        <v>71</v>
      </c>
      <c r="C426" s="4" t="s">
        <v>432</v>
      </c>
      <c r="D426" s="4" t="s">
        <v>433</v>
      </c>
      <c r="E426" s="4" t="s">
        <v>378</v>
      </c>
      <c r="F426" s="5">
        <v>3</v>
      </c>
      <c r="G426" s="5"/>
      <c r="H426" s="157">
        <f t="shared" si="87"/>
        <v>3</v>
      </c>
      <c r="I426" s="166">
        <f>'2 - Section Count Projection'!$O$107</f>
        <v>0</v>
      </c>
      <c r="J426" s="167">
        <f t="shared" si="88"/>
        <v>0</v>
      </c>
      <c r="K426" s="7" t="str">
        <f t="shared" si="80"/>
        <v/>
      </c>
    </row>
    <row r="427" spans="1:11" x14ac:dyDescent="0.3">
      <c r="A427" s="158" t="s">
        <v>458</v>
      </c>
      <c r="B427" s="153" t="s">
        <v>71</v>
      </c>
      <c r="C427" s="4" t="s">
        <v>167</v>
      </c>
      <c r="D427" s="4" t="s">
        <v>168</v>
      </c>
      <c r="E427" s="101"/>
      <c r="F427" s="159">
        <v>1</v>
      </c>
      <c r="G427" s="159"/>
      <c r="H427" s="160">
        <f t="shared" si="87"/>
        <v>1</v>
      </c>
      <c r="I427" s="166">
        <f>'2 - Section Count Projection'!$O$107</f>
        <v>0</v>
      </c>
      <c r="J427" s="168">
        <f t="shared" si="88"/>
        <v>0</v>
      </c>
      <c r="K427" s="7" t="str">
        <f t="shared" si="80"/>
        <v/>
      </c>
    </row>
    <row r="428" spans="1:11" x14ac:dyDescent="0.3">
      <c r="A428" s="156" t="s">
        <v>458</v>
      </c>
      <c r="B428" s="153" t="s">
        <v>71</v>
      </c>
      <c r="C428" s="4" t="s">
        <v>464</v>
      </c>
      <c r="D428" s="4" t="s">
        <v>465</v>
      </c>
      <c r="E428" s="4" t="s">
        <v>20</v>
      </c>
      <c r="F428" s="5">
        <v>3</v>
      </c>
      <c r="G428" s="5"/>
      <c r="H428" s="157">
        <f>SUM(F428:G428)</f>
        <v>3</v>
      </c>
      <c r="I428" s="166">
        <f>'2 - Section Count Projection'!$O$107</f>
        <v>0</v>
      </c>
      <c r="J428" s="167">
        <f>I428*H428</f>
        <v>0</v>
      </c>
      <c r="K428" s="7" t="str">
        <f t="shared" si="80"/>
        <v/>
      </c>
    </row>
    <row r="429" spans="1:11" x14ac:dyDescent="0.3">
      <c r="K429" s="7" t="str">
        <f t="shared" si="80"/>
        <v/>
      </c>
    </row>
    <row r="430" spans="1:11" x14ac:dyDescent="0.3">
      <c r="A430" s="58" t="s">
        <v>466</v>
      </c>
      <c r="K430" s="7" t="str">
        <f t="shared" si="80"/>
        <v/>
      </c>
    </row>
    <row r="431" spans="1:11" x14ac:dyDescent="0.3">
      <c r="A431" s="8" t="s">
        <v>467</v>
      </c>
      <c r="B431" s="9" t="s">
        <v>59</v>
      </c>
      <c r="C431" s="6" t="s">
        <v>468</v>
      </c>
      <c r="D431" s="6" t="s">
        <v>469</v>
      </c>
      <c r="E431" s="6" t="s">
        <v>470</v>
      </c>
      <c r="F431" s="52">
        <v>3</v>
      </c>
      <c r="G431" s="52"/>
      <c r="H431" s="15">
        <f>SUM(F431:G431)</f>
        <v>3</v>
      </c>
      <c r="I431" s="134">
        <f>'2 - Section Count Projection'!$O$119</f>
        <v>0</v>
      </c>
      <c r="J431" s="16">
        <f>I431*H431</f>
        <v>0</v>
      </c>
      <c r="K431" s="7" t="str">
        <f t="shared" si="80"/>
        <v/>
      </c>
    </row>
    <row r="432" spans="1:11" x14ac:dyDescent="0.3">
      <c r="A432" s="8" t="s">
        <v>467</v>
      </c>
      <c r="B432" s="9" t="s">
        <v>59</v>
      </c>
      <c r="C432" s="6" t="s">
        <v>123</v>
      </c>
      <c r="D432" s="6" t="s">
        <v>124</v>
      </c>
      <c r="E432" s="101"/>
      <c r="F432" s="52">
        <v>1</v>
      </c>
      <c r="G432" s="52"/>
      <c r="H432" s="15">
        <f t="shared" ref="H432:H437" si="89">SUM(F432:G432)</f>
        <v>1</v>
      </c>
      <c r="I432" s="134">
        <f>'2 - Section Count Projection'!$O$119</f>
        <v>0</v>
      </c>
      <c r="J432" s="16">
        <f t="shared" ref="J432:J437" si="90">I432*H432</f>
        <v>0</v>
      </c>
      <c r="K432" s="7" t="str">
        <f t="shared" si="80"/>
        <v/>
      </c>
    </row>
    <row r="433" spans="1:11" x14ac:dyDescent="0.3">
      <c r="A433" s="8" t="s">
        <v>467</v>
      </c>
      <c r="B433" s="9" t="s">
        <v>59</v>
      </c>
      <c r="C433" s="6" t="s">
        <v>217</v>
      </c>
      <c r="D433" s="6" t="s">
        <v>218</v>
      </c>
      <c r="E433" s="6" t="s">
        <v>36</v>
      </c>
      <c r="F433" s="52">
        <v>3</v>
      </c>
      <c r="G433" s="52"/>
      <c r="H433" s="15">
        <f t="shared" si="89"/>
        <v>3</v>
      </c>
      <c r="I433" s="134">
        <f>'2 - Section Count Projection'!$O$119</f>
        <v>0</v>
      </c>
      <c r="J433" s="16">
        <f t="shared" si="90"/>
        <v>0</v>
      </c>
      <c r="K433" s="7" t="str">
        <f t="shared" si="80"/>
        <v/>
      </c>
    </row>
    <row r="434" spans="1:11" x14ac:dyDescent="0.3">
      <c r="A434" s="8" t="s">
        <v>467</v>
      </c>
      <c r="B434" s="9" t="s">
        <v>59</v>
      </c>
      <c r="C434" s="6" t="s">
        <v>128</v>
      </c>
      <c r="D434" s="6" t="s">
        <v>129</v>
      </c>
      <c r="E434" s="101"/>
      <c r="F434" s="52">
        <v>3</v>
      </c>
      <c r="G434" s="52"/>
      <c r="H434" s="15">
        <f t="shared" si="89"/>
        <v>3</v>
      </c>
      <c r="I434" s="134">
        <f>'2 - Section Count Projection'!$O$119</f>
        <v>0</v>
      </c>
      <c r="J434" s="16">
        <f t="shared" si="90"/>
        <v>0</v>
      </c>
      <c r="K434" s="7" t="str">
        <f t="shared" si="80"/>
        <v/>
      </c>
    </row>
    <row r="435" spans="1:11" x14ac:dyDescent="0.3">
      <c r="A435" s="8" t="s">
        <v>467</v>
      </c>
      <c r="B435" s="9" t="s">
        <v>59</v>
      </c>
      <c r="C435" s="6" t="s">
        <v>130</v>
      </c>
      <c r="D435" s="6" t="s">
        <v>131</v>
      </c>
      <c r="E435" s="6" t="s">
        <v>38</v>
      </c>
      <c r="F435" s="52">
        <v>2</v>
      </c>
      <c r="G435" s="52"/>
      <c r="H435" s="15">
        <f t="shared" si="89"/>
        <v>2</v>
      </c>
      <c r="I435" s="134">
        <f>'2 - Section Count Projection'!$O$119</f>
        <v>0</v>
      </c>
      <c r="J435" s="16">
        <f t="shared" si="90"/>
        <v>0</v>
      </c>
      <c r="K435" s="7" t="str">
        <f t="shared" si="80"/>
        <v/>
      </c>
    </row>
    <row r="436" spans="1:11" ht="18" customHeight="1" x14ac:dyDescent="0.3">
      <c r="A436" s="8" t="s">
        <v>467</v>
      </c>
      <c r="B436" s="9" t="s">
        <v>59</v>
      </c>
      <c r="C436" s="6" t="s">
        <v>139</v>
      </c>
      <c r="D436" s="6" t="s">
        <v>140</v>
      </c>
      <c r="E436" s="6" t="s">
        <v>141</v>
      </c>
      <c r="F436" s="52">
        <v>3</v>
      </c>
      <c r="G436" s="52"/>
      <c r="H436" s="15">
        <f t="shared" si="89"/>
        <v>3</v>
      </c>
      <c r="I436" s="134">
        <f>'2 - Section Count Projection'!$O$119</f>
        <v>0</v>
      </c>
      <c r="J436" s="16">
        <f t="shared" si="90"/>
        <v>0</v>
      </c>
      <c r="K436" s="7" t="str">
        <f t="shared" si="80"/>
        <v/>
      </c>
    </row>
    <row r="437" spans="1:11" x14ac:dyDescent="0.3">
      <c r="A437" s="8" t="s">
        <v>467</v>
      </c>
      <c r="B437" s="9" t="s">
        <v>59</v>
      </c>
      <c r="C437" s="6" t="s">
        <v>134</v>
      </c>
      <c r="D437" s="6" t="s">
        <v>135</v>
      </c>
      <c r="E437" s="6" t="s">
        <v>141</v>
      </c>
      <c r="F437" s="52">
        <v>3</v>
      </c>
      <c r="G437" s="52"/>
      <c r="H437" s="15">
        <f t="shared" si="89"/>
        <v>3</v>
      </c>
      <c r="I437" s="134">
        <f>'2 - Section Count Projection'!$O$119</f>
        <v>0</v>
      </c>
      <c r="J437" s="16">
        <f t="shared" si="90"/>
        <v>0</v>
      </c>
      <c r="K437" s="7" t="str">
        <f t="shared" si="80"/>
        <v/>
      </c>
    </row>
    <row r="438" spans="1:11" x14ac:dyDescent="0.3">
      <c r="K438" s="7" t="str">
        <f t="shared" si="80"/>
        <v/>
      </c>
    </row>
    <row r="439" spans="1:11" x14ac:dyDescent="0.3">
      <c r="A439" s="58" t="s">
        <v>466</v>
      </c>
      <c r="K439" s="7" t="str">
        <f t="shared" si="80"/>
        <v/>
      </c>
    </row>
    <row r="440" spans="1:11" x14ac:dyDescent="0.3">
      <c r="A440" s="8" t="s">
        <v>467</v>
      </c>
      <c r="B440" s="9" t="s">
        <v>62</v>
      </c>
      <c r="C440" s="6" t="s">
        <v>121</v>
      </c>
      <c r="D440" s="6" t="s">
        <v>122</v>
      </c>
      <c r="E440" s="101"/>
      <c r="F440" s="52">
        <v>3</v>
      </c>
      <c r="G440" s="52"/>
      <c r="H440" s="17">
        <f t="shared" ref="H440:H445" si="91">SUM(F440:G440)</f>
        <v>3</v>
      </c>
      <c r="I440" s="134">
        <f>'2 - Section Count Projection'!$O$121</f>
        <v>0</v>
      </c>
      <c r="J440" s="16">
        <f t="shared" ref="J440:J445" si="92">I440*H440</f>
        <v>0</v>
      </c>
      <c r="K440" s="7" t="str">
        <f t="shared" si="80"/>
        <v/>
      </c>
    </row>
    <row r="441" spans="1:11" x14ac:dyDescent="0.3">
      <c r="A441" s="8" t="s">
        <v>467</v>
      </c>
      <c r="B441" s="9" t="s">
        <v>62</v>
      </c>
      <c r="C441" s="6" t="s">
        <v>185</v>
      </c>
      <c r="D441" s="6" t="s">
        <v>186</v>
      </c>
      <c r="E441" s="6" t="s">
        <v>20</v>
      </c>
      <c r="F441" s="52">
        <v>3</v>
      </c>
      <c r="G441" s="52"/>
      <c r="H441" s="17">
        <f t="shared" si="91"/>
        <v>3</v>
      </c>
      <c r="I441" s="134">
        <f>'2 - Section Count Projection'!$O$121</f>
        <v>0</v>
      </c>
      <c r="J441" s="16">
        <f t="shared" si="92"/>
        <v>0</v>
      </c>
      <c r="K441" s="7" t="str">
        <f t="shared" si="80"/>
        <v/>
      </c>
    </row>
    <row r="442" spans="1:11" x14ac:dyDescent="0.3">
      <c r="A442" s="8" t="s">
        <v>467</v>
      </c>
      <c r="B442" s="9" t="s">
        <v>62</v>
      </c>
      <c r="C442" s="6" t="s">
        <v>144</v>
      </c>
      <c r="D442" s="6" t="s">
        <v>145</v>
      </c>
      <c r="E442" s="6" t="s">
        <v>141</v>
      </c>
      <c r="F442" s="52">
        <v>3</v>
      </c>
      <c r="G442" s="52"/>
      <c r="H442" s="17">
        <f t="shared" si="91"/>
        <v>3</v>
      </c>
      <c r="I442" s="134">
        <f>'2 - Section Count Projection'!$O$121</f>
        <v>0</v>
      </c>
      <c r="J442" s="16">
        <f t="shared" si="92"/>
        <v>0</v>
      </c>
      <c r="K442" s="7" t="str">
        <f t="shared" si="80"/>
        <v/>
      </c>
    </row>
    <row r="443" spans="1:11" x14ac:dyDescent="0.3">
      <c r="A443" s="8" t="s">
        <v>467</v>
      </c>
      <c r="B443" s="9" t="s">
        <v>62</v>
      </c>
      <c r="C443" s="6" t="s">
        <v>142</v>
      </c>
      <c r="D443" s="6" t="s">
        <v>143</v>
      </c>
      <c r="E443" s="6" t="s">
        <v>38</v>
      </c>
      <c r="F443" s="52">
        <v>2</v>
      </c>
      <c r="G443" s="52"/>
      <c r="H443" s="17">
        <f t="shared" si="91"/>
        <v>2</v>
      </c>
      <c r="I443" s="134">
        <f>'2 - Section Count Projection'!$O$121</f>
        <v>0</v>
      </c>
      <c r="J443" s="16">
        <f t="shared" si="92"/>
        <v>0</v>
      </c>
      <c r="K443" s="7" t="str">
        <f t="shared" si="80"/>
        <v/>
      </c>
    </row>
    <row r="444" spans="1:11" x14ac:dyDescent="0.3">
      <c r="A444" s="8" t="s">
        <v>467</v>
      </c>
      <c r="B444" s="9" t="s">
        <v>62</v>
      </c>
      <c r="C444" s="6" t="s">
        <v>471</v>
      </c>
      <c r="D444" s="6" t="s">
        <v>472</v>
      </c>
      <c r="E444" s="6" t="s">
        <v>470</v>
      </c>
      <c r="F444" s="52">
        <v>2</v>
      </c>
      <c r="G444" s="52">
        <v>1.5</v>
      </c>
      <c r="H444" s="17">
        <f t="shared" si="91"/>
        <v>3.5</v>
      </c>
      <c r="I444" s="134">
        <f>'2 - Section Count Projection'!$O$121</f>
        <v>0</v>
      </c>
      <c r="J444" s="16">
        <f t="shared" si="92"/>
        <v>0</v>
      </c>
      <c r="K444" s="7" t="str">
        <f t="shared" si="80"/>
        <v/>
      </c>
    </row>
    <row r="445" spans="1:11" x14ac:dyDescent="0.3">
      <c r="A445" s="8" t="s">
        <v>467</v>
      </c>
      <c r="B445" s="9" t="s">
        <v>62</v>
      </c>
      <c r="C445" s="6" t="s">
        <v>473</v>
      </c>
      <c r="D445" s="6" t="s">
        <v>474</v>
      </c>
      <c r="E445" s="6" t="s">
        <v>470</v>
      </c>
      <c r="F445" s="52">
        <v>3</v>
      </c>
      <c r="G445" s="52"/>
      <c r="H445" s="17">
        <f t="shared" si="91"/>
        <v>3</v>
      </c>
      <c r="I445" s="134">
        <f>'2 - Section Count Projection'!$O$121</f>
        <v>0</v>
      </c>
      <c r="J445" s="16">
        <f t="shared" si="92"/>
        <v>0</v>
      </c>
      <c r="K445" s="7" t="str">
        <f t="shared" si="80"/>
        <v/>
      </c>
    </row>
    <row r="446" spans="1:11" x14ac:dyDescent="0.3">
      <c r="K446" s="7" t="str">
        <f t="shared" si="80"/>
        <v/>
      </c>
    </row>
    <row r="447" spans="1:11" x14ac:dyDescent="0.3">
      <c r="A447" s="58" t="s">
        <v>466</v>
      </c>
      <c r="K447" s="7" t="str">
        <f t="shared" si="80"/>
        <v/>
      </c>
    </row>
    <row r="448" spans="1:11" x14ac:dyDescent="0.3">
      <c r="A448" s="8" t="s">
        <v>467</v>
      </c>
      <c r="B448" s="9" t="s">
        <v>66</v>
      </c>
      <c r="C448" s="6" t="s">
        <v>475</v>
      </c>
      <c r="D448" s="6" t="s">
        <v>476</v>
      </c>
      <c r="E448" s="6" t="s">
        <v>470</v>
      </c>
      <c r="F448" s="52">
        <v>3</v>
      </c>
      <c r="G448" s="52"/>
      <c r="H448" s="17">
        <f t="shared" ref="H448:H453" si="93">SUM(F448:G448)</f>
        <v>3</v>
      </c>
      <c r="I448" s="134">
        <f>'2 - Section Count Projection'!$O$123</f>
        <v>0</v>
      </c>
      <c r="J448" s="16">
        <f t="shared" ref="J448:J453" si="94">I448*H448</f>
        <v>0</v>
      </c>
      <c r="K448" s="7" t="str">
        <f t="shared" si="80"/>
        <v/>
      </c>
    </row>
    <row r="449" spans="1:11" x14ac:dyDescent="0.3">
      <c r="A449" s="8" t="s">
        <v>467</v>
      </c>
      <c r="B449" s="9" t="s">
        <v>66</v>
      </c>
      <c r="C449" s="6" t="s">
        <v>477</v>
      </c>
      <c r="D449" s="6" t="s">
        <v>478</v>
      </c>
      <c r="E449" s="6" t="s">
        <v>470</v>
      </c>
      <c r="F449" s="52">
        <v>3</v>
      </c>
      <c r="G449" s="52"/>
      <c r="H449" s="17">
        <f t="shared" si="93"/>
        <v>3</v>
      </c>
      <c r="I449" s="134">
        <f>'2 - Section Count Projection'!$O$123</f>
        <v>0</v>
      </c>
      <c r="J449" s="16">
        <f t="shared" si="94"/>
        <v>0</v>
      </c>
      <c r="K449" s="7" t="str">
        <f t="shared" si="80"/>
        <v/>
      </c>
    </row>
    <row r="450" spans="1:11" x14ac:dyDescent="0.3">
      <c r="A450" s="8" t="s">
        <v>467</v>
      </c>
      <c r="B450" s="9" t="s">
        <v>66</v>
      </c>
      <c r="C450" s="6" t="s">
        <v>274</v>
      </c>
      <c r="D450" s="6" t="s">
        <v>275</v>
      </c>
      <c r="E450" s="6" t="s">
        <v>127</v>
      </c>
      <c r="F450" s="52">
        <v>3</v>
      </c>
      <c r="G450" s="52"/>
      <c r="H450" s="17">
        <f t="shared" si="93"/>
        <v>3</v>
      </c>
      <c r="I450" s="134">
        <f>'2 - Section Count Projection'!$O$123</f>
        <v>0</v>
      </c>
      <c r="J450" s="16">
        <f t="shared" si="94"/>
        <v>0</v>
      </c>
      <c r="K450" s="7" t="str">
        <f t="shared" si="80"/>
        <v/>
      </c>
    </row>
    <row r="451" spans="1:11" x14ac:dyDescent="0.3">
      <c r="A451" s="8" t="s">
        <v>467</v>
      </c>
      <c r="B451" s="9" t="s">
        <v>66</v>
      </c>
      <c r="C451" s="6" t="s">
        <v>479</v>
      </c>
      <c r="D451" s="6" t="s">
        <v>480</v>
      </c>
      <c r="E451" s="6" t="s">
        <v>470</v>
      </c>
      <c r="F451" s="52">
        <v>3</v>
      </c>
      <c r="G451" s="52"/>
      <c r="H451" s="17">
        <f t="shared" si="93"/>
        <v>3</v>
      </c>
      <c r="I451" s="134">
        <f>'2 - Section Count Projection'!$O$123</f>
        <v>0</v>
      </c>
      <c r="J451" s="16">
        <f t="shared" si="94"/>
        <v>0</v>
      </c>
      <c r="K451" s="7" t="str">
        <f t="shared" si="80"/>
        <v/>
      </c>
    </row>
    <row r="452" spans="1:11" x14ac:dyDescent="0.3">
      <c r="A452" s="8" t="s">
        <v>467</v>
      </c>
      <c r="B452" s="9" t="s">
        <v>66</v>
      </c>
      <c r="C452" s="6" t="s">
        <v>481</v>
      </c>
      <c r="D452" s="6" t="s">
        <v>482</v>
      </c>
      <c r="E452" s="6" t="s">
        <v>470</v>
      </c>
      <c r="F452" s="52">
        <v>3</v>
      </c>
      <c r="G452" s="52"/>
      <c r="H452" s="17">
        <f t="shared" si="93"/>
        <v>3</v>
      </c>
      <c r="I452" s="134">
        <f>'2 - Section Count Projection'!$O$123</f>
        <v>0</v>
      </c>
      <c r="J452" s="16">
        <f t="shared" si="94"/>
        <v>0</v>
      </c>
      <c r="K452" s="7" t="str">
        <f t="shared" ref="K452:K515" si="95">IF(I452&gt;0,F452,"")</f>
        <v/>
      </c>
    </row>
    <row r="453" spans="1:11" x14ac:dyDescent="0.3">
      <c r="A453" s="8" t="s">
        <v>467</v>
      </c>
      <c r="B453" s="9" t="s">
        <v>66</v>
      </c>
      <c r="C453" s="6" t="s">
        <v>483</v>
      </c>
      <c r="D453" s="6" t="s">
        <v>484</v>
      </c>
      <c r="E453" s="6" t="s">
        <v>470</v>
      </c>
      <c r="F453" s="52">
        <v>2</v>
      </c>
      <c r="G453" s="52">
        <v>1.5</v>
      </c>
      <c r="H453" s="17">
        <f t="shared" si="93"/>
        <v>3.5</v>
      </c>
      <c r="I453" s="134">
        <f>'2 - Section Count Projection'!$O$123</f>
        <v>0</v>
      </c>
      <c r="J453" s="16">
        <f t="shared" si="94"/>
        <v>0</v>
      </c>
      <c r="K453" s="7" t="str">
        <f t="shared" si="95"/>
        <v/>
      </c>
    </row>
    <row r="454" spans="1:11" x14ac:dyDescent="0.3">
      <c r="A454" s="7"/>
      <c r="E454" s="138"/>
      <c r="K454" s="7" t="str">
        <f t="shared" si="95"/>
        <v/>
      </c>
    </row>
    <row r="455" spans="1:11" x14ac:dyDescent="0.3">
      <c r="A455" s="58" t="s">
        <v>485</v>
      </c>
      <c r="E455" s="137"/>
      <c r="K455" s="7" t="str">
        <f t="shared" si="95"/>
        <v/>
      </c>
    </row>
    <row r="456" spans="1:11" x14ac:dyDescent="0.3">
      <c r="A456" s="8" t="s">
        <v>467</v>
      </c>
      <c r="B456" s="9" t="s">
        <v>71</v>
      </c>
      <c r="C456" s="19" t="s">
        <v>486</v>
      </c>
      <c r="D456" s="18" t="s">
        <v>487</v>
      </c>
      <c r="E456" s="6" t="s">
        <v>470</v>
      </c>
      <c r="F456" s="20">
        <v>3</v>
      </c>
      <c r="G456" s="20"/>
      <c r="H456" s="17">
        <f>SUM(F456:G456)</f>
        <v>3</v>
      </c>
      <c r="I456" s="134">
        <f>'2 - Section Count Projection'!$O$125</f>
        <v>0</v>
      </c>
      <c r="J456" s="16">
        <f>I456*H456</f>
        <v>0</v>
      </c>
      <c r="K456" s="7" t="str">
        <f t="shared" si="95"/>
        <v/>
      </c>
    </row>
    <row r="457" spans="1:11" x14ac:dyDescent="0.3">
      <c r="A457" s="8" t="s">
        <v>467</v>
      </c>
      <c r="B457" s="9" t="s">
        <v>71</v>
      </c>
      <c r="C457" s="19" t="s">
        <v>488</v>
      </c>
      <c r="D457" s="18" t="s">
        <v>489</v>
      </c>
      <c r="E457" s="6" t="s">
        <v>470</v>
      </c>
      <c r="F457" s="20">
        <v>2</v>
      </c>
      <c r="G457" s="20">
        <v>1.5</v>
      </c>
      <c r="H457" s="17">
        <f t="shared" ref="H457:H460" si="96">SUM(F457:G457)</f>
        <v>3.5</v>
      </c>
      <c r="I457" s="134">
        <f>'2 - Section Count Projection'!$O$125</f>
        <v>0</v>
      </c>
      <c r="J457" s="16">
        <f t="shared" ref="J457:J460" si="97">I457*H457</f>
        <v>0</v>
      </c>
      <c r="K457" s="7" t="str">
        <f t="shared" si="95"/>
        <v/>
      </c>
    </row>
    <row r="458" spans="1:11" x14ac:dyDescent="0.3">
      <c r="A458" s="8" t="s">
        <v>467</v>
      </c>
      <c r="B458" s="9" t="s">
        <v>71</v>
      </c>
      <c r="C458" s="19" t="s">
        <v>490</v>
      </c>
      <c r="D458" s="18" t="s">
        <v>491</v>
      </c>
      <c r="E458" s="6" t="s">
        <v>470</v>
      </c>
      <c r="F458" s="20">
        <v>2</v>
      </c>
      <c r="G458" s="20">
        <v>1.5</v>
      </c>
      <c r="H458" s="17">
        <f t="shared" si="96"/>
        <v>3.5</v>
      </c>
      <c r="I458" s="134">
        <f>'2 - Section Count Projection'!$O$125</f>
        <v>0</v>
      </c>
      <c r="J458" s="16">
        <f t="shared" si="97"/>
        <v>0</v>
      </c>
      <c r="K458" s="7" t="str">
        <f t="shared" si="95"/>
        <v/>
      </c>
    </row>
    <row r="459" spans="1:11" x14ac:dyDescent="0.3">
      <c r="A459" s="8" t="s">
        <v>467</v>
      </c>
      <c r="B459" s="9" t="s">
        <v>71</v>
      </c>
      <c r="C459" s="19" t="s">
        <v>492</v>
      </c>
      <c r="D459" s="18" t="s">
        <v>493</v>
      </c>
      <c r="E459" s="6" t="s">
        <v>470</v>
      </c>
      <c r="F459" s="20">
        <v>2</v>
      </c>
      <c r="G459" s="20"/>
      <c r="H459" s="17">
        <v>2</v>
      </c>
      <c r="I459" s="134">
        <f>'2 - Section Count Projection'!$O$125</f>
        <v>0</v>
      </c>
      <c r="J459" s="16">
        <f t="shared" si="97"/>
        <v>0</v>
      </c>
      <c r="K459" s="7" t="str">
        <f t="shared" si="95"/>
        <v/>
      </c>
    </row>
    <row r="460" spans="1:11" x14ac:dyDescent="0.3">
      <c r="A460" s="8" t="s">
        <v>467</v>
      </c>
      <c r="B460" s="9" t="s">
        <v>71</v>
      </c>
      <c r="C460" s="19" t="s">
        <v>494</v>
      </c>
      <c r="D460" s="18" t="s">
        <v>495</v>
      </c>
      <c r="E460" s="6" t="s">
        <v>470</v>
      </c>
      <c r="F460" s="20">
        <v>3</v>
      </c>
      <c r="G460" s="20"/>
      <c r="H460" s="17">
        <f t="shared" si="96"/>
        <v>3</v>
      </c>
      <c r="I460" s="134">
        <f>'2 - Section Count Projection'!$O$125</f>
        <v>0</v>
      </c>
      <c r="J460" s="16">
        <f t="shared" si="97"/>
        <v>0</v>
      </c>
      <c r="K460" s="7" t="str">
        <f t="shared" si="95"/>
        <v/>
      </c>
    </row>
    <row r="461" spans="1:11" x14ac:dyDescent="0.3">
      <c r="K461" s="7" t="str">
        <f t="shared" si="95"/>
        <v/>
      </c>
    </row>
    <row r="462" spans="1:11" x14ac:dyDescent="0.3">
      <c r="A462" s="58" t="s">
        <v>496</v>
      </c>
      <c r="K462" s="7" t="str">
        <f t="shared" si="95"/>
        <v/>
      </c>
    </row>
    <row r="463" spans="1:11" x14ac:dyDescent="0.3">
      <c r="A463" s="8" t="s">
        <v>497</v>
      </c>
      <c r="B463" s="9" t="s">
        <v>59</v>
      </c>
      <c r="C463" s="19" t="s">
        <v>121</v>
      </c>
      <c r="D463" s="18" t="s">
        <v>122</v>
      </c>
      <c r="E463" s="101"/>
      <c r="F463" s="20">
        <v>3</v>
      </c>
      <c r="G463" s="20"/>
      <c r="H463" s="17">
        <f>SUM(F463:G463)</f>
        <v>3</v>
      </c>
      <c r="I463" s="134">
        <v>5</v>
      </c>
      <c r="J463" s="16">
        <f>I463*H463</f>
        <v>15</v>
      </c>
      <c r="K463" s="7">
        <f t="shared" si="95"/>
        <v>3</v>
      </c>
    </row>
    <row r="464" spans="1:11" x14ac:dyDescent="0.3">
      <c r="A464" s="8" t="s">
        <v>497</v>
      </c>
      <c r="B464" s="9" t="s">
        <v>59</v>
      </c>
      <c r="C464" s="19" t="s">
        <v>123</v>
      </c>
      <c r="D464" s="18" t="s">
        <v>124</v>
      </c>
      <c r="E464" s="101"/>
      <c r="F464" s="20">
        <v>1</v>
      </c>
      <c r="G464" s="20"/>
      <c r="H464" s="17">
        <f t="shared" ref="H464:H470" si="98">SUM(F464:G464)</f>
        <v>1</v>
      </c>
      <c r="I464" s="134">
        <v>5</v>
      </c>
      <c r="J464" s="16">
        <f t="shared" ref="J464:J470" si="99">I464*H464</f>
        <v>5</v>
      </c>
      <c r="K464" s="7">
        <f t="shared" si="95"/>
        <v>1</v>
      </c>
    </row>
    <row r="465" spans="1:11" x14ac:dyDescent="0.3">
      <c r="A465" s="8" t="s">
        <v>497</v>
      </c>
      <c r="B465" s="9" t="s">
        <v>59</v>
      </c>
      <c r="C465" s="19" t="s">
        <v>217</v>
      </c>
      <c r="D465" s="18" t="s">
        <v>218</v>
      </c>
      <c r="E465" s="6" t="s">
        <v>36</v>
      </c>
      <c r="F465" s="20">
        <v>3</v>
      </c>
      <c r="G465" s="20"/>
      <c r="H465" s="17">
        <f t="shared" si="98"/>
        <v>3</v>
      </c>
      <c r="I465" s="134">
        <v>5</v>
      </c>
      <c r="J465" s="16">
        <f t="shared" si="99"/>
        <v>15</v>
      </c>
      <c r="K465" s="7">
        <f t="shared" si="95"/>
        <v>3</v>
      </c>
    </row>
    <row r="466" spans="1:11" x14ac:dyDescent="0.3">
      <c r="A466" s="8" t="s">
        <v>497</v>
      </c>
      <c r="B466" s="9" t="s">
        <v>59</v>
      </c>
      <c r="C466" s="19" t="s">
        <v>128</v>
      </c>
      <c r="D466" s="18" t="s">
        <v>129</v>
      </c>
      <c r="E466" s="101"/>
      <c r="F466" s="20">
        <v>3</v>
      </c>
      <c r="G466" s="20"/>
      <c r="H466" s="17">
        <f t="shared" si="98"/>
        <v>3</v>
      </c>
      <c r="I466" s="134">
        <v>5</v>
      </c>
      <c r="J466" s="16">
        <f t="shared" si="99"/>
        <v>15</v>
      </c>
      <c r="K466" s="7">
        <f t="shared" si="95"/>
        <v>3</v>
      </c>
    </row>
    <row r="467" spans="1:11" x14ac:dyDescent="0.3">
      <c r="A467" s="8" t="s">
        <v>497</v>
      </c>
      <c r="B467" s="9" t="s">
        <v>59</v>
      </c>
      <c r="C467" s="19" t="s">
        <v>130</v>
      </c>
      <c r="D467" s="18" t="s">
        <v>131</v>
      </c>
      <c r="E467" s="6" t="s">
        <v>38</v>
      </c>
      <c r="F467" s="20">
        <v>2</v>
      </c>
      <c r="G467" s="20"/>
      <c r="H467" s="17">
        <f t="shared" si="98"/>
        <v>2</v>
      </c>
      <c r="I467" s="134">
        <v>5</v>
      </c>
      <c r="J467" s="16">
        <f t="shared" si="99"/>
        <v>10</v>
      </c>
      <c r="K467" s="7">
        <f t="shared" si="95"/>
        <v>2</v>
      </c>
    </row>
    <row r="468" spans="1:11" x14ac:dyDescent="0.3">
      <c r="A468" s="8" t="s">
        <v>497</v>
      </c>
      <c r="B468" s="9" t="s">
        <v>59</v>
      </c>
      <c r="C468" s="19" t="s">
        <v>139</v>
      </c>
      <c r="D468" s="18" t="s">
        <v>140</v>
      </c>
      <c r="E468" s="6" t="s">
        <v>141</v>
      </c>
      <c r="F468" s="20">
        <v>3</v>
      </c>
      <c r="G468" s="20"/>
      <c r="H468" s="17">
        <f t="shared" si="98"/>
        <v>3</v>
      </c>
      <c r="I468" s="134">
        <v>5</v>
      </c>
      <c r="J468" s="16">
        <f t="shared" si="99"/>
        <v>15</v>
      </c>
      <c r="K468" s="7">
        <f t="shared" si="95"/>
        <v>3</v>
      </c>
    </row>
    <row r="469" spans="1:11" ht="18" customHeight="1" x14ac:dyDescent="0.3">
      <c r="A469" s="8" t="s">
        <v>497</v>
      </c>
      <c r="B469" s="9" t="s">
        <v>59</v>
      </c>
      <c r="C469" s="19" t="s">
        <v>134</v>
      </c>
      <c r="D469" s="18" t="s">
        <v>135</v>
      </c>
      <c r="E469" s="101"/>
      <c r="F469" s="20">
        <v>3</v>
      </c>
      <c r="G469" s="20"/>
      <c r="H469" s="17">
        <f t="shared" si="98"/>
        <v>3</v>
      </c>
      <c r="I469" s="134">
        <v>5</v>
      </c>
      <c r="J469" s="16">
        <f t="shared" si="99"/>
        <v>15</v>
      </c>
      <c r="K469" s="7">
        <f t="shared" si="95"/>
        <v>3</v>
      </c>
    </row>
    <row r="470" spans="1:11" x14ac:dyDescent="0.3">
      <c r="A470" s="8" t="s">
        <v>497</v>
      </c>
      <c r="B470" s="9" t="s">
        <v>59</v>
      </c>
      <c r="C470" s="19" t="s">
        <v>498</v>
      </c>
      <c r="D470" s="18" t="s">
        <v>499</v>
      </c>
      <c r="E470" s="6" t="s">
        <v>500</v>
      </c>
      <c r="F470" s="20">
        <v>1</v>
      </c>
      <c r="G470" s="20">
        <v>1.5</v>
      </c>
      <c r="H470" s="17">
        <f t="shared" si="98"/>
        <v>2.5</v>
      </c>
      <c r="I470" s="134">
        <v>5</v>
      </c>
      <c r="J470" s="16">
        <f t="shared" si="99"/>
        <v>12.5</v>
      </c>
      <c r="K470" s="7">
        <f t="shared" si="95"/>
        <v>1</v>
      </c>
    </row>
    <row r="471" spans="1:11" x14ac:dyDescent="0.3">
      <c r="A471" s="8" t="s">
        <v>497</v>
      </c>
      <c r="B471" s="9" t="s">
        <v>59</v>
      </c>
      <c r="C471" s="19" t="s">
        <v>501</v>
      </c>
      <c r="D471" s="18" t="s">
        <v>502</v>
      </c>
      <c r="E471" s="6" t="s">
        <v>500</v>
      </c>
      <c r="F471" s="20">
        <v>3</v>
      </c>
      <c r="G471" s="20"/>
      <c r="H471" s="17">
        <f>SUM(F471:G471)</f>
        <v>3</v>
      </c>
      <c r="I471" s="134">
        <v>5</v>
      </c>
      <c r="J471" s="16">
        <f>I471*H471</f>
        <v>15</v>
      </c>
      <c r="K471" s="7">
        <f t="shared" si="95"/>
        <v>3</v>
      </c>
    </row>
    <row r="472" spans="1:11" x14ac:dyDescent="0.3">
      <c r="K472" s="7" t="str">
        <f t="shared" si="95"/>
        <v/>
      </c>
    </row>
    <row r="473" spans="1:11" x14ac:dyDescent="0.3">
      <c r="A473" s="58" t="s">
        <v>496</v>
      </c>
      <c r="K473" s="7" t="str">
        <f t="shared" si="95"/>
        <v/>
      </c>
    </row>
    <row r="474" spans="1:11" x14ac:dyDescent="0.3">
      <c r="A474" s="8" t="s">
        <v>497</v>
      </c>
      <c r="B474" s="9" t="s">
        <v>62</v>
      </c>
      <c r="C474" s="19" t="s">
        <v>185</v>
      </c>
      <c r="D474" s="18" t="s">
        <v>186</v>
      </c>
      <c r="E474" s="6" t="s">
        <v>20</v>
      </c>
      <c r="F474" s="20">
        <v>3</v>
      </c>
      <c r="G474" s="20"/>
      <c r="H474" s="15">
        <f t="shared" ref="H474:H479" si="100">SUM(F474:G474)</f>
        <v>3</v>
      </c>
      <c r="I474" s="134">
        <v>4</v>
      </c>
      <c r="J474" s="16">
        <f t="shared" ref="J474:J479" si="101">I474*H474</f>
        <v>12</v>
      </c>
      <c r="K474" s="7">
        <f t="shared" si="95"/>
        <v>3</v>
      </c>
    </row>
    <row r="475" spans="1:11" x14ac:dyDescent="0.3">
      <c r="A475" s="8" t="s">
        <v>497</v>
      </c>
      <c r="B475" s="9" t="s">
        <v>62</v>
      </c>
      <c r="C475" s="19" t="s">
        <v>144</v>
      </c>
      <c r="D475" s="18" t="s">
        <v>145</v>
      </c>
      <c r="E475" s="6" t="s">
        <v>141</v>
      </c>
      <c r="F475" s="20">
        <v>3</v>
      </c>
      <c r="G475" s="20"/>
      <c r="H475" s="15">
        <f t="shared" si="100"/>
        <v>3</v>
      </c>
      <c r="I475" s="134">
        <v>4</v>
      </c>
      <c r="J475" s="16">
        <f t="shared" si="101"/>
        <v>12</v>
      </c>
      <c r="K475" s="7">
        <f t="shared" si="95"/>
        <v>3</v>
      </c>
    </row>
    <row r="476" spans="1:11" x14ac:dyDescent="0.3">
      <c r="A476" s="8" t="s">
        <v>497</v>
      </c>
      <c r="B476" s="9" t="s">
        <v>62</v>
      </c>
      <c r="C476" s="19" t="s">
        <v>142</v>
      </c>
      <c r="D476" s="181" t="s">
        <v>503</v>
      </c>
      <c r="E476" s="6" t="s">
        <v>38</v>
      </c>
      <c r="F476" s="20">
        <v>2</v>
      </c>
      <c r="G476" s="20"/>
      <c r="H476" s="15">
        <f t="shared" si="100"/>
        <v>2</v>
      </c>
      <c r="I476" s="134">
        <v>4</v>
      </c>
      <c r="J476" s="16">
        <f t="shared" si="101"/>
        <v>8</v>
      </c>
      <c r="K476" s="7">
        <f t="shared" si="95"/>
        <v>2</v>
      </c>
    </row>
    <row r="477" spans="1:11" x14ac:dyDescent="0.3">
      <c r="A477" s="8" t="s">
        <v>497</v>
      </c>
      <c r="B477" s="9" t="s">
        <v>62</v>
      </c>
      <c r="C477" s="19" t="s">
        <v>504</v>
      </c>
      <c r="D477" s="18" t="s">
        <v>505</v>
      </c>
      <c r="E477" s="6" t="s">
        <v>500</v>
      </c>
      <c r="F477" s="20">
        <v>2</v>
      </c>
      <c r="G477" s="20">
        <v>1.5</v>
      </c>
      <c r="H477" s="15">
        <f t="shared" si="100"/>
        <v>3.5</v>
      </c>
      <c r="I477" s="134">
        <v>4</v>
      </c>
      <c r="J477" s="16">
        <f t="shared" si="101"/>
        <v>14</v>
      </c>
      <c r="K477" s="7">
        <f t="shared" si="95"/>
        <v>2</v>
      </c>
    </row>
    <row r="478" spans="1:11" x14ac:dyDescent="0.3">
      <c r="A478" s="8" t="s">
        <v>497</v>
      </c>
      <c r="B478" s="9" t="s">
        <v>62</v>
      </c>
      <c r="C478" s="19" t="s">
        <v>506</v>
      </c>
      <c r="D478" s="18" t="s">
        <v>507</v>
      </c>
      <c r="E478" s="6" t="s">
        <v>500</v>
      </c>
      <c r="F478" s="20">
        <v>2</v>
      </c>
      <c r="G478" s="20">
        <v>1.5</v>
      </c>
      <c r="H478" s="15">
        <f t="shared" si="100"/>
        <v>3.5</v>
      </c>
      <c r="I478" s="134">
        <v>4</v>
      </c>
      <c r="J478" s="16">
        <f t="shared" si="101"/>
        <v>14</v>
      </c>
      <c r="K478" s="7">
        <f t="shared" si="95"/>
        <v>2</v>
      </c>
    </row>
    <row r="479" spans="1:11" x14ac:dyDescent="0.3">
      <c r="A479" s="8" t="s">
        <v>497</v>
      </c>
      <c r="B479" s="9" t="s">
        <v>62</v>
      </c>
      <c r="C479" s="19" t="s">
        <v>508</v>
      </c>
      <c r="D479" s="18" t="s">
        <v>509</v>
      </c>
      <c r="E479" s="6" t="s">
        <v>500</v>
      </c>
      <c r="F479" s="20">
        <v>2</v>
      </c>
      <c r="G479" s="20">
        <v>1.5</v>
      </c>
      <c r="H479" s="15">
        <f t="shared" si="100"/>
        <v>3.5</v>
      </c>
      <c r="I479" s="134">
        <v>4</v>
      </c>
      <c r="J479" s="16">
        <f t="shared" si="101"/>
        <v>14</v>
      </c>
      <c r="K479" s="7">
        <f t="shared" si="95"/>
        <v>2</v>
      </c>
    </row>
    <row r="480" spans="1:11" x14ac:dyDescent="0.3">
      <c r="K480" s="7" t="str">
        <f t="shared" si="95"/>
        <v/>
      </c>
    </row>
    <row r="481" spans="1:11" x14ac:dyDescent="0.3">
      <c r="A481" s="58" t="s">
        <v>496</v>
      </c>
      <c r="K481" s="7" t="str">
        <f t="shared" si="95"/>
        <v/>
      </c>
    </row>
    <row r="482" spans="1:11" x14ac:dyDescent="0.3">
      <c r="A482" s="8" t="s">
        <v>497</v>
      </c>
      <c r="B482" s="9" t="s">
        <v>66</v>
      </c>
      <c r="C482" s="4" t="s">
        <v>274</v>
      </c>
      <c r="D482" s="4" t="s">
        <v>275</v>
      </c>
      <c r="E482" s="6" t="s">
        <v>127</v>
      </c>
      <c r="F482" s="20">
        <v>3</v>
      </c>
      <c r="G482" s="20"/>
      <c r="H482" s="15">
        <f>SUM(F482:G482)</f>
        <v>3</v>
      </c>
      <c r="I482" s="134">
        <v>3</v>
      </c>
      <c r="J482" s="16">
        <f t="shared" ref="J482:J487" si="102">I482*H482</f>
        <v>9</v>
      </c>
      <c r="K482" s="7">
        <f t="shared" si="95"/>
        <v>3</v>
      </c>
    </row>
    <row r="483" spans="1:11" x14ac:dyDescent="0.3">
      <c r="A483" s="8" t="s">
        <v>497</v>
      </c>
      <c r="B483" s="9" t="s">
        <v>66</v>
      </c>
      <c r="C483" s="4" t="s">
        <v>510</v>
      </c>
      <c r="D483" s="4" t="s">
        <v>511</v>
      </c>
      <c r="E483" s="6" t="s">
        <v>500</v>
      </c>
      <c r="F483" s="20">
        <v>3</v>
      </c>
      <c r="G483" s="20"/>
      <c r="H483" s="15">
        <f t="shared" ref="H483:H487" si="103">SUM(F483:G483)</f>
        <v>3</v>
      </c>
      <c r="I483" s="134">
        <v>3</v>
      </c>
      <c r="J483" s="16">
        <f t="shared" si="102"/>
        <v>9</v>
      </c>
      <c r="K483" s="7">
        <f t="shared" si="95"/>
        <v>3</v>
      </c>
    </row>
    <row r="484" spans="1:11" x14ac:dyDescent="0.3">
      <c r="A484" s="8" t="s">
        <v>497</v>
      </c>
      <c r="B484" s="9" t="s">
        <v>66</v>
      </c>
      <c r="C484" s="4" t="s">
        <v>512</v>
      </c>
      <c r="D484" s="4" t="s">
        <v>513</v>
      </c>
      <c r="E484" s="6" t="s">
        <v>500</v>
      </c>
      <c r="F484" s="20">
        <v>2</v>
      </c>
      <c r="G484" s="20">
        <v>1.5</v>
      </c>
      <c r="H484" s="15">
        <f t="shared" si="103"/>
        <v>3.5</v>
      </c>
      <c r="I484" s="134">
        <v>3</v>
      </c>
      <c r="J484" s="16">
        <f t="shared" si="102"/>
        <v>10.5</v>
      </c>
      <c r="K484" s="7">
        <f t="shared" si="95"/>
        <v>2</v>
      </c>
    </row>
    <row r="485" spans="1:11" x14ac:dyDescent="0.3">
      <c r="A485" s="8" t="s">
        <v>497</v>
      </c>
      <c r="B485" s="9" t="s">
        <v>66</v>
      </c>
      <c r="C485" s="4"/>
      <c r="D485" s="4" t="s">
        <v>514</v>
      </c>
      <c r="E485" s="6" t="s">
        <v>500</v>
      </c>
      <c r="F485" s="20">
        <v>2</v>
      </c>
      <c r="G485" s="20">
        <v>1.5</v>
      </c>
      <c r="H485" s="15">
        <f t="shared" si="103"/>
        <v>3.5</v>
      </c>
      <c r="I485" s="134">
        <v>3</v>
      </c>
      <c r="J485" s="16">
        <f t="shared" si="102"/>
        <v>10.5</v>
      </c>
      <c r="K485" s="7">
        <f t="shared" si="95"/>
        <v>2</v>
      </c>
    </row>
    <row r="486" spans="1:11" x14ac:dyDescent="0.3">
      <c r="A486" s="8" t="s">
        <v>497</v>
      </c>
      <c r="B486" s="9" t="s">
        <v>66</v>
      </c>
      <c r="C486" s="4"/>
      <c r="D486" s="4" t="s">
        <v>515</v>
      </c>
      <c r="E486" s="6" t="s">
        <v>500</v>
      </c>
      <c r="F486" s="20">
        <v>2</v>
      </c>
      <c r="G486" s="20">
        <v>1.5</v>
      </c>
      <c r="H486" s="15">
        <f t="shared" si="103"/>
        <v>3.5</v>
      </c>
      <c r="I486" s="134">
        <v>3</v>
      </c>
      <c r="J486" s="16">
        <f t="shared" si="102"/>
        <v>10.5</v>
      </c>
      <c r="K486" s="7">
        <f t="shared" si="95"/>
        <v>2</v>
      </c>
    </row>
    <row r="487" spans="1:11" x14ac:dyDescent="0.3">
      <c r="A487" s="8" t="s">
        <v>497</v>
      </c>
      <c r="B487" s="9" t="s">
        <v>66</v>
      </c>
      <c r="C487" s="4" t="s">
        <v>516</v>
      </c>
      <c r="D487" s="4" t="s">
        <v>517</v>
      </c>
      <c r="E487" s="6" t="s">
        <v>500</v>
      </c>
      <c r="F487" s="20">
        <v>2</v>
      </c>
      <c r="G487" s="20">
        <v>1.5</v>
      </c>
      <c r="H487" s="15">
        <f t="shared" si="103"/>
        <v>3.5</v>
      </c>
      <c r="I487" s="134">
        <v>3</v>
      </c>
      <c r="J487" s="16">
        <f t="shared" si="102"/>
        <v>10.5</v>
      </c>
      <c r="K487" s="7">
        <f t="shared" si="95"/>
        <v>2</v>
      </c>
    </row>
    <row r="488" spans="1:11" x14ac:dyDescent="0.3">
      <c r="A488" s="7"/>
      <c r="K488" s="7" t="str">
        <f t="shared" si="95"/>
        <v/>
      </c>
    </row>
    <row r="489" spans="1:11" x14ac:dyDescent="0.3">
      <c r="A489" s="58" t="s">
        <v>518</v>
      </c>
      <c r="K489" s="7" t="str">
        <f t="shared" si="95"/>
        <v/>
      </c>
    </row>
    <row r="490" spans="1:11" x14ac:dyDescent="0.3">
      <c r="A490" s="8" t="s">
        <v>497</v>
      </c>
      <c r="B490" s="9" t="s">
        <v>71</v>
      </c>
      <c r="C490" s="19" t="s">
        <v>519</v>
      </c>
      <c r="D490" s="18" t="s">
        <v>520</v>
      </c>
      <c r="E490" s="6" t="s">
        <v>500</v>
      </c>
      <c r="F490" s="20"/>
      <c r="G490" s="20">
        <v>2</v>
      </c>
      <c r="H490" s="15">
        <v>2</v>
      </c>
      <c r="I490" s="134">
        <v>3</v>
      </c>
      <c r="J490" s="16">
        <f>I490*H490</f>
        <v>6</v>
      </c>
      <c r="K490" s="7">
        <f t="shared" si="95"/>
        <v>0</v>
      </c>
    </row>
    <row r="491" spans="1:11" x14ac:dyDescent="0.3">
      <c r="A491" s="8" t="s">
        <v>497</v>
      </c>
      <c r="B491" s="9" t="s">
        <v>71</v>
      </c>
      <c r="C491" s="19" t="s">
        <v>521</v>
      </c>
      <c r="D491" s="18" t="s">
        <v>522</v>
      </c>
      <c r="E491" s="6" t="s">
        <v>500</v>
      </c>
      <c r="F491" s="20">
        <v>2</v>
      </c>
      <c r="G491" s="20">
        <v>1.5</v>
      </c>
      <c r="H491" s="15">
        <f>SUM(F491:G491)</f>
        <v>3.5</v>
      </c>
      <c r="I491" s="134">
        <v>3</v>
      </c>
      <c r="J491" s="16">
        <f>I491*H492</f>
        <v>6</v>
      </c>
      <c r="K491" s="7">
        <f t="shared" si="95"/>
        <v>2</v>
      </c>
    </row>
    <row r="492" spans="1:11" x14ac:dyDescent="0.3">
      <c r="A492" s="8" t="s">
        <v>497</v>
      </c>
      <c r="B492" s="9" t="s">
        <v>71</v>
      </c>
      <c r="C492" s="19" t="s">
        <v>523</v>
      </c>
      <c r="D492" s="18" t="s">
        <v>524</v>
      </c>
      <c r="E492" s="6" t="s">
        <v>500</v>
      </c>
      <c r="F492" s="20">
        <v>2</v>
      </c>
      <c r="G492" s="20"/>
      <c r="H492" s="15">
        <f>SUM(F492:G492)</f>
        <v>2</v>
      </c>
      <c r="I492" s="134">
        <v>3</v>
      </c>
      <c r="J492" s="16">
        <f>I492*H493</f>
        <v>10.5</v>
      </c>
      <c r="K492" s="7">
        <f t="shared" si="95"/>
        <v>2</v>
      </c>
    </row>
    <row r="493" spans="1:11" x14ac:dyDescent="0.3">
      <c r="A493" s="8" t="s">
        <v>497</v>
      </c>
      <c r="B493" s="9" t="s">
        <v>71</v>
      </c>
      <c r="C493" s="19" t="s">
        <v>525</v>
      </c>
      <c r="D493" s="18" t="s">
        <v>526</v>
      </c>
      <c r="E493" s="6" t="s">
        <v>500</v>
      </c>
      <c r="F493" s="20">
        <v>2</v>
      </c>
      <c r="G493" s="20">
        <v>1.5</v>
      </c>
      <c r="H493" s="15">
        <f t="shared" ref="H493:H494" si="104">SUM(F493:G493)</f>
        <v>3.5</v>
      </c>
      <c r="I493" s="134">
        <v>3</v>
      </c>
      <c r="J493" s="16">
        <f>I493*H493</f>
        <v>10.5</v>
      </c>
      <c r="K493" s="7">
        <f t="shared" si="95"/>
        <v>2</v>
      </c>
    </row>
    <row r="494" spans="1:11" x14ac:dyDescent="0.3">
      <c r="A494" s="8" t="s">
        <v>497</v>
      </c>
      <c r="B494" s="9" t="s">
        <v>71</v>
      </c>
      <c r="C494" s="19" t="s">
        <v>494</v>
      </c>
      <c r="D494" s="18" t="s">
        <v>495</v>
      </c>
      <c r="E494" s="6" t="s">
        <v>127</v>
      </c>
      <c r="F494" s="20">
        <v>3</v>
      </c>
      <c r="G494" s="20"/>
      <c r="H494" s="15">
        <f t="shared" si="104"/>
        <v>3</v>
      </c>
      <c r="I494" s="134">
        <v>3</v>
      </c>
      <c r="J494" s="16">
        <f>I494*H494</f>
        <v>9</v>
      </c>
      <c r="K494" s="7">
        <f t="shared" si="95"/>
        <v>3</v>
      </c>
    </row>
    <row r="495" spans="1:11" x14ac:dyDescent="0.3">
      <c r="K495" s="7" t="str">
        <f t="shared" si="95"/>
        <v/>
      </c>
    </row>
    <row r="496" spans="1:11" x14ac:dyDescent="0.3">
      <c r="A496" s="58" t="s">
        <v>527</v>
      </c>
      <c r="K496" s="7" t="str">
        <f t="shared" si="95"/>
        <v/>
      </c>
    </row>
    <row r="497" spans="1:11" x14ac:dyDescent="0.3">
      <c r="A497" s="8" t="s">
        <v>528</v>
      </c>
      <c r="B497" s="9" t="s">
        <v>59</v>
      </c>
      <c r="C497" s="4" t="s">
        <v>134</v>
      </c>
      <c r="D497" s="4" t="s">
        <v>135</v>
      </c>
      <c r="E497" s="101"/>
      <c r="F497" s="20">
        <v>3</v>
      </c>
      <c r="G497" s="20"/>
      <c r="H497" s="15">
        <f>SUM(F497:G497)</f>
        <v>3</v>
      </c>
      <c r="I497" s="134">
        <f>'2 - Section Count Projection'!$O$128</f>
        <v>0</v>
      </c>
      <c r="J497" s="16">
        <f>I497*H497</f>
        <v>0</v>
      </c>
      <c r="K497" s="7" t="str">
        <f t="shared" si="95"/>
        <v/>
      </c>
    </row>
    <row r="498" spans="1:11" x14ac:dyDescent="0.3">
      <c r="A498" s="8" t="s">
        <v>528</v>
      </c>
      <c r="B498" s="9" t="s">
        <v>59</v>
      </c>
      <c r="C498" s="4" t="s">
        <v>529</v>
      </c>
      <c r="D498" s="4" t="s">
        <v>530</v>
      </c>
      <c r="E498" s="6" t="s">
        <v>34</v>
      </c>
      <c r="F498" s="20"/>
      <c r="G498" s="20">
        <v>1.5</v>
      </c>
      <c r="H498" s="15">
        <f t="shared" ref="H498:H503" si="105">SUM(F498:G498)</f>
        <v>1.5</v>
      </c>
      <c r="I498" s="134">
        <f>'2 - Section Count Projection'!$O$128</f>
        <v>0</v>
      </c>
      <c r="J498" s="16">
        <f t="shared" ref="J498:J503" si="106">I498*H498</f>
        <v>0</v>
      </c>
      <c r="K498" s="7" t="str">
        <f t="shared" si="95"/>
        <v/>
      </c>
    </row>
    <row r="499" spans="1:11" x14ac:dyDescent="0.3">
      <c r="A499" s="8" t="s">
        <v>528</v>
      </c>
      <c r="B499" s="9" t="s">
        <v>59</v>
      </c>
      <c r="C499" s="4" t="s">
        <v>531</v>
      </c>
      <c r="D499" s="4" t="s">
        <v>532</v>
      </c>
      <c r="E499" s="6" t="s">
        <v>20</v>
      </c>
      <c r="F499" s="20">
        <v>3</v>
      </c>
      <c r="G499" s="20"/>
      <c r="H499" s="15">
        <f t="shared" si="105"/>
        <v>3</v>
      </c>
      <c r="I499" s="134">
        <f>'2 - Section Count Projection'!$O$128</f>
        <v>0</v>
      </c>
      <c r="J499" s="16">
        <f t="shared" si="106"/>
        <v>0</v>
      </c>
      <c r="K499" s="7" t="str">
        <f t="shared" si="95"/>
        <v/>
      </c>
    </row>
    <row r="500" spans="1:11" x14ac:dyDescent="0.3">
      <c r="A500" s="8" t="s">
        <v>528</v>
      </c>
      <c r="B500" s="9" t="s">
        <v>59</v>
      </c>
      <c r="C500" s="4" t="s">
        <v>533</v>
      </c>
      <c r="D500" s="4" t="s">
        <v>534</v>
      </c>
      <c r="E500" s="6" t="s">
        <v>20</v>
      </c>
      <c r="F500" s="20">
        <v>3</v>
      </c>
      <c r="G500" s="20"/>
      <c r="H500" s="15">
        <f t="shared" si="105"/>
        <v>3</v>
      </c>
      <c r="I500" s="134">
        <f>'2 - Section Count Projection'!$O$128</f>
        <v>0</v>
      </c>
      <c r="J500" s="16">
        <f t="shared" si="106"/>
        <v>0</v>
      </c>
      <c r="K500" s="7" t="str">
        <f t="shared" si="95"/>
        <v/>
      </c>
    </row>
    <row r="501" spans="1:11" x14ac:dyDescent="0.3">
      <c r="A501" s="8" t="s">
        <v>528</v>
      </c>
      <c r="B501" s="9" t="s">
        <v>59</v>
      </c>
      <c r="C501" s="4" t="s">
        <v>125</v>
      </c>
      <c r="D501" s="4" t="s">
        <v>126</v>
      </c>
      <c r="E501" s="6" t="s">
        <v>127</v>
      </c>
      <c r="F501" s="20">
        <v>3</v>
      </c>
      <c r="G501" s="20"/>
      <c r="H501" s="15">
        <f t="shared" si="105"/>
        <v>3</v>
      </c>
      <c r="I501" s="134">
        <f>'2 - Section Count Projection'!$O$128</f>
        <v>0</v>
      </c>
      <c r="J501" s="16">
        <f t="shared" si="106"/>
        <v>0</v>
      </c>
      <c r="K501" s="7" t="str">
        <f t="shared" si="95"/>
        <v/>
      </c>
    </row>
    <row r="502" spans="1:11" x14ac:dyDescent="0.3">
      <c r="A502" s="8" t="s">
        <v>528</v>
      </c>
      <c r="B502" s="9" t="s">
        <v>59</v>
      </c>
      <c r="C502" s="4" t="s">
        <v>123</v>
      </c>
      <c r="D502" s="4" t="s">
        <v>124</v>
      </c>
      <c r="E502" s="101"/>
      <c r="F502" s="20">
        <v>1</v>
      </c>
      <c r="G502" s="20"/>
      <c r="H502" s="15">
        <f t="shared" si="105"/>
        <v>1</v>
      </c>
      <c r="I502" s="134">
        <f>'2 - Section Count Projection'!$O$128</f>
        <v>0</v>
      </c>
      <c r="J502" s="16">
        <f t="shared" si="106"/>
        <v>0</v>
      </c>
      <c r="K502" s="7" t="str">
        <f t="shared" si="95"/>
        <v/>
      </c>
    </row>
    <row r="503" spans="1:11" x14ac:dyDescent="0.3">
      <c r="A503" s="62" t="s">
        <v>528</v>
      </c>
      <c r="B503" s="61" t="s">
        <v>59</v>
      </c>
      <c r="C503" s="4" t="s">
        <v>128</v>
      </c>
      <c r="D503" s="4" t="s">
        <v>129</v>
      </c>
      <c r="E503" s="101"/>
      <c r="F503" s="144">
        <v>3</v>
      </c>
      <c r="G503" s="144"/>
      <c r="H503" s="139">
        <f t="shared" si="105"/>
        <v>3</v>
      </c>
      <c r="I503" s="135">
        <f>'2 - Section Count Projection'!$O$128</f>
        <v>0</v>
      </c>
      <c r="J503" s="140">
        <f t="shared" si="106"/>
        <v>0</v>
      </c>
      <c r="K503" s="7" t="str">
        <f t="shared" si="95"/>
        <v/>
      </c>
    </row>
    <row r="504" spans="1:11" x14ac:dyDescent="0.3">
      <c r="A504" s="8" t="s">
        <v>528</v>
      </c>
      <c r="B504" s="9" t="s">
        <v>59</v>
      </c>
      <c r="C504" s="4" t="s">
        <v>130</v>
      </c>
      <c r="D504" s="4" t="s">
        <v>131</v>
      </c>
      <c r="E504" s="6" t="s">
        <v>38</v>
      </c>
      <c r="F504" s="20">
        <v>2</v>
      </c>
      <c r="G504" s="20"/>
      <c r="H504" s="15">
        <f>SUM(F504:G504)</f>
        <v>2</v>
      </c>
      <c r="I504" s="134">
        <f>'2 - Section Count Projection'!$O$128</f>
        <v>0</v>
      </c>
      <c r="J504" s="16">
        <f>I504*H504</f>
        <v>0</v>
      </c>
      <c r="K504" s="7" t="str">
        <f t="shared" si="95"/>
        <v/>
      </c>
    </row>
    <row r="505" spans="1:11" x14ac:dyDescent="0.3">
      <c r="K505" s="7" t="str">
        <f t="shared" si="95"/>
        <v/>
      </c>
    </row>
    <row r="506" spans="1:11" x14ac:dyDescent="0.3">
      <c r="A506" s="58" t="s">
        <v>535</v>
      </c>
      <c r="K506" s="7" t="str">
        <f t="shared" si="95"/>
        <v/>
      </c>
    </row>
    <row r="507" spans="1:11" x14ac:dyDescent="0.3">
      <c r="A507" s="8" t="s">
        <v>528</v>
      </c>
      <c r="B507" s="9" t="s">
        <v>62</v>
      </c>
      <c r="C507" s="19" t="s">
        <v>144</v>
      </c>
      <c r="D507" s="18" t="s">
        <v>145</v>
      </c>
      <c r="E507" s="6" t="s">
        <v>141</v>
      </c>
      <c r="F507" s="20">
        <v>3</v>
      </c>
      <c r="G507" s="20"/>
      <c r="H507" s="15">
        <f>SUM(F507:G507)</f>
        <v>3</v>
      </c>
      <c r="I507" s="134">
        <f>'2 - Section Count Projection'!$O$130</f>
        <v>0</v>
      </c>
      <c r="J507" s="16">
        <f t="shared" ref="J507:J513" si="107">I507*H507</f>
        <v>0</v>
      </c>
      <c r="K507" s="7" t="str">
        <f t="shared" si="95"/>
        <v/>
      </c>
    </row>
    <row r="508" spans="1:11" x14ac:dyDescent="0.3">
      <c r="A508" s="8" t="s">
        <v>528</v>
      </c>
      <c r="B508" s="9" t="s">
        <v>62</v>
      </c>
      <c r="C508" s="19" t="s">
        <v>139</v>
      </c>
      <c r="D508" s="18" t="s">
        <v>140</v>
      </c>
      <c r="E508" s="6" t="s">
        <v>141</v>
      </c>
      <c r="F508" s="20">
        <v>3</v>
      </c>
      <c r="G508" s="20"/>
      <c r="H508" s="15">
        <f t="shared" ref="H508:H513" si="108">SUM(F508:G508)</f>
        <v>3</v>
      </c>
      <c r="I508" s="134">
        <f>'2 - Section Count Projection'!$O$130</f>
        <v>0</v>
      </c>
      <c r="J508" s="16">
        <f t="shared" si="107"/>
        <v>0</v>
      </c>
      <c r="K508" s="7" t="str">
        <f t="shared" si="95"/>
        <v/>
      </c>
    </row>
    <row r="509" spans="1:11" x14ac:dyDescent="0.3">
      <c r="A509" s="8" t="s">
        <v>528</v>
      </c>
      <c r="B509" s="9" t="s">
        <v>62</v>
      </c>
      <c r="C509" s="19" t="s">
        <v>185</v>
      </c>
      <c r="D509" s="18" t="s">
        <v>186</v>
      </c>
      <c r="E509" s="6" t="s">
        <v>20</v>
      </c>
      <c r="F509" s="20">
        <v>3</v>
      </c>
      <c r="G509" s="20"/>
      <c r="H509" s="15">
        <f t="shared" si="108"/>
        <v>3</v>
      </c>
      <c r="I509" s="134">
        <f>'2 - Section Count Projection'!$O$130</f>
        <v>0</v>
      </c>
      <c r="J509" s="16">
        <f t="shared" si="107"/>
        <v>0</v>
      </c>
      <c r="K509" s="7" t="str">
        <f t="shared" si="95"/>
        <v/>
      </c>
    </row>
    <row r="510" spans="1:11" x14ac:dyDescent="0.3">
      <c r="A510" s="8" t="s">
        <v>528</v>
      </c>
      <c r="B510" s="9" t="s">
        <v>62</v>
      </c>
      <c r="C510" s="19" t="s">
        <v>536</v>
      </c>
      <c r="D510" s="18" t="s">
        <v>537</v>
      </c>
      <c r="E510" s="6" t="s">
        <v>20</v>
      </c>
      <c r="F510" s="20">
        <v>3</v>
      </c>
      <c r="G510" s="20"/>
      <c r="H510" s="15">
        <f t="shared" si="108"/>
        <v>3</v>
      </c>
      <c r="I510" s="134">
        <f>'2 - Section Count Projection'!$O$130</f>
        <v>0</v>
      </c>
      <c r="J510" s="16">
        <f t="shared" si="107"/>
        <v>0</v>
      </c>
      <c r="K510" s="7" t="str">
        <f t="shared" si="95"/>
        <v/>
      </c>
    </row>
    <row r="511" spans="1:11" x14ac:dyDescent="0.3">
      <c r="A511" s="8" t="s">
        <v>528</v>
      </c>
      <c r="B511" s="9" t="s">
        <v>62</v>
      </c>
      <c r="C511" s="19" t="s">
        <v>538</v>
      </c>
      <c r="D511" s="18" t="s">
        <v>539</v>
      </c>
      <c r="E511" s="6" t="s">
        <v>34</v>
      </c>
      <c r="F511" s="20">
        <v>3</v>
      </c>
      <c r="G511" s="20"/>
      <c r="H511" s="15">
        <f t="shared" si="108"/>
        <v>3</v>
      </c>
      <c r="I511" s="134">
        <f>'2 - Section Count Projection'!$O$130</f>
        <v>0</v>
      </c>
      <c r="J511" s="16">
        <f t="shared" si="107"/>
        <v>0</v>
      </c>
      <c r="K511" s="7" t="str">
        <f t="shared" si="95"/>
        <v/>
      </c>
    </row>
    <row r="512" spans="1:11" x14ac:dyDescent="0.3">
      <c r="A512" s="8" t="s">
        <v>528</v>
      </c>
      <c r="B512" s="9" t="s">
        <v>62</v>
      </c>
      <c r="C512" s="19" t="s">
        <v>540</v>
      </c>
      <c r="D512" s="18" t="s">
        <v>541</v>
      </c>
      <c r="E512" s="6" t="s">
        <v>34</v>
      </c>
      <c r="F512" s="20">
        <v>2</v>
      </c>
      <c r="G512" s="20">
        <v>1.5</v>
      </c>
      <c r="H512" s="15">
        <f t="shared" si="108"/>
        <v>3.5</v>
      </c>
      <c r="I512" s="134">
        <f>'2 - Section Count Projection'!$O$130</f>
        <v>0</v>
      </c>
      <c r="J512" s="16">
        <f t="shared" si="107"/>
        <v>0</v>
      </c>
      <c r="K512" s="7" t="str">
        <f t="shared" si="95"/>
        <v/>
      </c>
    </row>
    <row r="513" spans="1:11" x14ac:dyDescent="0.3">
      <c r="A513" s="8" t="s">
        <v>528</v>
      </c>
      <c r="B513" s="9" t="s">
        <v>62</v>
      </c>
      <c r="C513" s="19" t="s">
        <v>142</v>
      </c>
      <c r="D513" s="18" t="s">
        <v>143</v>
      </c>
      <c r="E513" s="6" t="s">
        <v>38</v>
      </c>
      <c r="F513" s="20">
        <v>2</v>
      </c>
      <c r="G513" s="20"/>
      <c r="H513" s="15">
        <f t="shared" si="108"/>
        <v>2</v>
      </c>
      <c r="I513" s="134">
        <f>'2 - Section Count Projection'!$O$130</f>
        <v>0</v>
      </c>
      <c r="J513" s="16">
        <f t="shared" si="107"/>
        <v>0</v>
      </c>
      <c r="K513" s="7" t="str">
        <f t="shared" si="95"/>
        <v/>
      </c>
    </row>
    <row r="514" spans="1:11" x14ac:dyDescent="0.3">
      <c r="K514" s="7" t="str">
        <f t="shared" si="95"/>
        <v/>
      </c>
    </row>
    <row r="515" spans="1:11" x14ac:dyDescent="0.3">
      <c r="A515" s="58" t="s">
        <v>535</v>
      </c>
      <c r="K515" s="7" t="str">
        <f t="shared" si="95"/>
        <v/>
      </c>
    </row>
    <row r="516" spans="1:11" x14ac:dyDescent="0.3">
      <c r="A516" s="8" t="s">
        <v>528</v>
      </c>
      <c r="B516" s="9" t="s">
        <v>66</v>
      </c>
      <c r="C516" s="19" t="s">
        <v>121</v>
      </c>
      <c r="D516" s="18" t="s">
        <v>122</v>
      </c>
      <c r="E516" s="101"/>
      <c r="F516" s="20">
        <v>3</v>
      </c>
      <c r="G516" s="20"/>
      <c r="H516" s="15">
        <f t="shared" ref="H516:H521" si="109">SUM(F516:G516)</f>
        <v>3</v>
      </c>
      <c r="I516" s="134">
        <f>'2 - Section Count Projection'!$O$132</f>
        <v>0</v>
      </c>
      <c r="J516" s="16">
        <f t="shared" ref="J516:J521" si="110">I516*H516</f>
        <v>0</v>
      </c>
      <c r="K516" s="7" t="str">
        <f t="shared" ref="K516:K579" si="111">IF(I516&gt;0,F516,"")</f>
        <v/>
      </c>
    </row>
    <row r="517" spans="1:11" x14ac:dyDescent="0.3">
      <c r="A517" s="8" t="s">
        <v>528</v>
      </c>
      <c r="B517" s="9" t="s">
        <v>66</v>
      </c>
      <c r="C517" s="19" t="s">
        <v>542</v>
      </c>
      <c r="D517" s="18" t="s">
        <v>543</v>
      </c>
      <c r="E517" s="6" t="s">
        <v>20</v>
      </c>
      <c r="F517" s="20">
        <v>3</v>
      </c>
      <c r="G517" s="20"/>
      <c r="H517" s="15">
        <f t="shared" si="109"/>
        <v>3</v>
      </c>
      <c r="I517" s="134">
        <f>'2 - Section Count Projection'!$O$132</f>
        <v>0</v>
      </c>
      <c r="J517" s="16">
        <f t="shared" si="110"/>
        <v>0</v>
      </c>
      <c r="K517" s="7" t="str">
        <f t="shared" si="111"/>
        <v/>
      </c>
    </row>
    <row r="518" spans="1:11" x14ac:dyDescent="0.3">
      <c r="A518" s="8" t="s">
        <v>528</v>
      </c>
      <c r="B518" s="9" t="s">
        <v>66</v>
      </c>
      <c r="C518" s="19" t="s">
        <v>544</v>
      </c>
      <c r="D518" s="18" t="s">
        <v>545</v>
      </c>
      <c r="E518" s="6" t="s">
        <v>20</v>
      </c>
      <c r="F518" s="20">
        <v>3</v>
      </c>
      <c r="G518" s="20"/>
      <c r="H518" s="15">
        <f t="shared" si="109"/>
        <v>3</v>
      </c>
      <c r="I518" s="134">
        <f>'2 - Section Count Projection'!$O$132</f>
        <v>0</v>
      </c>
      <c r="J518" s="16">
        <f t="shared" si="110"/>
        <v>0</v>
      </c>
      <c r="K518" s="7" t="str">
        <f t="shared" si="111"/>
        <v/>
      </c>
    </row>
    <row r="519" spans="1:11" x14ac:dyDescent="0.3">
      <c r="A519" s="8" t="s">
        <v>528</v>
      </c>
      <c r="B519" s="9" t="s">
        <v>66</v>
      </c>
      <c r="C519" s="19" t="s">
        <v>546</v>
      </c>
      <c r="D519" s="18" t="s">
        <v>547</v>
      </c>
      <c r="E519" s="6" t="s">
        <v>20</v>
      </c>
      <c r="F519" s="20">
        <v>3</v>
      </c>
      <c r="G519" s="20"/>
      <c r="H519" s="15">
        <f t="shared" si="109"/>
        <v>3</v>
      </c>
      <c r="I519" s="134">
        <f>'2 - Section Count Projection'!$O$132</f>
        <v>0</v>
      </c>
      <c r="J519" s="16">
        <f t="shared" si="110"/>
        <v>0</v>
      </c>
      <c r="K519" s="7" t="str">
        <f t="shared" si="111"/>
        <v/>
      </c>
    </row>
    <row r="520" spans="1:11" x14ac:dyDescent="0.3">
      <c r="A520" s="8" t="s">
        <v>528</v>
      </c>
      <c r="B520" s="9" t="s">
        <v>66</v>
      </c>
      <c r="C520" s="19" t="s">
        <v>548</v>
      </c>
      <c r="D520" s="18" t="s">
        <v>549</v>
      </c>
      <c r="E520" s="101"/>
      <c r="F520" s="20">
        <v>2</v>
      </c>
      <c r="G520" s="20">
        <v>1.5</v>
      </c>
      <c r="H520" s="15">
        <f t="shared" si="109"/>
        <v>3.5</v>
      </c>
      <c r="I520" s="134">
        <f>'2 - Section Count Projection'!$O$132</f>
        <v>0</v>
      </c>
      <c r="J520" s="16">
        <f t="shared" si="110"/>
        <v>0</v>
      </c>
      <c r="K520" s="7" t="str">
        <f t="shared" si="111"/>
        <v/>
      </c>
    </row>
    <row r="521" spans="1:11" x14ac:dyDescent="0.3">
      <c r="A521" s="8" t="s">
        <v>528</v>
      </c>
      <c r="B521" s="9" t="s">
        <v>66</v>
      </c>
      <c r="C521" s="19" t="s">
        <v>550</v>
      </c>
      <c r="D521" s="18" t="s">
        <v>551</v>
      </c>
      <c r="E521" s="6" t="s">
        <v>20</v>
      </c>
      <c r="F521" s="20">
        <v>2</v>
      </c>
      <c r="G521" s="20">
        <v>1.5</v>
      </c>
      <c r="H521" s="15">
        <f t="shared" si="109"/>
        <v>3.5</v>
      </c>
      <c r="I521" s="134">
        <f>'2 - Section Count Projection'!$O$132</f>
        <v>0</v>
      </c>
      <c r="J521" s="16">
        <f t="shared" si="110"/>
        <v>0</v>
      </c>
      <c r="K521" s="7" t="str">
        <f t="shared" si="111"/>
        <v/>
      </c>
    </row>
    <row r="522" spans="1:11" x14ac:dyDescent="0.3">
      <c r="K522" s="7" t="str">
        <f t="shared" si="111"/>
        <v/>
      </c>
    </row>
    <row r="523" spans="1:11" x14ac:dyDescent="0.3">
      <c r="A523" s="58" t="s">
        <v>552</v>
      </c>
      <c r="K523" s="7" t="str">
        <f t="shared" si="111"/>
        <v/>
      </c>
    </row>
    <row r="524" spans="1:11" x14ac:dyDescent="0.3">
      <c r="A524" s="8" t="s">
        <v>528</v>
      </c>
      <c r="B524" s="9" t="s">
        <v>71</v>
      </c>
      <c r="C524" s="19" t="s">
        <v>553</v>
      </c>
      <c r="D524" s="18" t="s">
        <v>554</v>
      </c>
      <c r="E524" s="186" t="s">
        <v>20</v>
      </c>
      <c r="F524" s="20">
        <v>2</v>
      </c>
      <c r="G524" s="20">
        <v>1.5</v>
      </c>
      <c r="H524" s="15">
        <f t="shared" ref="H524:H527" si="112">SUM(F524:G524)</f>
        <v>3.5</v>
      </c>
      <c r="I524" s="134">
        <f>'2 - Section Count Projection'!$O$132</f>
        <v>0</v>
      </c>
      <c r="J524" s="16">
        <f t="shared" ref="J524:J528" si="113">I524*H524</f>
        <v>0</v>
      </c>
      <c r="K524" s="7" t="str">
        <f t="shared" si="111"/>
        <v/>
      </c>
    </row>
    <row r="525" spans="1:11" x14ac:dyDescent="0.3">
      <c r="A525" s="8" t="s">
        <v>528</v>
      </c>
      <c r="B525" s="9" t="s">
        <v>71</v>
      </c>
      <c r="C525" s="19" t="s">
        <v>555</v>
      </c>
      <c r="D525" s="18" t="s">
        <v>556</v>
      </c>
      <c r="E525" s="6" t="s">
        <v>20</v>
      </c>
      <c r="F525" s="20">
        <v>3</v>
      </c>
      <c r="G525" s="20"/>
      <c r="H525" s="15">
        <f t="shared" si="112"/>
        <v>3</v>
      </c>
      <c r="I525" s="134">
        <f>'2 - Section Count Projection'!$O$132</f>
        <v>0</v>
      </c>
      <c r="J525" s="16">
        <f t="shared" si="113"/>
        <v>0</v>
      </c>
      <c r="K525" s="7" t="str">
        <f t="shared" si="111"/>
        <v/>
      </c>
    </row>
    <row r="526" spans="1:11" x14ac:dyDescent="0.3">
      <c r="A526" s="8" t="s">
        <v>528</v>
      </c>
      <c r="B526" s="9" t="s">
        <v>71</v>
      </c>
      <c r="C526" s="19" t="s">
        <v>557</v>
      </c>
      <c r="D526" s="18" t="s">
        <v>558</v>
      </c>
      <c r="E526" s="186" t="s">
        <v>34</v>
      </c>
      <c r="F526" s="20">
        <v>2</v>
      </c>
      <c r="G526" s="20">
        <v>1.5</v>
      </c>
      <c r="H526" s="15">
        <f t="shared" si="112"/>
        <v>3.5</v>
      </c>
      <c r="I526" s="134">
        <f>'2 - Section Count Projection'!$O$132</f>
        <v>0</v>
      </c>
      <c r="J526" s="16">
        <f t="shared" si="113"/>
        <v>0</v>
      </c>
      <c r="K526" s="7" t="str">
        <f t="shared" si="111"/>
        <v/>
      </c>
    </row>
    <row r="527" spans="1:11" x14ac:dyDescent="0.3">
      <c r="A527" s="8" t="s">
        <v>528</v>
      </c>
      <c r="B527" s="9" t="s">
        <v>71</v>
      </c>
      <c r="C527" s="19" t="s">
        <v>559</v>
      </c>
      <c r="D527" s="18" t="s">
        <v>560</v>
      </c>
      <c r="E527" s="6" t="s">
        <v>20</v>
      </c>
      <c r="F527" s="20">
        <v>3</v>
      </c>
      <c r="G527" s="20"/>
      <c r="H527" s="15">
        <f t="shared" si="112"/>
        <v>3</v>
      </c>
      <c r="I527" s="134">
        <f>'2 - Section Count Projection'!$O$132</f>
        <v>0</v>
      </c>
      <c r="J527" s="16">
        <f t="shared" si="113"/>
        <v>0</v>
      </c>
      <c r="K527" s="7" t="str">
        <f t="shared" si="111"/>
        <v/>
      </c>
    </row>
    <row r="528" spans="1:11" x14ac:dyDescent="0.3">
      <c r="A528" s="8" t="s">
        <v>528</v>
      </c>
      <c r="B528" s="9" t="s">
        <v>71</v>
      </c>
      <c r="C528" s="19" t="s">
        <v>561</v>
      </c>
      <c r="D528" s="18" t="s">
        <v>520</v>
      </c>
      <c r="E528" s="186" t="s">
        <v>20</v>
      </c>
      <c r="F528" s="20">
        <v>2</v>
      </c>
      <c r="G528" s="20"/>
      <c r="H528" s="189">
        <v>2</v>
      </c>
      <c r="I528" s="134">
        <f>'2 - Section Count Projection'!$O$132</f>
        <v>0</v>
      </c>
      <c r="J528" s="16">
        <f t="shared" si="113"/>
        <v>0</v>
      </c>
      <c r="K528" s="7" t="str">
        <f t="shared" si="111"/>
        <v/>
      </c>
    </row>
    <row r="529" spans="1:11" x14ac:dyDescent="0.3">
      <c r="K529" s="7" t="str">
        <f t="shared" si="111"/>
        <v/>
      </c>
    </row>
    <row r="530" spans="1:11" x14ac:dyDescent="0.3">
      <c r="A530" s="58" t="s">
        <v>562</v>
      </c>
      <c r="K530" s="7" t="str">
        <f t="shared" si="111"/>
        <v/>
      </c>
    </row>
    <row r="531" spans="1:11" x14ac:dyDescent="0.3">
      <c r="A531" s="8" t="s">
        <v>563</v>
      </c>
      <c r="B531" s="9" t="s">
        <v>59</v>
      </c>
      <c r="C531" s="19" t="s">
        <v>564</v>
      </c>
      <c r="D531" s="18" t="s">
        <v>565</v>
      </c>
      <c r="E531" s="6" t="s">
        <v>36</v>
      </c>
      <c r="F531" s="20">
        <v>3</v>
      </c>
      <c r="G531" s="20"/>
      <c r="H531" s="15">
        <f>SUM(F531:G531)</f>
        <v>3</v>
      </c>
      <c r="I531" s="134">
        <f>'2 - Section Count Projection'!$G$82</f>
        <v>0</v>
      </c>
      <c r="J531" s="16">
        <f>I531*H531</f>
        <v>0</v>
      </c>
      <c r="K531" s="7" t="str">
        <f t="shared" si="111"/>
        <v/>
      </c>
    </row>
    <row r="532" spans="1:11" x14ac:dyDescent="0.3">
      <c r="A532" s="8" t="s">
        <v>563</v>
      </c>
      <c r="B532" s="9" t="s">
        <v>59</v>
      </c>
      <c r="C532" s="19" t="s">
        <v>566</v>
      </c>
      <c r="D532" s="18" t="s">
        <v>124</v>
      </c>
      <c r="E532" s="101"/>
      <c r="F532" s="20">
        <v>1</v>
      </c>
      <c r="G532" s="20"/>
      <c r="H532" s="15">
        <f>SUM(F532:G532)</f>
        <v>1</v>
      </c>
      <c r="I532" s="134">
        <f>'2 - Section Count Projection'!$G$82</f>
        <v>0</v>
      </c>
      <c r="J532" s="16">
        <f>I532*H532</f>
        <v>0</v>
      </c>
      <c r="K532" s="7" t="str">
        <f t="shared" si="111"/>
        <v/>
      </c>
    </row>
    <row r="533" spans="1:11" x14ac:dyDescent="0.3">
      <c r="A533" s="8" t="s">
        <v>563</v>
      </c>
      <c r="B533" s="9" t="s">
        <v>59</v>
      </c>
      <c r="C533" s="19" t="s">
        <v>567</v>
      </c>
      <c r="D533" s="18" t="s">
        <v>129</v>
      </c>
      <c r="E533" s="101"/>
      <c r="F533" s="20">
        <v>3</v>
      </c>
      <c r="G533" s="20"/>
      <c r="H533" s="15">
        <f>SUM(F533:G533)</f>
        <v>3</v>
      </c>
      <c r="I533" s="134">
        <f>'2 - Section Count Projection'!$G$82</f>
        <v>0</v>
      </c>
      <c r="J533" s="16">
        <f>I533*H533</f>
        <v>0</v>
      </c>
      <c r="K533" s="7" t="str">
        <f t="shared" si="111"/>
        <v/>
      </c>
    </row>
    <row r="534" spans="1:11" x14ac:dyDescent="0.3">
      <c r="A534" s="8" t="s">
        <v>563</v>
      </c>
      <c r="B534" s="9" t="s">
        <v>59</v>
      </c>
      <c r="C534" s="19" t="s">
        <v>568</v>
      </c>
      <c r="D534" s="18" t="s">
        <v>569</v>
      </c>
      <c r="E534" s="101"/>
      <c r="F534" s="20">
        <v>3</v>
      </c>
      <c r="G534" s="20"/>
      <c r="H534" s="15">
        <f>SUM(F534:G534)</f>
        <v>3</v>
      </c>
      <c r="I534" s="134">
        <f>'2 - Section Count Projection'!$G$82</f>
        <v>0</v>
      </c>
      <c r="J534" s="16">
        <f>I534*H534</f>
        <v>0</v>
      </c>
      <c r="K534" s="7" t="str">
        <f t="shared" si="111"/>
        <v/>
      </c>
    </row>
    <row r="535" spans="1:11" x14ac:dyDescent="0.3">
      <c r="A535" s="8" t="s">
        <v>563</v>
      </c>
      <c r="B535" s="9" t="s">
        <v>59</v>
      </c>
      <c r="C535" s="19" t="s">
        <v>570</v>
      </c>
      <c r="D535" s="18" t="s">
        <v>571</v>
      </c>
      <c r="E535" s="6" t="s">
        <v>32</v>
      </c>
      <c r="F535" s="20">
        <v>3</v>
      </c>
      <c r="G535" s="20"/>
      <c r="H535" s="15">
        <f>SUM(F535:G535)</f>
        <v>3</v>
      </c>
      <c r="I535" s="134">
        <f>'2 - Section Count Projection'!$G$82</f>
        <v>0</v>
      </c>
      <c r="J535" s="16">
        <f>I535*H535</f>
        <v>0</v>
      </c>
      <c r="K535" s="7" t="str">
        <f t="shared" si="111"/>
        <v/>
      </c>
    </row>
    <row r="536" spans="1:11" x14ac:dyDescent="0.3">
      <c r="K536" s="7" t="str">
        <f t="shared" si="111"/>
        <v/>
      </c>
    </row>
    <row r="537" spans="1:11" x14ac:dyDescent="0.3">
      <c r="A537" s="58" t="s">
        <v>562</v>
      </c>
      <c r="K537" s="7" t="str">
        <f t="shared" si="111"/>
        <v/>
      </c>
    </row>
    <row r="538" spans="1:11" x14ac:dyDescent="0.3">
      <c r="A538" s="8" t="s">
        <v>563</v>
      </c>
      <c r="B538" s="9" t="s">
        <v>62</v>
      </c>
      <c r="C538" s="19" t="s">
        <v>572</v>
      </c>
      <c r="D538" s="18" t="s">
        <v>573</v>
      </c>
      <c r="E538" s="6" t="s">
        <v>32</v>
      </c>
      <c r="F538" s="20">
        <v>2</v>
      </c>
      <c r="G538" s="20">
        <v>1.5</v>
      </c>
      <c r="H538" s="15">
        <f>SUM(F538:G538)</f>
        <v>3.5</v>
      </c>
      <c r="I538" s="134">
        <f>'2 - Section Count Projection'!$G$84</f>
        <v>0</v>
      </c>
      <c r="J538" s="16">
        <f>I538*H538</f>
        <v>0</v>
      </c>
      <c r="K538" s="7" t="str">
        <f t="shared" si="111"/>
        <v/>
      </c>
    </row>
    <row r="539" spans="1:11" x14ac:dyDescent="0.3">
      <c r="A539" s="8" t="s">
        <v>563</v>
      </c>
      <c r="B539" s="9" t="s">
        <v>62</v>
      </c>
      <c r="C539" s="19" t="s">
        <v>574</v>
      </c>
      <c r="D539" s="18" t="s">
        <v>575</v>
      </c>
      <c r="E539" s="6" t="s">
        <v>32</v>
      </c>
      <c r="F539" s="20">
        <v>2</v>
      </c>
      <c r="G539" s="20">
        <v>1.5</v>
      </c>
      <c r="H539" s="15">
        <f>SUM(F539:G539)</f>
        <v>3.5</v>
      </c>
      <c r="I539" s="134">
        <f>'2 - Section Count Projection'!$G$84</f>
        <v>0</v>
      </c>
      <c r="J539" s="16">
        <f>I539*H539</f>
        <v>0</v>
      </c>
      <c r="K539" s="7" t="str">
        <f t="shared" si="111"/>
        <v/>
      </c>
    </row>
    <row r="540" spans="1:11" x14ac:dyDescent="0.3">
      <c r="A540" s="8" t="s">
        <v>563</v>
      </c>
      <c r="B540" s="9" t="s">
        <v>62</v>
      </c>
      <c r="C540" s="19" t="s">
        <v>576</v>
      </c>
      <c r="D540" s="18" t="s">
        <v>577</v>
      </c>
      <c r="E540" s="101"/>
      <c r="F540" s="20">
        <v>3</v>
      </c>
      <c r="G540" s="20"/>
      <c r="H540" s="15">
        <f>SUM(F540:G540)</f>
        <v>3</v>
      </c>
      <c r="I540" s="134">
        <f>'2 - Section Count Projection'!$G$84</f>
        <v>0</v>
      </c>
      <c r="J540" s="16">
        <f>I540*H540</f>
        <v>0</v>
      </c>
      <c r="K540" s="7" t="str">
        <f t="shared" si="111"/>
        <v/>
      </c>
    </row>
    <row r="541" spans="1:11" x14ac:dyDescent="0.3">
      <c r="K541" s="7" t="str">
        <f t="shared" si="111"/>
        <v/>
      </c>
    </row>
    <row r="542" spans="1:11" x14ac:dyDescent="0.3">
      <c r="A542" s="58" t="s">
        <v>578</v>
      </c>
      <c r="K542" s="7" t="str">
        <f t="shared" si="111"/>
        <v/>
      </c>
    </row>
    <row r="543" spans="1:11" x14ac:dyDescent="0.3">
      <c r="A543" s="8" t="s">
        <v>579</v>
      </c>
      <c r="B543" s="9" t="s">
        <v>59</v>
      </c>
      <c r="C543" s="19" t="s">
        <v>564</v>
      </c>
      <c r="D543" s="18" t="s">
        <v>565</v>
      </c>
      <c r="E543" s="6" t="s">
        <v>36</v>
      </c>
      <c r="F543" s="20">
        <v>3</v>
      </c>
      <c r="G543" s="20"/>
      <c r="H543" s="15">
        <f>SUM(F543:G543)</f>
        <v>3</v>
      </c>
      <c r="I543" s="134">
        <f>'2 - Section Count Projection'!$G$82</f>
        <v>0</v>
      </c>
      <c r="J543" s="16">
        <f>I543*H543</f>
        <v>0</v>
      </c>
      <c r="K543" s="7" t="str">
        <f t="shared" si="111"/>
        <v/>
      </c>
    </row>
    <row r="544" spans="1:11" x14ac:dyDescent="0.3">
      <c r="A544" s="8" t="s">
        <v>579</v>
      </c>
      <c r="B544" s="9" t="s">
        <v>59</v>
      </c>
      <c r="C544" s="19" t="s">
        <v>566</v>
      </c>
      <c r="D544" s="18" t="s">
        <v>124</v>
      </c>
      <c r="E544" s="101"/>
      <c r="F544" s="20">
        <v>1</v>
      </c>
      <c r="G544" s="20"/>
      <c r="H544" s="15">
        <f>SUM(F544:G544)</f>
        <v>1</v>
      </c>
      <c r="I544" s="134">
        <f>'2 - Section Count Projection'!$G$82</f>
        <v>0</v>
      </c>
      <c r="J544" s="16">
        <f>I544*H544</f>
        <v>0</v>
      </c>
      <c r="K544" s="7" t="str">
        <f t="shared" si="111"/>
        <v/>
      </c>
    </row>
    <row r="545" spans="1:11" x14ac:dyDescent="0.3">
      <c r="A545" s="8" t="s">
        <v>579</v>
      </c>
      <c r="B545" s="9" t="s">
        <v>59</v>
      </c>
      <c r="C545" s="19" t="s">
        <v>567</v>
      </c>
      <c r="D545" s="18" t="s">
        <v>129</v>
      </c>
      <c r="E545" s="227"/>
      <c r="F545" s="20">
        <v>3</v>
      </c>
      <c r="G545" s="20"/>
      <c r="H545" s="15">
        <f>SUM(F545:G545)</f>
        <v>3</v>
      </c>
      <c r="I545" s="134">
        <f>'2 - Section Count Projection'!$G$82</f>
        <v>0</v>
      </c>
      <c r="J545" s="16">
        <f>I545*H545</f>
        <v>0</v>
      </c>
      <c r="K545" s="7" t="str">
        <f t="shared" si="111"/>
        <v/>
      </c>
    </row>
    <row r="546" spans="1:11" x14ac:dyDescent="0.3">
      <c r="A546" s="8" t="s">
        <v>579</v>
      </c>
      <c r="B546" s="9" t="s">
        <v>59</v>
      </c>
      <c r="C546" s="19" t="s">
        <v>568</v>
      </c>
      <c r="D546" s="18" t="s">
        <v>569</v>
      </c>
      <c r="E546" s="101"/>
      <c r="F546" s="20">
        <v>3</v>
      </c>
      <c r="G546" s="20"/>
      <c r="H546" s="15">
        <f>SUM(F546:G546)</f>
        <v>3</v>
      </c>
      <c r="I546" s="134">
        <f>'2 - Section Count Projection'!$G$82</f>
        <v>0</v>
      </c>
      <c r="J546" s="16">
        <f>I546*H546</f>
        <v>0</v>
      </c>
      <c r="K546" s="7" t="str">
        <f t="shared" si="111"/>
        <v/>
      </c>
    </row>
    <row r="547" spans="1:11" x14ac:dyDescent="0.3">
      <c r="A547" s="8" t="s">
        <v>579</v>
      </c>
      <c r="B547" s="9" t="s">
        <v>59</v>
      </c>
      <c r="C547" s="19" t="s">
        <v>570</v>
      </c>
      <c r="D547" s="18" t="s">
        <v>571</v>
      </c>
      <c r="E547" s="6" t="s">
        <v>32</v>
      </c>
      <c r="F547" s="20">
        <v>3</v>
      </c>
      <c r="G547" s="20"/>
      <c r="H547" s="15">
        <f>SUM(F547:G547)</f>
        <v>3</v>
      </c>
      <c r="I547" s="134">
        <f>'2 - Section Count Projection'!$G$82</f>
        <v>0</v>
      </c>
      <c r="J547" s="16">
        <f>I547*H547</f>
        <v>0</v>
      </c>
      <c r="K547" s="7" t="str">
        <f t="shared" si="111"/>
        <v/>
      </c>
    </row>
    <row r="548" spans="1:11" x14ac:dyDescent="0.3">
      <c r="K548" s="7" t="str">
        <f t="shared" si="111"/>
        <v/>
      </c>
    </row>
    <row r="549" spans="1:11" x14ac:dyDescent="0.3">
      <c r="A549" s="58" t="s">
        <v>578</v>
      </c>
      <c r="K549" s="7" t="str">
        <f t="shared" si="111"/>
        <v/>
      </c>
    </row>
    <row r="550" spans="1:11" x14ac:dyDescent="0.3">
      <c r="A550" s="8" t="s">
        <v>579</v>
      </c>
      <c r="B550" s="9" t="s">
        <v>62</v>
      </c>
      <c r="C550" s="19" t="s">
        <v>572</v>
      </c>
      <c r="D550" s="18" t="s">
        <v>573</v>
      </c>
      <c r="E550" s="6" t="s">
        <v>32</v>
      </c>
      <c r="F550" s="20">
        <v>2</v>
      </c>
      <c r="G550" s="20">
        <v>1.5</v>
      </c>
      <c r="H550" s="15">
        <f>SUM(F550:G550)</f>
        <v>3.5</v>
      </c>
      <c r="I550" s="134">
        <f>'2 - Section Count Projection'!$G$84</f>
        <v>0</v>
      </c>
      <c r="J550" s="16">
        <f>I550*H550</f>
        <v>0</v>
      </c>
      <c r="K550" s="7" t="str">
        <f t="shared" si="111"/>
        <v/>
      </c>
    </row>
    <row r="551" spans="1:11" x14ac:dyDescent="0.3">
      <c r="A551" s="8" t="s">
        <v>579</v>
      </c>
      <c r="B551" s="9" t="s">
        <v>62</v>
      </c>
      <c r="C551" s="19" t="s">
        <v>574</v>
      </c>
      <c r="D551" s="18" t="s">
        <v>575</v>
      </c>
      <c r="E551" s="6" t="s">
        <v>32</v>
      </c>
      <c r="F551" s="20">
        <v>2</v>
      </c>
      <c r="G551" s="20">
        <v>1.5</v>
      </c>
      <c r="H551" s="15">
        <f>SUM(F551:G551)</f>
        <v>3.5</v>
      </c>
      <c r="I551" s="134">
        <f>'2 - Section Count Projection'!$G$84</f>
        <v>0</v>
      </c>
      <c r="J551" s="16">
        <f>I551*H551</f>
        <v>0</v>
      </c>
      <c r="K551" s="7" t="str">
        <f t="shared" si="111"/>
        <v/>
      </c>
    </row>
    <row r="552" spans="1:11" x14ac:dyDescent="0.3">
      <c r="A552" s="8" t="s">
        <v>579</v>
      </c>
      <c r="B552" s="9" t="s">
        <v>62</v>
      </c>
      <c r="C552" s="19" t="s">
        <v>576</v>
      </c>
      <c r="D552" s="18" t="s">
        <v>577</v>
      </c>
      <c r="E552" s="101"/>
      <c r="F552" s="20">
        <v>3</v>
      </c>
      <c r="G552" s="20"/>
      <c r="H552" s="15">
        <f>SUM(F552:G552)</f>
        <v>3</v>
      </c>
      <c r="I552" s="134">
        <f>'2 - Section Count Projection'!$G$84</f>
        <v>0</v>
      </c>
      <c r="J552" s="16">
        <f>I552*H552</f>
        <v>0</v>
      </c>
      <c r="K552" s="7" t="str">
        <f t="shared" si="111"/>
        <v/>
      </c>
    </row>
    <row r="553" spans="1:11" x14ac:dyDescent="0.3">
      <c r="K553" s="7" t="str">
        <f t="shared" si="111"/>
        <v/>
      </c>
    </row>
    <row r="554" spans="1:11" x14ac:dyDescent="0.3">
      <c r="A554" s="58" t="s">
        <v>578</v>
      </c>
      <c r="K554" s="7" t="str">
        <f t="shared" si="111"/>
        <v/>
      </c>
    </row>
    <row r="555" spans="1:11" x14ac:dyDescent="0.3">
      <c r="A555" s="8" t="s">
        <v>579</v>
      </c>
      <c r="B555" s="9" t="s">
        <v>66</v>
      </c>
      <c r="C555" s="19" t="s">
        <v>580</v>
      </c>
      <c r="D555" s="18" t="s">
        <v>581</v>
      </c>
      <c r="E555" s="6" t="s">
        <v>32</v>
      </c>
      <c r="F555" s="20">
        <v>3</v>
      </c>
      <c r="G555" s="20"/>
      <c r="H555" s="15">
        <f>SUM(F555:G555)</f>
        <v>3</v>
      </c>
      <c r="I555" s="134">
        <f>'2 - Section Count Projection'!$G$84</f>
        <v>0</v>
      </c>
      <c r="J555" s="16">
        <f>I555*H555</f>
        <v>0</v>
      </c>
      <c r="K555" s="7" t="str">
        <f t="shared" si="111"/>
        <v/>
      </c>
    </row>
    <row r="556" spans="1:11" x14ac:dyDescent="0.3">
      <c r="A556" s="8" t="s">
        <v>579</v>
      </c>
      <c r="B556" s="9" t="s">
        <v>66</v>
      </c>
      <c r="C556" s="19" t="s">
        <v>582</v>
      </c>
      <c r="D556" s="18" t="s">
        <v>583</v>
      </c>
      <c r="E556" s="6" t="s">
        <v>32</v>
      </c>
      <c r="F556" s="20">
        <v>2</v>
      </c>
      <c r="G556" s="20">
        <v>1.5</v>
      </c>
      <c r="H556" s="15">
        <f>SUM(F556:G556)</f>
        <v>3.5</v>
      </c>
      <c r="I556" s="134">
        <f>'2 - Section Count Projection'!$G$84</f>
        <v>0</v>
      </c>
      <c r="J556" s="16">
        <f>I556*H556</f>
        <v>0</v>
      </c>
      <c r="K556" s="7" t="str">
        <f t="shared" si="111"/>
        <v/>
      </c>
    </row>
    <row r="557" spans="1:11" x14ac:dyDescent="0.3">
      <c r="A557" s="62" t="s">
        <v>579</v>
      </c>
      <c r="B557" s="61" t="s">
        <v>66</v>
      </c>
      <c r="C557" s="149" t="s">
        <v>584</v>
      </c>
      <c r="D557" s="150" t="s">
        <v>585</v>
      </c>
      <c r="E557" s="6" t="s">
        <v>32</v>
      </c>
      <c r="F557" s="144">
        <v>2</v>
      </c>
      <c r="G557" s="144">
        <v>1.5</v>
      </c>
      <c r="H557" s="139">
        <f>SUM(F557:G557)</f>
        <v>3.5</v>
      </c>
      <c r="I557" s="135">
        <f>'2 - Section Count Projection'!$G$84</f>
        <v>0</v>
      </c>
      <c r="J557" s="140">
        <f>I557*H557</f>
        <v>0</v>
      </c>
      <c r="K557" s="7" t="str">
        <f t="shared" si="111"/>
        <v/>
      </c>
    </row>
    <row r="558" spans="1:11" x14ac:dyDescent="0.3">
      <c r="A558" s="8" t="s">
        <v>579</v>
      </c>
      <c r="B558" s="9" t="s">
        <v>66</v>
      </c>
      <c r="C558" s="19" t="s">
        <v>586</v>
      </c>
      <c r="D558" s="18" t="s">
        <v>587</v>
      </c>
      <c r="E558" s="101"/>
      <c r="F558" s="20">
        <v>3</v>
      </c>
      <c r="G558" s="20"/>
      <c r="H558" s="15">
        <f>SUM(F558:G558)</f>
        <v>3</v>
      </c>
      <c r="I558" s="134">
        <f>'2 - Section Count Projection'!$G$84</f>
        <v>0</v>
      </c>
      <c r="J558" s="16">
        <f>I558*H558</f>
        <v>0</v>
      </c>
      <c r="K558" s="7" t="str">
        <f t="shared" si="111"/>
        <v/>
      </c>
    </row>
    <row r="559" spans="1:11" x14ac:dyDescent="0.3">
      <c r="K559" s="7" t="str">
        <f t="shared" si="111"/>
        <v/>
      </c>
    </row>
    <row r="560" spans="1:11" x14ac:dyDescent="0.3">
      <c r="A560" s="58" t="s">
        <v>588</v>
      </c>
      <c r="K560" s="7" t="str">
        <f t="shared" si="111"/>
        <v/>
      </c>
    </row>
    <row r="561" spans="1:11" x14ac:dyDescent="0.3">
      <c r="A561" s="8" t="s">
        <v>589</v>
      </c>
      <c r="B561" s="9" t="s">
        <v>59</v>
      </c>
      <c r="C561" s="19" t="s">
        <v>564</v>
      </c>
      <c r="D561" s="18" t="s">
        <v>565</v>
      </c>
      <c r="E561" s="6" t="s">
        <v>36</v>
      </c>
      <c r="F561" s="20">
        <v>3</v>
      </c>
      <c r="G561" s="20"/>
      <c r="H561" s="15">
        <f>SUM(F561:G561)</f>
        <v>3</v>
      </c>
      <c r="I561" s="134">
        <f>'2 - Section Count Projection'!$G$87</f>
        <v>0</v>
      </c>
      <c r="J561" s="16">
        <f>I561*H561</f>
        <v>0</v>
      </c>
      <c r="K561" s="7" t="str">
        <f t="shared" si="111"/>
        <v/>
      </c>
    </row>
    <row r="562" spans="1:11" x14ac:dyDescent="0.3">
      <c r="A562" s="8" t="s">
        <v>589</v>
      </c>
      <c r="B562" s="9" t="s">
        <v>59</v>
      </c>
      <c r="C562" s="19" t="s">
        <v>566</v>
      </c>
      <c r="D562" s="18" t="s">
        <v>124</v>
      </c>
      <c r="E562" s="227"/>
      <c r="F562" s="20">
        <v>1</v>
      </c>
      <c r="G562" s="20"/>
      <c r="H562" s="15">
        <f>SUM(F562:G562)</f>
        <v>1</v>
      </c>
      <c r="I562" s="134">
        <f>'2 - Section Count Projection'!$G$87</f>
        <v>0</v>
      </c>
      <c r="J562" s="16">
        <f>I562*H562</f>
        <v>0</v>
      </c>
      <c r="K562" s="7" t="str">
        <f t="shared" si="111"/>
        <v/>
      </c>
    </row>
    <row r="563" spans="1:11" x14ac:dyDescent="0.3">
      <c r="A563" s="8" t="s">
        <v>589</v>
      </c>
      <c r="B563" s="9" t="s">
        <v>59</v>
      </c>
      <c r="C563" s="19" t="s">
        <v>567</v>
      </c>
      <c r="D563" s="18" t="s">
        <v>129</v>
      </c>
      <c r="E563" s="227"/>
      <c r="F563" s="20">
        <v>3</v>
      </c>
      <c r="G563" s="20"/>
      <c r="H563" s="15">
        <f>SUM(F563:G563)</f>
        <v>3</v>
      </c>
      <c r="I563" s="134">
        <f>'2 - Section Count Projection'!$G$87</f>
        <v>0</v>
      </c>
      <c r="J563" s="16">
        <f>I563*H563</f>
        <v>0</v>
      </c>
      <c r="K563" s="7" t="str">
        <f t="shared" si="111"/>
        <v/>
      </c>
    </row>
    <row r="564" spans="1:11" x14ac:dyDescent="0.3">
      <c r="A564" s="8" t="s">
        <v>589</v>
      </c>
      <c r="B564" s="9" t="s">
        <v>59</v>
      </c>
      <c r="C564" s="19" t="s">
        <v>568</v>
      </c>
      <c r="D564" s="18" t="s">
        <v>569</v>
      </c>
      <c r="E564" s="101"/>
      <c r="F564" s="20">
        <v>3</v>
      </c>
      <c r="G564" s="20"/>
      <c r="H564" s="15">
        <f>SUM(F564:G564)</f>
        <v>3</v>
      </c>
      <c r="I564" s="134">
        <f>'2 - Section Count Projection'!$G$87</f>
        <v>0</v>
      </c>
      <c r="J564" s="16">
        <f>I564*H564</f>
        <v>0</v>
      </c>
      <c r="K564" s="7" t="str">
        <f t="shared" si="111"/>
        <v/>
      </c>
    </row>
    <row r="565" spans="1:11" x14ac:dyDescent="0.3">
      <c r="A565" s="8" t="s">
        <v>589</v>
      </c>
      <c r="B565" s="9" t="s">
        <v>59</v>
      </c>
      <c r="C565" s="19" t="s">
        <v>570</v>
      </c>
      <c r="D565" s="18" t="s">
        <v>571</v>
      </c>
      <c r="E565" s="6" t="s">
        <v>32</v>
      </c>
      <c r="F565" s="20">
        <v>3</v>
      </c>
      <c r="G565" s="20"/>
      <c r="H565" s="15">
        <f>SUM(F565:G565)</f>
        <v>3</v>
      </c>
      <c r="I565" s="134">
        <f>'2 - Section Count Projection'!$G$87</f>
        <v>0</v>
      </c>
      <c r="J565" s="16">
        <f>I565*H565</f>
        <v>0</v>
      </c>
      <c r="K565" s="7" t="str">
        <f t="shared" si="111"/>
        <v/>
      </c>
    </row>
    <row r="566" spans="1:11" x14ac:dyDescent="0.3">
      <c r="K566" s="7" t="str">
        <f t="shared" si="111"/>
        <v/>
      </c>
    </row>
    <row r="567" spans="1:11" x14ac:dyDescent="0.3">
      <c r="A567" s="58" t="s">
        <v>588</v>
      </c>
      <c r="K567" s="7" t="str">
        <f t="shared" si="111"/>
        <v/>
      </c>
    </row>
    <row r="568" spans="1:11" x14ac:dyDescent="0.3">
      <c r="A568" s="8" t="s">
        <v>589</v>
      </c>
      <c r="B568" s="9" t="s">
        <v>62</v>
      </c>
      <c r="C568" s="19" t="s">
        <v>590</v>
      </c>
      <c r="D568" s="18" t="s">
        <v>591</v>
      </c>
      <c r="E568" s="6" t="s">
        <v>43</v>
      </c>
      <c r="F568" s="20">
        <v>3</v>
      </c>
      <c r="G568" s="20"/>
      <c r="H568" s="15">
        <f>SUM(F568:G568)</f>
        <v>3</v>
      </c>
      <c r="I568" s="134">
        <f>'2 - Section Count Projection'!$G$89</f>
        <v>0</v>
      </c>
      <c r="J568" s="16">
        <f>I568*H568</f>
        <v>0</v>
      </c>
      <c r="K568" s="7" t="str">
        <f t="shared" si="111"/>
        <v/>
      </c>
    </row>
    <row r="569" spans="1:11" x14ac:dyDescent="0.3">
      <c r="A569" s="8" t="s">
        <v>589</v>
      </c>
      <c r="B569" s="9" t="s">
        <v>62</v>
      </c>
      <c r="C569" s="19" t="s">
        <v>592</v>
      </c>
      <c r="D569" s="18" t="s">
        <v>593</v>
      </c>
      <c r="E569" s="6" t="s">
        <v>43</v>
      </c>
      <c r="F569" s="20">
        <v>3</v>
      </c>
      <c r="G569" s="20"/>
      <c r="H569" s="15">
        <f t="shared" ref="H569:H570" si="114">SUM(F569:G569)</f>
        <v>3</v>
      </c>
      <c r="I569" s="134">
        <f>'2 - Section Count Projection'!$G$89</f>
        <v>0</v>
      </c>
      <c r="J569" s="16">
        <f t="shared" ref="J569:J570" si="115">I569*H569</f>
        <v>0</v>
      </c>
      <c r="K569" s="7" t="str">
        <f t="shared" si="111"/>
        <v/>
      </c>
    </row>
    <row r="570" spans="1:11" x14ac:dyDescent="0.3">
      <c r="A570" s="8" t="s">
        <v>589</v>
      </c>
      <c r="B570" s="9" t="s">
        <v>62</v>
      </c>
      <c r="C570" s="19" t="s">
        <v>594</v>
      </c>
      <c r="D570" s="18" t="s">
        <v>595</v>
      </c>
      <c r="E570" s="101"/>
      <c r="F570" s="20">
        <v>3</v>
      </c>
      <c r="G570" s="20"/>
      <c r="H570" s="15">
        <f t="shared" si="114"/>
        <v>3</v>
      </c>
      <c r="I570" s="134">
        <f>'2 - Section Count Projection'!$G$89</f>
        <v>0</v>
      </c>
      <c r="J570" s="16">
        <f t="shared" si="115"/>
        <v>0</v>
      </c>
      <c r="K570" s="7" t="str">
        <f t="shared" si="111"/>
        <v/>
      </c>
    </row>
    <row r="571" spans="1:11" x14ac:dyDescent="0.3">
      <c r="A571" s="8" t="s">
        <v>589</v>
      </c>
      <c r="B571" s="9" t="s">
        <v>62</v>
      </c>
      <c r="C571" s="19" t="s">
        <v>576</v>
      </c>
      <c r="D571" s="18" t="s">
        <v>577</v>
      </c>
      <c r="E571" s="101"/>
      <c r="F571" s="20">
        <v>3</v>
      </c>
      <c r="G571" s="20"/>
      <c r="H571" s="15">
        <f>SUM(F571:G571)</f>
        <v>3</v>
      </c>
      <c r="I571" s="134">
        <f>'2 - Section Count Projection'!$G$89</f>
        <v>0</v>
      </c>
      <c r="J571" s="16">
        <f>I571*H571</f>
        <v>0</v>
      </c>
      <c r="K571" s="7" t="str">
        <f t="shared" si="111"/>
        <v/>
      </c>
    </row>
    <row r="572" spans="1:11" x14ac:dyDescent="0.3">
      <c r="K572" s="7" t="str">
        <f t="shared" si="111"/>
        <v/>
      </c>
    </row>
    <row r="573" spans="1:11" x14ac:dyDescent="0.3">
      <c r="A573" s="58" t="s">
        <v>596</v>
      </c>
      <c r="K573" s="7" t="str">
        <f t="shared" si="111"/>
        <v/>
      </c>
    </row>
    <row r="574" spans="1:11" x14ac:dyDescent="0.3">
      <c r="A574" s="8" t="s">
        <v>597</v>
      </c>
      <c r="B574" s="9" t="s">
        <v>59</v>
      </c>
      <c r="C574" s="19" t="s">
        <v>598</v>
      </c>
      <c r="D574" s="18" t="s">
        <v>599</v>
      </c>
      <c r="E574" s="6" t="s">
        <v>34</v>
      </c>
      <c r="F574" s="20">
        <v>2</v>
      </c>
      <c r="G574" s="20">
        <v>1.5</v>
      </c>
      <c r="H574" s="15">
        <f>SUM(F574:G574)</f>
        <v>3.5</v>
      </c>
      <c r="I574" s="134">
        <f>'2 - Section Count Projection'!$G$92</f>
        <v>0</v>
      </c>
      <c r="J574" s="16">
        <f>I574*H574</f>
        <v>0</v>
      </c>
      <c r="K574" s="7" t="str">
        <f t="shared" si="111"/>
        <v/>
      </c>
    </row>
    <row r="575" spans="1:11" x14ac:dyDescent="0.3">
      <c r="A575" s="8" t="s">
        <v>597</v>
      </c>
      <c r="B575" s="9" t="s">
        <v>59</v>
      </c>
      <c r="C575" s="19" t="s">
        <v>600</v>
      </c>
      <c r="D575" s="18" t="s">
        <v>601</v>
      </c>
      <c r="E575" s="6" t="s">
        <v>34</v>
      </c>
      <c r="F575" s="20">
        <v>2</v>
      </c>
      <c r="G575" s="20">
        <v>1.5</v>
      </c>
      <c r="H575" s="15">
        <f>SUM(F575:G575)</f>
        <v>3.5</v>
      </c>
      <c r="I575" s="134">
        <f>'2 - Section Count Projection'!$G$92</f>
        <v>0</v>
      </c>
      <c r="J575" s="16">
        <f>I575*H575</f>
        <v>0</v>
      </c>
      <c r="K575" s="7" t="str">
        <f t="shared" si="111"/>
        <v/>
      </c>
    </row>
    <row r="576" spans="1:11" x14ac:dyDescent="0.3">
      <c r="A576" s="8" t="s">
        <v>597</v>
      </c>
      <c r="B576" s="9" t="s">
        <v>59</v>
      </c>
      <c r="C576" s="19" t="s">
        <v>567</v>
      </c>
      <c r="D576" s="18" t="s">
        <v>129</v>
      </c>
      <c r="E576" s="227"/>
      <c r="F576" s="20">
        <v>3</v>
      </c>
      <c r="G576" s="20"/>
      <c r="H576" s="15">
        <f t="shared" ref="H576:H578" si="116">SUM(F576:G576)</f>
        <v>3</v>
      </c>
      <c r="I576" s="134">
        <f>'2 - Section Count Projection'!$G$92</f>
        <v>0</v>
      </c>
      <c r="J576" s="16">
        <f t="shared" ref="J576:J578" si="117">I576*H576</f>
        <v>0</v>
      </c>
      <c r="K576" s="7" t="str">
        <f t="shared" si="111"/>
        <v/>
      </c>
    </row>
    <row r="577" spans="1:11" x14ac:dyDescent="0.3">
      <c r="A577" s="8" t="s">
        <v>597</v>
      </c>
      <c r="B577" s="9" t="s">
        <v>59</v>
      </c>
      <c r="C577" s="19" t="s">
        <v>564</v>
      </c>
      <c r="D577" s="18" t="s">
        <v>565</v>
      </c>
      <c r="E577" s="6" t="s">
        <v>36</v>
      </c>
      <c r="F577" s="20">
        <v>3</v>
      </c>
      <c r="G577" s="20"/>
      <c r="H577" s="15">
        <f t="shared" si="116"/>
        <v>3</v>
      </c>
      <c r="I577" s="134">
        <f>'2 - Section Count Projection'!$G$92</f>
        <v>0</v>
      </c>
      <c r="J577" s="16">
        <f t="shared" si="117"/>
        <v>0</v>
      </c>
      <c r="K577" s="7" t="str">
        <f t="shared" si="111"/>
        <v/>
      </c>
    </row>
    <row r="578" spans="1:11" x14ac:dyDescent="0.3">
      <c r="A578" s="8" t="s">
        <v>597</v>
      </c>
      <c r="B578" s="9" t="s">
        <v>59</v>
      </c>
      <c r="C578" s="19" t="s">
        <v>566</v>
      </c>
      <c r="D578" s="18" t="s">
        <v>124</v>
      </c>
      <c r="E578" s="227"/>
      <c r="F578" s="20">
        <v>1</v>
      </c>
      <c r="G578" s="20"/>
      <c r="H578" s="15">
        <f t="shared" si="116"/>
        <v>1</v>
      </c>
      <c r="I578" s="134">
        <f>'2 - Section Count Projection'!$G$92</f>
        <v>0</v>
      </c>
      <c r="J578" s="16">
        <f t="shared" si="117"/>
        <v>0</v>
      </c>
      <c r="K578" s="7" t="str">
        <f t="shared" si="111"/>
        <v/>
      </c>
    </row>
    <row r="579" spans="1:11" x14ac:dyDescent="0.3">
      <c r="K579" s="7" t="str">
        <f t="shared" si="111"/>
        <v/>
      </c>
    </row>
    <row r="580" spans="1:11" x14ac:dyDescent="0.3">
      <c r="A580" s="58" t="s">
        <v>596</v>
      </c>
      <c r="K580" s="7" t="str">
        <f t="shared" ref="K580:K643" si="118">IF(I580&gt;0,F580,"")</f>
        <v/>
      </c>
    </row>
    <row r="581" spans="1:11" x14ac:dyDescent="0.3">
      <c r="A581" s="8" t="s">
        <v>597</v>
      </c>
      <c r="B581" s="9" t="s">
        <v>62</v>
      </c>
      <c r="C581" s="19" t="s">
        <v>602</v>
      </c>
      <c r="D581" s="18" t="s">
        <v>603</v>
      </c>
      <c r="E581" s="6" t="s">
        <v>34</v>
      </c>
      <c r="F581" s="20">
        <v>2</v>
      </c>
      <c r="G581" s="20">
        <v>1.5</v>
      </c>
      <c r="H581" s="15">
        <f>SUM(F581:G581)</f>
        <v>3.5</v>
      </c>
      <c r="I581" s="134">
        <f>'2 - Section Count Projection'!$G$94</f>
        <v>0</v>
      </c>
      <c r="J581" s="16">
        <f>I581*H581</f>
        <v>0</v>
      </c>
      <c r="K581" s="7" t="str">
        <f t="shared" si="118"/>
        <v/>
      </c>
    </row>
    <row r="582" spans="1:11" x14ac:dyDescent="0.3">
      <c r="A582" s="8" t="s">
        <v>597</v>
      </c>
      <c r="B582" s="9" t="s">
        <v>62</v>
      </c>
      <c r="C582" s="19" t="s">
        <v>604</v>
      </c>
      <c r="D582" s="18" t="s">
        <v>605</v>
      </c>
      <c r="E582" s="6" t="s">
        <v>34</v>
      </c>
      <c r="F582" s="20">
        <v>2</v>
      </c>
      <c r="G582" s="20">
        <v>1.5</v>
      </c>
      <c r="H582" s="15">
        <f>SUM(F582:G582)</f>
        <v>3.5</v>
      </c>
      <c r="I582" s="134">
        <f>'2 - Section Count Projection'!$G$94</f>
        <v>0</v>
      </c>
      <c r="J582" s="16">
        <f>I582*H582</f>
        <v>0</v>
      </c>
      <c r="K582" s="7" t="str">
        <f t="shared" si="118"/>
        <v/>
      </c>
    </row>
    <row r="583" spans="1:11" x14ac:dyDescent="0.3">
      <c r="A583" s="8" t="s">
        <v>597</v>
      </c>
      <c r="B583" s="9" t="s">
        <v>62</v>
      </c>
      <c r="C583" s="19" t="s">
        <v>606</v>
      </c>
      <c r="D583" s="18" t="s">
        <v>168</v>
      </c>
      <c r="E583" s="227"/>
      <c r="F583" s="20">
        <v>1</v>
      </c>
      <c r="G583" s="20"/>
      <c r="H583" s="15">
        <f>SUM(F583:G583)</f>
        <v>1</v>
      </c>
      <c r="I583" s="134">
        <f>'2 - Section Count Projection'!$G$94</f>
        <v>0</v>
      </c>
      <c r="J583" s="16">
        <f>I583*H583</f>
        <v>0</v>
      </c>
      <c r="K583" s="7" t="str">
        <f t="shared" si="118"/>
        <v/>
      </c>
    </row>
    <row r="584" spans="1:11" x14ac:dyDescent="0.3">
      <c r="A584" s="8" t="s">
        <v>597</v>
      </c>
      <c r="B584" s="9" t="s">
        <v>62</v>
      </c>
      <c r="C584" s="19" t="s">
        <v>607</v>
      </c>
      <c r="D584" s="18" t="s">
        <v>608</v>
      </c>
      <c r="E584" s="6" t="s">
        <v>34</v>
      </c>
      <c r="F584" s="20">
        <v>2</v>
      </c>
      <c r="G584" s="20">
        <v>1.5</v>
      </c>
      <c r="H584" s="15">
        <f>SUM(F584:G584)</f>
        <v>3.5</v>
      </c>
      <c r="I584" s="134">
        <f>'2 - Section Count Projection'!$G$94</f>
        <v>0</v>
      </c>
      <c r="J584" s="16">
        <f>I584*H584</f>
        <v>0</v>
      </c>
      <c r="K584" s="7" t="str">
        <f t="shared" si="118"/>
        <v/>
      </c>
    </row>
    <row r="585" spans="1:11" x14ac:dyDescent="0.3">
      <c r="A585" s="8" t="s">
        <v>597</v>
      </c>
      <c r="B585" s="9" t="s">
        <v>62</v>
      </c>
      <c r="C585" s="19" t="s">
        <v>609</v>
      </c>
      <c r="D585" s="18" t="s">
        <v>610</v>
      </c>
      <c r="E585" s="6" t="s">
        <v>34</v>
      </c>
      <c r="F585" s="20">
        <v>2</v>
      </c>
      <c r="G585" s="20">
        <v>1.5</v>
      </c>
      <c r="H585" s="15">
        <f>SUM(F585:G585)</f>
        <v>3.5</v>
      </c>
      <c r="I585" s="134">
        <f>'2 - Section Count Projection'!$G$94</f>
        <v>0</v>
      </c>
      <c r="J585" s="16">
        <f>I585*H585</f>
        <v>0</v>
      </c>
      <c r="K585" s="7" t="str">
        <f t="shared" si="118"/>
        <v/>
      </c>
    </row>
    <row r="586" spans="1:11" x14ac:dyDescent="0.3">
      <c r="K586" s="7" t="str">
        <f t="shared" si="118"/>
        <v/>
      </c>
    </row>
    <row r="587" spans="1:11" x14ac:dyDescent="0.3">
      <c r="A587" s="58" t="s">
        <v>611</v>
      </c>
      <c r="K587" s="7" t="str">
        <f t="shared" si="118"/>
        <v/>
      </c>
    </row>
    <row r="588" spans="1:11" x14ac:dyDescent="0.3">
      <c r="A588" s="8" t="s">
        <v>612</v>
      </c>
      <c r="B588" s="63" t="s">
        <v>59</v>
      </c>
      <c r="C588" s="19" t="s">
        <v>117</v>
      </c>
      <c r="D588" s="18" t="s">
        <v>118</v>
      </c>
      <c r="E588" s="6" t="s">
        <v>34</v>
      </c>
      <c r="F588" s="20">
        <v>2</v>
      </c>
      <c r="G588" s="20">
        <v>1.5</v>
      </c>
      <c r="H588" s="15">
        <f>SUM(F588:G588)</f>
        <v>3.5</v>
      </c>
      <c r="I588" s="134">
        <f>'2 - Section Count Projection'!$G$97</f>
        <v>0</v>
      </c>
      <c r="J588" s="16">
        <f>I588*H588</f>
        <v>0</v>
      </c>
      <c r="K588" s="7" t="str">
        <f t="shared" si="118"/>
        <v/>
      </c>
    </row>
    <row r="589" spans="1:11" x14ac:dyDescent="0.3">
      <c r="A589" s="8" t="s">
        <v>612</v>
      </c>
      <c r="B589" s="63" t="s">
        <v>59</v>
      </c>
      <c r="C589" s="19" t="s">
        <v>119</v>
      </c>
      <c r="D589" s="18" t="s">
        <v>120</v>
      </c>
      <c r="E589" s="6" t="s">
        <v>34</v>
      </c>
      <c r="F589" s="20">
        <v>2</v>
      </c>
      <c r="G589" s="20">
        <v>1.5</v>
      </c>
      <c r="H589" s="15">
        <f t="shared" ref="H589:H616" si="119">SUM(F589:G589)</f>
        <v>3.5</v>
      </c>
      <c r="I589" s="134">
        <f>'2 - Section Count Projection'!$G$97</f>
        <v>0</v>
      </c>
      <c r="J589" s="16">
        <f t="shared" ref="J589:J596" si="120">I589*H589</f>
        <v>0</v>
      </c>
      <c r="K589" s="7" t="str">
        <f t="shared" si="118"/>
        <v/>
      </c>
    </row>
    <row r="590" spans="1:11" x14ac:dyDescent="0.3">
      <c r="A590" s="8" t="s">
        <v>612</v>
      </c>
      <c r="B590" s="63" t="s">
        <v>59</v>
      </c>
      <c r="C590" s="19" t="s">
        <v>121</v>
      </c>
      <c r="D590" s="18" t="s">
        <v>122</v>
      </c>
      <c r="E590" s="227"/>
      <c r="F590" s="20">
        <v>3</v>
      </c>
      <c r="G590" s="20"/>
      <c r="H590" s="15">
        <f t="shared" si="119"/>
        <v>3</v>
      </c>
      <c r="I590" s="134">
        <f>'2 - Section Count Projection'!$G$97</f>
        <v>0</v>
      </c>
      <c r="J590" s="16">
        <f t="shared" si="120"/>
        <v>0</v>
      </c>
      <c r="K590" s="7" t="str">
        <f t="shared" si="118"/>
        <v/>
      </c>
    </row>
    <row r="591" spans="1:11" x14ac:dyDescent="0.3">
      <c r="A591" s="8" t="s">
        <v>612</v>
      </c>
      <c r="B591" s="63" t="s">
        <v>59</v>
      </c>
      <c r="C591" s="19" t="s">
        <v>123</v>
      </c>
      <c r="D591" s="18" t="s">
        <v>124</v>
      </c>
      <c r="E591" s="227"/>
      <c r="F591" s="20">
        <v>1</v>
      </c>
      <c r="G591" s="20"/>
      <c r="H591" s="15">
        <f t="shared" si="119"/>
        <v>1</v>
      </c>
      <c r="I591" s="134">
        <f>'2 - Section Count Projection'!$G$97</f>
        <v>0</v>
      </c>
      <c r="J591" s="16">
        <f t="shared" si="120"/>
        <v>0</v>
      </c>
      <c r="K591" s="7" t="str">
        <f t="shared" si="118"/>
        <v/>
      </c>
    </row>
    <row r="592" spans="1:11" x14ac:dyDescent="0.3">
      <c r="A592" s="8" t="s">
        <v>612</v>
      </c>
      <c r="B592" s="63" t="s">
        <v>59</v>
      </c>
      <c r="C592" s="19" t="s">
        <v>217</v>
      </c>
      <c r="D592" s="18" t="s">
        <v>218</v>
      </c>
      <c r="E592" s="6" t="s">
        <v>36</v>
      </c>
      <c r="F592" s="20">
        <v>3</v>
      </c>
      <c r="G592" s="20"/>
      <c r="H592" s="15">
        <f t="shared" si="119"/>
        <v>3</v>
      </c>
      <c r="I592" s="134">
        <f>'2 - Section Count Projection'!$G$97</f>
        <v>0</v>
      </c>
      <c r="J592" s="16">
        <f t="shared" si="120"/>
        <v>0</v>
      </c>
      <c r="K592" s="7" t="str">
        <f t="shared" si="118"/>
        <v/>
      </c>
    </row>
    <row r="593" spans="1:11" x14ac:dyDescent="0.3">
      <c r="A593" s="8" t="s">
        <v>612</v>
      </c>
      <c r="B593" s="63" t="s">
        <v>59</v>
      </c>
      <c r="C593" s="19" t="s">
        <v>128</v>
      </c>
      <c r="D593" s="18" t="s">
        <v>129</v>
      </c>
      <c r="E593" s="227"/>
      <c r="F593" s="20">
        <v>3</v>
      </c>
      <c r="G593" s="20"/>
      <c r="H593" s="15">
        <f t="shared" si="119"/>
        <v>3</v>
      </c>
      <c r="I593" s="134">
        <f>'2 - Section Count Projection'!$G$97</f>
        <v>0</v>
      </c>
      <c r="J593" s="16">
        <f t="shared" si="120"/>
        <v>0</v>
      </c>
      <c r="K593" s="7" t="str">
        <f t="shared" si="118"/>
        <v/>
      </c>
    </row>
    <row r="594" spans="1:11" x14ac:dyDescent="0.3">
      <c r="A594" s="8" t="s">
        <v>612</v>
      </c>
      <c r="B594" s="63" t="s">
        <v>59</v>
      </c>
      <c r="C594" s="19" t="s">
        <v>130</v>
      </c>
      <c r="D594" s="18" t="s">
        <v>613</v>
      </c>
      <c r="E594" s="6" t="s">
        <v>38</v>
      </c>
      <c r="F594" s="20">
        <v>2</v>
      </c>
      <c r="G594" s="20"/>
      <c r="H594" s="15">
        <f t="shared" si="119"/>
        <v>2</v>
      </c>
      <c r="I594" s="134">
        <f>'2 - Section Count Projection'!$G$97</f>
        <v>0</v>
      </c>
      <c r="J594" s="16">
        <f t="shared" si="120"/>
        <v>0</v>
      </c>
      <c r="K594" s="7" t="str">
        <f t="shared" si="118"/>
        <v/>
      </c>
    </row>
    <row r="595" spans="1:11" x14ac:dyDescent="0.3">
      <c r="A595" s="8" t="s">
        <v>612</v>
      </c>
      <c r="B595" s="63" t="s">
        <v>59</v>
      </c>
      <c r="C595" s="19" t="s">
        <v>185</v>
      </c>
      <c r="D595" s="18" t="s">
        <v>186</v>
      </c>
      <c r="E595" s="6" t="s">
        <v>20</v>
      </c>
      <c r="F595" s="20">
        <v>3</v>
      </c>
      <c r="G595" s="20"/>
      <c r="H595" s="15">
        <f t="shared" si="119"/>
        <v>3</v>
      </c>
      <c r="I595" s="134">
        <f>'2 - Section Count Projection'!$G$97</f>
        <v>0</v>
      </c>
      <c r="J595" s="16">
        <f t="shared" si="120"/>
        <v>0</v>
      </c>
      <c r="K595" s="7" t="str">
        <f t="shared" si="118"/>
        <v/>
      </c>
    </row>
    <row r="596" spans="1:11" x14ac:dyDescent="0.3">
      <c r="A596" s="8" t="s">
        <v>612</v>
      </c>
      <c r="B596" s="63" t="s">
        <v>59</v>
      </c>
      <c r="C596" s="19" t="s">
        <v>134</v>
      </c>
      <c r="D596" s="18" t="s">
        <v>135</v>
      </c>
      <c r="E596" s="6" t="s">
        <v>141</v>
      </c>
      <c r="F596" s="20">
        <v>3</v>
      </c>
      <c r="G596" s="20"/>
      <c r="H596" s="15">
        <f t="shared" si="119"/>
        <v>3</v>
      </c>
      <c r="I596" s="134">
        <f>'2 - Section Count Projection'!$G$97</f>
        <v>0</v>
      </c>
      <c r="J596" s="16">
        <f t="shared" si="120"/>
        <v>0</v>
      </c>
      <c r="K596" s="7" t="str">
        <f t="shared" si="118"/>
        <v/>
      </c>
    </row>
    <row r="597" spans="1:11" x14ac:dyDescent="0.3">
      <c r="B597" s="145"/>
      <c r="C597" s="97"/>
      <c r="D597" s="143"/>
      <c r="K597" s="7" t="str">
        <f t="shared" si="118"/>
        <v/>
      </c>
    </row>
    <row r="598" spans="1:11" x14ac:dyDescent="0.3">
      <c r="A598" s="58" t="s">
        <v>611</v>
      </c>
      <c r="K598" s="7" t="str">
        <f t="shared" si="118"/>
        <v/>
      </c>
    </row>
    <row r="599" spans="1:11" x14ac:dyDescent="0.3">
      <c r="A599" s="8" t="s">
        <v>612</v>
      </c>
      <c r="B599" s="63" t="s">
        <v>62</v>
      </c>
      <c r="C599" s="19" t="s">
        <v>137</v>
      </c>
      <c r="D599" s="18" t="s">
        <v>138</v>
      </c>
      <c r="E599" s="6" t="s">
        <v>34</v>
      </c>
      <c r="F599" s="20">
        <v>2</v>
      </c>
      <c r="G599" s="20">
        <v>1.5</v>
      </c>
      <c r="H599" s="15">
        <f>SUM(F599:G599)</f>
        <v>3.5</v>
      </c>
      <c r="I599" s="134">
        <f>'2 - Section Count Projection'!$G$97</f>
        <v>0</v>
      </c>
      <c r="J599" s="16">
        <f>I599*H599</f>
        <v>0</v>
      </c>
      <c r="K599" s="7" t="str">
        <f t="shared" si="118"/>
        <v/>
      </c>
    </row>
    <row r="600" spans="1:11" x14ac:dyDescent="0.3">
      <c r="A600" s="8" t="s">
        <v>612</v>
      </c>
      <c r="B600" s="63" t="s">
        <v>62</v>
      </c>
      <c r="C600" s="19" t="s">
        <v>614</v>
      </c>
      <c r="D600" s="18" t="s">
        <v>615</v>
      </c>
      <c r="E600" s="6" t="s">
        <v>34</v>
      </c>
      <c r="F600" s="20">
        <v>2</v>
      </c>
      <c r="G600" s="20">
        <v>1.5</v>
      </c>
      <c r="H600" s="15">
        <f t="shared" ref="H600:H607" si="121">SUM(F600:G600)</f>
        <v>3.5</v>
      </c>
      <c r="I600" s="134">
        <f>'2 - Section Count Projection'!$G$97</f>
        <v>0</v>
      </c>
      <c r="J600" s="16">
        <f t="shared" ref="J600:J607" si="122">I600*H600</f>
        <v>0</v>
      </c>
      <c r="K600" s="7" t="str">
        <f t="shared" si="118"/>
        <v/>
      </c>
    </row>
    <row r="601" spans="1:11" ht="14.25" customHeight="1" x14ac:dyDescent="0.3">
      <c r="A601" s="8" t="s">
        <v>612</v>
      </c>
      <c r="B601" s="63" t="s">
        <v>62</v>
      </c>
      <c r="C601" s="19" t="s">
        <v>297</v>
      </c>
      <c r="D601" s="18" t="s">
        <v>298</v>
      </c>
      <c r="E601" s="186" t="s">
        <v>141</v>
      </c>
      <c r="F601" s="20">
        <v>3</v>
      </c>
      <c r="G601" s="20"/>
      <c r="H601" s="15">
        <f t="shared" si="121"/>
        <v>3</v>
      </c>
      <c r="I601" s="134">
        <f>'2 - Section Count Projection'!$G$97</f>
        <v>0</v>
      </c>
      <c r="J601" s="16">
        <f t="shared" si="122"/>
        <v>0</v>
      </c>
      <c r="K601" s="7" t="str">
        <f t="shared" si="118"/>
        <v/>
      </c>
    </row>
    <row r="602" spans="1:11" x14ac:dyDescent="0.3">
      <c r="A602" s="8" t="s">
        <v>612</v>
      </c>
      <c r="B602" s="63" t="s">
        <v>62</v>
      </c>
      <c r="C602" s="19" t="s">
        <v>142</v>
      </c>
      <c r="D602" s="18" t="s">
        <v>143</v>
      </c>
      <c r="E602" s="186" t="s">
        <v>38</v>
      </c>
      <c r="F602" s="20">
        <v>2</v>
      </c>
      <c r="G602" s="20"/>
      <c r="H602" s="15">
        <f t="shared" si="121"/>
        <v>2</v>
      </c>
      <c r="I602" s="134">
        <f>'2 - Section Count Projection'!$G$97</f>
        <v>0</v>
      </c>
      <c r="J602" s="16">
        <f t="shared" si="122"/>
        <v>0</v>
      </c>
      <c r="K602" s="7" t="str">
        <f t="shared" si="118"/>
        <v/>
      </c>
    </row>
    <row r="603" spans="1:11" ht="19.5" customHeight="1" x14ac:dyDescent="0.3">
      <c r="A603" s="8" t="s">
        <v>612</v>
      </c>
      <c r="B603" s="63" t="s">
        <v>62</v>
      </c>
      <c r="C603" s="19" t="s">
        <v>144</v>
      </c>
      <c r="D603" s="18" t="s">
        <v>145</v>
      </c>
      <c r="E603" s="6" t="s">
        <v>141</v>
      </c>
      <c r="F603" s="20">
        <v>3</v>
      </c>
      <c r="G603" s="20"/>
      <c r="H603" s="15">
        <f t="shared" si="121"/>
        <v>3</v>
      </c>
      <c r="I603" s="134">
        <f>'2 - Section Count Projection'!$G$97</f>
        <v>0</v>
      </c>
      <c r="J603" s="16">
        <f t="shared" si="122"/>
        <v>0</v>
      </c>
      <c r="K603" s="7" t="str">
        <f t="shared" si="118"/>
        <v/>
      </c>
    </row>
    <row r="604" spans="1:11" x14ac:dyDescent="0.3">
      <c r="A604" s="8" t="s">
        <v>612</v>
      </c>
      <c r="B604" s="63" t="s">
        <v>62</v>
      </c>
      <c r="C604" s="19" t="s">
        <v>167</v>
      </c>
      <c r="D604" s="18" t="s">
        <v>168</v>
      </c>
      <c r="E604" s="227"/>
      <c r="F604" s="20">
        <v>1</v>
      </c>
      <c r="G604" s="20"/>
      <c r="H604" s="15">
        <f t="shared" si="121"/>
        <v>1</v>
      </c>
      <c r="I604" s="134">
        <f>'2 - Section Count Projection'!$G$97</f>
        <v>0</v>
      </c>
      <c r="J604" s="16">
        <f t="shared" si="122"/>
        <v>0</v>
      </c>
      <c r="K604" s="7" t="str">
        <f t="shared" si="118"/>
        <v/>
      </c>
    </row>
    <row r="605" spans="1:11" x14ac:dyDescent="0.3">
      <c r="A605" s="8" t="s">
        <v>612</v>
      </c>
      <c r="B605" s="63" t="s">
        <v>62</v>
      </c>
      <c r="C605" s="19" t="s">
        <v>616</v>
      </c>
      <c r="D605" s="18" t="s">
        <v>617</v>
      </c>
      <c r="E605" s="6" t="s">
        <v>34</v>
      </c>
      <c r="F605" s="20">
        <v>3</v>
      </c>
      <c r="G605" s="20"/>
      <c r="H605" s="15">
        <f t="shared" si="121"/>
        <v>3</v>
      </c>
      <c r="I605" s="134">
        <f>'2 - Section Count Projection'!$G$97</f>
        <v>0</v>
      </c>
      <c r="J605" s="16">
        <f t="shared" si="122"/>
        <v>0</v>
      </c>
      <c r="K605" s="7" t="str">
        <f t="shared" si="118"/>
        <v/>
      </c>
    </row>
    <row r="606" spans="1:11" x14ac:dyDescent="0.3">
      <c r="A606" s="8" t="s">
        <v>612</v>
      </c>
      <c r="B606" s="63" t="s">
        <v>62</v>
      </c>
      <c r="C606" s="19"/>
      <c r="D606" s="18" t="s">
        <v>618</v>
      </c>
      <c r="E606" s="6" t="s">
        <v>34</v>
      </c>
      <c r="F606" s="20">
        <v>2</v>
      </c>
      <c r="G606" s="20">
        <v>1.5</v>
      </c>
      <c r="H606" s="15">
        <f t="shared" si="121"/>
        <v>3.5</v>
      </c>
      <c r="I606" s="134">
        <f>'2 - Section Count Projection'!$G$97</f>
        <v>0</v>
      </c>
      <c r="J606" s="16">
        <f t="shared" si="122"/>
        <v>0</v>
      </c>
      <c r="K606" s="7" t="str">
        <f t="shared" si="118"/>
        <v/>
      </c>
    </row>
    <row r="607" spans="1:11" ht="14.25" customHeight="1" x14ac:dyDescent="0.3">
      <c r="A607" s="8" t="s">
        <v>612</v>
      </c>
      <c r="B607" s="63" t="s">
        <v>62</v>
      </c>
      <c r="C607" s="19"/>
      <c r="D607" s="18" t="s">
        <v>619</v>
      </c>
      <c r="E607" s="6" t="s">
        <v>34</v>
      </c>
      <c r="F607" s="20">
        <v>2</v>
      </c>
      <c r="G607" s="20">
        <v>1.5</v>
      </c>
      <c r="H607" s="15">
        <f t="shared" si="121"/>
        <v>3.5</v>
      </c>
      <c r="I607" s="134">
        <f>'2 - Section Count Projection'!$G$97</f>
        <v>0</v>
      </c>
      <c r="J607" s="16">
        <f t="shared" si="122"/>
        <v>0</v>
      </c>
      <c r="K607" s="7" t="str">
        <f t="shared" si="118"/>
        <v/>
      </c>
    </row>
    <row r="608" spans="1:11" x14ac:dyDescent="0.3">
      <c r="B608" s="145"/>
      <c r="C608" s="97"/>
      <c r="D608" s="143"/>
      <c r="K608" s="7" t="str">
        <f t="shared" si="118"/>
        <v/>
      </c>
    </row>
    <row r="609" spans="1:11" x14ac:dyDescent="0.3">
      <c r="A609" s="58" t="s">
        <v>620</v>
      </c>
      <c r="K609" s="7" t="str">
        <f t="shared" si="118"/>
        <v/>
      </c>
    </row>
    <row r="610" spans="1:11" x14ac:dyDescent="0.3">
      <c r="A610" s="8" t="s">
        <v>621</v>
      </c>
      <c r="B610" s="9" t="s">
        <v>59</v>
      </c>
      <c r="C610" s="19" t="s">
        <v>134</v>
      </c>
      <c r="D610" s="18" t="s">
        <v>135</v>
      </c>
      <c r="E610" s="6" t="s">
        <v>141</v>
      </c>
      <c r="F610" s="20">
        <v>3</v>
      </c>
      <c r="G610" s="20"/>
      <c r="H610" s="15">
        <f t="shared" si="119"/>
        <v>3</v>
      </c>
      <c r="I610" s="134">
        <f>'2 - Section Count Projection'!$G$102</f>
        <v>0</v>
      </c>
      <c r="J610" s="16">
        <f>I610*H610</f>
        <v>0</v>
      </c>
      <c r="K610" s="7" t="str">
        <f t="shared" si="118"/>
        <v/>
      </c>
    </row>
    <row r="611" spans="1:11" x14ac:dyDescent="0.3">
      <c r="A611" s="8" t="s">
        <v>621</v>
      </c>
      <c r="B611" s="9" t="s">
        <v>59</v>
      </c>
      <c r="C611" s="19" t="s">
        <v>529</v>
      </c>
      <c r="D611" s="18" t="s">
        <v>622</v>
      </c>
      <c r="E611" s="6" t="s">
        <v>34</v>
      </c>
      <c r="F611" s="20"/>
      <c r="G611" s="20">
        <v>1.5</v>
      </c>
      <c r="H611" s="15">
        <f t="shared" si="119"/>
        <v>1.5</v>
      </c>
      <c r="I611" s="134">
        <f>'2 - Section Count Projection'!$G$102</f>
        <v>0</v>
      </c>
      <c r="J611" s="16">
        <f t="shared" ref="J611:J616" si="123">I611*H611</f>
        <v>0</v>
      </c>
      <c r="K611" s="7" t="str">
        <f t="shared" si="118"/>
        <v/>
      </c>
    </row>
    <row r="612" spans="1:11" x14ac:dyDescent="0.3">
      <c r="A612" s="8" t="s">
        <v>621</v>
      </c>
      <c r="B612" s="9" t="s">
        <v>59</v>
      </c>
      <c r="C612" s="19" t="s">
        <v>531</v>
      </c>
      <c r="D612" s="18" t="s">
        <v>532</v>
      </c>
      <c r="E612" s="6" t="s">
        <v>20</v>
      </c>
      <c r="F612" s="20">
        <v>3</v>
      </c>
      <c r="G612" s="20"/>
      <c r="H612" s="15">
        <f t="shared" si="119"/>
        <v>3</v>
      </c>
      <c r="I612" s="134">
        <f>'2 - Section Count Projection'!$G$102</f>
        <v>0</v>
      </c>
      <c r="J612" s="16">
        <f t="shared" si="123"/>
        <v>0</v>
      </c>
      <c r="K612" s="7" t="str">
        <f t="shared" si="118"/>
        <v/>
      </c>
    </row>
    <row r="613" spans="1:11" x14ac:dyDescent="0.3">
      <c r="A613" s="8" t="s">
        <v>621</v>
      </c>
      <c r="B613" s="9" t="s">
        <v>59</v>
      </c>
      <c r="C613" s="19" t="s">
        <v>533</v>
      </c>
      <c r="D613" s="18" t="s">
        <v>534</v>
      </c>
      <c r="E613" s="6" t="s">
        <v>20</v>
      </c>
      <c r="F613" s="20">
        <v>3</v>
      </c>
      <c r="G613" s="20"/>
      <c r="H613" s="15">
        <f t="shared" si="119"/>
        <v>3</v>
      </c>
      <c r="I613" s="134">
        <f>'2 - Section Count Projection'!$G$102</f>
        <v>0</v>
      </c>
      <c r="J613" s="16">
        <f t="shared" si="123"/>
        <v>0</v>
      </c>
      <c r="K613" s="7" t="str">
        <f t="shared" si="118"/>
        <v/>
      </c>
    </row>
    <row r="614" spans="1:11" x14ac:dyDescent="0.3">
      <c r="A614" s="8" t="s">
        <v>621</v>
      </c>
      <c r="B614" s="9" t="s">
        <v>59</v>
      </c>
      <c r="C614" s="19" t="s">
        <v>217</v>
      </c>
      <c r="D614" s="18" t="s">
        <v>218</v>
      </c>
      <c r="E614" s="6" t="s">
        <v>36</v>
      </c>
      <c r="F614" s="20">
        <v>3</v>
      </c>
      <c r="G614" s="20"/>
      <c r="H614" s="15">
        <f t="shared" si="119"/>
        <v>3</v>
      </c>
      <c r="I614" s="134">
        <f>'2 - Section Count Projection'!$G$102</f>
        <v>0</v>
      </c>
      <c r="J614" s="16">
        <f t="shared" si="123"/>
        <v>0</v>
      </c>
      <c r="K614" s="7" t="str">
        <f t="shared" si="118"/>
        <v/>
      </c>
    </row>
    <row r="615" spans="1:11" x14ac:dyDescent="0.3">
      <c r="A615" s="8" t="s">
        <v>621</v>
      </c>
      <c r="B615" s="9" t="s">
        <v>59</v>
      </c>
      <c r="C615" s="19" t="s">
        <v>123</v>
      </c>
      <c r="D615" s="18" t="s">
        <v>124</v>
      </c>
      <c r="E615" s="227"/>
      <c r="F615" s="20">
        <v>1</v>
      </c>
      <c r="G615" s="20"/>
      <c r="H615" s="15">
        <f t="shared" si="119"/>
        <v>1</v>
      </c>
      <c r="I615" s="134">
        <f>'2 - Section Count Projection'!$G$102</f>
        <v>0</v>
      </c>
      <c r="J615" s="16">
        <f t="shared" si="123"/>
        <v>0</v>
      </c>
      <c r="K615" s="7" t="str">
        <f t="shared" si="118"/>
        <v/>
      </c>
    </row>
    <row r="616" spans="1:11" x14ac:dyDescent="0.3">
      <c r="A616" s="8" t="s">
        <v>621</v>
      </c>
      <c r="B616" s="9" t="s">
        <v>59</v>
      </c>
      <c r="C616" s="19" t="s">
        <v>128</v>
      </c>
      <c r="D616" s="18" t="s">
        <v>129</v>
      </c>
      <c r="E616" s="227"/>
      <c r="F616" s="20">
        <v>3</v>
      </c>
      <c r="G616" s="20"/>
      <c r="H616" s="15">
        <f t="shared" si="119"/>
        <v>3</v>
      </c>
      <c r="I616" s="134">
        <f>'2 - Section Count Projection'!$G$102</f>
        <v>0</v>
      </c>
      <c r="J616" s="16">
        <f t="shared" si="123"/>
        <v>0</v>
      </c>
      <c r="K616" s="7" t="str">
        <f t="shared" si="118"/>
        <v/>
      </c>
    </row>
    <row r="617" spans="1:11" x14ac:dyDescent="0.3">
      <c r="A617" s="8" t="s">
        <v>621</v>
      </c>
      <c r="B617" s="9" t="s">
        <v>59</v>
      </c>
      <c r="C617" s="19" t="s">
        <v>130</v>
      </c>
      <c r="D617" s="18" t="s">
        <v>623</v>
      </c>
      <c r="E617" s="6" t="s">
        <v>38</v>
      </c>
      <c r="F617" s="20">
        <v>2</v>
      </c>
      <c r="G617" s="20"/>
      <c r="H617" s="15">
        <f t="shared" ref="H617" si="124">SUM(F617:G617)</f>
        <v>2</v>
      </c>
      <c r="I617" s="134">
        <f>'2 - Section Count Projection'!$G$102</f>
        <v>0</v>
      </c>
      <c r="J617" s="16">
        <f t="shared" ref="J617" si="125">I617*H617</f>
        <v>0</v>
      </c>
      <c r="K617" s="7" t="str">
        <f t="shared" si="118"/>
        <v/>
      </c>
    </row>
    <row r="618" spans="1:11" x14ac:dyDescent="0.3">
      <c r="B618" s="96"/>
      <c r="C618" s="97"/>
      <c r="D618" s="143"/>
      <c r="E618" s="143"/>
      <c r="F618" s="143"/>
      <c r="G618" s="143"/>
      <c r="H618" s="143"/>
      <c r="I618" s="230"/>
      <c r="J618" s="230"/>
      <c r="K618" s="7" t="str">
        <f t="shared" si="118"/>
        <v/>
      </c>
    </row>
    <row r="619" spans="1:11" x14ac:dyDescent="0.3">
      <c r="A619" s="58" t="s">
        <v>620</v>
      </c>
      <c r="K619" s="7" t="str">
        <f t="shared" si="118"/>
        <v/>
      </c>
    </row>
    <row r="620" spans="1:11" x14ac:dyDescent="0.3">
      <c r="A620" s="8" t="s">
        <v>621</v>
      </c>
      <c r="B620" s="9" t="s">
        <v>62</v>
      </c>
      <c r="C620" s="19" t="s">
        <v>144</v>
      </c>
      <c r="D620" s="18" t="s">
        <v>145</v>
      </c>
      <c r="E620" s="6" t="s">
        <v>141</v>
      </c>
      <c r="F620" s="20">
        <v>3</v>
      </c>
      <c r="G620" s="20"/>
      <c r="H620" s="15">
        <f t="shared" ref="H620:H625" si="126">SUM(F620:G620)</f>
        <v>3</v>
      </c>
      <c r="I620" s="134">
        <f>'2 - Section Count Projection'!$G$104</f>
        <v>0</v>
      </c>
      <c r="J620" s="16">
        <f t="shared" ref="J620:J625" si="127">I620*H620</f>
        <v>0</v>
      </c>
      <c r="K620" s="7" t="str">
        <f t="shared" si="118"/>
        <v/>
      </c>
    </row>
    <row r="621" spans="1:11" x14ac:dyDescent="0.3">
      <c r="A621" s="8" t="s">
        <v>621</v>
      </c>
      <c r="B621" s="9" t="s">
        <v>62</v>
      </c>
      <c r="C621" s="19" t="s">
        <v>139</v>
      </c>
      <c r="D621" s="18" t="s">
        <v>140</v>
      </c>
      <c r="E621" s="6" t="s">
        <v>221</v>
      </c>
      <c r="F621" s="20">
        <v>3</v>
      </c>
      <c r="G621" s="20"/>
      <c r="H621" s="15">
        <f t="shared" si="126"/>
        <v>3</v>
      </c>
      <c r="I621" s="134">
        <f>'2 - Section Count Projection'!$G$104</f>
        <v>0</v>
      </c>
      <c r="J621" s="16">
        <f t="shared" si="127"/>
        <v>0</v>
      </c>
      <c r="K621" s="7" t="str">
        <f t="shared" si="118"/>
        <v/>
      </c>
    </row>
    <row r="622" spans="1:11" x14ac:dyDescent="0.3">
      <c r="A622" s="8" t="s">
        <v>621</v>
      </c>
      <c r="B622" s="9" t="s">
        <v>62</v>
      </c>
      <c r="C622" s="19" t="s">
        <v>185</v>
      </c>
      <c r="D622" s="18" t="s">
        <v>186</v>
      </c>
      <c r="E622" s="6" t="s">
        <v>20</v>
      </c>
      <c r="F622" s="20">
        <v>3</v>
      </c>
      <c r="G622" s="20"/>
      <c r="H622" s="15">
        <f t="shared" si="126"/>
        <v>3</v>
      </c>
      <c r="I622" s="134">
        <f>'2 - Section Count Projection'!$G$104</f>
        <v>0</v>
      </c>
      <c r="J622" s="16">
        <f t="shared" si="127"/>
        <v>0</v>
      </c>
      <c r="K622" s="7" t="str">
        <f t="shared" si="118"/>
        <v/>
      </c>
    </row>
    <row r="623" spans="1:11" x14ac:dyDescent="0.3">
      <c r="A623" s="8" t="s">
        <v>621</v>
      </c>
      <c r="B623" s="9" t="s">
        <v>62</v>
      </c>
      <c r="C623" s="19" t="s">
        <v>536</v>
      </c>
      <c r="D623" s="18" t="s">
        <v>537</v>
      </c>
      <c r="E623" s="6" t="s">
        <v>20</v>
      </c>
      <c r="F623" s="20">
        <v>3</v>
      </c>
      <c r="G623" s="20"/>
      <c r="H623" s="15">
        <f t="shared" si="126"/>
        <v>3</v>
      </c>
      <c r="I623" s="134">
        <f>'2 - Section Count Projection'!$G$104</f>
        <v>0</v>
      </c>
      <c r="J623" s="16">
        <f t="shared" si="127"/>
        <v>0</v>
      </c>
      <c r="K623" s="7" t="str">
        <f t="shared" si="118"/>
        <v/>
      </c>
    </row>
    <row r="624" spans="1:11" x14ac:dyDescent="0.3">
      <c r="A624" s="8" t="s">
        <v>621</v>
      </c>
      <c r="B624" s="9" t="s">
        <v>62</v>
      </c>
      <c r="C624" s="19" t="s">
        <v>538</v>
      </c>
      <c r="D624" s="18" t="s">
        <v>539</v>
      </c>
      <c r="E624" s="6" t="s">
        <v>34</v>
      </c>
      <c r="F624" s="20">
        <v>3</v>
      </c>
      <c r="G624" s="20"/>
      <c r="H624" s="15">
        <f t="shared" si="126"/>
        <v>3</v>
      </c>
      <c r="I624" s="134">
        <f>'2 - Section Count Projection'!$G$104</f>
        <v>0</v>
      </c>
      <c r="J624" s="16">
        <f t="shared" si="127"/>
        <v>0</v>
      </c>
      <c r="K624" s="7" t="str">
        <f t="shared" si="118"/>
        <v/>
      </c>
    </row>
    <row r="625" spans="1:11" x14ac:dyDescent="0.3">
      <c r="A625" s="8" t="s">
        <v>621</v>
      </c>
      <c r="B625" s="9" t="s">
        <v>62</v>
      </c>
      <c r="C625" s="19" t="s">
        <v>540</v>
      </c>
      <c r="D625" s="18" t="s">
        <v>541</v>
      </c>
      <c r="E625" s="6" t="s">
        <v>34</v>
      </c>
      <c r="F625" s="20">
        <v>2</v>
      </c>
      <c r="G625" s="20">
        <v>1.5</v>
      </c>
      <c r="H625" s="15">
        <f t="shared" si="126"/>
        <v>3.5</v>
      </c>
      <c r="I625" s="134">
        <f>'2 - Section Count Projection'!$G$104</f>
        <v>0</v>
      </c>
      <c r="J625" s="16">
        <f t="shared" si="127"/>
        <v>0</v>
      </c>
      <c r="K625" s="7" t="str">
        <f t="shared" si="118"/>
        <v/>
      </c>
    </row>
    <row r="626" spans="1:11" x14ac:dyDescent="0.3">
      <c r="K626" s="7" t="str">
        <f t="shared" si="118"/>
        <v/>
      </c>
    </row>
    <row r="627" spans="1:11" x14ac:dyDescent="0.3">
      <c r="A627" s="58" t="s">
        <v>624</v>
      </c>
      <c r="K627" s="7" t="str">
        <f t="shared" si="118"/>
        <v/>
      </c>
    </row>
    <row r="628" spans="1:11" x14ac:dyDescent="0.3">
      <c r="A628" s="8" t="s">
        <v>625</v>
      </c>
      <c r="B628" s="9" t="s">
        <v>59</v>
      </c>
      <c r="C628" s="19" t="s">
        <v>626</v>
      </c>
      <c r="D628" s="18" t="s">
        <v>627</v>
      </c>
      <c r="E628" s="6" t="s">
        <v>36</v>
      </c>
      <c r="F628" s="20">
        <v>3</v>
      </c>
      <c r="G628" s="20"/>
      <c r="H628" s="15">
        <f>SUM(F628:G628)</f>
        <v>3</v>
      </c>
      <c r="I628" s="134">
        <f>'2 - Section Count Projection'!$O$137</f>
        <v>0</v>
      </c>
      <c r="J628" s="16">
        <f>I628*H628</f>
        <v>0</v>
      </c>
      <c r="K628" s="7" t="str">
        <f t="shared" si="118"/>
        <v/>
      </c>
    </row>
    <row r="629" spans="1:11" x14ac:dyDescent="0.3">
      <c r="A629" s="8" t="s">
        <v>625</v>
      </c>
      <c r="B629" s="9" t="s">
        <v>59</v>
      </c>
      <c r="C629" s="19" t="s">
        <v>360</v>
      </c>
      <c r="D629" s="18" t="s">
        <v>361</v>
      </c>
      <c r="E629" s="6" t="s">
        <v>141</v>
      </c>
      <c r="F629" s="20">
        <v>3</v>
      </c>
      <c r="G629" s="20"/>
      <c r="H629" s="15">
        <f t="shared" ref="H629:H633" si="128">SUM(F629:G629)</f>
        <v>3</v>
      </c>
      <c r="I629" s="134">
        <f>'2 - Section Count Projection'!$O$137</f>
        <v>0</v>
      </c>
      <c r="J629" s="16">
        <f t="shared" ref="J629:J633" si="129">I629*H629</f>
        <v>0</v>
      </c>
      <c r="K629" s="7" t="str">
        <f t="shared" si="118"/>
        <v/>
      </c>
    </row>
    <row r="630" spans="1:11" x14ac:dyDescent="0.3">
      <c r="A630" s="8" t="s">
        <v>625</v>
      </c>
      <c r="B630" s="9" t="s">
        <v>59</v>
      </c>
      <c r="C630" s="19" t="s">
        <v>354</v>
      </c>
      <c r="D630" s="18" t="s">
        <v>355</v>
      </c>
      <c r="E630" s="227"/>
      <c r="F630" s="20">
        <v>3</v>
      </c>
      <c r="G630" s="20"/>
      <c r="H630" s="15">
        <f t="shared" si="128"/>
        <v>3</v>
      </c>
      <c r="I630" s="134">
        <f>'2 - Section Count Projection'!$O$137</f>
        <v>0</v>
      </c>
      <c r="J630" s="16">
        <f t="shared" si="129"/>
        <v>0</v>
      </c>
      <c r="K630" s="7" t="str">
        <f t="shared" si="118"/>
        <v/>
      </c>
    </row>
    <row r="631" spans="1:11" x14ac:dyDescent="0.3">
      <c r="A631" s="8" t="s">
        <v>625</v>
      </c>
      <c r="B631" s="9" t="s">
        <v>59</v>
      </c>
      <c r="C631" s="19" t="s">
        <v>356</v>
      </c>
      <c r="D631" s="18" t="s">
        <v>357</v>
      </c>
      <c r="E631" s="6" t="s">
        <v>38</v>
      </c>
      <c r="F631" s="20">
        <v>2</v>
      </c>
      <c r="G631" s="20"/>
      <c r="H631" s="15">
        <f t="shared" si="128"/>
        <v>2</v>
      </c>
      <c r="I631" s="134">
        <f>'2 - Section Count Projection'!$O$137</f>
        <v>0</v>
      </c>
      <c r="J631" s="16">
        <f t="shared" si="129"/>
        <v>0</v>
      </c>
      <c r="K631" s="7" t="str">
        <f t="shared" si="118"/>
        <v/>
      </c>
    </row>
    <row r="632" spans="1:11" x14ac:dyDescent="0.3">
      <c r="A632" s="8" t="s">
        <v>625</v>
      </c>
      <c r="B632" s="9" t="s">
        <v>59</v>
      </c>
      <c r="C632" s="19" t="s">
        <v>352</v>
      </c>
      <c r="D632" s="18" t="s">
        <v>353</v>
      </c>
      <c r="E632" s="227"/>
      <c r="F632" s="20">
        <v>1</v>
      </c>
      <c r="G632" s="20"/>
      <c r="H632" s="15">
        <f t="shared" si="128"/>
        <v>1</v>
      </c>
      <c r="I632" s="134">
        <f>'2 - Section Count Projection'!$O$137</f>
        <v>0</v>
      </c>
      <c r="J632" s="16">
        <f t="shared" si="129"/>
        <v>0</v>
      </c>
      <c r="K632" s="7" t="str">
        <f t="shared" si="118"/>
        <v/>
      </c>
    </row>
    <row r="633" spans="1:11" x14ac:dyDescent="0.3">
      <c r="A633" s="62" t="s">
        <v>625</v>
      </c>
      <c r="B633" s="61" t="s">
        <v>59</v>
      </c>
      <c r="C633" s="19" t="s">
        <v>628</v>
      </c>
      <c r="D633" s="18" t="s">
        <v>629</v>
      </c>
      <c r="E633" s="6" t="s">
        <v>34</v>
      </c>
      <c r="F633" s="144"/>
      <c r="G633" s="144">
        <v>1.5</v>
      </c>
      <c r="H633" s="139">
        <f t="shared" si="128"/>
        <v>1.5</v>
      </c>
      <c r="I633" s="135">
        <f>'2 - Section Count Projection'!$O$137</f>
        <v>0</v>
      </c>
      <c r="J633" s="140">
        <f t="shared" si="129"/>
        <v>0</v>
      </c>
      <c r="K633" s="7" t="str">
        <f t="shared" si="118"/>
        <v/>
      </c>
    </row>
    <row r="634" spans="1:11" x14ac:dyDescent="0.3">
      <c r="A634" s="8" t="s">
        <v>625</v>
      </c>
      <c r="B634" s="9" t="s">
        <v>59</v>
      </c>
      <c r="C634" s="19" t="s">
        <v>630</v>
      </c>
      <c r="D634" s="18" t="s">
        <v>631</v>
      </c>
      <c r="E634" s="6" t="s">
        <v>632</v>
      </c>
      <c r="F634" s="20">
        <v>3</v>
      </c>
      <c r="G634" s="20"/>
      <c r="H634" s="15">
        <f>SUM(F634:G634)</f>
        <v>3</v>
      </c>
      <c r="I634" s="134">
        <f>'2 - Section Count Projection'!$O$137</f>
        <v>0</v>
      </c>
      <c r="J634" s="16">
        <f>I634*H634</f>
        <v>0</v>
      </c>
      <c r="K634" s="7" t="str">
        <f t="shared" si="118"/>
        <v/>
      </c>
    </row>
    <row r="635" spans="1:11" x14ac:dyDescent="0.3">
      <c r="K635" s="7" t="str">
        <f t="shared" si="118"/>
        <v/>
      </c>
    </row>
    <row r="636" spans="1:11" x14ac:dyDescent="0.3">
      <c r="A636" s="170" t="s">
        <v>624</v>
      </c>
      <c r="B636" s="171"/>
      <c r="C636" s="171"/>
      <c r="D636" s="171"/>
      <c r="E636" s="171"/>
      <c r="F636" s="171"/>
      <c r="G636" s="171"/>
      <c r="H636" s="171"/>
      <c r="I636" s="171"/>
      <c r="J636" s="171"/>
      <c r="K636" s="7" t="str">
        <f t="shared" si="118"/>
        <v/>
      </c>
    </row>
    <row r="637" spans="1:11" x14ac:dyDescent="0.3">
      <c r="A637" s="156" t="s">
        <v>625</v>
      </c>
      <c r="B637" s="153" t="s">
        <v>62</v>
      </c>
      <c r="C637" s="4" t="s">
        <v>121</v>
      </c>
      <c r="D637" s="4" t="s">
        <v>122</v>
      </c>
      <c r="E637" s="4" t="s">
        <v>141</v>
      </c>
      <c r="F637" s="5">
        <v>3</v>
      </c>
      <c r="G637" s="5"/>
      <c r="H637" s="169">
        <f>SUM(F637:G637)</f>
        <v>3</v>
      </c>
      <c r="I637" s="166">
        <f>'2 - Section Count Projection'!$O$139</f>
        <v>0</v>
      </c>
      <c r="J637" s="167">
        <f>I637*H637</f>
        <v>0</v>
      </c>
      <c r="K637" s="7" t="str">
        <f t="shared" si="118"/>
        <v/>
      </c>
    </row>
    <row r="638" spans="1:11" ht="21" customHeight="1" x14ac:dyDescent="0.3">
      <c r="A638" s="156" t="s">
        <v>625</v>
      </c>
      <c r="B638" s="153" t="s">
        <v>62</v>
      </c>
      <c r="C638" s="4" t="s">
        <v>633</v>
      </c>
      <c r="D638" s="4" t="s">
        <v>186</v>
      </c>
      <c r="E638" s="4" t="s">
        <v>20</v>
      </c>
      <c r="F638" s="5">
        <v>3</v>
      </c>
      <c r="G638" s="5"/>
      <c r="H638" s="169">
        <f t="shared" ref="H638:H642" si="130">SUM(F638:G638)</f>
        <v>3</v>
      </c>
      <c r="I638" s="166">
        <f>'2 - Section Count Projection'!$O$139</f>
        <v>0</v>
      </c>
      <c r="J638" s="167">
        <f t="shared" ref="J638:J642" si="131">I638*H638</f>
        <v>0</v>
      </c>
      <c r="K638" s="7" t="str">
        <f t="shared" si="118"/>
        <v/>
      </c>
    </row>
    <row r="639" spans="1:11" ht="19.5" customHeight="1" x14ac:dyDescent="0.3">
      <c r="A639" s="156" t="s">
        <v>625</v>
      </c>
      <c r="B639" s="153" t="s">
        <v>62</v>
      </c>
      <c r="C639" s="4" t="s">
        <v>139</v>
      </c>
      <c r="D639" s="4" t="s">
        <v>140</v>
      </c>
      <c r="E639" s="229" t="s">
        <v>141</v>
      </c>
      <c r="F639" s="5">
        <v>3</v>
      </c>
      <c r="G639" s="5"/>
      <c r="H639" s="169">
        <f t="shared" si="130"/>
        <v>3</v>
      </c>
      <c r="I639" s="166">
        <f>'2 - Section Count Projection'!$O$139</f>
        <v>0</v>
      </c>
      <c r="J639" s="167">
        <f t="shared" si="131"/>
        <v>0</v>
      </c>
      <c r="K639" s="7" t="str">
        <f t="shared" si="118"/>
        <v/>
      </c>
    </row>
    <row r="640" spans="1:11" x14ac:dyDescent="0.3">
      <c r="A640" s="156" t="s">
        <v>625</v>
      </c>
      <c r="B640" s="153" t="s">
        <v>62</v>
      </c>
      <c r="C640" s="4" t="s">
        <v>142</v>
      </c>
      <c r="D640" s="4" t="s">
        <v>143</v>
      </c>
      <c r="E640" s="4" t="s">
        <v>38</v>
      </c>
      <c r="F640" s="5">
        <v>2</v>
      </c>
      <c r="G640" s="5"/>
      <c r="H640" s="169">
        <f t="shared" si="130"/>
        <v>2</v>
      </c>
      <c r="I640" s="166">
        <f>'2 - Section Count Projection'!$O$139</f>
        <v>0</v>
      </c>
      <c r="J640" s="167">
        <f t="shared" si="131"/>
        <v>0</v>
      </c>
      <c r="K640" s="7" t="str">
        <f t="shared" si="118"/>
        <v/>
      </c>
    </row>
    <row r="641" spans="1:11" x14ac:dyDescent="0.3">
      <c r="A641" s="156" t="s">
        <v>625</v>
      </c>
      <c r="B641" s="153" t="s">
        <v>62</v>
      </c>
      <c r="C641" s="4" t="s">
        <v>634</v>
      </c>
      <c r="D641" s="4" t="s">
        <v>635</v>
      </c>
      <c r="E641" s="229" t="s">
        <v>632</v>
      </c>
      <c r="F641" s="5">
        <v>3</v>
      </c>
      <c r="G641" s="5"/>
      <c r="H641" s="169">
        <f t="shared" si="130"/>
        <v>3</v>
      </c>
      <c r="I641" s="166">
        <f>'2 - Section Count Projection'!$O$139</f>
        <v>0</v>
      </c>
      <c r="J641" s="167">
        <f t="shared" si="131"/>
        <v>0</v>
      </c>
      <c r="K641" s="7" t="str">
        <f t="shared" si="118"/>
        <v/>
      </c>
    </row>
    <row r="642" spans="1:11" x14ac:dyDescent="0.3">
      <c r="A642" s="156" t="s">
        <v>625</v>
      </c>
      <c r="B642" s="153" t="s">
        <v>62</v>
      </c>
      <c r="C642" s="4" t="s">
        <v>636</v>
      </c>
      <c r="D642" s="4" t="s">
        <v>637</v>
      </c>
      <c r="E642" s="4" t="s">
        <v>632</v>
      </c>
      <c r="F642" s="5">
        <v>3</v>
      </c>
      <c r="G642" s="5"/>
      <c r="H642" s="169">
        <f t="shared" si="130"/>
        <v>3</v>
      </c>
      <c r="I642" s="166">
        <f>'2 - Section Count Projection'!$O$139</f>
        <v>0</v>
      </c>
      <c r="J642" s="167">
        <f t="shared" si="131"/>
        <v>0</v>
      </c>
      <c r="K642" s="7" t="str">
        <f t="shared" si="118"/>
        <v/>
      </c>
    </row>
    <row r="643" spans="1:11" x14ac:dyDescent="0.3">
      <c r="K643" s="7" t="str">
        <f t="shared" si="118"/>
        <v/>
      </c>
    </row>
    <row r="644" spans="1:11" x14ac:dyDescent="0.3">
      <c r="A644" s="170" t="s">
        <v>624</v>
      </c>
      <c r="B644" s="171"/>
      <c r="C644" s="171"/>
      <c r="D644" s="171"/>
      <c r="E644" s="171"/>
      <c r="F644" s="171"/>
      <c r="G644" s="171"/>
      <c r="H644" s="171"/>
      <c r="I644" s="171"/>
      <c r="J644" s="171"/>
    </row>
    <row r="645" spans="1:11" x14ac:dyDescent="0.3">
      <c r="A645" s="156" t="s">
        <v>625</v>
      </c>
      <c r="B645" s="153" t="s">
        <v>66</v>
      </c>
      <c r="C645" s="4" t="s">
        <v>144</v>
      </c>
      <c r="D645" s="4" t="s">
        <v>145</v>
      </c>
      <c r="E645" s="4" t="s">
        <v>141</v>
      </c>
      <c r="F645" s="5">
        <v>3</v>
      </c>
      <c r="G645" s="5"/>
      <c r="H645" s="169">
        <f>SUM(F645:G645)</f>
        <v>3</v>
      </c>
      <c r="I645" s="166">
        <f>'2 - Section Count Projection'!$O$139</f>
        <v>0</v>
      </c>
      <c r="J645" s="167">
        <f>I645*H645</f>
        <v>0</v>
      </c>
    </row>
    <row r="646" spans="1:11" x14ac:dyDescent="0.3">
      <c r="A646" s="156" t="s">
        <v>625</v>
      </c>
      <c r="B646" s="153" t="s">
        <v>66</v>
      </c>
      <c r="C646" s="4" t="s">
        <v>274</v>
      </c>
      <c r="D646" s="4" t="s">
        <v>275</v>
      </c>
      <c r="E646" s="4" t="s">
        <v>127</v>
      </c>
      <c r="F646" s="5">
        <v>3</v>
      </c>
      <c r="G646" s="5"/>
      <c r="H646" s="169">
        <f t="shared" ref="H646:H649" si="132">SUM(F646:G646)</f>
        <v>3</v>
      </c>
      <c r="I646" s="166">
        <f>'2 - Section Count Projection'!$O$139</f>
        <v>0</v>
      </c>
      <c r="J646" s="167">
        <f t="shared" ref="J646:J649" si="133">I646*H646</f>
        <v>0</v>
      </c>
    </row>
    <row r="647" spans="1:11" x14ac:dyDescent="0.3">
      <c r="A647" s="156" t="s">
        <v>625</v>
      </c>
      <c r="B647" s="153" t="s">
        <v>66</v>
      </c>
      <c r="C647" s="4" t="s">
        <v>638</v>
      </c>
      <c r="D647" s="4" t="s">
        <v>639</v>
      </c>
      <c r="E647" s="229" t="s">
        <v>632</v>
      </c>
      <c r="F647" s="5">
        <v>3</v>
      </c>
      <c r="G647" s="5"/>
      <c r="H647" s="169">
        <f t="shared" si="132"/>
        <v>3</v>
      </c>
      <c r="I647" s="166">
        <f>'2 - Section Count Projection'!$O$139</f>
        <v>0</v>
      </c>
      <c r="J647" s="167">
        <f t="shared" si="133"/>
        <v>0</v>
      </c>
    </row>
    <row r="648" spans="1:11" x14ac:dyDescent="0.3">
      <c r="A648" s="156" t="s">
        <v>625</v>
      </c>
      <c r="B648" s="153" t="s">
        <v>66</v>
      </c>
      <c r="C648" s="4" t="s">
        <v>640</v>
      </c>
      <c r="D648" s="4" t="s">
        <v>641</v>
      </c>
      <c r="E648" s="4" t="s">
        <v>632</v>
      </c>
      <c r="F648" s="5">
        <v>3</v>
      </c>
      <c r="G648" s="5">
        <v>3</v>
      </c>
      <c r="H648" s="169">
        <f t="shared" si="132"/>
        <v>6</v>
      </c>
      <c r="I648" s="166">
        <f>'2 - Section Count Projection'!$O$139</f>
        <v>0</v>
      </c>
      <c r="J648" s="167">
        <f t="shared" si="133"/>
        <v>0</v>
      </c>
    </row>
    <row r="649" spans="1:11" x14ac:dyDescent="0.3">
      <c r="A649" s="156" t="s">
        <v>625</v>
      </c>
      <c r="B649" s="153" t="s">
        <v>66</v>
      </c>
      <c r="C649" s="4" t="s">
        <v>642</v>
      </c>
      <c r="D649" s="4" t="s">
        <v>643</v>
      </c>
      <c r="E649" s="229" t="s">
        <v>632</v>
      </c>
      <c r="F649" s="5">
        <v>3</v>
      </c>
      <c r="G649" s="5"/>
      <c r="H649" s="169">
        <f t="shared" si="132"/>
        <v>3</v>
      </c>
      <c r="I649" s="166">
        <f>'2 - Section Count Projection'!$O$139</f>
        <v>0</v>
      </c>
      <c r="J649" s="167">
        <f t="shared" si="133"/>
        <v>0</v>
      </c>
    </row>
    <row r="651" spans="1:11" x14ac:dyDescent="0.3">
      <c r="A651" s="58" t="s">
        <v>644</v>
      </c>
      <c r="K651" s="7" t="str">
        <f t="shared" ref="K651:K659" si="134">IF(I651&gt;0,F651,"")</f>
        <v/>
      </c>
    </row>
    <row r="652" spans="1:11" x14ac:dyDescent="0.3">
      <c r="A652" s="8" t="s">
        <v>645</v>
      </c>
      <c r="B652" s="9" t="s">
        <v>59</v>
      </c>
      <c r="C652" s="19" t="s">
        <v>217</v>
      </c>
      <c r="D652" s="18" t="s">
        <v>218</v>
      </c>
      <c r="E652" s="6" t="s">
        <v>36</v>
      </c>
      <c r="F652" s="20">
        <v>3</v>
      </c>
      <c r="G652" s="20"/>
      <c r="H652" s="15">
        <f>SUM(F652:G652)</f>
        <v>3</v>
      </c>
      <c r="I652" s="134">
        <f>'2 - Section Count Projection'!$O$146</f>
        <v>0</v>
      </c>
      <c r="J652" s="16">
        <f t="shared" ref="J652:J658" si="135">I652*H652</f>
        <v>0</v>
      </c>
      <c r="K652" s="7" t="str">
        <f t="shared" si="134"/>
        <v/>
      </c>
    </row>
    <row r="653" spans="1:11" x14ac:dyDescent="0.3">
      <c r="A653" s="8" t="s">
        <v>645</v>
      </c>
      <c r="B653" s="9" t="s">
        <v>59</v>
      </c>
      <c r="C653" s="19" t="s">
        <v>121</v>
      </c>
      <c r="D653" s="18" t="s">
        <v>122</v>
      </c>
      <c r="E653" s="227"/>
      <c r="F653" s="20">
        <v>3</v>
      </c>
      <c r="G653" s="20"/>
      <c r="H653" s="15">
        <f t="shared" ref="H653:H659" si="136">SUM(F653:G653)</f>
        <v>3</v>
      </c>
      <c r="I653" s="134">
        <f>'2 - Section Count Projection'!$O$146</f>
        <v>0</v>
      </c>
      <c r="J653" s="16">
        <f t="shared" si="135"/>
        <v>0</v>
      </c>
      <c r="K653" s="7" t="str">
        <f t="shared" si="134"/>
        <v/>
      </c>
    </row>
    <row r="654" spans="1:11" x14ac:dyDescent="0.3">
      <c r="A654" s="8" t="s">
        <v>645</v>
      </c>
      <c r="B654" s="9" t="s">
        <v>59</v>
      </c>
      <c r="C654" s="19" t="s">
        <v>134</v>
      </c>
      <c r="D654" s="18" t="s">
        <v>135</v>
      </c>
      <c r="E654" s="6" t="s">
        <v>141</v>
      </c>
      <c r="F654" s="20">
        <v>3</v>
      </c>
      <c r="G654" s="20"/>
      <c r="H654" s="15">
        <f t="shared" si="136"/>
        <v>3</v>
      </c>
      <c r="I654" s="134">
        <f>'2 - Section Count Projection'!$O$146</f>
        <v>0</v>
      </c>
      <c r="J654" s="16">
        <f t="shared" si="135"/>
        <v>0</v>
      </c>
      <c r="K654" s="7" t="str">
        <f t="shared" si="134"/>
        <v/>
      </c>
    </row>
    <row r="655" spans="1:11" x14ac:dyDescent="0.3">
      <c r="A655" s="8" t="s">
        <v>645</v>
      </c>
      <c r="B655" s="9" t="s">
        <v>59</v>
      </c>
      <c r="C655" s="19" t="s">
        <v>139</v>
      </c>
      <c r="D655" s="18" t="s">
        <v>140</v>
      </c>
      <c r="E655" s="6" t="s">
        <v>127</v>
      </c>
      <c r="F655" s="20">
        <v>3</v>
      </c>
      <c r="G655" s="20"/>
      <c r="H655" s="15">
        <f t="shared" si="136"/>
        <v>3</v>
      </c>
      <c r="I655" s="134">
        <f>'2 - Section Count Projection'!$O$146</f>
        <v>0</v>
      </c>
      <c r="J655" s="16">
        <f t="shared" si="135"/>
        <v>0</v>
      </c>
      <c r="K655" s="7" t="str">
        <f t="shared" si="134"/>
        <v/>
      </c>
    </row>
    <row r="656" spans="1:11" x14ac:dyDescent="0.3">
      <c r="A656" s="8" t="s">
        <v>645</v>
      </c>
      <c r="B656" s="9" t="s">
        <v>59</v>
      </c>
      <c r="C656" s="19" t="s">
        <v>646</v>
      </c>
      <c r="D656" s="18" t="s">
        <v>647</v>
      </c>
      <c r="E656" s="6" t="s">
        <v>648</v>
      </c>
      <c r="F656" s="20">
        <v>3</v>
      </c>
      <c r="G656" s="20"/>
      <c r="H656" s="15">
        <f t="shared" si="136"/>
        <v>3</v>
      </c>
      <c r="I656" s="134">
        <f>'2 - Section Count Projection'!$O$146</f>
        <v>0</v>
      </c>
      <c r="J656" s="16">
        <f t="shared" si="135"/>
        <v>0</v>
      </c>
      <c r="K656" s="7" t="str">
        <f t="shared" si="134"/>
        <v/>
      </c>
    </row>
    <row r="657" spans="1:11" x14ac:dyDescent="0.3">
      <c r="A657" s="8" t="s">
        <v>645</v>
      </c>
      <c r="B657" s="9" t="s">
        <v>59</v>
      </c>
      <c r="C657" s="19" t="s">
        <v>123</v>
      </c>
      <c r="D657" s="18" t="s">
        <v>124</v>
      </c>
      <c r="E657" s="227"/>
      <c r="F657" s="20">
        <v>1</v>
      </c>
      <c r="G657" s="20"/>
      <c r="H657" s="15">
        <f t="shared" si="136"/>
        <v>1</v>
      </c>
      <c r="I657" s="134">
        <f>'2 - Section Count Projection'!$O$146</f>
        <v>0</v>
      </c>
      <c r="J657" s="16">
        <f t="shared" si="135"/>
        <v>0</v>
      </c>
      <c r="K657" s="7" t="str">
        <f t="shared" si="134"/>
        <v/>
      </c>
    </row>
    <row r="658" spans="1:11" x14ac:dyDescent="0.3">
      <c r="A658" s="8" t="s">
        <v>645</v>
      </c>
      <c r="B658" s="9" t="s">
        <v>59</v>
      </c>
      <c r="C658" s="19" t="s">
        <v>649</v>
      </c>
      <c r="D658" s="18" t="s">
        <v>131</v>
      </c>
      <c r="E658" s="6" t="s">
        <v>38</v>
      </c>
      <c r="F658" s="20">
        <v>2</v>
      </c>
      <c r="G658" s="20"/>
      <c r="H658" s="15">
        <f t="shared" si="136"/>
        <v>2</v>
      </c>
      <c r="I658" s="134">
        <f>'2 - Section Count Projection'!$O$146</f>
        <v>0</v>
      </c>
      <c r="J658" s="16">
        <f t="shared" si="135"/>
        <v>0</v>
      </c>
      <c r="K658" s="7" t="str">
        <f t="shared" si="134"/>
        <v/>
      </c>
    </row>
    <row r="659" spans="1:11" x14ac:dyDescent="0.3">
      <c r="A659" s="8" t="s">
        <v>645</v>
      </c>
      <c r="B659" s="9" t="s">
        <v>59</v>
      </c>
      <c r="C659" s="19" t="s">
        <v>650</v>
      </c>
      <c r="D659" s="18" t="s">
        <v>651</v>
      </c>
      <c r="E659" s="227"/>
      <c r="F659" s="20">
        <v>3</v>
      </c>
      <c r="G659" s="20"/>
      <c r="H659" s="15">
        <f t="shared" si="136"/>
        <v>3</v>
      </c>
      <c r="I659" s="134">
        <f>'2 - Section Count Projection'!$O$146</f>
        <v>0</v>
      </c>
      <c r="J659" s="16">
        <f>I659*H659</f>
        <v>0</v>
      </c>
      <c r="K659" s="7" t="str">
        <f t="shared" si="134"/>
        <v/>
      </c>
    </row>
    <row r="660" spans="1:11" x14ac:dyDescent="0.3">
      <c r="K660" s="7">
        <f>SUM(K3:K659)</f>
        <v>590</v>
      </c>
    </row>
    <row r="661" spans="1:11" x14ac:dyDescent="0.3">
      <c r="A661" s="58" t="s">
        <v>644</v>
      </c>
    </row>
    <row r="662" spans="1:11" x14ac:dyDescent="0.3">
      <c r="A662" s="8" t="s">
        <v>645</v>
      </c>
      <c r="B662" s="9" t="s">
        <v>62</v>
      </c>
      <c r="C662" s="19" t="s">
        <v>144</v>
      </c>
      <c r="D662" s="18" t="s">
        <v>652</v>
      </c>
      <c r="E662" s="6" t="s">
        <v>141</v>
      </c>
      <c r="F662" s="20">
        <v>3</v>
      </c>
      <c r="G662" s="20"/>
      <c r="H662" s="15">
        <f>SUM(F662:G662)</f>
        <v>3</v>
      </c>
      <c r="I662" s="134">
        <f>'2 - Section Count Projection'!$O$146</f>
        <v>0</v>
      </c>
      <c r="J662" s="16">
        <f t="shared" ref="J662:J668" si="137">I662*H662</f>
        <v>0</v>
      </c>
    </row>
    <row r="663" spans="1:11" x14ac:dyDescent="0.3">
      <c r="A663" s="8" t="s">
        <v>645</v>
      </c>
      <c r="B663" s="9" t="s">
        <v>62</v>
      </c>
      <c r="C663" s="19" t="s">
        <v>185</v>
      </c>
      <c r="D663" s="18" t="s">
        <v>186</v>
      </c>
      <c r="E663" s="6" t="s">
        <v>22</v>
      </c>
      <c r="F663" s="20">
        <v>3</v>
      </c>
      <c r="G663" s="20"/>
      <c r="H663" s="15">
        <f t="shared" ref="H663:H669" si="138">SUM(F663:G663)</f>
        <v>3</v>
      </c>
      <c r="I663" s="134">
        <f>'2 - Section Count Projection'!$O$146</f>
        <v>0</v>
      </c>
      <c r="J663" s="16">
        <f t="shared" si="137"/>
        <v>0</v>
      </c>
    </row>
    <row r="664" spans="1:11" x14ac:dyDescent="0.3">
      <c r="A664" s="8" t="s">
        <v>645</v>
      </c>
      <c r="B664" s="9" t="s">
        <v>62</v>
      </c>
      <c r="C664" s="19" t="s">
        <v>653</v>
      </c>
      <c r="D664" s="18" t="s">
        <v>654</v>
      </c>
      <c r="E664" s="6" t="s">
        <v>648</v>
      </c>
      <c r="F664" s="20">
        <v>4</v>
      </c>
      <c r="G664" s="20"/>
      <c r="H664" s="15">
        <f t="shared" si="138"/>
        <v>4</v>
      </c>
      <c r="I664" s="134">
        <f>'2 - Section Count Projection'!$O$146</f>
        <v>0</v>
      </c>
      <c r="J664" s="16">
        <f t="shared" si="137"/>
        <v>0</v>
      </c>
    </row>
    <row r="665" spans="1:11" ht="16.5" customHeight="1" x14ac:dyDescent="0.3">
      <c r="A665" s="8" t="s">
        <v>645</v>
      </c>
      <c r="B665" s="9" t="s">
        <v>62</v>
      </c>
      <c r="C665" s="19" t="s">
        <v>655</v>
      </c>
      <c r="D665" s="18" t="s">
        <v>656</v>
      </c>
      <c r="E665" s="6" t="s">
        <v>648</v>
      </c>
      <c r="F665" s="20">
        <v>4</v>
      </c>
      <c r="G665" s="20"/>
      <c r="H665" s="15">
        <f t="shared" si="138"/>
        <v>4</v>
      </c>
      <c r="I665" s="134">
        <f>'2 - Section Count Projection'!$O$146</f>
        <v>0</v>
      </c>
      <c r="J665" s="16">
        <f t="shared" si="137"/>
        <v>0</v>
      </c>
    </row>
    <row r="666" spans="1:11" x14ac:dyDescent="0.3">
      <c r="A666" s="8" t="s">
        <v>645</v>
      </c>
      <c r="B666" s="9" t="s">
        <v>62</v>
      </c>
      <c r="C666" s="19" t="s">
        <v>657</v>
      </c>
      <c r="D666" s="18" t="s">
        <v>658</v>
      </c>
      <c r="E666" s="6" t="s">
        <v>648</v>
      </c>
      <c r="F666" s="20">
        <v>3</v>
      </c>
      <c r="G666" s="20"/>
      <c r="H666" s="15">
        <f t="shared" si="138"/>
        <v>3</v>
      </c>
      <c r="I666" s="134">
        <f>'2 - Section Count Projection'!$O$146</f>
        <v>0</v>
      </c>
      <c r="J666" s="16">
        <f t="shared" si="137"/>
        <v>0</v>
      </c>
    </row>
    <row r="667" spans="1:11" x14ac:dyDescent="0.3">
      <c r="A667" s="8" t="s">
        <v>645</v>
      </c>
      <c r="B667" s="9" t="s">
        <v>62</v>
      </c>
      <c r="C667" s="19" t="s">
        <v>659</v>
      </c>
      <c r="D667" s="18" t="s">
        <v>660</v>
      </c>
      <c r="E667" s="6" t="s">
        <v>648</v>
      </c>
      <c r="F667" s="20">
        <v>3</v>
      </c>
      <c r="G667" s="20"/>
      <c r="H667" s="15">
        <f t="shared" si="138"/>
        <v>3</v>
      </c>
      <c r="I667" s="134">
        <f>'2 - Section Count Projection'!$O$146</f>
        <v>0</v>
      </c>
      <c r="J667" s="16">
        <f t="shared" si="137"/>
        <v>0</v>
      </c>
    </row>
    <row r="668" spans="1:11" x14ac:dyDescent="0.3">
      <c r="A668" s="8" t="s">
        <v>645</v>
      </c>
      <c r="B668" s="9" t="s">
        <v>62</v>
      </c>
      <c r="C668" s="19" t="s">
        <v>649</v>
      </c>
      <c r="D668" s="18" t="s">
        <v>661</v>
      </c>
      <c r="E668" s="6" t="s">
        <v>38</v>
      </c>
      <c r="F668" s="20">
        <v>2</v>
      </c>
      <c r="G668" s="20"/>
      <c r="H668" s="15">
        <f t="shared" si="138"/>
        <v>2</v>
      </c>
      <c r="I668" s="134">
        <f>'2 - Section Count Projection'!$O$146</f>
        <v>0</v>
      </c>
      <c r="J668" s="16">
        <f t="shared" si="137"/>
        <v>0</v>
      </c>
    </row>
    <row r="669" spans="1:11" x14ac:dyDescent="0.3">
      <c r="A669" s="8" t="s">
        <v>645</v>
      </c>
      <c r="B669" s="9" t="s">
        <v>62</v>
      </c>
      <c r="C669" s="19" t="s">
        <v>662</v>
      </c>
      <c r="D669" s="18" t="s">
        <v>663</v>
      </c>
      <c r="E669" s="6" t="s">
        <v>34</v>
      </c>
      <c r="F669" s="20">
        <v>2</v>
      </c>
      <c r="G669" s="20">
        <v>1.5</v>
      </c>
      <c r="H669" s="15">
        <f t="shared" si="138"/>
        <v>3.5</v>
      </c>
      <c r="I669" s="134">
        <f>'2 - Section Count Projection'!$O$146</f>
        <v>0</v>
      </c>
      <c r="J669" s="16">
        <f>I669*H669</f>
        <v>0</v>
      </c>
    </row>
  </sheetData>
  <phoneticPr fontId="25" type="noConversion"/>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'Field Source'!$B$2:$B$21</xm:f>
          </x14:formula1>
          <xm:sqref>E234 E454:E455 E279</xm:sqref>
        </x14:dataValidation>
        <x14:dataValidation type="list" allowBlank="1" showInputMessage="1" showErrorMessage="1" xr:uid="{00000000-0002-0000-0200-000001000000}">
          <x14:formula1>
            <xm:f>'Field Source'!$B$2:$B$22</xm:f>
          </x14:formula1>
          <xm:sqref>E599:E607 E581:E585 E652:E659 E14:E21 E105:E113 E42:E49 E52:E59 E33:E39 E62:E69 E82:E91 E72:E79 E94:E102 E24:E30 E116:E123 E136:E143 E568:E571 E146:E153 E165:E172 E175:E181 E628:E634 E184:E191 E201:E208 E211:E217 E126:E133 E220:E226 E236:E243 E246:E252 E229:E233 E255:E262 E281:E286 E289:E294 E297:E302 E316:E324 E156:E162 E194:E198 E337:E345 E369:E376 E379:E386 E358:E366 E411:E418 E421:E428 E431:E437 E448:E453 E456:E460 E440:E445 E474:E479 E482:E487 E490:E494 E463:E471 E497:E504 E400:E408 E516:E521 E531:E535 E265:E269 E543:E547 E550:E552 E538:E540 E561:E565 E555:E558 E574:E578 E507:E513 E588:E596 E610:E617 E620:E625 E272:E278 E305:E313 E347:E355 E389:E397 E637:E642 E3:E11 E524:E528 E327:E334 E662:E669 E645:E649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K589"/>
  <sheetViews>
    <sheetView zoomScale="90" zoomScaleNormal="90" workbookViewId="0">
      <pane ySplit="1" topLeftCell="A164" activePane="bottomLeft" state="frozen"/>
      <selection activeCell="B106" activeCellId="149" sqref="D5 L5 B13 B15 B18 B20 B23 B25 B28 B30 B33 B35 B38 B40 B43 B45 B48 B50 B53 B55 B58 B60 B63 B65 B68 B70 D12:D14 D16:D19 D21:D24 C30:E30 D29 D28 D27 D26 D33:D34 D31 D32 D36:D39 D41:D44 D46:D49 D51:D54 D56:D59 D61:D64 D66:D69 F66 F61 F56 F51 F46 F41 F36 F31 F26 F21 F16 F11 J15 J17 J24 J26 J33 J35 J42 J44 J51 J53 J60 J62 J69 J71 J78 J80 J87 J89 J96 J98 J105 J107 J114 J116 J123 J125 J132 J134 J141 J143 J150 J152 J158 J160 L11:L18 L20:L27 L29:L36 L38:L45 L47:L54 L56:L63 L65:L72 L74:L80 L81 L83:L90 L92:L99 L101:L108 L110:L117 L119:L126 L128:L135 L137:L144 L146:L153 L155:L160 N155 N146 N137 N128 N119 N110 N11 N20 N29 N38 N47 N56 N65 N74 N83 N92 N101 D75 F82 F87 F92 F97 F102 C86:E86 D85 D84 D83 D82 D87:D90 D92:D95 D97:D100 D102:D105 B84 B86 B89 B91 B94 B96 B99 B101 B104 B106"/>
      <selection pane="bottomLeft" activeCell="D168" sqref="D168"/>
    </sheetView>
  </sheetViews>
  <sheetFormatPr defaultColWidth="12.5546875" defaultRowHeight="14.4" x14ac:dyDescent="0.3"/>
  <cols>
    <col min="1" max="1" width="12.5546875" style="11"/>
    <col min="2" max="2" width="12" style="7" customWidth="1"/>
    <col min="3" max="3" width="13.5546875" style="7" customWidth="1"/>
    <col min="4" max="4" width="51.44140625" style="7" customWidth="1"/>
    <col min="5" max="5" width="27.88671875" style="7" customWidth="1"/>
    <col min="6" max="10" width="12.5546875" style="7"/>
    <col min="11" max="11" width="0" style="7" hidden="1" customWidth="1"/>
    <col min="12" max="16384" width="12.5546875" style="7"/>
  </cols>
  <sheetData>
    <row r="1" spans="1:11" ht="28.8" x14ac:dyDescent="0.3">
      <c r="A1" s="258" t="s">
        <v>54</v>
      </c>
      <c r="B1" s="258" t="s">
        <v>107</v>
      </c>
      <c r="C1" s="258" t="s">
        <v>108</v>
      </c>
      <c r="D1" s="258" t="s">
        <v>109</v>
      </c>
      <c r="E1" s="258" t="s">
        <v>110</v>
      </c>
      <c r="F1" s="258" t="s">
        <v>111</v>
      </c>
      <c r="G1" s="258" t="s">
        <v>112</v>
      </c>
      <c r="H1" s="258" t="s">
        <v>113</v>
      </c>
      <c r="I1" s="259" t="s">
        <v>14</v>
      </c>
      <c r="J1" s="259" t="s">
        <v>114</v>
      </c>
    </row>
    <row r="2" spans="1:11" x14ac:dyDescent="0.3">
      <c r="A2" s="57" t="s">
        <v>115</v>
      </c>
      <c r="B2" s="52"/>
      <c r="C2" s="52"/>
      <c r="D2" s="52"/>
      <c r="E2" s="52"/>
      <c r="F2" s="52"/>
      <c r="G2" s="52"/>
      <c r="H2" s="52"/>
      <c r="I2" s="257"/>
      <c r="J2" s="257"/>
    </row>
    <row r="3" spans="1:11" x14ac:dyDescent="0.3">
      <c r="A3" s="8" t="s">
        <v>116</v>
      </c>
      <c r="B3" s="9" t="s">
        <v>61</v>
      </c>
      <c r="C3" s="6" t="s">
        <v>664</v>
      </c>
      <c r="D3" s="6" t="s">
        <v>665</v>
      </c>
      <c r="E3" s="6" t="s">
        <v>34</v>
      </c>
      <c r="F3" s="52">
        <v>2</v>
      </c>
      <c r="G3" s="52">
        <v>1.5</v>
      </c>
      <c r="H3" s="52">
        <f>SUM(F3:G3)</f>
        <v>3.5</v>
      </c>
      <c r="I3" s="106">
        <f>'2 - Section Count Projection'!$O$12</f>
        <v>0</v>
      </c>
      <c r="J3" s="52">
        <f>I3*H3</f>
        <v>0</v>
      </c>
      <c r="K3" s="7" t="str">
        <f>IF(I3&gt;0,F3,"")</f>
        <v/>
      </c>
    </row>
    <row r="4" spans="1:11" x14ac:dyDescent="0.3">
      <c r="A4" s="8" t="s">
        <v>116</v>
      </c>
      <c r="B4" s="9" t="s">
        <v>61</v>
      </c>
      <c r="C4" s="6" t="s">
        <v>666</v>
      </c>
      <c r="D4" s="6" t="s">
        <v>667</v>
      </c>
      <c r="E4" s="6" t="s">
        <v>34</v>
      </c>
      <c r="F4" s="52">
        <v>3</v>
      </c>
      <c r="G4" s="52"/>
      <c r="H4" s="52">
        <f t="shared" ref="H4:H11" si="0">SUM(F4:G4)</f>
        <v>3</v>
      </c>
      <c r="I4" s="106">
        <f>'2 - Section Count Projection'!$O$12</f>
        <v>0</v>
      </c>
      <c r="J4" s="52">
        <f>I4*H4</f>
        <v>0</v>
      </c>
      <c r="K4" s="7" t="str">
        <f t="shared" ref="K4:K67" si="1">IF(I4&gt;0,F4,"")</f>
        <v/>
      </c>
    </row>
    <row r="5" spans="1:11" x14ac:dyDescent="0.3">
      <c r="A5" s="8" t="s">
        <v>116</v>
      </c>
      <c r="B5" s="9" t="s">
        <v>61</v>
      </c>
      <c r="C5" s="6" t="s">
        <v>297</v>
      </c>
      <c r="D5" s="6" t="s">
        <v>298</v>
      </c>
      <c r="E5" s="6" t="s">
        <v>141</v>
      </c>
      <c r="F5" s="52">
        <v>3</v>
      </c>
      <c r="G5" s="52"/>
      <c r="H5" s="52">
        <f t="shared" si="0"/>
        <v>3</v>
      </c>
      <c r="I5" s="106">
        <f>'2 - Section Count Projection'!$O$12</f>
        <v>0</v>
      </c>
      <c r="J5" s="52">
        <f t="shared" ref="J5:J11" si="2">I5*H5</f>
        <v>0</v>
      </c>
      <c r="K5" s="7" t="str">
        <f t="shared" si="1"/>
        <v/>
      </c>
    </row>
    <row r="6" spans="1:11" x14ac:dyDescent="0.3">
      <c r="A6" s="8" t="s">
        <v>116</v>
      </c>
      <c r="B6" s="9" t="s">
        <v>61</v>
      </c>
      <c r="C6" s="6" t="s">
        <v>668</v>
      </c>
      <c r="D6" s="6" t="s">
        <v>669</v>
      </c>
      <c r="E6" s="101"/>
      <c r="F6" s="52">
        <v>3</v>
      </c>
      <c r="G6" s="52"/>
      <c r="H6" s="52">
        <f t="shared" si="0"/>
        <v>3</v>
      </c>
      <c r="I6" s="106">
        <f>'2 - Section Count Projection'!$O$12</f>
        <v>0</v>
      </c>
      <c r="J6" s="52">
        <f t="shared" si="2"/>
        <v>0</v>
      </c>
      <c r="K6" s="7" t="str">
        <f t="shared" si="1"/>
        <v/>
      </c>
    </row>
    <row r="7" spans="1:11" x14ac:dyDescent="0.3">
      <c r="A7" s="8" t="s">
        <v>116</v>
      </c>
      <c r="B7" s="9" t="s">
        <v>61</v>
      </c>
      <c r="C7" s="6" t="s">
        <v>670</v>
      </c>
      <c r="D7" s="6" t="s">
        <v>671</v>
      </c>
      <c r="E7" s="6" t="s">
        <v>38</v>
      </c>
      <c r="F7" s="52">
        <v>2</v>
      </c>
      <c r="G7" s="52"/>
      <c r="H7" s="52">
        <f t="shared" si="0"/>
        <v>2</v>
      </c>
      <c r="I7" s="106">
        <f>'2 - Section Count Projection'!$O$12</f>
        <v>0</v>
      </c>
      <c r="J7" s="52">
        <f t="shared" si="2"/>
        <v>0</v>
      </c>
      <c r="K7" s="7" t="str">
        <f t="shared" si="1"/>
        <v/>
      </c>
    </row>
    <row r="8" spans="1:11" x14ac:dyDescent="0.3">
      <c r="A8" s="8" t="s">
        <v>116</v>
      </c>
      <c r="B8" s="9" t="s">
        <v>61</v>
      </c>
      <c r="C8" s="6" t="s">
        <v>217</v>
      </c>
      <c r="D8" s="6" t="s">
        <v>218</v>
      </c>
      <c r="E8" s="6" t="s">
        <v>36</v>
      </c>
      <c r="F8" s="52">
        <v>3</v>
      </c>
      <c r="G8" s="52"/>
      <c r="H8" s="52">
        <f t="shared" si="0"/>
        <v>3</v>
      </c>
      <c r="I8" s="106">
        <f>'2 - Section Count Projection'!$O$12</f>
        <v>0</v>
      </c>
      <c r="J8" s="52">
        <f t="shared" si="2"/>
        <v>0</v>
      </c>
      <c r="K8" s="7" t="str">
        <f t="shared" si="1"/>
        <v/>
      </c>
    </row>
    <row r="9" spans="1:11" x14ac:dyDescent="0.3">
      <c r="A9" s="8" t="s">
        <v>116</v>
      </c>
      <c r="B9" s="9" t="s">
        <v>61</v>
      </c>
      <c r="C9" s="6" t="s">
        <v>393</v>
      </c>
      <c r="D9" s="6" t="s">
        <v>672</v>
      </c>
      <c r="E9" s="101"/>
      <c r="F9" s="52">
        <v>3</v>
      </c>
      <c r="G9" s="52"/>
      <c r="H9" s="52">
        <f t="shared" si="0"/>
        <v>3</v>
      </c>
      <c r="I9" s="106">
        <f>'2 - Section Count Projection'!$O$12</f>
        <v>0</v>
      </c>
      <c r="J9" s="52">
        <f t="shared" si="2"/>
        <v>0</v>
      </c>
      <c r="K9" s="7" t="str">
        <f t="shared" si="1"/>
        <v/>
      </c>
    </row>
    <row r="10" spans="1:11" x14ac:dyDescent="0.3">
      <c r="A10" s="8" t="s">
        <v>116</v>
      </c>
      <c r="B10" s="9" t="s">
        <v>61</v>
      </c>
      <c r="C10" s="6" t="s">
        <v>673</v>
      </c>
      <c r="D10" s="6" t="s">
        <v>674</v>
      </c>
      <c r="E10" s="6" t="s">
        <v>141</v>
      </c>
      <c r="F10" s="52">
        <v>3</v>
      </c>
      <c r="G10" s="52"/>
      <c r="H10" s="52">
        <f t="shared" si="0"/>
        <v>3</v>
      </c>
      <c r="I10" s="106">
        <f>'2 - Section Count Projection'!$O$12</f>
        <v>0</v>
      </c>
      <c r="J10" s="52">
        <f t="shared" si="2"/>
        <v>0</v>
      </c>
      <c r="K10" s="7" t="str">
        <f t="shared" si="1"/>
        <v/>
      </c>
    </row>
    <row r="11" spans="1:11" x14ac:dyDescent="0.3">
      <c r="A11" s="8" t="s">
        <v>116</v>
      </c>
      <c r="B11" s="9" t="s">
        <v>61</v>
      </c>
      <c r="C11" s="6" t="s">
        <v>675</v>
      </c>
      <c r="D11" s="6" t="s">
        <v>676</v>
      </c>
      <c r="E11" s="6" t="s">
        <v>34</v>
      </c>
      <c r="F11" s="52">
        <v>2</v>
      </c>
      <c r="G11" s="52">
        <v>1.5</v>
      </c>
      <c r="H11" s="52">
        <f t="shared" si="0"/>
        <v>3.5</v>
      </c>
      <c r="I11" s="106">
        <f>'2 - Section Count Projection'!$O$12</f>
        <v>0</v>
      </c>
      <c r="J11" s="52">
        <f t="shared" si="2"/>
        <v>0</v>
      </c>
      <c r="K11" s="7" t="str">
        <f t="shared" si="1"/>
        <v/>
      </c>
    </row>
    <row r="12" spans="1:11" x14ac:dyDescent="0.3">
      <c r="K12" s="7" t="str">
        <f t="shared" si="1"/>
        <v/>
      </c>
    </row>
    <row r="13" spans="1:11" x14ac:dyDescent="0.3">
      <c r="A13" s="57" t="s">
        <v>136</v>
      </c>
      <c r="K13" s="7" t="str">
        <f t="shared" si="1"/>
        <v/>
      </c>
    </row>
    <row r="14" spans="1:11" x14ac:dyDescent="0.3">
      <c r="A14" s="8" t="s">
        <v>116</v>
      </c>
      <c r="B14" s="9" t="s">
        <v>64</v>
      </c>
      <c r="C14" s="6" t="s">
        <v>677</v>
      </c>
      <c r="D14" s="6" t="s">
        <v>615</v>
      </c>
      <c r="E14" s="6" t="s">
        <v>34</v>
      </c>
      <c r="F14" s="52">
        <v>2</v>
      </c>
      <c r="G14" s="52">
        <v>1.5</v>
      </c>
      <c r="H14" s="41">
        <f t="shared" ref="H14:H75" si="3">SUM(F14:G14)</f>
        <v>3.5</v>
      </c>
      <c r="I14" s="106">
        <f>'2 - Section Count Projection'!$O$14</f>
        <v>0</v>
      </c>
      <c r="J14" s="52">
        <f>I14*H14</f>
        <v>0</v>
      </c>
      <c r="K14" s="7" t="str">
        <f t="shared" si="1"/>
        <v/>
      </c>
    </row>
    <row r="15" spans="1:11" x14ac:dyDescent="0.3">
      <c r="A15" s="8" t="s">
        <v>116</v>
      </c>
      <c r="B15" s="9" t="s">
        <v>64</v>
      </c>
      <c r="C15" s="6" t="s">
        <v>132</v>
      </c>
      <c r="D15" s="6" t="s">
        <v>133</v>
      </c>
      <c r="E15" s="101"/>
      <c r="F15" s="52">
        <v>3</v>
      </c>
      <c r="G15" s="52"/>
      <c r="H15" s="41">
        <f t="shared" si="3"/>
        <v>3</v>
      </c>
      <c r="I15" s="106">
        <f>'2 - Section Count Projection'!$O$14</f>
        <v>0</v>
      </c>
      <c r="J15" s="52">
        <f t="shared" ref="J15:J21" si="4">I15*H15</f>
        <v>0</v>
      </c>
      <c r="K15" s="7" t="str">
        <f t="shared" si="1"/>
        <v/>
      </c>
    </row>
    <row r="16" spans="1:11" x14ac:dyDescent="0.3">
      <c r="A16" s="8" t="s">
        <v>116</v>
      </c>
      <c r="B16" s="9" t="s">
        <v>64</v>
      </c>
      <c r="C16" s="6" t="s">
        <v>678</v>
      </c>
      <c r="D16" s="6" t="s">
        <v>679</v>
      </c>
      <c r="E16" s="6" t="s">
        <v>38</v>
      </c>
      <c r="F16" s="52">
        <v>2</v>
      </c>
      <c r="G16" s="52"/>
      <c r="H16" s="41">
        <f t="shared" si="3"/>
        <v>2</v>
      </c>
      <c r="I16" s="106">
        <f>'2 - Section Count Projection'!$O$14</f>
        <v>0</v>
      </c>
      <c r="J16" s="52">
        <f t="shared" si="4"/>
        <v>0</v>
      </c>
      <c r="K16" s="7" t="str">
        <f t="shared" si="1"/>
        <v/>
      </c>
    </row>
    <row r="17" spans="1:11" x14ac:dyDescent="0.3">
      <c r="A17" s="8" t="s">
        <v>116</v>
      </c>
      <c r="B17" s="9" t="s">
        <v>64</v>
      </c>
      <c r="C17" s="6" t="s">
        <v>203</v>
      </c>
      <c r="D17" s="6" t="s">
        <v>680</v>
      </c>
      <c r="E17" s="6" t="s">
        <v>34</v>
      </c>
      <c r="F17" s="52">
        <v>2</v>
      </c>
      <c r="G17" s="52">
        <v>1.5</v>
      </c>
      <c r="H17" s="41">
        <f t="shared" si="3"/>
        <v>3.5</v>
      </c>
      <c r="I17" s="106">
        <f>'2 - Section Count Projection'!$O$14</f>
        <v>0</v>
      </c>
      <c r="J17" s="52">
        <f t="shared" si="4"/>
        <v>0</v>
      </c>
      <c r="K17" s="7" t="str">
        <f t="shared" si="1"/>
        <v/>
      </c>
    </row>
    <row r="18" spans="1:11" x14ac:dyDescent="0.3">
      <c r="A18" s="8" t="s">
        <v>116</v>
      </c>
      <c r="B18" s="9" t="s">
        <v>64</v>
      </c>
      <c r="C18" s="6" t="s">
        <v>681</v>
      </c>
      <c r="D18" s="6" t="s">
        <v>551</v>
      </c>
      <c r="E18" s="6" t="s">
        <v>36</v>
      </c>
      <c r="F18" s="52">
        <v>3</v>
      </c>
      <c r="G18" s="52"/>
      <c r="H18" s="41">
        <f t="shared" si="3"/>
        <v>3</v>
      </c>
      <c r="I18" s="106">
        <f>'2 - Section Count Projection'!$O$14</f>
        <v>0</v>
      </c>
      <c r="J18" s="52">
        <f t="shared" si="4"/>
        <v>0</v>
      </c>
      <c r="K18" s="7" t="str">
        <f t="shared" si="1"/>
        <v/>
      </c>
    </row>
    <row r="19" spans="1:11" x14ac:dyDescent="0.3">
      <c r="A19" s="8" t="s">
        <v>116</v>
      </c>
      <c r="B19" s="9" t="s">
        <v>64</v>
      </c>
      <c r="C19" s="6" t="s">
        <v>207</v>
      </c>
      <c r="D19" s="6" t="s">
        <v>208</v>
      </c>
      <c r="E19" s="6" t="s">
        <v>20</v>
      </c>
      <c r="F19" s="52">
        <v>3</v>
      </c>
      <c r="G19" s="52"/>
      <c r="H19" s="41">
        <f t="shared" si="3"/>
        <v>3</v>
      </c>
      <c r="I19" s="106">
        <f>'2 - Section Count Projection'!$O$14</f>
        <v>0</v>
      </c>
      <c r="J19" s="52">
        <f t="shared" si="4"/>
        <v>0</v>
      </c>
      <c r="K19" s="7" t="str">
        <f t="shared" si="1"/>
        <v/>
      </c>
    </row>
    <row r="20" spans="1:11" x14ac:dyDescent="0.3">
      <c r="A20" s="8" t="s">
        <v>116</v>
      </c>
      <c r="B20" s="9" t="s">
        <v>64</v>
      </c>
      <c r="C20" s="6" t="s">
        <v>682</v>
      </c>
      <c r="D20" s="6" t="s">
        <v>683</v>
      </c>
      <c r="E20" s="6" t="s">
        <v>34</v>
      </c>
      <c r="F20" s="52">
        <v>2</v>
      </c>
      <c r="G20" s="52">
        <v>1.5</v>
      </c>
      <c r="H20" s="41">
        <f t="shared" si="3"/>
        <v>3.5</v>
      </c>
      <c r="I20" s="106">
        <f>'2 - Section Count Projection'!$O$14</f>
        <v>0</v>
      </c>
      <c r="J20" s="52">
        <f t="shared" si="4"/>
        <v>0</v>
      </c>
      <c r="K20" s="7" t="str">
        <f t="shared" si="1"/>
        <v/>
      </c>
    </row>
    <row r="21" spans="1:11" x14ac:dyDescent="0.3">
      <c r="A21" s="8" t="s">
        <v>116</v>
      </c>
      <c r="B21" s="9" t="s">
        <v>64</v>
      </c>
      <c r="C21" s="6" t="s">
        <v>684</v>
      </c>
      <c r="D21" s="6" t="s">
        <v>685</v>
      </c>
      <c r="E21" s="6" t="s">
        <v>34</v>
      </c>
      <c r="F21" s="52">
        <v>2</v>
      </c>
      <c r="G21" s="52">
        <v>1.5</v>
      </c>
      <c r="H21" s="41">
        <f t="shared" si="3"/>
        <v>3.5</v>
      </c>
      <c r="I21" s="106">
        <f>'2 - Section Count Projection'!$O$14</f>
        <v>0</v>
      </c>
      <c r="J21" s="52">
        <f t="shared" si="4"/>
        <v>0</v>
      </c>
      <c r="K21" s="7" t="str">
        <f t="shared" si="1"/>
        <v/>
      </c>
    </row>
    <row r="22" spans="1:11" x14ac:dyDescent="0.3">
      <c r="K22" s="7" t="str">
        <f t="shared" si="1"/>
        <v/>
      </c>
    </row>
    <row r="23" spans="1:11" x14ac:dyDescent="0.3">
      <c r="A23" s="57" t="s">
        <v>136</v>
      </c>
      <c r="K23" s="7" t="str">
        <f t="shared" si="1"/>
        <v/>
      </c>
    </row>
    <row r="24" spans="1:11" x14ac:dyDescent="0.3">
      <c r="A24" s="8" t="s">
        <v>116</v>
      </c>
      <c r="B24" s="9" t="s">
        <v>69</v>
      </c>
      <c r="C24" s="6" t="s">
        <v>686</v>
      </c>
      <c r="D24" s="6" t="s">
        <v>687</v>
      </c>
      <c r="E24" s="6" t="s">
        <v>34</v>
      </c>
      <c r="F24" s="52">
        <v>2</v>
      </c>
      <c r="G24" s="52">
        <v>1.5</v>
      </c>
      <c r="H24" s="52">
        <f t="shared" si="3"/>
        <v>3.5</v>
      </c>
      <c r="I24" s="106">
        <f>'2 - Section Count Projection'!$O$16</f>
        <v>0</v>
      </c>
      <c r="J24" s="52">
        <f>I24*H24</f>
        <v>0</v>
      </c>
      <c r="K24" s="7" t="str">
        <f t="shared" si="1"/>
        <v/>
      </c>
    </row>
    <row r="25" spans="1:11" x14ac:dyDescent="0.3">
      <c r="A25" s="8" t="s">
        <v>116</v>
      </c>
      <c r="B25" s="9" t="s">
        <v>69</v>
      </c>
      <c r="C25" s="6" t="s">
        <v>688</v>
      </c>
      <c r="D25" s="6" t="s">
        <v>689</v>
      </c>
      <c r="E25" s="6" t="s">
        <v>34</v>
      </c>
      <c r="F25" s="52">
        <v>3</v>
      </c>
      <c r="G25" s="52"/>
      <c r="H25" s="52">
        <f t="shared" si="3"/>
        <v>3</v>
      </c>
      <c r="I25" s="106">
        <f>'2 - Section Count Projection'!$O$16</f>
        <v>0</v>
      </c>
      <c r="J25" s="52">
        <f t="shared" ref="J25:J30" si="5">I25*H25</f>
        <v>0</v>
      </c>
      <c r="K25" s="7" t="str">
        <f t="shared" si="1"/>
        <v/>
      </c>
    </row>
    <row r="26" spans="1:11" x14ac:dyDescent="0.3">
      <c r="A26" s="8" t="s">
        <v>116</v>
      </c>
      <c r="B26" s="9" t="s">
        <v>69</v>
      </c>
      <c r="C26" s="6" t="s">
        <v>690</v>
      </c>
      <c r="D26" s="6" t="s">
        <v>691</v>
      </c>
      <c r="E26" s="6" t="s">
        <v>34</v>
      </c>
      <c r="F26" s="172">
        <v>2</v>
      </c>
      <c r="G26" s="172"/>
      <c r="H26" s="52">
        <v>2</v>
      </c>
      <c r="I26" s="106">
        <f>'2 - Section Count Projection'!$O$16</f>
        <v>0</v>
      </c>
      <c r="J26" s="52">
        <f t="shared" si="5"/>
        <v>0</v>
      </c>
      <c r="K26" s="7" t="str">
        <f t="shared" si="1"/>
        <v/>
      </c>
    </row>
    <row r="27" spans="1:11" ht="18.75" customHeight="1" x14ac:dyDescent="0.3">
      <c r="A27" s="8" t="s">
        <v>116</v>
      </c>
      <c r="B27" s="9" t="s">
        <v>69</v>
      </c>
      <c r="C27" s="6" t="s">
        <v>274</v>
      </c>
      <c r="D27" s="6" t="s">
        <v>275</v>
      </c>
      <c r="E27" s="6" t="s">
        <v>127</v>
      </c>
      <c r="F27" s="52">
        <v>3</v>
      </c>
      <c r="G27" s="52"/>
      <c r="H27" s="52">
        <f t="shared" si="3"/>
        <v>3</v>
      </c>
      <c r="I27" s="106">
        <f>'2 - Section Count Projection'!$O$16</f>
        <v>0</v>
      </c>
      <c r="J27" s="52">
        <f t="shared" si="5"/>
        <v>0</v>
      </c>
      <c r="K27" s="7" t="str">
        <f t="shared" si="1"/>
        <v/>
      </c>
    </row>
    <row r="28" spans="1:11" x14ac:dyDescent="0.3">
      <c r="A28" s="8" t="s">
        <v>116</v>
      </c>
      <c r="B28" s="9" t="s">
        <v>69</v>
      </c>
      <c r="C28" s="6"/>
      <c r="D28" s="6" t="s">
        <v>692</v>
      </c>
      <c r="E28" s="6" t="s">
        <v>34</v>
      </c>
      <c r="F28" s="52">
        <v>2</v>
      </c>
      <c r="G28" s="52">
        <v>1.5</v>
      </c>
      <c r="H28" s="52">
        <f t="shared" si="3"/>
        <v>3.5</v>
      </c>
      <c r="I28" s="106">
        <f>'2 - Section Count Projection'!$O$16</f>
        <v>0</v>
      </c>
      <c r="J28" s="52">
        <f t="shared" si="5"/>
        <v>0</v>
      </c>
      <c r="K28" s="7" t="str">
        <f t="shared" si="1"/>
        <v/>
      </c>
    </row>
    <row r="29" spans="1:11" x14ac:dyDescent="0.3">
      <c r="A29" s="8" t="s">
        <v>116</v>
      </c>
      <c r="B29" s="9" t="s">
        <v>69</v>
      </c>
      <c r="C29" s="6" t="s">
        <v>693</v>
      </c>
      <c r="D29" s="6" t="s">
        <v>694</v>
      </c>
      <c r="E29" s="6" t="s">
        <v>34</v>
      </c>
      <c r="F29" s="52">
        <v>2</v>
      </c>
      <c r="G29" s="52">
        <v>1.5</v>
      </c>
      <c r="H29" s="52">
        <f t="shared" si="3"/>
        <v>3.5</v>
      </c>
      <c r="I29" s="106">
        <f>'2 - Section Count Projection'!$O$16</f>
        <v>0</v>
      </c>
      <c r="J29" s="52">
        <f t="shared" si="5"/>
        <v>0</v>
      </c>
      <c r="K29" s="7" t="str">
        <f t="shared" si="1"/>
        <v/>
      </c>
    </row>
    <row r="30" spans="1:11" ht="28.8" x14ac:dyDescent="0.3">
      <c r="A30" s="8" t="s">
        <v>116</v>
      </c>
      <c r="B30" s="9" t="s">
        <v>69</v>
      </c>
      <c r="C30" s="6" t="s">
        <v>191</v>
      </c>
      <c r="D30" s="6" t="s">
        <v>695</v>
      </c>
      <c r="E30" s="6" t="s">
        <v>34</v>
      </c>
      <c r="F30" s="52">
        <v>2</v>
      </c>
      <c r="G30" s="52">
        <v>1.5</v>
      </c>
      <c r="H30" s="52">
        <f t="shared" si="3"/>
        <v>3.5</v>
      </c>
      <c r="I30" s="106">
        <f>'2 - Section Count Projection'!$O$16</f>
        <v>0</v>
      </c>
      <c r="J30" s="52">
        <f t="shared" si="5"/>
        <v>0</v>
      </c>
      <c r="K30" s="7" t="str">
        <f t="shared" si="1"/>
        <v/>
      </c>
    </row>
    <row r="31" spans="1:11" x14ac:dyDescent="0.3">
      <c r="K31" s="7" t="str">
        <f t="shared" si="1"/>
        <v/>
      </c>
    </row>
    <row r="32" spans="1:11" x14ac:dyDescent="0.3">
      <c r="A32" s="57" t="s">
        <v>166</v>
      </c>
      <c r="K32" s="7" t="str">
        <f t="shared" si="1"/>
        <v/>
      </c>
    </row>
    <row r="33" spans="1:11" x14ac:dyDescent="0.3">
      <c r="A33" s="8" t="s">
        <v>116</v>
      </c>
      <c r="B33" s="9" t="s">
        <v>73</v>
      </c>
      <c r="C33" s="6" t="s">
        <v>696</v>
      </c>
      <c r="D33" s="6" t="s">
        <v>697</v>
      </c>
      <c r="E33" s="6" t="s">
        <v>34</v>
      </c>
      <c r="F33" s="52">
        <v>0</v>
      </c>
      <c r="G33" s="172">
        <v>3</v>
      </c>
      <c r="H33" s="52">
        <v>3</v>
      </c>
      <c r="I33" s="106">
        <f>'2 - Section Count Projection'!$O$18</f>
        <v>0</v>
      </c>
      <c r="J33" s="52">
        <f t="shared" ref="J33" si="6">I33*H33</f>
        <v>0</v>
      </c>
      <c r="K33" s="7" t="str">
        <f t="shared" si="1"/>
        <v/>
      </c>
    </row>
    <row r="34" spans="1:11" x14ac:dyDescent="0.3">
      <c r="K34" s="7" t="str">
        <f t="shared" si="1"/>
        <v/>
      </c>
    </row>
    <row r="35" spans="1:11" x14ac:dyDescent="0.3">
      <c r="A35" s="57" t="s">
        <v>180</v>
      </c>
      <c r="K35" s="7" t="str">
        <f t="shared" si="1"/>
        <v/>
      </c>
    </row>
    <row r="36" spans="1:11" ht="15" customHeight="1" x14ac:dyDescent="0.3">
      <c r="A36" s="9" t="s">
        <v>181</v>
      </c>
      <c r="B36" s="9" t="s">
        <v>61</v>
      </c>
      <c r="C36" s="6" t="s">
        <v>664</v>
      </c>
      <c r="D36" s="6" t="s">
        <v>665</v>
      </c>
      <c r="E36" s="6" t="s">
        <v>34</v>
      </c>
      <c r="F36" s="52">
        <v>2</v>
      </c>
      <c r="G36" s="52">
        <v>1.5</v>
      </c>
      <c r="H36" s="52">
        <f t="shared" si="3"/>
        <v>3.5</v>
      </c>
      <c r="I36" s="106">
        <f>'2 - Section Count Projection'!$O$21</f>
        <v>0</v>
      </c>
      <c r="J36" s="10">
        <f>I36*H36</f>
        <v>0</v>
      </c>
      <c r="K36" s="7" t="str">
        <f t="shared" si="1"/>
        <v/>
      </c>
    </row>
    <row r="37" spans="1:11" ht="15" customHeight="1" x14ac:dyDescent="0.3">
      <c r="A37" s="9" t="s">
        <v>181</v>
      </c>
      <c r="B37" s="9" t="s">
        <v>61</v>
      </c>
      <c r="C37" s="6" t="s">
        <v>666</v>
      </c>
      <c r="D37" s="6" t="s">
        <v>667</v>
      </c>
      <c r="E37" s="6" t="s">
        <v>34</v>
      </c>
      <c r="F37" s="52">
        <v>3</v>
      </c>
      <c r="G37" s="52"/>
      <c r="H37" s="52">
        <f t="shared" si="3"/>
        <v>3</v>
      </c>
      <c r="I37" s="106">
        <f>'2 - Section Count Projection'!$O$21</f>
        <v>0</v>
      </c>
      <c r="J37" s="10">
        <f t="shared" ref="J37:J43" si="7">I37*H37</f>
        <v>0</v>
      </c>
      <c r="K37" s="7" t="str">
        <f t="shared" si="1"/>
        <v/>
      </c>
    </row>
    <row r="38" spans="1:11" ht="15" customHeight="1" x14ac:dyDescent="0.3">
      <c r="A38" s="9" t="s">
        <v>181</v>
      </c>
      <c r="B38" s="9" t="s">
        <v>61</v>
      </c>
      <c r="C38" s="6" t="s">
        <v>297</v>
      </c>
      <c r="D38" s="6" t="s">
        <v>298</v>
      </c>
      <c r="E38" s="6" t="s">
        <v>141</v>
      </c>
      <c r="F38" s="52">
        <v>3</v>
      </c>
      <c r="G38" s="52"/>
      <c r="H38" s="52">
        <f t="shared" si="3"/>
        <v>3</v>
      </c>
      <c r="I38" s="106">
        <f>'2 - Section Count Projection'!$O$21</f>
        <v>0</v>
      </c>
      <c r="J38" s="10">
        <f t="shared" si="7"/>
        <v>0</v>
      </c>
      <c r="K38" s="7" t="str">
        <f t="shared" si="1"/>
        <v/>
      </c>
    </row>
    <row r="39" spans="1:11" x14ac:dyDescent="0.3">
      <c r="A39" s="9" t="s">
        <v>181</v>
      </c>
      <c r="B39" s="9" t="s">
        <v>61</v>
      </c>
      <c r="C39" s="6" t="s">
        <v>668</v>
      </c>
      <c r="D39" s="6" t="s">
        <v>669</v>
      </c>
      <c r="E39" s="101"/>
      <c r="F39" s="52">
        <v>3</v>
      </c>
      <c r="G39" s="52"/>
      <c r="H39" s="52">
        <f t="shared" si="3"/>
        <v>3</v>
      </c>
      <c r="I39" s="106">
        <f>'2 - Section Count Projection'!$O$21</f>
        <v>0</v>
      </c>
      <c r="J39" s="10">
        <f t="shared" si="7"/>
        <v>0</v>
      </c>
      <c r="K39" s="7" t="str">
        <f t="shared" si="1"/>
        <v/>
      </c>
    </row>
    <row r="40" spans="1:11" ht="15" customHeight="1" x14ac:dyDescent="0.3">
      <c r="A40" s="9" t="s">
        <v>181</v>
      </c>
      <c r="B40" s="9" t="s">
        <v>61</v>
      </c>
      <c r="C40" s="6" t="s">
        <v>670</v>
      </c>
      <c r="D40" s="6" t="s">
        <v>698</v>
      </c>
      <c r="E40" s="6" t="s">
        <v>38</v>
      </c>
      <c r="F40" s="52">
        <v>2</v>
      </c>
      <c r="G40" s="52"/>
      <c r="H40" s="52">
        <f t="shared" si="3"/>
        <v>2</v>
      </c>
      <c r="I40" s="106">
        <f>'2 - Section Count Projection'!$O$21</f>
        <v>0</v>
      </c>
      <c r="J40" s="10">
        <f t="shared" si="7"/>
        <v>0</v>
      </c>
      <c r="K40" s="7" t="str">
        <f t="shared" si="1"/>
        <v/>
      </c>
    </row>
    <row r="41" spans="1:11" ht="15" customHeight="1" x14ac:dyDescent="0.3">
      <c r="A41" s="9" t="s">
        <v>181</v>
      </c>
      <c r="B41" s="9" t="s">
        <v>61</v>
      </c>
      <c r="C41" s="6" t="s">
        <v>217</v>
      </c>
      <c r="D41" s="6" t="s">
        <v>218</v>
      </c>
      <c r="E41" s="6" t="s">
        <v>36</v>
      </c>
      <c r="F41" s="52">
        <v>3</v>
      </c>
      <c r="G41" s="52"/>
      <c r="H41" s="52">
        <f t="shared" si="3"/>
        <v>3</v>
      </c>
      <c r="I41" s="106">
        <f>'2 - Section Count Projection'!$O$21</f>
        <v>0</v>
      </c>
      <c r="J41" s="10">
        <f t="shared" si="7"/>
        <v>0</v>
      </c>
      <c r="K41" s="7" t="str">
        <f t="shared" si="1"/>
        <v/>
      </c>
    </row>
    <row r="42" spans="1:11" ht="15" customHeight="1" x14ac:dyDescent="0.3">
      <c r="A42" s="9" t="s">
        <v>181</v>
      </c>
      <c r="B42" s="9" t="s">
        <v>61</v>
      </c>
      <c r="C42" s="6" t="s">
        <v>393</v>
      </c>
      <c r="D42" s="6" t="s">
        <v>672</v>
      </c>
      <c r="E42" s="101"/>
      <c r="F42" s="52">
        <v>3</v>
      </c>
      <c r="G42" s="52"/>
      <c r="H42" s="52">
        <f t="shared" si="3"/>
        <v>3</v>
      </c>
      <c r="I42" s="106">
        <f>'2 - Section Count Projection'!$O$21</f>
        <v>0</v>
      </c>
      <c r="J42" s="10">
        <f t="shared" si="7"/>
        <v>0</v>
      </c>
      <c r="K42" s="7" t="str">
        <f t="shared" si="1"/>
        <v/>
      </c>
    </row>
    <row r="43" spans="1:11" x14ac:dyDescent="0.3">
      <c r="A43" s="9" t="s">
        <v>181</v>
      </c>
      <c r="B43" s="9" t="s">
        <v>61</v>
      </c>
      <c r="C43" s="6" t="s">
        <v>699</v>
      </c>
      <c r="D43" s="6" t="s">
        <v>700</v>
      </c>
      <c r="E43" s="6" t="s">
        <v>36</v>
      </c>
      <c r="F43" s="52">
        <v>3</v>
      </c>
      <c r="G43" s="52"/>
      <c r="H43" s="52">
        <f t="shared" si="3"/>
        <v>3</v>
      </c>
      <c r="I43" s="106">
        <f>'2 - Section Count Projection'!$O$21</f>
        <v>0</v>
      </c>
      <c r="J43" s="10">
        <f t="shared" si="7"/>
        <v>0</v>
      </c>
      <c r="K43" s="7" t="str">
        <f t="shared" si="1"/>
        <v/>
      </c>
    </row>
    <row r="44" spans="1:11" x14ac:dyDescent="0.3">
      <c r="K44" s="7" t="str">
        <f t="shared" si="1"/>
        <v/>
      </c>
    </row>
    <row r="45" spans="1:11" x14ac:dyDescent="0.3">
      <c r="A45" s="57" t="s">
        <v>182</v>
      </c>
      <c r="K45" s="7" t="str">
        <f t="shared" si="1"/>
        <v/>
      </c>
    </row>
    <row r="46" spans="1:11" x14ac:dyDescent="0.3">
      <c r="A46" s="9" t="s">
        <v>181</v>
      </c>
      <c r="B46" s="9" t="s">
        <v>64</v>
      </c>
      <c r="C46" s="6" t="s">
        <v>701</v>
      </c>
      <c r="D46" s="6" t="s">
        <v>702</v>
      </c>
      <c r="E46" s="6" t="s">
        <v>34</v>
      </c>
      <c r="F46" s="52">
        <v>3</v>
      </c>
      <c r="G46" s="52"/>
      <c r="H46" s="52">
        <f t="shared" si="3"/>
        <v>3</v>
      </c>
      <c r="I46" s="106">
        <f>'2 - Section Count Projection'!$O$23</f>
        <v>0</v>
      </c>
      <c r="J46" s="10">
        <f>I46*H46</f>
        <v>0</v>
      </c>
      <c r="K46" s="7" t="str">
        <f t="shared" si="1"/>
        <v/>
      </c>
    </row>
    <row r="47" spans="1:11" x14ac:dyDescent="0.3">
      <c r="A47" s="9" t="s">
        <v>181</v>
      </c>
      <c r="B47" s="9" t="s">
        <v>64</v>
      </c>
      <c r="C47" s="6" t="s">
        <v>677</v>
      </c>
      <c r="D47" s="6" t="s">
        <v>615</v>
      </c>
      <c r="E47" s="6" t="s">
        <v>34</v>
      </c>
      <c r="F47" s="52">
        <v>2</v>
      </c>
      <c r="G47" s="52">
        <v>1.5</v>
      </c>
      <c r="H47" s="52">
        <f t="shared" si="3"/>
        <v>3.5</v>
      </c>
      <c r="I47" s="106">
        <f>'2 - Section Count Projection'!$O$23</f>
        <v>0</v>
      </c>
      <c r="J47" s="10">
        <f>I47*H47</f>
        <v>0</v>
      </c>
      <c r="K47" s="7" t="str">
        <f t="shared" si="1"/>
        <v/>
      </c>
    </row>
    <row r="48" spans="1:11" x14ac:dyDescent="0.3">
      <c r="A48" s="9" t="s">
        <v>181</v>
      </c>
      <c r="B48" s="9" t="s">
        <v>64</v>
      </c>
      <c r="C48" s="6" t="s">
        <v>132</v>
      </c>
      <c r="D48" s="6" t="s">
        <v>133</v>
      </c>
      <c r="E48" s="101"/>
      <c r="F48" s="52">
        <v>3</v>
      </c>
      <c r="G48" s="52"/>
      <c r="H48" s="52">
        <f t="shared" si="3"/>
        <v>3</v>
      </c>
      <c r="I48" s="106">
        <f>'2 - Section Count Projection'!$O$23</f>
        <v>0</v>
      </c>
      <c r="J48" s="10">
        <f t="shared" ref="J48:J54" si="8">I48*H48</f>
        <v>0</v>
      </c>
      <c r="K48" s="7" t="str">
        <f t="shared" si="1"/>
        <v/>
      </c>
    </row>
    <row r="49" spans="1:11" x14ac:dyDescent="0.3">
      <c r="A49" s="9" t="s">
        <v>181</v>
      </c>
      <c r="B49" s="9" t="s">
        <v>64</v>
      </c>
      <c r="C49" s="6" t="s">
        <v>673</v>
      </c>
      <c r="D49" s="6" t="s">
        <v>674</v>
      </c>
      <c r="E49" s="6" t="s">
        <v>141</v>
      </c>
      <c r="F49" s="52">
        <v>3</v>
      </c>
      <c r="G49" s="52"/>
      <c r="H49" s="52">
        <f t="shared" si="3"/>
        <v>3</v>
      </c>
      <c r="I49" s="106">
        <f>'2 - Section Count Projection'!$O$23</f>
        <v>0</v>
      </c>
      <c r="J49" s="10">
        <f t="shared" si="8"/>
        <v>0</v>
      </c>
      <c r="K49" s="7" t="str">
        <f t="shared" si="1"/>
        <v/>
      </c>
    </row>
    <row r="50" spans="1:11" x14ac:dyDescent="0.3">
      <c r="A50" s="9" t="s">
        <v>181</v>
      </c>
      <c r="B50" s="9" t="s">
        <v>64</v>
      </c>
      <c r="C50" s="6" t="s">
        <v>678</v>
      </c>
      <c r="D50" s="6" t="s">
        <v>703</v>
      </c>
      <c r="E50" s="6" t="s">
        <v>38</v>
      </c>
      <c r="F50" s="52">
        <v>2</v>
      </c>
      <c r="G50" s="52"/>
      <c r="H50" s="52">
        <f t="shared" si="3"/>
        <v>2</v>
      </c>
      <c r="I50" s="106">
        <f>'2 - Section Count Projection'!$O$23</f>
        <v>0</v>
      </c>
      <c r="J50" s="10">
        <f t="shared" si="8"/>
        <v>0</v>
      </c>
      <c r="K50" s="7" t="str">
        <f t="shared" si="1"/>
        <v/>
      </c>
    </row>
    <row r="51" spans="1:11" x14ac:dyDescent="0.3">
      <c r="A51" s="9" t="s">
        <v>181</v>
      </c>
      <c r="B51" s="9" t="s">
        <v>64</v>
      </c>
      <c r="C51" s="6" t="s">
        <v>704</v>
      </c>
      <c r="D51" s="6" t="s">
        <v>705</v>
      </c>
      <c r="E51" s="6" t="s">
        <v>34</v>
      </c>
      <c r="F51" s="52">
        <v>3</v>
      </c>
      <c r="G51" s="52"/>
      <c r="H51" s="52">
        <f t="shared" si="3"/>
        <v>3</v>
      </c>
      <c r="I51" s="106">
        <f>'2 - Section Count Projection'!$O$23</f>
        <v>0</v>
      </c>
      <c r="J51" s="10">
        <f t="shared" si="8"/>
        <v>0</v>
      </c>
      <c r="K51" s="7" t="str">
        <f t="shared" si="1"/>
        <v/>
      </c>
    </row>
    <row r="52" spans="1:11" x14ac:dyDescent="0.3">
      <c r="A52" s="9" t="s">
        <v>181</v>
      </c>
      <c r="B52" s="9" t="s">
        <v>64</v>
      </c>
      <c r="C52" s="6" t="s">
        <v>146</v>
      </c>
      <c r="D52" s="6" t="s">
        <v>147</v>
      </c>
      <c r="E52" s="6" t="s">
        <v>34</v>
      </c>
      <c r="F52" s="52">
        <v>2</v>
      </c>
      <c r="G52" s="52">
        <v>1.5</v>
      </c>
      <c r="H52" s="52">
        <f t="shared" si="3"/>
        <v>3.5</v>
      </c>
      <c r="I52" s="106">
        <f>'2 - Section Count Projection'!$O$23</f>
        <v>0</v>
      </c>
      <c r="J52" s="10">
        <f t="shared" si="8"/>
        <v>0</v>
      </c>
      <c r="K52" s="7" t="str">
        <f t="shared" si="1"/>
        <v/>
      </c>
    </row>
    <row r="53" spans="1:11" x14ac:dyDescent="0.3">
      <c r="A53" s="9" t="s">
        <v>181</v>
      </c>
      <c r="B53" s="9" t="s">
        <v>64</v>
      </c>
      <c r="C53" s="6"/>
      <c r="D53" s="6" t="s">
        <v>706</v>
      </c>
      <c r="E53" s="6" t="s">
        <v>34</v>
      </c>
      <c r="F53" s="52">
        <v>2</v>
      </c>
      <c r="G53" s="52">
        <v>1.5</v>
      </c>
      <c r="H53" s="52">
        <f t="shared" ref="H53" si="9">SUM(F53:G53)</f>
        <v>3.5</v>
      </c>
      <c r="I53" s="106">
        <f>'2 - Section Count Projection'!$O$23</f>
        <v>0</v>
      </c>
      <c r="J53" s="10">
        <f t="shared" ref="J53" si="10">I53*H53</f>
        <v>0</v>
      </c>
      <c r="K53" s="7" t="str">
        <f t="shared" si="1"/>
        <v/>
      </c>
    </row>
    <row r="54" spans="1:11" x14ac:dyDescent="0.3">
      <c r="A54" s="9" t="s">
        <v>181</v>
      </c>
      <c r="B54" s="9" t="s">
        <v>64</v>
      </c>
      <c r="C54" s="6" t="s">
        <v>274</v>
      </c>
      <c r="D54" s="6" t="s">
        <v>275</v>
      </c>
      <c r="E54" s="6" t="s">
        <v>127</v>
      </c>
      <c r="F54" s="52">
        <v>3</v>
      </c>
      <c r="G54" s="52"/>
      <c r="H54" s="52">
        <f t="shared" si="3"/>
        <v>3</v>
      </c>
      <c r="I54" s="106">
        <f>'2 - Section Count Projection'!$O$23</f>
        <v>0</v>
      </c>
      <c r="J54" s="10">
        <f t="shared" si="8"/>
        <v>0</v>
      </c>
      <c r="K54" s="7" t="str">
        <f t="shared" si="1"/>
        <v/>
      </c>
    </row>
    <row r="55" spans="1:11" x14ac:dyDescent="0.3">
      <c r="K55" s="7" t="str">
        <f t="shared" si="1"/>
        <v/>
      </c>
    </row>
    <row r="56" spans="1:11" x14ac:dyDescent="0.3">
      <c r="A56" s="57" t="s">
        <v>182</v>
      </c>
      <c r="K56" s="7" t="str">
        <f t="shared" si="1"/>
        <v/>
      </c>
    </row>
    <row r="57" spans="1:11" x14ac:dyDescent="0.3">
      <c r="A57" s="9" t="s">
        <v>181</v>
      </c>
      <c r="B57" s="9" t="s">
        <v>69</v>
      </c>
      <c r="C57" s="6" t="s">
        <v>707</v>
      </c>
      <c r="D57" s="6" t="s">
        <v>708</v>
      </c>
      <c r="E57" s="6" t="s">
        <v>34</v>
      </c>
      <c r="F57" s="52">
        <v>3</v>
      </c>
      <c r="G57" s="52"/>
      <c r="H57" s="52">
        <f t="shared" si="3"/>
        <v>3</v>
      </c>
      <c r="I57" s="106">
        <f>'2 - Section Count Projection'!$O$25</f>
        <v>0</v>
      </c>
      <c r="J57" s="10">
        <f>I57*H57</f>
        <v>0</v>
      </c>
      <c r="K57" s="7" t="str">
        <f t="shared" si="1"/>
        <v/>
      </c>
    </row>
    <row r="58" spans="1:11" x14ac:dyDescent="0.3">
      <c r="A58" s="9" t="s">
        <v>181</v>
      </c>
      <c r="B58" s="9" t="s">
        <v>69</v>
      </c>
      <c r="C58" s="6" t="s">
        <v>709</v>
      </c>
      <c r="D58" s="6" t="s">
        <v>710</v>
      </c>
      <c r="E58" s="6" t="s">
        <v>34</v>
      </c>
      <c r="F58" s="52">
        <v>2</v>
      </c>
      <c r="G58" s="52">
        <v>1.5</v>
      </c>
      <c r="H58" s="52">
        <f t="shared" si="3"/>
        <v>3.5</v>
      </c>
      <c r="I58" s="106">
        <f>'2 - Section Count Projection'!$O$25</f>
        <v>0</v>
      </c>
      <c r="J58" s="10">
        <f t="shared" ref="J58:J63" si="11">I58*H58</f>
        <v>0</v>
      </c>
      <c r="K58" s="7" t="str">
        <f t="shared" si="1"/>
        <v/>
      </c>
    </row>
    <row r="59" spans="1:11" x14ac:dyDescent="0.3">
      <c r="A59" s="9" t="s">
        <v>181</v>
      </c>
      <c r="B59" s="9" t="s">
        <v>69</v>
      </c>
      <c r="C59" s="6" t="s">
        <v>711</v>
      </c>
      <c r="D59" s="6" t="s">
        <v>712</v>
      </c>
      <c r="E59" s="6" t="s">
        <v>34</v>
      </c>
      <c r="F59" s="52">
        <v>2</v>
      </c>
      <c r="G59" s="52">
        <v>1.5</v>
      </c>
      <c r="H59" s="52">
        <f t="shared" si="3"/>
        <v>3.5</v>
      </c>
      <c r="I59" s="106">
        <f>'2 - Section Count Projection'!$O$25</f>
        <v>0</v>
      </c>
      <c r="J59" s="10">
        <f t="shared" si="11"/>
        <v>0</v>
      </c>
      <c r="K59" s="7" t="str">
        <f t="shared" si="1"/>
        <v/>
      </c>
    </row>
    <row r="60" spans="1:11" x14ac:dyDescent="0.3">
      <c r="A60" s="9" t="s">
        <v>181</v>
      </c>
      <c r="B60" s="9" t="s">
        <v>69</v>
      </c>
      <c r="C60" s="6" t="s">
        <v>713</v>
      </c>
      <c r="D60" s="6" t="s">
        <v>714</v>
      </c>
      <c r="E60" s="6" t="s">
        <v>34</v>
      </c>
      <c r="F60" s="52">
        <v>3</v>
      </c>
      <c r="G60" s="52"/>
      <c r="H60" s="52">
        <f t="shared" si="3"/>
        <v>3</v>
      </c>
      <c r="I60" s="106">
        <f>'2 - Section Count Projection'!$O$25</f>
        <v>0</v>
      </c>
      <c r="J60" s="10">
        <f t="shared" si="11"/>
        <v>0</v>
      </c>
      <c r="K60" s="7" t="str">
        <f t="shared" si="1"/>
        <v/>
      </c>
    </row>
    <row r="61" spans="1:11" x14ac:dyDescent="0.3">
      <c r="A61" s="9" t="s">
        <v>181</v>
      </c>
      <c r="B61" s="9" t="s">
        <v>69</v>
      </c>
      <c r="C61" s="6" t="s">
        <v>715</v>
      </c>
      <c r="D61" s="6" t="s">
        <v>716</v>
      </c>
      <c r="E61" s="6" t="s">
        <v>34</v>
      </c>
      <c r="F61" s="52">
        <v>2</v>
      </c>
      <c r="G61" s="52">
        <v>1.5</v>
      </c>
      <c r="H61" s="52">
        <f t="shared" si="3"/>
        <v>3.5</v>
      </c>
      <c r="I61" s="106">
        <f>'2 - Section Count Projection'!$O$25</f>
        <v>0</v>
      </c>
      <c r="J61" s="10">
        <f t="shared" si="11"/>
        <v>0</v>
      </c>
      <c r="K61" s="7" t="str">
        <f t="shared" si="1"/>
        <v/>
      </c>
    </row>
    <row r="62" spans="1:11" x14ac:dyDescent="0.3">
      <c r="A62" s="9" t="s">
        <v>181</v>
      </c>
      <c r="B62" s="9" t="s">
        <v>69</v>
      </c>
      <c r="C62" s="6"/>
      <c r="D62" s="6" t="s">
        <v>717</v>
      </c>
      <c r="E62" s="6" t="s">
        <v>34</v>
      </c>
      <c r="F62" s="52">
        <v>2</v>
      </c>
      <c r="G62" s="52">
        <v>1.5</v>
      </c>
      <c r="H62" s="52">
        <f t="shared" si="3"/>
        <v>3.5</v>
      </c>
      <c r="I62" s="106">
        <f>'2 - Section Count Projection'!$O$25</f>
        <v>0</v>
      </c>
      <c r="J62" s="10">
        <f t="shared" si="11"/>
        <v>0</v>
      </c>
      <c r="K62" s="7" t="str">
        <f t="shared" si="1"/>
        <v/>
      </c>
    </row>
    <row r="63" spans="1:11" x14ac:dyDescent="0.3">
      <c r="A63" s="9" t="s">
        <v>181</v>
      </c>
      <c r="B63" s="9" t="s">
        <v>69</v>
      </c>
      <c r="C63" s="6" t="s">
        <v>718</v>
      </c>
      <c r="D63" s="6" t="s">
        <v>719</v>
      </c>
      <c r="E63" s="6" t="s">
        <v>34</v>
      </c>
      <c r="F63" s="52">
        <v>2</v>
      </c>
      <c r="G63" s="172"/>
      <c r="H63" s="52">
        <v>2</v>
      </c>
      <c r="I63" s="106">
        <f>'2 - Section Count Projection'!$O$25</f>
        <v>0</v>
      </c>
      <c r="J63" s="10">
        <f t="shared" si="11"/>
        <v>0</v>
      </c>
      <c r="K63" s="7" t="str">
        <f t="shared" si="1"/>
        <v/>
      </c>
    </row>
    <row r="64" spans="1:11" x14ac:dyDescent="0.3">
      <c r="K64" s="7" t="str">
        <f t="shared" si="1"/>
        <v/>
      </c>
    </row>
    <row r="65" spans="1:11" x14ac:dyDescent="0.3">
      <c r="A65" s="57" t="s">
        <v>202</v>
      </c>
      <c r="K65" s="7" t="str">
        <f t="shared" si="1"/>
        <v/>
      </c>
    </row>
    <row r="66" spans="1:11" x14ac:dyDescent="0.3">
      <c r="A66" s="9" t="s">
        <v>181</v>
      </c>
      <c r="B66" s="9" t="s">
        <v>73</v>
      </c>
      <c r="C66" s="6" t="s">
        <v>720</v>
      </c>
      <c r="D66" s="6" t="s">
        <v>721</v>
      </c>
      <c r="E66" s="6" t="s">
        <v>34</v>
      </c>
      <c r="F66" s="52"/>
      <c r="G66" s="188">
        <v>3</v>
      </c>
      <c r="H66" s="52">
        <v>3</v>
      </c>
      <c r="I66" s="106">
        <f>'2 - Section Count Projection'!$O$27</f>
        <v>0</v>
      </c>
      <c r="J66" s="8">
        <f>I66*H66</f>
        <v>0</v>
      </c>
      <c r="K66" s="7" t="str">
        <f t="shared" si="1"/>
        <v/>
      </c>
    </row>
    <row r="67" spans="1:11" x14ac:dyDescent="0.3">
      <c r="K67" s="7" t="str">
        <f t="shared" si="1"/>
        <v/>
      </c>
    </row>
    <row r="68" spans="1:11" x14ac:dyDescent="0.3">
      <c r="A68" s="59" t="s">
        <v>211</v>
      </c>
      <c r="K68" s="7" t="str">
        <f t="shared" ref="K68:K131" si="12">IF(I68&gt;0,F68,"")</f>
        <v/>
      </c>
    </row>
    <row r="69" spans="1:11" x14ac:dyDescent="0.3">
      <c r="A69" s="9" t="s">
        <v>212</v>
      </c>
      <c r="B69" s="9" t="s">
        <v>61</v>
      </c>
      <c r="C69" s="6" t="s">
        <v>722</v>
      </c>
      <c r="D69" s="6" t="s">
        <v>723</v>
      </c>
      <c r="E69" s="6" t="s">
        <v>34</v>
      </c>
      <c r="F69" s="52"/>
      <c r="G69" s="52">
        <f>2*1.5</f>
        <v>3</v>
      </c>
      <c r="H69" s="52">
        <f t="shared" si="3"/>
        <v>3</v>
      </c>
      <c r="I69" s="106">
        <f>'2 - Section Count Projection'!$O$39</f>
        <v>0</v>
      </c>
      <c r="J69" s="8">
        <f>I69*H69</f>
        <v>0</v>
      </c>
      <c r="K69" s="7" t="str">
        <f t="shared" si="12"/>
        <v/>
      </c>
    </row>
    <row r="70" spans="1:11" x14ac:dyDescent="0.3">
      <c r="A70" s="9" t="s">
        <v>212</v>
      </c>
      <c r="B70" s="9" t="s">
        <v>61</v>
      </c>
      <c r="C70" s="6" t="s">
        <v>724</v>
      </c>
      <c r="D70" s="6" t="s">
        <v>725</v>
      </c>
      <c r="E70" s="186" t="s">
        <v>221</v>
      </c>
      <c r="F70" s="52">
        <v>3</v>
      </c>
      <c r="G70" s="52"/>
      <c r="H70" s="52">
        <f t="shared" si="3"/>
        <v>3</v>
      </c>
      <c r="I70" s="106">
        <f>'2 - Section Count Projection'!$O$39</f>
        <v>0</v>
      </c>
      <c r="J70" s="8">
        <f t="shared" ref="J70:J77" si="13">I70*H70</f>
        <v>0</v>
      </c>
      <c r="K70" s="7" t="str">
        <f t="shared" si="12"/>
        <v/>
      </c>
    </row>
    <row r="71" spans="1:11" x14ac:dyDescent="0.3">
      <c r="A71" s="9" t="s">
        <v>212</v>
      </c>
      <c r="B71" s="9" t="s">
        <v>61</v>
      </c>
      <c r="C71" s="6" t="s">
        <v>297</v>
      </c>
      <c r="D71" s="6" t="s">
        <v>298</v>
      </c>
      <c r="E71" s="6" t="s">
        <v>141</v>
      </c>
      <c r="F71" s="52">
        <v>3</v>
      </c>
      <c r="G71" s="52"/>
      <c r="H71" s="52">
        <f t="shared" si="3"/>
        <v>3</v>
      </c>
      <c r="I71" s="106">
        <f>'2 - Section Count Projection'!$O$39</f>
        <v>0</v>
      </c>
      <c r="J71" s="8">
        <f t="shared" si="13"/>
        <v>0</v>
      </c>
      <c r="K71" s="7" t="str">
        <f t="shared" si="12"/>
        <v/>
      </c>
    </row>
    <row r="72" spans="1:11" x14ac:dyDescent="0.3">
      <c r="A72" s="9" t="s">
        <v>212</v>
      </c>
      <c r="B72" s="9" t="s">
        <v>61</v>
      </c>
      <c r="C72" s="6" t="s">
        <v>668</v>
      </c>
      <c r="D72" s="6" t="s">
        <v>669</v>
      </c>
      <c r="E72" s="101"/>
      <c r="F72" s="52">
        <v>3</v>
      </c>
      <c r="G72" s="52"/>
      <c r="H72" s="52">
        <f t="shared" si="3"/>
        <v>3</v>
      </c>
      <c r="I72" s="106">
        <f>'2 - Section Count Projection'!$O$39</f>
        <v>0</v>
      </c>
      <c r="J72" s="8">
        <f t="shared" si="13"/>
        <v>0</v>
      </c>
      <c r="K72" s="7" t="str">
        <f t="shared" si="12"/>
        <v/>
      </c>
    </row>
    <row r="73" spans="1:11" x14ac:dyDescent="0.3">
      <c r="A73" s="9" t="s">
        <v>212</v>
      </c>
      <c r="B73" s="9" t="s">
        <v>61</v>
      </c>
      <c r="C73" s="6" t="s">
        <v>670</v>
      </c>
      <c r="D73" s="6" t="s">
        <v>698</v>
      </c>
      <c r="E73" s="6" t="s">
        <v>38</v>
      </c>
      <c r="F73" s="52">
        <v>2</v>
      </c>
      <c r="G73" s="52"/>
      <c r="H73" s="52">
        <f t="shared" si="3"/>
        <v>2</v>
      </c>
      <c r="I73" s="106">
        <f>'2 - Section Count Projection'!$O$39</f>
        <v>0</v>
      </c>
      <c r="J73" s="8">
        <f t="shared" si="13"/>
        <v>0</v>
      </c>
      <c r="K73" s="7" t="str">
        <f t="shared" si="12"/>
        <v/>
      </c>
    </row>
    <row r="74" spans="1:11" x14ac:dyDescent="0.3">
      <c r="A74" s="9" t="s">
        <v>212</v>
      </c>
      <c r="B74" s="9" t="s">
        <v>61</v>
      </c>
      <c r="C74" s="6" t="s">
        <v>125</v>
      </c>
      <c r="D74" s="6" t="s">
        <v>126</v>
      </c>
      <c r="E74" s="6" t="s">
        <v>127</v>
      </c>
      <c r="F74" s="52">
        <v>3</v>
      </c>
      <c r="G74" s="52"/>
      <c r="H74" s="52">
        <f t="shared" si="3"/>
        <v>3</v>
      </c>
      <c r="I74" s="106">
        <f>'2 - Section Count Projection'!$O$39</f>
        <v>0</v>
      </c>
      <c r="J74" s="8">
        <f t="shared" si="13"/>
        <v>0</v>
      </c>
      <c r="K74" s="7" t="str">
        <f t="shared" si="12"/>
        <v/>
      </c>
    </row>
    <row r="75" spans="1:11" x14ac:dyDescent="0.3">
      <c r="A75" s="9" t="s">
        <v>212</v>
      </c>
      <c r="B75" s="9" t="s">
        <v>61</v>
      </c>
      <c r="C75" s="6" t="s">
        <v>393</v>
      </c>
      <c r="D75" s="6" t="s">
        <v>672</v>
      </c>
      <c r="E75" s="101"/>
      <c r="F75" s="52">
        <v>3</v>
      </c>
      <c r="G75" s="52"/>
      <c r="H75" s="52">
        <f t="shared" si="3"/>
        <v>3</v>
      </c>
      <c r="I75" s="106">
        <f>'2 - Section Count Projection'!$O$39</f>
        <v>0</v>
      </c>
      <c r="J75" s="8">
        <f t="shared" si="13"/>
        <v>0</v>
      </c>
      <c r="K75" s="7" t="str">
        <f t="shared" si="12"/>
        <v/>
      </c>
    </row>
    <row r="76" spans="1:11" x14ac:dyDescent="0.3">
      <c r="A76" s="9" t="s">
        <v>212</v>
      </c>
      <c r="B76" s="9" t="s">
        <v>61</v>
      </c>
      <c r="C76" s="6" t="s">
        <v>726</v>
      </c>
      <c r="D76" s="6" t="s">
        <v>727</v>
      </c>
      <c r="E76" s="6" t="s">
        <v>221</v>
      </c>
      <c r="F76" s="52">
        <v>3</v>
      </c>
      <c r="G76" s="52"/>
      <c r="H76" s="52">
        <f>SUM(F76:G76)</f>
        <v>3</v>
      </c>
      <c r="I76" s="106">
        <f>'2 - Section Count Projection'!$O$39</f>
        <v>0</v>
      </c>
      <c r="J76" s="8">
        <f t="shared" si="13"/>
        <v>0</v>
      </c>
      <c r="K76" s="7" t="str">
        <f t="shared" si="12"/>
        <v/>
      </c>
    </row>
    <row r="77" spans="1:11" x14ac:dyDescent="0.3">
      <c r="A77" s="9" t="s">
        <v>212</v>
      </c>
      <c r="B77" s="9" t="s">
        <v>61</v>
      </c>
      <c r="C77" s="6" t="s">
        <v>728</v>
      </c>
      <c r="D77" s="6" t="s">
        <v>729</v>
      </c>
      <c r="E77" s="6" t="s">
        <v>221</v>
      </c>
      <c r="F77" s="52">
        <v>3</v>
      </c>
      <c r="G77" s="52">
        <v>1.5</v>
      </c>
      <c r="H77" s="52">
        <f>SUM(F77:G77)</f>
        <v>4.5</v>
      </c>
      <c r="I77" s="106">
        <f>'2 - Section Count Projection'!$O$39</f>
        <v>0</v>
      </c>
      <c r="J77" s="8">
        <f t="shared" si="13"/>
        <v>0</v>
      </c>
      <c r="K77" s="7" t="str">
        <f t="shared" si="12"/>
        <v/>
      </c>
    </row>
    <row r="78" spans="1:11" x14ac:dyDescent="0.3">
      <c r="K78" s="7" t="str">
        <f t="shared" si="12"/>
        <v/>
      </c>
    </row>
    <row r="79" spans="1:11" x14ac:dyDescent="0.3">
      <c r="A79" s="59" t="s">
        <v>211</v>
      </c>
      <c r="K79" s="7" t="str">
        <f t="shared" si="12"/>
        <v/>
      </c>
    </row>
    <row r="80" spans="1:11" x14ac:dyDescent="0.3">
      <c r="A80" s="9" t="s">
        <v>212</v>
      </c>
      <c r="B80" s="9" t="s">
        <v>64</v>
      </c>
      <c r="C80" s="178" t="s">
        <v>730</v>
      </c>
      <c r="D80" s="178" t="s">
        <v>731</v>
      </c>
      <c r="E80" s="6" t="s">
        <v>221</v>
      </c>
      <c r="F80" s="52">
        <v>3</v>
      </c>
      <c r="G80" s="52"/>
      <c r="H80" s="52">
        <f>SUM(F80:G80)</f>
        <v>3</v>
      </c>
      <c r="I80" s="106">
        <f>'2 - Section Count Projection'!$O$41</f>
        <v>0</v>
      </c>
      <c r="J80" s="8">
        <f>I80*H80</f>
        <v>0</v>
      </c>
      <c r="K80" s="7" t="str">
        <f t="shared" si="12"/>
        <v/>
      </c>
    </row>
    <row r="81" spans="1:11" x14ac:dyDescent="0.3">
      <c r="A81" s="9" t="s">
        <v>212</v>
      </c>
      <c r="B81" s="9" t="s">
        <v>64</v>
      </c>
      <c r="C81" s="178" t="s">
        <v>732</v>
      </c>
      <c r="D81" s="179" t="s">
        <v>733</v>
      </c>
      <c r="E81" s="6" t="s">
        <v>221</v>
      </c>
      <c r="F81" s="52">
        <v>3</v>
      </c>
      <c r="G81" s="52">
        <v>1.5</v>
      </c>
      <c r="H81" s="52">
        <f t="shared" ref="H81:H96" si="14">SUM(F81:G81)</f>
        <v>4.5</v>
      </c>
      <c r="I81" s="106">
        <f>'2 - Section Count Projection'!$O$41</f>
        <v>0</v>
      </c>
      <c r="J81" s="8">
        <f t="shared" ref="J81:J88" si="15">I81*H81</f>
        <v>0</v>
      </c>
      <c r="K81" s="7" t="str">
        <f t="shared" si="12"/>
        <v/>
      </c>
    </row>
    <row r="82" spans="1:11" x14ac:dyDescent="0.3">
      <c r="A82" s="9" t="s">
        <v>212</v>
      </c>
      <c r="B82" s="9" t="s">
        <v>64</v>
      </c>
      <c r="C82" s="178" t="s">
        <v>734</v>
      </c>
      <c r="D82" s="178" t="s">
        <v>735</v>
      </c>
      <c r="E82" s="6" t="s">
        <v>34</v>
      </c>
      <c r="F82" s="52">
        <v>3</v>
      </c>
      <c r="G82" s="52">
        <v>1.5</v>
      </c>
      <c r="H82" s="52">
        <f t="shared" si="14"/>
        <v>4.5</v>
      </c>
      <c r="I82" s="106">
        <f>'2 - Section Count Projection'!$O$41</f>
        <v>0</v>
      </c>
      <c r="J82" s="8">
        <f t="shared" si="15"/>
        <v>0</v>
      </c>
      <c r="K82" s="7" t="str">
        <f t="shared" si="12"/>
        <v/>
      </c>
    </row>
    <row r="83" spans="1:11" x14ac:dyDescent="0.3">
      <c r="A83" s="9" t="s">
        <v>212</v>
      </c>
      <c r="B83" s="9" t="s">
        <v>64</v>
      </c>
      <c r="C83" s="178" t="s">
        <v>132</v>
      </c>
      <c r="D83" s="178" t="s">
        <v>133</v>
      </c>
      <c r="E83" s="101"/>
      <c r="F83" s="52">
        <v>3</v>
      </c>
      <c r="G83" s="52"/>
      <c r="H83" s="52">
        <f t="shared" si="14"/>
        <v>3</v>
      </c>
      <c r="I83" s="106">
        <f>'2 - Section Count Projection'!$O$41</f>
        <v>0</v>
      </c>
      <c r="J83" s="8">
        <f t="shared" si="15"/>
        <v>0</v>
      </c>
      <c r="K83" s="7" t="str">
        <f t="shared" si="12"/>
        <v/>
      </c>
    </row>
    <row r="84" spans="1:11" ht="17.25" customHeight="1" x14ac:dyDescent="0.3">
      <c r="A84" s="9" t="s">
        <v>212</v>
      </c>
      <c r="B84" s="9" t="s">
        <v>64</v>
      </c>
      <c r="C84" s="178" t="s">
        <v>736</v>
      </c>
      <c r="D84" s="178" t="s">
        <v>674</v>
      </c>
      <c r="E84" s="6" t="s">
        <v>141</v>
      </c>
      <c r="F84" s="52">
        <v>3</v>
      </c>
      <c r="G84" s="52"/>
      <c r="H84" s="52">
        <f t="shared" si="14"/>
        <v>3</v>
      </c>
      <c r="I84" s="106">
        <f>'2 - Section Count Projection'!$O$41</f>
        <v>0</v>
      </c>
      <c r="J84" s="8">
        <f t="shared" si="15"/>
        <v>0</v>
      </c>
      <c r="K84" s="7" t="str">
        <f t="shared" si="12"/>
        <v/>
      </c>
    </row>
    <row r="85" spans="1:11" x14ac:dyDescent="0.3">
      <c r="A85" s="9" t="s">
        <v>212</v>
      </c>
      <c r="B85" s="9" t="s">
        <v>64</v>
      </c>
      <c r="C85" s="178" t="s">
        <v>678</v>
      </c>
      <c r="D85" s="178" t="s">
        <v>703</v>
      </c>
      <c r="E85" s="6" t="s">
        <v>38</v>
      </c>
      <c r="F85" s="52">
        <v>2</v>
      </c>
      <c r="G85" s="52"/>
      <c r="H85" s="52">
        <f t="shared" si="14"/>
        <v>2</v>
      </c>
      <c r="I85" s="106">
        <f>'2 - Section Count Projection'!$O$41</f>
        <v>0</v>
      </c>
      <c r="J85" s="8">
        <f t="shared" si="15"/>
        <v>0</v>
      </c>
      <c r="K85" s="7" t="str">
        <f t="shared" si="12"/>
        <v/>
      </c>
    </row>
    <row r="86" spans="1:11" x14ac:dyDescent="0.3">
      <c r="A86" s="9" t="s">
        <v>212</v>
      </c>
      <c r="B86" s="9" t="s">
        <v>64</v>
      </c>
      <c r="C86" s="178" t="s">
        <v>207</v>
      </c>
      <c r="D86" s="178" t="s">
        <v>208</v>
      </c>
      <c r="E86" s="6" t="s">
        <v>20</v>
      </c>
      <c r="F86" s="52">
        <v>3</v>
      </c>
      <c r="G86" s="52"/>
      <c r="H86" s="52">
        <f t="shared" si="14"/>
        <v>3</v>
      </c>
      <c r="I86" s="106">
        <f>'2 - Section Count Projection'!$O$41</f>
        <v>0</v>
      </c>
      <c r="J86" s="8">
        <f t="shared" si="15"/>
        <v>0</v>
      </c>
      <c r="K86" s="7" t="str">
        <f t="shared" si="12"/>
        <v/>
      </c>
    </row>
    <row r="87" spans="1:11" x14ac:dyDescent="0.3">
      <c r="A87" s="9" t="s">
        <v>212</v>
      </c>
      <c r="B87" s="9" t="s">
        <v>64</v>
      </c>
      <c r="C87" s="178" t="s">
        <v>274</v>
      </c>
      <c r="D87" s="178" t="s">
        <v>275</v>
      </c>
      <c r="E87" s="6" t="s">
        <v>127</v>
      </c>
      <c r="F87" s="52">
        <v>3</v>
      </c>
      <c r="G87" s="52"/>
      <c r="H87" s="52">
        <f t="shared" si="14"/>
        <v>3</v>
      </c>
      <c r="I87" s="106">
        <f>'2 - Section Count Projection'!$O$41</f>
        <v>0</v>
      </c>
      <c r="J87" s="8">
        <f t="shared" si="15"/>
        <v>0</v>
      </c>
      <c r="K87" s="7" t="str">
        <f t="shared" si="12"/>
        <v/>
      </c>
    </row>
    <row r="88" spans="1:11" x14ac:dyDescent="0.3">
      <c r="A88" s="9" t="s">
        <v>212</v>
      </c>
      <c r="B88" s="9" t="s">
        <v>64</v>
      </c>
      <c r="C88" s="178" t="s">
        <v>737</v>
      </c>
      <c r="D88" s="178" t="s">
        <v>738</v>
      </c>
      <c r="E88" s="6" t="s">
        <v>221</v>
      </c>
      <c r="F88" s="52">
        <v>3</v>
      </c>
      <c r="G88" s="52"/>
      <c r="H88" s="52">
        <f t="shared" si="14"/>
        <v>3</v>
      </c>
      <c r="I88" s="106">
        <f>'2 - Section Count Projection'!$O$41</f>
        <v>0</v>
      </c>
      <c r="J88" s="8">
        <f t="shared" si="15"/>
        <v>0</v>
      </c>
      <c r="K88" s="7" t="str">
        <f t="shared" si="12"/>
        <v/>
      </c>
    </row>
    <row r="89" spans="1:11" x14ac:dyDescent="0.3">
      <c r="C89" s="177"/>
      <c r="D89" s="177"/>
      <c r="K89" s="7" t="str">
        <f t="shared" si="12"/>
        <v/>
      </c>
    </row>
    <row r="90" spans="1:11" x14ac:dyDescent="0.3">
      <c r="A90" s="58" t="s">
        <v>211</v>
      </c>
      <c r="K90" s="7" t="str">
        <f t="shared" si="12"/>
        <v/>
      </c>
    </row>
    <row r="91" spans="1:11" x14ac:dyDescent="0.3">
      <c r="A91" s="9" t="s">
        <v>212</v>
      </c>
      <c r="B91" s="9" t="s">
        <v>69</v>
      </c>
      <c r="C91" s="6" t="s">
        <v>739</v>
      </c>
      <c r="D91" s="6" t="s">
        <v>740</v>
      </c>
      <c r="E91" s="6" t="s">
        <v>221</v>
      </c>
      <c r="F91" s="52">
        <v>3</v>
      </c>
      <c r="G91" s="52"/>
      <c r="H91" s="52">
        <f t="shared" si="14"/>
        <v>3</v>
      </c>
      <c r="I91" s="106">
        <f>'2 - Section Count Projection'!$O$43</f>
        <v>0</v>
      </c>
      <c r="J91" s="8">
        <f>I91*H91</f>
        <v>0</v>
      </c>
      <c r="K91" s="7" t="str">
        <f t="shared" si="12"/>
        <v/>
      </c>
    </row>
    <row r="92" spans="1:11" x14ac:dyDescent="0.3">
      <c r="A92" s="9" t="s">
        <v>212</v>
      </c>
      <c r="B92" s="9" t="s">
        <v>69</v>
      </c>
      <c r="C92" s="6" t="s">
        <v>741</v>
      </c>
      <c r="D92" s="6" t="s">
        <v>742</v>
      </c>
      <c r="E92" s="6" t="s">
        <v>221</v>
      </c>
      <c r="F92" s="52">
        <v>3</v>
      </c>
      <c r="G92" s="52">
        <v>1.5</v>
      </c>
      <c r="H92" s="52">
        <f t="shared" si="14"/>
        <v>4.5</v>
      </c>
      <c r="I92" s="106">
        <f>'2 - Section Count Projection'!$O$43</f>
        <v>0</v>
      </c>
      <c r="J92" s="8">
        <f t="shared" ref="J92:J96" si="16">I92*H92</f>
        <v>0</v>
      </c>
      <c r="K92" s="7" t="str">
        <f t="shared" si="12"/>
        <v/>
      </c>
    </row>
    <row r="93" spans="1:11" x14ac:dyDescent="0.3">
      <c r="A93" s="9" t="s">
        <v>212</v>
      </c>
      <c r="B93" s="9" t="s">
        <v>69</v>
      </c>
      <c r="C93" s="6"/>
      <c r="D93" s="6" t="s">
        <v>743</v>
      </c>
      <c r="E93" s="6" t="s">
        <v>221</v>
      </c>
      <c r="F93" s="52">
        <v>2</v>
      </c>
      <c r="G93" s="52">
        <v>1.5</v>
      </c>
      <c r="H93" s="52">
        <f t="shared" si="14"/>
        <v>3.5</v>
      </c>
      <c r="I93" s="106">
        <f>'2 - Section Count Projection'!$O$43</f>
        <v>0</v>
      </c>
      <c r="J93" s="8">
        <f t="shared" si="16"/>
        <v>0</v>
      </c>
      <c r="K93" s="7" t="str">
        <f t="shared" si="12"/>
        <v/>
      </c>
    </row>
    <row r="94" spans="1:11" x14ac:dyDescent="0.3">
      <c r="A94" s="9" t="s">
        <v>212</v>
      </c>
      <c r="B94" s="9" t="s">
        <v>69</v>
      </c>
      <c r="C94" s="6" t="s">
        <v>744</v>
      </c>
      <c r="D94" s="6" t="s">
        <v>745</v>
      </c>
      <c r="E94" s="6" t="s">
        <v>221</v>
      </c>
      <c r="F94" s="52"/>
      <c r="G94" s="52">
        <v>1.5</v>
      </c>
      <c r="H94" s="52">
        <f t="shared" si="14"/>
        <v>1.5</v>
      </c>
      <c r="I94" s="106">
        <f>'2 - Section Count Projection'!$O$43</f>
        <v>0</v>
      </c>
      <c r="J94" s="8">
        <f t="shared" si="16"/>
        <v>0</v>
      </c>
      <c r="K94" s="7" t="str">
        <f t="shared" si="12"/>
        <v/>
      </c>
    </row>
    <row r="95" spans="1:11" x14ac:dyDescent="0.3">
      <c r="A95" s="9" t="s">
        <v>212</v>
      </c>
      <c r="B95" s="9" t="s">
        <v>69</v>
      </c>
      <c r="C95" s="6" t="s">
        <v>746</v>
      </c>
      <c r="D95" s="6" t="s">
        <v>747</v>
      </c>
      <c r="E95" s="6" t="s">
        <v>221</v>
      </c>
      <c r="F95" s="52">
        <v>3</v>
      </c>
      <c r="G95" s="52">
        <v>1.5</v>
      </c>
      <c r="H95" s="52">
        <f t="shared" si="14"/>
        <v>4.5</v>
      </c>
      <c r="I95" s="106">
        <f>'2 - Section Count Projection'!$O$43</f>
        <v>0</v>
      </c>
      <c r="J95" s="8">
        <f t="shared" si="16"/>
        <v>0</v>
      </c>
      <c r="K95" s="7" t="str">
        <f t="shared" si="12"/>
        <v/>
      </c>
    </row>
    <row r="96" spans="1:11" x14ac:dyDescent="0.3">
      <c r="A96" s="9" t="s">
        <v>212</v>
      </c>
      <c r="B96" s="9" t="s">
        <v>69</v>
      </c>
      <c r="C96" s="6" t="s">
        <v>748</v>
      </c>
      <c r="D96" s="6" t="s">
        <v>749</v>
      </c>
      <c r="E96" s="6" t="s">
        <v>221</v>
      </c>
      <c r="F96" s="52"/>
      <c r="G96" s="172">
        <v>1.5</v>
      </c>
      <c r="H96" s="172">
        <f t="shared" si="14"/>
        <v>1.5</v>
      </c>
      <c r="I96" s="106">
        <f>'2 - Section Count Projection'!$O$43</f>
        <v>0</v>
      </c>
      <c r="J96" s="8">
        <f t="shared" si="16"/>
        <v>0</v>
      </c>
      <c r="K96" s="7" t="str">
        <f t="shared" si="12"/>
        <v/>
      </c>
    </row>
    <row r="97" spans="1:11" x14ac:dyDescent="0.3">
      <c r="K97" s="7" t="str">
        <f t="shared" si="12"/>
        <v/>
      </c>
    </row>
    <row r="98" spans="1:11" x14ac:dyDescent="0.3">
      <c r="A98" s="58" t="s">
        <v>250</v>
      </c>
      <c r="K98" s="7" t="str">
        <f t="shared" si="12"/>
        <v/>
      </c>
    </row>
    <row r="99" spans="1:11" x14ac:dyDescent="0.3">
      <c r="A99" s="9" t="s">
        <v>212</v>
      </c>
      <c r="B99" s="9" t="s">
        <v>73</v>
      </c>
      <c r="C99" s="6" t="s">
        <v>750</v>
      </c>
      <c r="D99" s="6" t="s">
        <v>751</v>
      </c>
      <c r="E99" s="6" t="s">
        <v>221</v>
      </c>
      <c r="F99" s="52"/>
      <c r="G99" s="172">
        <v>3</v>
      </c>
      <c r="H99" s="172">
        <v>3</v>
      </c>
      <c r="I99" s="106">
        <f>'2 - Section Count Projection'!$O$45</f>
        <v>0</v>
      </c>
      <c r="J99" s="8">
        <f>I99*H99</f>
        <v>0</v>
      </c>
      <c r="K99" s="7" t="str">
        <f t="shared" si="12"/>
        <v/>
      </c>
    </row>
    <row r="100" spans="1:11" x14ac:dyDescent="0.3">
      <c r="K100" s="7" t="str">
        <f t="shared" si="12"/>
        <v/>
      </c>
    </row>
    <row r="101" spans="1:11" x14ac:dyDescent="0.3">
      <c r="A101" s="58" t="s">
        <v>265</v>
      </c>
      <c r="K101" s="7" t="str">
        <f t="shared" si="12"/>
        <v/>
      </c>
    </row>
    <row r="102" spans="1:11" x14ac:dyDescent="0.3">
      <c r="A102" s="9" t="s">
        <v>266</v>
      </c>
      <c r="B102" s="9" t="s">
        <v>61</v>
      </c>
      <c r="C102" s="6" t="s">
        <v>664</v>
      </c>
      <c r="D102" s="6" t="s">
        <v>665</v>
      </c>
      <c r="E102" s="6" t="s">
        <v>34</v>
      </c>
      <c r="F102" s="52">
        <v>2</v>
      </c>
      <c r="G102" s="52">
        <v>1.5</v>
      </c>
      <c r="H102" s="52">
        <f t="shared" ref="H102:H107" si="17">SUM(F102:G102)</f>
        <v>3.5</v>
      </c>
      <c r="I102" s="106">
        <f>'2 - Section Count Projection'!$O$30</f>
        <v>0</v>
      </c>
      <c r="J102" s="8">
        <f t="shared" ref="J102:J108" si="18">I102*H102</f>
        <v>0</v>
      </c>
      <c r="K102" s="7" t="str">
        <f t="shared" si="12"/>
        <v/>
      </c>
    </row>
    <row r="103" spans="1:11" x14ac:dyDescent="0.3">
      <c r="A103" s="9" t="s">
        <v>266</v>
      </c>
      <c r="B103" s="9" t="s">
        <v>61</v>
      </c>
      <c r="C103" s="6" t="s">
        <v>297</v>
      </c>
      <c r="D103" s="6" t="s">
        <v>298</v>
      </c>
      <c r="E103" s="6" t="s">
        <v>141</v>
      </c>
      <c r="F103" s="52">
        <v>3</v>
      </c>
      <c r="G103" s="52"/>
      <c r="H103" s="52">
        <f t="shared" si="17"/>
        <v>3</v>
      </c>
      <c r="I103" s="106">
        <f>'2 - Section Count Projection'!$O$30</f>
        <v>0</v>
      </c>
      <c r="J103" s="8">
        <f t="shared" si="18"/>
        <v>0</v>
      </c>
      <c r="K103" s="7" t="str">
        <f t="shared" si="12"/>
        <v/>
      </c>
    </row>
    <row r="104" spans="1:11" x14ac:dyDescent="0.3">
      <c r="A104" s="9" t="s">
        <v>266</v>
      </c>
      <c r="B104" s="9" t="s">
        <v>61</v>
      </c>
      <c r="C104" s="6" t="s">
        <v>668</v>
      </c>
      <c r="D104" s="6" t="s">
        <v>669</v>
      </c>
      <c r="E104" s="101"/>
      <c r="F104" s="52">
        <v>3</v>
      </c>
      <c r="G104" s="52"/>
      <c r="H104" s="52">
        <f t="shared" si="17"/>
        <v>3</v>
      </c>
      <c r="I104" s="106">
        <f>'2 - Section Count Projection'!$O$30</f>
        <v>0</v>
      </c>
      <c r="J104" s="8">
        <f t="shared" si="18"/>
        <v>0</v>
      </c>
      <c r="K104" s="7" t="str">
        <f t="shared" si="12"/>
        <v/>
      </c>
    </row>
    <row r="105" spans="1:11" x14ac:dyDescent="0.3">
      <c r="A105" s="9" t="s">
        <v>266</v>
      </c>
      <c r="B105" s="9" t="s">
        <v>61</v>
      </c>
      <c r="C105" s="6" t="s">
        <v>670</v>
      </c>
      <c r="D105" s="6" t="s">
        <v>698</v>
      </c>
      <c r="E105" s="6" t="s">
        <v>38</v>
      </c>
      <c r="F105" s="52">
        <v>2</v>
      </c>
      <c r="G105" s="52"/>
      <c r="H105" s="52">
        <f t="shared" si="17"/>
        <v>2</v>
      </c>
      <c r="I105" s="106">
        <f>'2 - Section Count Projection'!$O$30</f>
        <v>0</v>
      </c>
      <c r="J105" s="8">
        <f t="shared" si="18"/>
        <v>0</v>
      </c>
      <c r="K105" s="7" t="str">
        <f t="shared" si="12"/>
        <v/>
      </c>
    </row>
    <row r="106" spans="1:11" x14ac:dyDescent="0.3">
      <c r="A106" s="9" t="s">
        <v>266</v>
      </c>
      <c r="B106" s="9" t="s">
        <v>61</v>
      </c>
      <c r="C106" s="6" t="s">
        <v>217</v>
      </c>
      <c r="D106" s="6" t="s">
        <v>218</v>
      </c>
      <c r="E106" s="6" t="s">
        <v>36</v>
      </c>
      <c r="F106" s="52">
        <v>3</v>
      </c>
      <c r="G106" s="52"/>
      <c r="H106" s="52">
        <f t="shared" si="17"/>
        <v>3</v>
      </c>
      <c r="I106" s="106">
        <f>'2 - Section Count Projection'!$O$30</f>
        <v>0</v>
      </c>
      <c r="J106" s="8">
        <f t="shared" si="18"/>
        <v>0</v>
      </c>
      <c r="K106" s="7" t="str">
        <f t="shared" si="12"/>
        <v/>
      </c>
    </row>
    <row r="107" spans="1:11" x14ac:dyDescent="0.3">
      <c r="A107" s="9" t="s">
        <v>266</v>
      </c>
      <c r="B107" s="9" t="s">
        <v>61</v>
      </c>
      <c r="C107" s="6" t="s">
        <v>393</v>
      </c>
      <c r="D107" s="6" t="s">
        <v>672</v>
      </c>
      <c r="E107" s="101"/>
      <c r="F107" s="52">
        <v>3</v>
      </c>
      <c r="G107" s="52"/>
      <c r="H107" s="52">
        <f t="shared" si="17"/>
        <v>3</v>
      </c>
      <c r="I107" s="106">
        <f>'2 - Section Count Projection'!$O$30</f>
        <v>0</v>
      </c>
      <c r="J107" s="8">
        <f t="shared" si="18"/>
        <v>0</v>
      </c>
      <c r="K107" s="7" t="str">
        <f t="shared" si="12"/>
        <v/>
      </c>
    </row>
    <row r="108" spans="1:11" x14ac:dyDescent="0.3">
      <c r="A108" s="9" t="s">
        <v>266</v>
      </c>
      <c r="B108" s="9" t="s">
        <v>61</v>
      </c>
      <c r="C108" s="6" t="s">
        <v>752</v>
      </c>
      <c r="D108" s="6" t="s">
        <v>753</v>
      </c>
      <c r="E108" s="6" t="s">
        <v>34</v>
      </c>
      <c r="F108" s="52">
        <v>3</v>
      </c>
      <c r="G108" s="52"/>
      <c r="H108" s="52">
        <f>SUM(F108:G108)</f>
        <v>3</v>
      </c>
      <c r="I108" s="106">
        <f>'2 - Section Count Projection'!$O$30</f>
        <v>0</v>
      </c>
      <c r="J108" s="8">
        <f t="shared" si="18"/>
        <v>0</v>
      </c>
      <c r="K108" s="7" t="str">
        <f t="shared" si="12"/>
        <v/>
      </c>
    </row>
    <row r="109" spans="1:11" x14ac:dyDescent="0.3">
      <c r="A109" s="9" t="s">
        <v>266</v>
      </c>
      <c r="B109" s="9" t="s">
        <v>61</v>
      </c>
      <c r="C109" s="6" t="s">
        <v>193</v>
      </c>
      <c r="D109" s="6" t="s">
        <v>194</v>
      </c>
      <c r="E109" s="6" t="s">
        <v>34</v>
      </c>
      <c r="F109" s="52">
        <v>3</v>
      </c>
      <c r="G109" s="52"/>
      <c r="H109" s="52">
        <f>SUM(F109:G109)</f>
        <v>3</v>
      </c>
      <c r="I109" s="106">
        <f>'2 - Section Count Projection'!$O$30</f>
        <v>0</v>
      </c>
      <c r="J109" s="8">
        <f>I109*H109</f>
        <v>0</v>
      </c>
      <c r="K109" s="7" t="str">
        <f t="shared" si="12"/>
        <v/>
      </c>
    </row>
    <row r="110" spans="1:11" x14ac:dyDescent="0.3">
      <c r="K110" s="7" t="str">
        <f t="shared" si="12"/>
        <v/>
      </c>
    </row>
    <row r="111" spans="1:11" x14ac:dyDescent="0.3">
      <c r="A111" s="58" t="s">
        <v>267</v>
      </c>
      <c r="K111" s="7" t="str">
        <f t="shared" si="12"/>
        <v/>
      </c>
    </row>
    <row r="112" spans="1:11" x14ac:dyDescent="0.3">
      <c r="A112" s="9" t="s">
        <v>266</v>
      </c>
      <c r="B112" s="9" t="s">
        <v>64</v>
      </c>
      <c r="C112" s="6" t="s">
        <v>677</v>
      </c>
      <c r="D112" s="6" t="s">
        <v>615</v>
      </c>
      <c r="E112" s="6" t="s">
        <v>34</v>
      </c>
      <c r="F112" s="52">
        <v>2</v>
      </c>
      <c r="G112" s="52">
        <v>1.5</v>
      </c>
      <c r="H112" s="52">
        <f>SUM(F112:G112)</f>
        <v>3.5</v>
      </c>
      <c r="I112" s="106">
        <f>'2 - Section Count Projection'!$O$32</f>
        <v>0</v>
      </c>
      <c r="J112" s="8">
        <f>I112*H112</f>
        <v>0</v>
      </c>
      <c r="K112" s="7" t="str">
        <f t="shared" si="12"/>
        <v/>
      </c>
    </row>
    <row r="113" spans="1:11" x14ac:dyDescent="0.3">
      <c r="A113" s="9" t="s">
        <v>266</v>
      </c>
      <c r="B113" s="9" t="s">
        <v>64</v>
      </c>
      <c r="C113" s="6" t="s">
        <v>132</v>
      </c>
      <c r="D113" s="178" t="s">
        <v>133</v>
      </c>
      <c r="E113" s="101"/>
      <c r="F113" s="52">
        <v>3</v>
      </c>
      <c r="G113" s="52"/>
      <c r="H113" s="52">
        <f t="shared" ref="H113:H122" si="19">SUM(F113:G113)</f>
        <v>3</v>
      </c>
      <c r="I113" s="106">
        <f>'2 - Section Count Projection'!$O$32</f>
        <v>0</v>
      </c>
      <c r="J113" s="8">
        <f t="shared" ref="J113:J122" si="20">I113*H113</f>
        <v>0</v>
      </c>
      <c r="K113" s="7" t="str">
        <f t="shared" si="12"/>
        <v/>
      </c>
    </row>
    <row r="114" spans="1:11" ht="18.75" customHeight="1" x14ac:dyDescent="0.3">
      <c r="A114" s="9" t="s">
        <v>266</v>
      </c>
      <c r="B114" s="9" t="s">
        <v>64</v>
      </c>
      <c r="C114" s="6" t="s">
        <v>673</v>
      </c>
      <c r="D114" s="178" t="s">
        <v>674</v>
      </c>
      <c r="E114" s="6" t="s">
        <v>141</v>
      </c>
      <c r="F114" s="52">
        <v>3</v>
      </c>
      <c r="G114" s="52"/>
      <c r="H114" s="52">
        <f t="shared" si="19"/>
        <v>3</v>
      </c>
      <c r="I114" s="106">
        <f>'2 - Section Count Projection'!$O$32</f>
        <v>0</v>
      </c>
      <c r="J114" s="8">
        <f t="shared" si="20"/>
        <v>0</v>
      </c>
      <c r="K114" s="7" t="str">
        <f t="shared" si="12"/>
        <v/>
      </c>
    </row>
    <row r="115" spans="1:11" x14ac:dyDescent="0.3">
      <c r="A115" s="9" t="s">
        <v>266</v>
      </c>
      <c r="B115" s="9" t="s">
        <v>64</v>
      </c>
      <c r="C115" s="6" t="s">
        <v>678</v>
      </c>
      <c r="D115" s="178" t="s">
        <v>703</v>
      </c>
      <c r="E115" s="6" t="s">
        <v>38</v>
      </c>
      <c r="F115" s="52">
        <v>2</v>
      </c>
      <c r="G115" s="52"/>
      <c r="H115" s="52">
        <f t="shared" si="19"/>
        <v>2</v>
      </c>
      <c r="I115" s="106">
        <f>'2 - Section Count Projection'!$O$32</f>
        <v>0</v>
      </c>
      <c r="J115" s="8">
        <f t="shared" si="20"/>
        <v>0</v>
      </c>
      <c r="K115" s="7" t="str">
        <f t="shared" si="12"/>
        <v/>
      </c>
    </row>
    <row r="116" spans="1:11" x14ac:dyDescent="0.3">
      <c r="A116" s="9" t="s">
        <v>266</v>
      </c>
      <c r="B116" s="9" t="s">
        <v>64</v>
      </c>
      <c r="C116" s="6" t="s">
        <v>207</v>
      </c>
      <c r="D116" s="178" t="s">
        <v>208</v>
      </c>
      <c r="E116" s="6" t="s">
        <v>20</v>
      </c>
      <c r="F116" s="52">
        <v>3</v>
      </c>
      <c r="G116" s="52"/>
      <c r="H116" s="52">
        <f t="shared" si="19"/>
        <v>3</v>
      </c>
      <c r="I116" s="106">
        <f>'2 - Section Count Projection'!$O$32</f>
        <v>0</v>
      </c>
      <c r="J116" s="8">
        <f t="shared" si="20"/>
        <v>0</v>
      </c>
      <c r="K116" s="7" t="str">
        <f t="shared" si="12"/>
        <v/>
      </c>
    </row>
    <row r="117" spans="1:11" x14ac:dyDescent="0.3">
      <c r="A117" s="9" t="s">
        <v>266</v>
      </c>
      <c r="B117" s="9" t="s">
        <v>64</v>
      </c>
      <c r="C117" s="6"/>
      <c r="D117" s="178" t="s">
        <v>754</v>
      </c>
      <c r="E117" s="6" t="s">
        <v>34</v>
      </c>
      <c r="F117" s="52">
        <v>3</v>
      </c>
      <c r="G117" s="52"/>
      <c r="H117" s="52">
        <f t="shared" si="19"/>
        <v>3</v>
      </c>
      <c r="I117" s="106">
        <f>'2 - Section Count Projection'!$O$32</f>
        <v>0</v>
      </c>
      <c r="J117" s="8">
        <f t="shared" si="20"/>
        <v>0</v>
      </c>
      <c r="K117" s="7" t="str">
        <f t="shared" si="12"/>
        <v/>
      </c>
    </row>
    <row r="118" spans="1:11" x14ac:dyDescent="0.3">
      <c r="A118" s="9" t="s">
        <v>266</v>
      </c>
      <c r="B118" s="9" t="s">
        <v>64</v>
      </c>
      <c r="C118" s="6" t="s">
        <v>203</v>
      </c>
      <c r="D118" s="178" t="s">
        <v>680</v>
      </c>
      <c r="E118" s="6" t="s">
        <v>34</v>
      </c>
      <c r="F118" s="52">
        <v>2</v>
      </c>
      <c r="G118" s="52">
        <v>1.5</v>
      </c>
      <c r="H118" s="52">
        <f t="shared" si="19"/>
        <v>3.5</v>
      </c>
      <c r="I118" s="106">
        <f>'2 - Section Count Projection'!$O$32</f>
        <v>0</v>
      </c>
      <c r="J118" s="8">
        <f t="shared" si="20"/>
        <v>0</v>
      </c>
      <c r="K118" s="7" t="str">
        <f t="shared" si="12"/>
        <v/>
      </c>
    </row>
    <row r="119" spans="1:11" x14ac:dyDescent="0.3">
      <c r="A119" s="9" t="s">
        <v>266</v>
      </c>
      <c r="B119" s="9" t="s">
        <v>64</v>
      </c>
      <c r="C119" s="6" t="s">
        <v>755</v>
      </c>
      <c r="D119" s="178" t="s">
        <v>756</v>
      </c>
      <c r="E119" s="6" t="s">
        <v>34</v>
      </c>
      <c r="F119" s="52">
        <v>3</v>
      </c>
      <c r="G119" s="52"/>
      <c r="H119" s="52">
        <f t="shared" si="19"/>
        <v>3</v>
      </c>
      <c r="I119" s="106">
        <f>'2 - Section Count Projection'!$O$32</f>
        <v>0</v>
      </c>
      <c r="J119" s="8">
        <f t="shared" si="20"/>
        <v>0</v>
      </c>
      <c r="K119" s="7" t="str">
        <f t="shared" si="12"/>
        <v/>
      </c>
    </row>
    <row r="120" spans="1:11" x14ac:dyDescent="0.3">
      <c r="K120" s="7" t="str">
        <f t="shared" si="12"/>
        <v/>
      </c>
    </row>
    <row r="121" spans="1:11" x14ac:dyDescent="0.3">
      <c r="A121" s="58" t="s">
        <v>267</v>
      </c>
      <c r="K121" s="7" t="str">
        <f t="shared" si="12"/>
        <v/>
      </c>
    </row>
    <row r="122" spans="1:11" x14ac:dyDescent="0.3">
      <c r="A122" s="9" t="s">
        <v>266</v>
      </c>
      <c r="B122" s="9" t="s">
        <v>69</v>
      </c>
      <c r="C122" s="6" t="s">
        <v>757</v>
      </c>
      <c r="D122" s="6" t="s">
        <v>758</v>
      </c>
      <c r="E122" s="6" t="s">
        <v>34</v>
      </c>
      <c r="F122" s="52">
        <v>3</v>
      </c>
      <c r="G122" s="52"/>
      <c r="H122" s="52">
        <f t="shared" si="19"/>
        <v>3</v>
      </c>
      <c r="I122" s="106">
        <f>'2 - Section Count Projection'!$O$34</f>
        <v>0</v>
      </c>
      <c r="J122" s="8">
        <f t="shared" si="20"/>
        <v>0</v>
      </c>
      <c r="K122" s="7" t="str">
        <f t="shared" si="12"/>
        <v/>
      </c>
    </row>
    <row r="123" spans="1:11" x14ac:dyDescent="0.3">
      <c r="A123" s="9" t="s">
        <v>266</v>
      </c>
      <c r="B123" s="9" t="s">
        <v>69</v>
      </c>
      <c r="C123" s="6" t="s">
        <v>759</v>
      </c>
      <c r="D123" s="6" t="s">
        <v>760</v>
      </c>
      <c r="E123" s="6" t="s">
        <v>34</v>
      </c>
      <c r="F123" s="52">
        <v>3</v>
      </c>
      <c r="G123" s="52"/>
      <c r="H123" s="52">
        <f t="shared" ref="H123:H129" si="21">SUM(F123:G123)</f>
        <v>3</v>
      </c>
      <c r="I123" s="106">
        <f>'2 - Section Count Projection'!$O$34</f>
        <v>0</v>
      </c>
      <c r="J123" s="8">
        <f t="shared" ref="J123:J129" si="22">I123*H123</f>
        <v>0</v>
      </c>
      <c r="K123" s="7" t="str">
        <f t="shared" si="12"/>
        <v/>
      </c>
    </row>
    <row r="124" spans="1:11" x14ac:dyDescent="0.3">
      <c r="A124" s="9" t="s">
        <v>266</v>
      </c>
      <c r="B124" s="9" t="s">
        <v>69</v>
      </c>
      <c r="C124" s="6" t="s">
        <v>761</v>
      </c>
      <c r="D124" s="6" t="s">
        <v>762</v>
      </c>
      <c r="E124" s="6" t="s">
        <v>34</v>
      </c>
      <c r="F124" s="172">
        <v>2</v>
      </c>
      <c r="G124" s="172"/>
      <c r="H124" s="52">
        <v>2</v>
      </c>
      <c r="I124" s="106">
        <f>'2 - Section Count Projection'!$O$34</f>
        <v>0</v>
      </c>
      <c r="J124" s="8">
        <f t="shared" si="22"/>
        <v>0</v>
      </c>
      <c r="K124" s="7" t="str">
        <f t="shared" si="12"/>
        <v/>
      </c>
    </row>
    <row r="125" spans="1:11" x14ac:dyDescent="0.3">
      <c r="A125" s="9" t="s">
        <v>266</v>
      </c>
      <c r="B125" s="9" t="s">
        <v>69</v>
      </c>
      <c r="C125" s="6" t="s">
        <v>763</v>
      </c>
      <c r="D125" s="6" t="s">
        <v>764</v>
      </c>
      <c r="E125" s="6" t="s">
        <v>34</v>
      </c>
      <c r="F125" s="52">
        <v>3</v>
      </c>
      <c r="G125" s="52"/>
      <c r="H125" s="52">
        <f t="shared" si="21"/>
        <v>3</v>
      </c>
      <c r="I125" s="106">
        <f>'2 - Section Count Projection'!$O$34</f>
        <v>0</v>
      </c>
      <c r="J125" s="8">
        <f t="shared" si="22"/>
        <v>0</v>
      </c>
      <c r="K125" s="7" t="str">
        <f t="shared" si="12"/>
        <v/>
      </c>
    </row>
    <row r="126" spans="1:11" x14ac:dyDescent="0.3">
      <c r="A126" s="9" t="s">
        <v>266</v>
      </c>
      <c r="B126" s="9" t="s">
        <v>69</v>
      </c>
      <c r="C126" s="6"/>
      <c r="D126" s="6" t="s">
        <v>765</v>
      </c>
      <c r="E126" s="6" t="s">
        <v>34</v>
      </c>
      <c r="F126" s="52">
        <v>3</v>
      </c>
      <c r="G126" s="52"/>
      <c r="H126" s="52">
        <f t="shared" si="21"/>
        <v>3</v>
      </c>
      <c r="I126" s="106">
        <f>'2 - Section Count Projection'!$O$34</f>
        <v>0</v>
      </c>
      <c r="J126" s="8">
        <f t="shared" si="22"/>
        <v>0</v>
      </c>
      <c r="K126" s="7" t="str">
        <f t="shared" si="12"/>
        <v/>
      </c>
    </row>
    <row r="127" spans="1:11" x14ac:dyDescent="0.3">
      <c r="A127" s="9" t="s">
        <v>266</v>
      </c>
      <c r="B127" s="9" t="s">
        <v>69</v>
      </c>
      <c r="C127" s="6" t="s">
        <v>766</v>
      </c>
      <c r="D127" s="6" t="s">
        <v>767</v>
      </c>
      <c r="E127" s="6" t="s">
        <v>34</v>
      </c>
      <c r="F127" s="52">
        <v>3</v>
      </c>
      <c r="G127" s="52"/>
      <c r="H127" s="52">
        <f t="shared" si="21"/>
        <v>3</v>
      </c>
      <c r="I127" s="106">
        <f>'2 - Section Count Projection'!$O$34</f>
        <v>0</v>
      </c>
      <c r="J127" s="8">
        <f t="shared" si="22"/>
        <v>0</v>
      </c>
      <c r="K127" s="7" t="str">
        <f t="shared" si="12"/>
        <v/>
      </c>
    </row>
    <row r="128" spans="1:11" x14ac:dyDescent="0.3">
      <c r="A128" s="9" t="s">
        <v>266</v>
      </c>
      <c r="B128" s="9" t="s">
        <v>69</v>
      </c>
      <c r="C128" s="6" t="s">
        <v>768</v>
      </c>
      <c r="D128" s="6" t="s">
        <v>769</v>
      </c>
      <c r="E128" s="186" t="s">
        <v>20</v>
      </c>
      <c r="F128" s="52">
        <v>3</v>
      </c>
      <c r="G128" s="52"/>
      <c r="H128" s="52">
        <f t="shared" si="21"/>
        <v>3</v>
      </c>
      <c r="I128" s="106">
        <f>'2 - Section Count Projection'!$O$34</f>
        <v>0</v>
      </c>
      <c r="J128" s="8">
        <f t="shared" si="22"/>
        <v>0</v>
      </c>
      <c r="K128" s="7" t="str">
        <f t="shared" si="12"/>
        <v/>
      </c>
    </row>
    <row r="129" spans="1:11" x14ac:dyDescent="0.3">
      <c r="A129" s="9" t="s">
        <v>266</v>
      </c>
      <c r="B129" s="9" t="s">
        <v>69</v>
      </c>
      <c r="C129" s="6" t="s">
        <v>770</v>
      </c>
      <c r="D129" s="6" t="s">
        <v>771</v>
      </c>
      <c r="E129" s="6" t="s">
        <v>34</v>
      </c>
      <c r="F129" s="52">
        <v>2</v>
      </c>
      <c r="G129" s="52">
        <v>1.5</v>
      </c>
      <c r="H129" s="52">
        <f t="shared" si="21"/>
        <v>3.5</v>
      </c>
      <c r="I129" s="106">
        <f>'2 - Section Count Projection'!$O$34</f>
        <v>0</v>
      </c>
      <c r="J129" s="8">
        <f t="shared" si="22"/>
        <v>0</v>
      </c>
      <c r="K129" s="7" t="str">
        <f t="shared" si="12"/>
        <v/>
      </c>
    </row>
    <row r="130" spans="1:11" x14ac:dyDescent="0.3">
      <c r="K130" s="7" t="str">
        <f t="shared" si="12"/>
        <v/>
      </c>
    </row>
    <row r="131" spans="1:11" x14ac:dyDescent="0.3">
      <c r="A131" s="58" t="s">
        <v>285</v>
      </c>
      <c r="K131" s="7" t="str">
        <f t="shared" si="12"/>
        <v/>
      </c>
    </row>
    <row r="132" spans="1:11" x14ac:dyDescent="0.3">
      <c r="A132" s="9" t="s">
        <v>266</v>
      </c>
      <c r="B132" s="9" t="s">
        <v>73</v>
      </c>
      <c r="C132" s="6" t="s">
        <v>772</v>
      </c>
      <c r="D132" s="6" t="s">
        <v>773</v>
      </c>
      <c r="E132" s="6" t="s">
        <v>34</v>
      </c>
      <c r="F132" s="52"/>
      <c r="G132" s="172">
        <v>3</v>
      </c>
      <c r="H132" s="172">
        <v>3</v>
      </c>
      <c r="I132" s="106">
        <f>'2 - Section Count Projection'!$O$36</f>
        <v>0</v>
      </c>
      <c r="J132" s="8">
        <f>I132*H132</f>
        <v>0</v>
      </c>
      <c r="K132" s="7" t="str">
        <f t="shared" ref="K132:K195" si="23">IF(I132&gt;0,F132,"")</f>
        <v/>
      </c>
    </row>
    <row r="133" spans="1:11" x14ac:dyDescent="0.3">
      <c r="K133" s="7" t="str">
        <f t="shared" si="23"/>
        <v/>
      </c>
    </row>
    <row r="134" spans="1:11" x14ac:dyDescent="0.3">
      <c r="A134" s="58" t="s">
        <v>290</v>
      </c>
      <c r="K134" s="7" t="str">
        <f t="shared" si="23"/>
        <v/>
      </c>
    </row>
    <row r="135" spans="1:11" x14ac:dyDescent="0.3">
      <c r="A135" s="9" t="s">
        <v>291</v>
      </c>
      <c r="B135" s="9" t="s">
        <v>61</v>
      </c>
      <c r="C135" s="6" t="s">
        <v>668</v>
      </c>
      <c r="D135" s="6" t="s">
        <v>669</v>
      </c>
      <c r="E135" s="101"/>
      <c r="F135" s="52">
        <v>3</v>
      </c>
      <c r="G135" s="52"/>
      <c r="H135" s="52">
        <f>SUM(F135:G135)</f>
        <v>3</v>
      </c>
      <c r="I135" s="106">
        <f>'2 - Section Count Projection'!$O$48</f>
        <v>0</v>
      </c>
      <c r="J135" s="8">
        <f>I135*H135</f>
        <v>0</v>
      </c>
      <c r="K135" s="7" t="str">
        <f t="shared" si="23"/>
        <v/>
      </c>
    </row>
    <row r="136" spans="1:11" x14ac:dyDescent="0.3">
      <c r="A136" s="9" t="s">
        <v>291</v>
      </c>
      <c r="B136" s="9" t="s">
        <v>61</v>
      </c>
      <c r="C136" s="6" t="s">
        <v>670</v>
      </c>
      <c r="D136" s="6" t="s">
        <v>698</v>
      </c>
      <c r="E136" s="6" t="s">
        <v>38</v>
      </c>
      <c r="F136" s="52">
        <v>2</v>
      </c>
      <c r="G136" s="52"/>
      <c r="H136" s="52">
        <f t="shared" ref="H136:H141" si="24">SUM(F136:G136)</f>
        <v>2</v>
      </c>
      <c r="I136" s="106">
        <f>'2 - Section Count Projection'!$O$48</f>
        <v>0</v>
      </c>
      <c r="J136" s="8">
        <f t="shared" ref="J136:J141" si="25">I136*H136</f>
        <v>0</v>
      </c>
      <c r="K136" s="7" t="str">
        <f t="shared" si="23"/>
        <v/>
      </c>
    </row>
    <row r="137" spans="1:11" x14ac:dyDescent="0.3">
      <c r="A137" s="9" t="s">
        <v>291</v>
      </c>
      <c r="B137" s="9" t="s">
        <v>61</v>
      </c>
      <c r="C137" s="6" t="s">
        <v>125</v>
      </c>
      <c r="D137" s="6" t="s">
        <v>126</v>
      </c>
      <c r="E137" s="6" t="s">
        <v>127</v>
      </c>
      <c r="F137" s="52">
        <v>3</v>
      </c>
      <c r="G137" s="52"/>
      <c r="H137" s="52">
        <f t="shared" si="24"/>
        <v>3</v>
      </c>
      <c r="I137" s="106">
        <f>'2 - Section Count Projection'!$O$48</f>
        <v>0</v>
      </c>
      <c r="J137" s="8">
        <f t="shared" si="25"/>
        <v>0</v>
      </c>
      <c r="K137" s="7" t="str">
        <f t="shared" si="23"/>
        <v/>
      </c>
    </row>
    <row r="138" spans="1:11" x14ac:dyDescent="0.3">
      <c r="A138" s="9" t="s">
        <v>291</v>
      </c>
      <c r="B138" s="9" t="s">
        <v>61</v>
      </c>
      <c r="C138" s="6" t="s">
        <v>774</v>
      </c>
      <c r="D138" s="6" t="s">
        <v>775</v>
      </c>
      <c r="E138" s="6" t="s">
        <v>32</v>
      </c>
      <c r="F138" s="52">
        <v>1</v>
      </c>
      <c r="G138" s="52">
        <v>3</v>
      </c>
      <c r="H138" s="52">
        <f t="shared" si="24"/>
        <v>4</v>
      </c>
      <c r="I138" s="106">
        <f>'2 - Section Count Projection'!$O$48</f>
        <v>0</v>
      </c>
      <c r="J138" s="8">
        <f t="shared" si="25"/>
        <v>0</v>
      </c>
      <c r="K138" s="7" t="str">
        <f t="shared" si="23"/>
        <v/>
      </c>
    </row>
    <row r="139" spans="1:11" x14ac:dyDescent="0.3">
      <c r="A139" s="9" t="s">
        <v>291</v>
      </c>
      <c r="B139" s="9" t="s">
        <v>61</v>
      </c>
      <c r="C139" s="6" t="s">
        <v>529</v>
      </c>
      <c r="D139" s="6" t="s">
        <v>530</v>
      </c>
      <c r="E139" s="6" t="s">
        <v>34</v>
      </c>
      <c r="F139" s="52"/>
      <c r="G139" s="52">
        <v>1.5</v>
      </c>
      <c r="H139" s="52">
        <f t="shared" si="24"/>
        <v>1.5</v>
      </c>
      <c r="I139" s="106">
        <f>'2 - Section Count Projection'!$O$48</f>
        <v>0</v>
      </c>
      <c r="J139" s="8">
        <f t="shared" si="25"/>
        <v>0</v>
      </c>
      <c r="K139" s="7" t="str">
        <f t="shared" si="23"/>
        <v/>
      </c>
    </row>
    <row r="140" spans="1:11" x14ac:dyDescent="0.3">
      <c r="A140" s="9" t="s">
        <v>291</v>
      </c>
      <c r="B140" s="9" t="s">
        <v>61</v>
      </c>
      <c r="C140" s="6" t="s">
        <v>776</v>
      </c>
      <c r="D140" s="6" t="s">
        <v>777</v>
      </c>
      <c r="E140" s="101"/>
      <c r="F140" s="52">
        <v>3</v>
      </c>
      <c r="G140" s="52"/>
      <c r="H140" s="52">
        <f t="shared" si="24"/>
        <v>3</v>
      </c>
      <c r="I140" s="106">
        <f>'2 - Section Count Projection'!$O$48</f>
        <v>0</v>
      </c>
      <c r="J140" s="8">
        <f t="shared" si="25"/>
        <v>0</v>
      </c>
      <c r="K140" s="7" t="str">
        <f t="shared" si="23"/>
        <v/>
      </c>
    </row>
    <row r="141" spans="1:11" x14ac:dyDescent="0.3">
      <c r="A141" s="9" t="s">
        <v>291</v>
      </c>
      <c r="B141" s="9" t="s">
        <v>61</v>
      </c>
      <c r="C141" s="6" t="s">
        <v>778</v>
      </c>
      <c r="D141" s="6" t="s">
        <v>779</v>
      </c>
      <c r="E141" s="101"/>
      <c r="F141" s="52">
        <v>3</v>
      </c>
      <c r="G141" s="52"/>
      <c r="H141" s="52">
        <f t="shared" si="24"/>
        <v>3</v>
      </c>
      <c r="I141" s="106">
        <f>'2 - Section Count Projection'!$O$48</f>
        <v>0</v>
      </c>
      <c r="J141" s="8">
        <f t="shared" si="25"/>
        <v>0</v>
      </c>
      <c r="K141" s="7" t="str">
        <f t="shared" si="23"/>
        <v/>
      </c>
    </row>
    <row r="142" spans="1:11" ht="15.75" customHeight="1" x14ac:dyDescent="0.3">
      <c r="K142" s="7" t="str">
        <f t="shared" si="23"/>
        <v/>
      </c>
    </row>
    <row r="143" spans="1:11" ht="15.75" customHeight="1" x14ac:dyDescent="0.3">
      <c r="A143" s="58" t="s">
        <v>290</v>
      </c>
      <c r="K143" s="7" t="str">
        <f t="shared" si="23"/>
        <v/>
      </c>
    </row>
    <row r="144" spans="1:11" x14ac:dyDescent="0.3">
      <c r="A144" s="14" t="s">
        <v>291</v>
      </c>
      <c r="B144" s="14" t="s">
        <v>64</v>
      </c>
      <c r="C144" s="6" t="s">
        <v>780</v>
      </c>
      <c r="D144" s="6" t="s">
        <v>674</v>
      </c>
      <c r="E144" s="6" t="s">
        <v>141</v>
      </c>
      <c r="F144" s="52">
        <v>3</v>
      </c>
      <c r="G144" s="52"/>
      <c r="H144" s="15">
        <f>SUM(F144:G144)</f>
        <v>3</v>
      </c>
      <c r="I144" s="106">
        <f>'2 - Section Count Projection'!$O$50</f>
        <v>0</v>
      </c>
      <c r="J144" s="16">
        <f>I144*H144</f>
        <v>0</v>
      </c>
      <c r="K144" s="7" t="str">
        <f t="shared" si="23"/>
        <v/>
      </c>
    </row>
    <row r="145" spans="1:11" x14ac:dyDescent="0.3">
      <c r="A145" s="14" t="s">
        <v>291</v>
      </c>
      <c r="B145" s="14" t="s">
        <v>64</v>
      </c>
      <c r="C145" s="6" t="s">
        <v>678</v>
      </c>
      <c r="D145" s="6" t="s">
        <v>703</v>
      </c>
      <c r="E145" s="6" t="s">
        <v>38</v>
      </c>
      <c r="F145" s="52">
        <v>2</v>
      </c>
      <c r="G145" s="52"/>
      <c r="H145" s="15">
        <f t="shared" ref="H145:H151" si="26">SUM(F145:G145)</f>
        <v>2</v>
      </c>
      <c r="I145" s="106">
        <f>'2 - Section Count Projection'!$O$50</f>
        <v>0</v>
      </c>
      <c r="J145" s="16">
        <f t="shared" ref="J145:J151" si="27">I145*H145</f>
        <v>0</v>
      </c>
      <c r="K145" s="7" t="str">
        <f t="shared" si="23"/>
        <v/>
      </c>
    </row>
    <row r="146" spans="1:11" x14ac:dyDescent="0.3">
      <c r="A146" s="14" t="s">
        <v>291</v>
      </c>
      <c r="B146" s="14" t="s">
        <v>64</v>
      </c>
      <c r="C146" s="6" t="s">
        <v>393</v>
      </c>
      <c r="D146" s="6" t="s">
        <v>394</v>
      </c>
      <c r="E146" s="101"/>
      <c r="F146" s="52">
        <v>3</v>
      </c>
      <c r="G146" s="52"/>
      <c r="H146" s="15">
        <f t="shared" si="26"/>
        <v>3</v>
      </c>
      <c r="I146" s="106">
        <f>'2 - Section Count Projection'!$O$50</f>
        <v>0</v>
      </c>
      <c r="J146" s="16">
        <f t="shared" si="27"/>
        <v>0</v>
      </c>
      <c r="K146" s="7" t="str">
        <f t="shared" si="23"/>
        <v/>
      </c>
    </row>
    <row r="147" spans="1:11" x14ac:dyDescent="0.3">
      <c r="A147" s="14" t="s">
        <v>291</v>
      </c>
      <c r="B147" s="14" t="s">
        <v>64</v>
      </c>
      <c r="C147" s="6" t="s">
        <v>781</v>
      </c>
      <c r="D147" s="6" t="s">
        <v>782</v>
      </c>
      <c r="E147" s="6" t="s">
        <v>32</v>
      </c>
      <c r="F147" s="52">
        <v>1</v>
      </c>
      <c r="G147" s="52">
        <v>1.5</v>
      </c>
      <c r="H147" s="15">
        <f t="shared" si="26"/>
        <v>2.5</v>
      </c>
      <c r="I147" s="106">
        <f>'2 - Section Count Projection'!$O$50</f>
        <v>0</v>
      </c>
      <c r="J147" s="16">
        <f t="shared" si="27"/>
        <v>0</v>
      </c>
      <c r="K147" s="7" t="str">
        <f t="shared" si="23"/>
        <v/>
      </c>
    </row>
    <row r="148" spans="1:11" x14ac:dyDescent="0.3">
      <c r="A148" s="14" t="s">
        <v>291</v>
      </c>
      <c r="B148" s="14" t="s">
        <v>64</v>
      </c>
      <c r="C148" s="6" t="s">
        <v>783</v>
      </c>
      <c r="D148" s="6" t="s">
        <v>784</v>
      </c>
      <c r="E148" s="101"/>
      <c r="F148" s="52">
        <v>3</v>
      </c>
      <c r="G148" s="52"/>
      <c r="H148" s="15">
        <f t="shared" si="26"/>
        <v>3</v>
      </c>
      <c r="I148" s="106">
        <f>'2 - Section Count Projection'!$O$50</f>
        <v>0</v>
      </c>
      <c r="J148" s="16">
        <f t="shared" si="27"/>
        <v>0</v>
      </c>
      <c r="K148" s="7" t="str">
        <f t="shared" si="23"/>
        <v/>
      </c>
    </row>
    <row r="149" spans="1:11" x14ac:dyDescent="0.3">
      <c r="A149" s="14" t="s">
        <v>291</v>
      </c>
      <c r="B149" s="14" t="s">
        <v>64</v>
      </c>
      <c r="C149" s="6" t="s">
        <v>785</v>
      </c>
      <c r="D149" s="6" t="s">
        <v>786</v>
      </c>
      <c r="E149" s="6" t="s">
        <v>32</v>
      </c>
      <c r="F149" s="52">
        <v>2</v>
      </c>
      <c r="G149" s="52">
        <v>1.5</v>
      </c>
      <c r="H149" s="15">
        <f t="shared" si="26"/>
        <v>3.5</v>
      </c>
      <c r="I149" s="106">
        <f>'2 - Section Count Projection'!$O$50</f>
        <v>0</v>
      </c>
      <c r="J149" s="16">
        <f t="shared" si="27"/>
        <v>0</v>
      </c>
      <c r="K149" s="7" t="str">
        <f t="shared" si="23"/>
        <v/>
      </c>
    </row>
    <row r="150" spans="1:11" ht="28.8" x14ac:dyDescent="0.3">
      <c r="A150" s="14" t="s">
        <v>291</v>
      </c>
      <c r="B150" s="14" t="s">
        <v>64</v>
      </c>
      <c r="C150" s="6" t="s">
        <v>787</v>
      </c>
      <c r="D150" s="6" t="s">
        <v>788</v>
      </c>
      <c r="E150" s="101"/>
      <c r="F150" s="52">
        <v>2</v>
      </c>
      <c r="G150" s="52">
        <v>1.5</v>
      </c>
      <c r="H150" s="15">
        <f t="shared" ref="H150" si="28">SUM(F150:G150)</f>
        <v>3.5</v>
      </c>
      <c r="I150" s="106">
        <f>'2 - Section Count Projection'!$O$50</f>
        <v>0</v>
      </c>
      <c r="J150" s="16">
        <f t="shared" ref="J150" si="29">I150*H150</f>
        <v>0</v>
      </c>
      <c r="K150" s="7" t="str">
        <f t="shared" si="23"/>
        <v/>
      </c>
    </row>
    <row r="151" spans="1:11" x14ac:dyDescent="0.3">
      <c r="A151" s="14" t="s">
        <v>291</v>
      </c>
      <c r="B151" s="14" t="s">
        <v>64</v>
      </c>
      <c r="C151" s="6" t="s">
        <v>789</v>
      </c>
      <c r="D151" s="6" t="s">
        <v>790</v>
      </c>
      <c r="E151" s="6" t="s">
        <v>127</v>
      </c>
      <c r="F151" s="52">
        <v>3</v>
      </c>
      <c r="G151" s="52"/>
      <c r="H151" s="15">
        <f t="shared" si="26"/>
        <v>3</v>
      </c>
      <c r="I151" s="106">
        <f>'2 - Section Count Projection'!$O$50</f>
        <v>0</v>
      </c>
      <c r="J151" s="16">
        <f t="shared" si="27"/>
        <v>0</v>
      </c>
      <c r="K151" s="7" t="str">
        <f t="shared" si="23"/>
        <v/>
      </c>
    </row>
    <row r="152" spans="1:11" x14ac:dyDescent="0.3">
      <c r="K152" s="7" t="str">
        <f t="shared" si="23"/>
        <v/>
      </c>
    </row>
    <row r="153" spans="1:11" x14ac:dyDescent="0.3">
      <c r="A153" s="58" t="s">
        <v>290</v>
      </c>
      <c r="K153" s="7" t="str">
        <f t="shared" si="23"/>
        <v/>
      </c>
    </row>
    <row r="154" spans="1:11" x14ac:dyDescent="0.3">
      <c r="A154" s="14" t="s">
        <v>291</v>
      </c>
      <c r="B154" s="14" t="s">
        <v>69</v>
      </c>
      <c r="C154" s="6" t="s">
        <v>791</v>
      </c>
      <c r="D154" s="6" t="s">
        <v>406</v>
      </c>
      <c r="E154" s="6" t="s">
        <v>20</v>
      </c>
      <c r="F154" s="52">
        <v>3</v>
      </c>
      <c r="G154" s="52"/>
      <c r="H154" s="15">
        <f>SUM(F154:G154)</f>
        <v>3</v>
      </c>
      <c r="I154" s="106">
        <f>'2 - Section Count Projection'!$O$52</f>
        <v>0</v>
      </c>
      <c r="J154" s="16">
        <f>I154*H154</f>
        <v>0</v>
      </c>
      <c r="K154" s="7" t="str">
        <f t="shared" si="23"/>
        <v/>
      </c>
    </row>
    <row r="155" spans="1:11" x14ac:dyDescent="0.3">
      <c r="A155" s="14" t="s">
        <v>291</v>
      </c>
      <c r="B155" s="14" t="s">
        <v>69</v>
      </c>
      <c r="C155" s="6" t="s">
        <v>132</v>
      </c>
      <c r="D155" s="6" t="s">
        <v>133</v>
      </c>
      <c r="E155" s="101"/>
      <c r="F155" s="52">
        <v>3</v>
      </c>
      <c r="G155" s="52"/>
      <c r="H155" s="15">
        <f t="shared" ref="H155:H159" si="30">SUM(F155:G155)</f>
        <v>3</v>
      </c>
      <c r="I155" s="106">
        <f>'2 - Section Count Projection'!$O$52</f>
        <v>0</v>
      </c>
      <c r="J155" s="16">
        <f t="shared" ref="J155:J159" si="31">I155*H155</f>
        <v>0</v>
      </c>
      <c r="K155" s="7" t="str">
        <f t="shared" si="23"/>
        <v/>
      </c>
    </row>
    <row r="156" spans="1:11" x14ac:dyDescent="0.3">
      <c r="A156" s="14" t="s">
        <v>291</v>
      </c>
      <c r="B156" s="14" t="s">
        <v>69</v>
      </c>
      <c r="C156" s="6" t="s">
        <v>792</v>
      </c>
      <c r="D156" s="6" t="s">
        <v>793</v>
      </c>
      <c r="E156" s="6" t="s">
        <v>32</v>
      </c>
      <c r="F156" s="52">
        <v>1</v>
      </c>
      <c r="G156" s="52">
        <v>1.5</v>
      </c>
      <c r="H156" s="15">
        <f t="shared" si="30"/>
        <v>2.5</v>
      </c>
      <c r="I156" s="106">
        <f>'2 - Section Count Projection'!$O$52</f>
        <v>0</v>
      </c>
      <c r="J156" s="16">
        <f t="shared" si="31"/>
        <v>0</v>
      </c>
      <c r="K156" s="7" t="str">
        <f t="shared" si="23"/>
        <v/>
      </c>
    </row>
    <row r="157" spans="1:11" x14ac:dyDescent="0.3">
      <c r="A157" s="14" t="s">
        <v>291</v>
      </c>
      <c r="B157" s="14" t="s">
        <v>69</v>
      </c>
      <c r="C157" s="6" t="s">
        <v>794</v>
      </c>
      <c r="D157" s="6" t="s">
        <v>795</v>
      </c>
      <c r="E157" s="6" t="s">
        <v>32</v>
      </c>
      <c r="F157" s="52">
        <v>1</v>
      </c>
      <c r="G157" s="52">
        <v>1.5</v>
      </c>
      <c r="H157" s="15">
        <f t="shared" si="30"/>
        <v>2.5</v>
      </c>
      <c r="I157" s="106">
        <f>'2 - Section Count Projection'!$O$52</f>
        <v>0</v>
      </c>
      <c r="J157" s="16">
        <f t="shared" si="31"/>
        <v>0</v>
      </c>
      <c r="K157" s="7" t="str">
        <f t="shared" si="23"/>
        <v/>
      </c>
    </row>
    <row r="158" spans="1:11" ht="27.75" customHeight="1" x14ac:dyDescent="0.3">
      <c r="A158" s="14" t="s">
        <v>291</v>
      </c>
      <c r="B158" s="14" t="s">
        <v>69</v>
      </c>
      <c r="C158" s="45" t="s">
        <v>796</v>
      </c>
      <c r="D158" s="6" t="s">
        <v>797</v>
      </c>
      <c r="E158" s="6" t="s">
        <v>32</v>
      </c>
      <c r="F158" s="52">
        <v>2</v>
      </c>
      <c r="G158" s="52">
        <v>1.5</v>
      </c>
      <c r="H158" s="15">
        <f t="shared" si="30"/>
        <v>3.5</v>
      </c>
      <c r="I158" s="106">
        <f>'2 - Section Count Projection'!$O$52</f>
        <v>0</v>
      </c>
      <c r="J158" s="16">
        <f t="shared" si="31"/>
        <v>0</v>
      </c>
      <c r="K158" s="7" t="str">
        <f t="shared" si="23"/>
        <v/>
      </c>
    </row>
    <row r="159" spans="1:11" x14ac:dyDescent="0.3">
      <c r="A159" s="14" t="s">
        <v>291</v>
      </c>
      <c r="B159" s="14" t="s">
        <v>69</v>
      </c>
      <c r="C159" s="6" t="s">
        <v>798</v>
      </c>
      <c r="D159" s="6" t="s">
        <v>799</v>
      </c>
      <c r="E159" s="101"/>
      <c r="F159" s="52">
        <v>3</v>
      </c>
      <c r="G159" s="52"/>
      <c r="H159" s="15">
        <f t="shared" si="30"/>
        <v>3</v>
      </c>
      <c r="I159" s="106">
        <f>'2 - Section Count Projection'!$O$52</f>
        <v>0</v>
      </c>
      <c r="J159" s="16">
        <f t="shared" si="31"/>
        <v>0</v>
      </c>
      <c r="K159" s="7" t="str">
        <f t="shared" si="23"/>
        <v/>
      </c>
    </row>
    <row r="160" spans="1:11" x14ac:dyDescent="0.3">
      <c r="A160" s="14" t="s">
        <v>291</v>
      </c>
      <c r="B160" s="14" t="s">
        <v>69</v>
      </c>
      <c r="C160" s="6" t="s">
        <v>800</v>
      </c>
      <c r="D160" s="6" t="s">
        <v>801</v>
      </c>
      <c r="E160" s="101"/>
      <c r="F160" s="52">
        <v>3</v>
      </c>
      <c r="G160" s="52"/>
      <c r="H160" s="15">
        <f t="shared" ref="H160" si="32">SUM(F160:G160)</f>
        <v>3</v>
      </c>
      <c r="I160" s="106">
        <f>'2 - Section Count Projection'!$O$52</f>
        <v>0</v>
      </c>
      <c r="J160" s="16">
        <f t="shared" ref="J160" si="33">I160*H160</f>
        <v>0</v>
      </c>
      <c r="K160" s="7" t="str">
        <f t="shared" si="23"/>
        <v/>
      </c>
    </row>
    <row r="161" spans="1:11" x14ac:dyDescent="0.3">
      <c r="K161" s="7" t="str">
        <f t="shared" si="23"/>
        <v/>
      </c>
    </row>
    <row r="162" spans="1:11" x14ac:dyDescent="0.3">
      <c r="A162" s="58" t="s">
        <v>321</v>
      </c>
      <c r="K162" s="7" t="str">
        <f t="shared" si="23"/>
        <v/>
      </c>
    </row>
    <row r="163" spans="1:11" x14ac:dyDescent="0.3">
      <c r="A163" s="14" t="s">
        <v>291</v>
      </c>
      <c r="B163" s="14" t="s">
        <v>73</v>
      </c>
      <c r="C163" s="6" t="s">
        <v>802</v>
      </c>
      <c r="D163" s="6" t="s">
        <v>803</v>
      </c>
      <c r="E163" s="6" t="s">
        <v>32</v>
      </c>
      <c r="F163" s="52"/>
      <c r="G163" s="172">
        <v>3</v>
      </c>
      <c r="H163" s="189">
        <v>3</v>
      </c>
      <c r="I163" s="106">
        <f>'2 - Section Count Projection'!$O$54</f>
        <v>0</v>
      </c>
      <c r="J163" s="16">
        <f>I163*H163</f>
        <v>0</v>
      </c>
      <c r="K163" s="7" t="str">
        <f t="shared" si="23"/>
        <v/>
      </c>
    </row>
    <row r="164" spans="1:11" x14ac:dyDescent="0.3">
      <c r="B164" s="11"/>
      <c r="C164" s="11"/>
      <c r="D164" s="11"/>
      <c r="E164" s="11"/>
      <c r="F164" s="11"/>
      <c r="G164" s="11"/>
      <c r="H164" s="11"/>
      <c r="I164" s="11"/>
      <c r="J164" s="11"/>
      <c r="K164" s="7" t="str">
        <f t="shared" si="23"/>
        <v/>
      </c>
    </row>
    <row r="165" spans="1:11" x14ac:dyDescent="0.3">
      <c r="A165" s="58" t="s">
        <v>326</v>
      </c>
      <c r="B165" s="11"/>
      <c r="C165" s="11"/>
      <c r="D165" s="11"/>
      <c r="E165" s="11"/>
      <c r="F165" s="11"/>
      <c r="G165" s="11"/>
      <c r="H165" s="11"/>
      <c r="I165" s="11"/>
      <c r="J165" s="11"/>
      <c r="K165" s="7" t="str">
        <f t="shared" si="23"/>
        <v/>
      </c>
    </row>
    <row r="166" spans="1:11" x14ac:dyDescent="0.3">
      <c r="A166" s="14" t="s">
        <v>327</v>
      </c>
      <c r="B166" s="14" t="s">
        <v>61</v>
      </c>
      <c r="C166" s="6" t="s">
        <v>668</v>
      </c>
      <c r="D166" s="6" t="s">
        <v>669</v>
      </c>
      <c r="E166" s="101"/>
      <c r="F166" s="52">
        <v>3</v>
      </c>
      <c r="G166" s="52"/>
      <c r="H166" s="15">
        <f>SUM(F166:G166)</f>
        <v>3</v>
      </c>
      <c r="I166" s="106">
        <f>'2 - Section Count Projection'!$O$66</f>
        <v>0</v>
      </c>
      <c r="J166" s="16">
        <f>I166*H166</f>
        <v>0</v>
      </c>
      <c r="K166" s="7" t="str">
        <f t="shared" si="23"/>
        <v/>
      </c>
    </row>
    <row r="167" spans="1:11" x14ac:dyDescent="0.3">
      <c r="A167" s="14" t="s">
        <v>327</v>
      </c>
      <c r="B167" s="14" t="s">
        <v>61</v>
      </c>
      <c r="C167" s="6" t="s">
        <v>670</v>
      </c>
      <c r="D167" s="6" t="s">
        <v>698</v>
      </c>
      <c r="E167" s="6" t="s">
        <v>38</v>
      </c>
      <c r="F167" s="52">
        <v>2</v>
      </c>
      <c r="G167" s="52"/>
      <c r="H167" s="15">
        <f t="shared" ref="H167:H172" si="34">SUM(F167:G167)</f>
        <v>2</v>
      </c>
      <c r="I167" s="106">
        <f>'2 - Section Count Projection'!$O$66</f>
        <v>0</v>
      </c>
      <c r="J167" s="16">
        <f t="shared" ref="J167:J172" si="35">I167*H167</f>
        <v>0</v>
      </c>
      <c r="K167" s="7" t="str">
        <f t="shared" si="23"/>
        <v/>
      </c>
    </row>
    <row r="168" spans="1:11" x14ac:dyDescent="0.3">
      <c r="A168" s="14" t="s">
        <v>327</v>
      </c>
      <c r="B168" s="14" t="s">
        <v>61</v>
      </c>
      <c r="C168" s="6" t="s">
        <v>125</v>
      </c>
      <c r="D168" s="6" t="s">
        <v>126</v>
      </c>
      <c r="E168" s="6" t="s">
        <v>127</v>
      </c>
      <c r="F168" s="52">
        <v>3</v>
      </c>
      <c r="G168" s="52"/>
      <c r="H168" s="15">
        <f t="shared" si="34"/>
        <v>3</v>
      </c>
      <c r="I168" s="106">
        <f>'2 - Section Count Projection'!$O$66</f>
        <v>0</v>
      </c>
      <c r="J168" s="16">
        <f t="shared" si="35"/>
        <v>0</v>
      </c>
      <c r="K168" s="7" t="str">
        <f t="shared" si="23"/>
        <v/>
      </c>
    </row>
    <row r="169" spans="1:11" x14ac:dyDescent="0.3">
      <c r="A169" s="14" t="s">
        <v>327</v>
      </c>
      <c r="B169" s="14" t="s">
        <v>61</v>
      </c>
      <c r="C169" s="6" t="s">
        <v>529</v>
      </c>
      <c r="D169" s="6" t="s">
        <v>530</v>
      </c>
      <c r="E169" s="6" t="s">
        <v>34</v>
      </c>
      <c r="F169" s="52"/>
      <c r="G169" s="52">
        <v>1.5</v>
      </c>
      <c r="H169" s="15">
        <f t="shared" si="34"/>
        <v>1.5</v>
      </c>
      <c r="I169" s="106">
        <f>'2 - Section Count Projection'!$O$66</f>
        <v>0</v>
      </c>
      <c r="J169" s="16">
        <f t="shared" si="35"/>
        <v>0</v>
      </c>
      <c r="K169" s="7" t="str">
        <f t="shared" si="23"/>
        <v/>
      </c>
    </row>
    <row r="170" spans="1:11" x14ac:dyDescent="0.3">
      <c r="A170" s="14" t="s">
        <v>327</v>
      </c>
      <c r="B170" s="14" t="s">
        <v>61</v>
      </c>
      <c r="C170" s="6" t="s">
        <v>776</v>
      </c>
      <c r="D170" s="6" t="s">
        <v>777</v>
      </c>
      <c r="E170" s="101"/>
      <c r="F170" s="52">
        <v>3</v>
      </c>
      <c r="G170" s="52"/>
      <c r="H170" s="15">
        <f t="shared" si="34"/>
        <v>3</v>
      </c>
      <c r="I170" s="106">
        <f>'2 - Section Count Projection'!$O$66</f>
        <v>0</v>
      </c>
      <c r="J170" s="16">
        <f t="shared" si="35"/>
        <v>0</v>
      </c>
      <c r="K170" s="7" t="str">
        <f t="shared" si="23"/>
        <v/>
      </c>
    </row>
    <row r="171" spans="1:11" x14ac:dyDescent="0.3">
      <c r="A171" s="14" t="s">
        <v>327</v>
      </c>
      <c r="B171" s="14" t="s">
        <v>61</v>
      </c>
      <c r="C171" s="6" t="s">
        <v>778</v>
      </c>
      <c r="D171" s="6" t="s">
        <v>779</v>
      </c>
      <c r="E171" s="101"/>
      <c r="F171" s="52">
        <v>3</v>
      </c>
      <c r="G171" s="52"/>
      <c r="H171" s="15">
        <f t="shared" si="34"/>
        <v>3</v>
      </c>
      <c r="I171" s="106">
        <f>'2 - Section Count Projection'!$O$66</f>
        <v>0</v>
      </c>
      <c r="J171" s="16">
        <f t="shared" si="35"/>
        <v>0</v>
      </c>
      <c r="K171" s="7" t="str">
        <f t="shared" si="23"/>
        <v/>
      </c>
    </row>
    <row r="172" spans="1:11" x14ac:dyDescent="0.3">
      <c r="A172" s="14" t="s">
        <v>327</v>
      </c>
      <c r="B172" s="14" t="s">
        <v>61</v>
      </c>
      <c r="C172" s="6" t="s">
        <v>804</v>
      </c>
      <c r="D172" s="6" t="s">
        <v>805</v>
      </c>
      <c r="E172" s="101"/>
      <c r="F172" s="52">
        <v>3</v>
      </c>
      <c r="G172" s="52"/>
      <c r="H172" s="15">
        <f t="shared" si="34"/>
        <v>3</v>
      </c>
      <c r="I172" s="106">
        <f>'2 - Section Count Projection'!$O$66</f>
        <v>0</v>
      </c>
      <c r="J172" s="16">
        <f t="shared" si="35"/>
        <v>0</v>
      </c>
      <c r="K172" s="7" t="str">
        <f t="shared" si="23"/>
        <v/>
      </c>
    </row>
    <row r="173" spans="1:11" x14ac:dyDescent="0.3">
      <c r="K173" s="7" t="str">
        <f t="shared" si="23"/>
        <v/>
      </c>
    </row>
    <row r="174" spans="1:11" x14ac:dyDescent="0.3">
      <c r="A174" s="58" t="s">
        <v>326</v>
      </c>
      <c r="K174" s="7" t="str">
        <f t="shared" si="23"/>
        <v/>
      </c>
    </row>
    <row r="175" spans="1:11" x14ac:dyDescent="0.3">
      <c r="A175" s="14" t="s">
        <v>327</v>
      </c>
      <c r="B175" s="14" t="s">
        <v>64</v>
      </c>
      <c r="C175" s="6" t="s">
        <v>673</v>
      </c>
      <c r="D175" s="6" t="s">
        <v>674</v>
      </c>
      <c r="E175" s="6" t="s">
        <v>141</v>
      </c>
      <c r="F175" s="52">
        <v>3</v>
      </c>
      <c r="G175" s="52"/>
      <c r="H175" s="15">
        <f>SUM(F175:G175)</f>
        <v>3</v>
      </c>
      <c r="I175" s="106">
        <f>'2 - Section Count Projection'!$O$68</f>
        <v>0</v>
      </c>
      <c r="J175" s="16">
        <f>I175*H175</f>
        <v>0</v>
      </c>
      <c r="K175" s="7" t="str">
        <f t="shared" si="23"/>
        <v/>
      </c>
    </row>
    <row r="176" spans="1:11" x14ac:dyDescent="0.3">
      <c r="A176" s="14" t="s">
        <v>327</v>
      </c>
      <c r="B176" s="14" t="s">
        <v>64</v>
      </c>
      <c r="C176" s="6" t="s">
        <v>678</v>
      </c>
      <c r="D176" s="6" t="s">
        <v>703</v>
      </c>
      <c r="E176" s="6" t="s">
        <v>38</v>
      </c>
      <c r="F176" s="52">
        <v>2</v>
      </c>
      <c r="G176" s="52"/>
      <c r="H176" s="15">
        <f t="shared" ref="H176:H181" si="36">SUM(F176:G176)</f>
        <v>2</v>
      </c>
      <c r="I176" s="106">
        <f>'2 - Section Count Projection'!$O$68</f>
        <v>0</v>
      </c>
      <c r="J176" s="16">
        <f t="shared" ref="J176:J181" si="37">I176*H176</f>
        <v>0</v>
      </c>
      <c r="K176" s="7" t="str">
        <f t="shared" si="23"/>
        <v/>
      </c>
    </row>
    <row r="177" spans="1:11" x14ac:dyDescent="0.3">
      <c r="A177" s="14" t="s">
        <v>327</v>
      </c>
      <c r="B177" s="14" t="s">
        <v>64</v>
      </c>
      <c r="C177" s="6" t="s">
        <v>393</v>
      </c>
      <c r="D177" s="6" t="s">
        <v>672</v>
      </c>
      <c r="E177" s="101"/>
      <c r="F177" s="52">
        <v>3</v>
      </c>
      <c r="G177" s="52"/>
      <c r="H177" s="15">
        <f t="shared" si="36"/>
        <v>3</v>
      </c>
      <c r="I177" s="106">
        <f>'2 - Section Count Projection'!$O$68</f>
        <v>0</v>
      </c>
      <c r="J177" s="16">
        <f t="shared" si="37"/>
        <v>0</v>
      </c>
      <c r="K177" s="7" t="str">
        <f t="shared" si="23"/>
        <v/>
      </c>
    </row>
    <row r="178" spans="1:11" x14ac:dyDescent="0.3">
      <c r="A178" s="14" t="s">
        <v>327</v>
      </c>
      <c r="B178" s="14" t="s">
        <v>64</v>
      </c>
      <c r="C178" s="6" t="s">
        <v>806</v>
      </c>
      <c r="D178" s="6" t="s">
        <v>807</v>
      </c>
      <c r="E178" s="6" t="s">
        <v>43</v>
      </c>
      <c r="F178" s="52">
        <v>2</v>
      </c>
      <c r="G178" s="52">
        <v>1.5</v>
      </c>
      <c r="H178" s="15">
        <f t="shared" si="36"/>
        <v>3.5</v>
      </c>
      <c r="I178" s="106">
        <f>'2 - Section Count Projection'!$O$68</f>
        <v>0</v>
      </c>
      <c r="J178" s="16">
        <f t="shared" si="37"/>
        <v>0</v>
      </c>
      <c r="K178" s="7" t="str">
        <f t="shared" si="23"/>
        <v/>
      </c>
    </row>
    <row r="179" spans="1:11" x14ac:dyDescent="0.3">
      <c r="A179" s="14" t="s">
        <v>327</v>
      </c>
      <c r="B179" s="14" t="s">
        <v>64</v>
      </c>
      <c r="C179" s="6" t="s">
        <v>808</v>
      </c>
      <c r="D179" s="6" t="s">
        <v>809</v>
      </c>
      <c r="E179" s="6" t="s">
        <v>43</v>
      </c>
      <c r="F179" s="52">
        <v>3</v>
      </c>
      <c r="G179" s="52"/>
      <c r="H179" s="15">
        <f t="shared" si="36"/>
        <v>3</v>
      </c>
      <c r="I179" s="106">
        <f>'2 - Section Count Projection'!$O$68</f>
        <v>0</v>
      </c>
      <c r="J179" s="16">
        <f t="shared" si="37"/>
        <v>0</v>
      </c>
      <c r="K179" s="7" t="str">
        <f t="shared" si="23"/>
        <v/>
      </c>
    </row>
    <row r="180" spans="1:11" ht="28.8" x14ac:dyDescent="0.3">
      <c r="A180" s="14" t="s">
        <v>327</v>
      </c>
      <c r="B180" s="14" t="s">
        <v>64</v>
      </c>
      <c r="C180" s="6" t="s">
        <v>787</v>
      </c>
      <c r="D180" s="6" t="s">
        <v>810</v>
      </c>
      <c r="E180" s="101"/>
      <c r="F180" s="52">
        <v>2</v>
      </c>
      <c r="G180" s="52">
        <v>1.5</v>
      </c>
      <c r="H180" s="15">
        <f t="shared" si="36"/>
        <v>3.5</v>
      </c>
      <c r="I180" s="106">
        <f>'2 - Section Count Projection'!$O$68</f>
        <v>0</v>
      </c>
      <c r="J180" s="16">
        <f t="shared" si="37"/>
        <v>0</v>
      </c>
      <c r="K180" s="7" t="str">
        <f t="shared" si="23"/>
        <v/>
      </c>
    </row>
    <row r="181" spans="1:11" x14ac:dyDescent="0.3">
      <c r="A181" s="14" t="s">
        <v>327</v>
      </c>
      <c r="B181" s="14" t="s">
        <v>64</v>
      </c>
      <c r="C181" s="6" t="s">
        <v>789</v>
      </c>
      <c r="D181" s="6" t="s">
        <v>790</v>
      </c>
      <c r="E181" s="6" t="s">
        <v>127</v>
      </c>
      <c r="F181" s="52">
        <v>3</v>
      </c>
      <c r="G181" s="52"/>
      <c r="H181" s="15">
        <f t="shared" si="36"/>
        <v>3</v>
      </c>
      <c r="I181" s="106">
        <f>'2 - Section Count Projection'!$O$68</f>
        <v>0</v>
      </c>
      <c r="J181" s="16">
        <f t="shared" si="37"/>
        <v>0</v>
      </c>
      <c r="K181" s="7" t="str">
        <f t="shared" si="23"/>
        <v/>
      </c>
    </row>
    <row r="182" spans="1:11" x14ac:dyDescent="0.3">
      <c r="K182" s="7" t="str">
        <f t="shared" si="23"/>
        <v/>
      </c>
    </row>
    <row r="183" spans="1:11" x14ac:dyDescent="0.3">
      <c r="A183" s="58" t="s">
        <v>326</v>
      </c>
      <c r="K183" s="7" t="str">
        <f t="shared" si="23"/>
        <v/>
      </c>
    </row>
    <row r="184" spans="1:11" x14ac:dyDescent="0.3">
      <c r="A184" s="14" t="s">
        <v>327</v>
      </c>
      <c r="B184" s="14" t="s">
        <v>69</v>
      </c>
      <c r="C184" s="6" t="s">
        <v>791</v>
      </c>
      <c r="D184" s="6" t="s">
        <v>406</v>
      </c>
      <c r="E184" s="6" t="s">
        <v>20</v>
      </c>
      <c r="F184" s="52">
        <v>3</v>
      </c>
      <c r="G184" s="52"/>
      <c r="H184" s="15">
        <f>SUM(F184:G184)</f>
        <v>3</v>
      </c>
      <c r="I184" s="106">
        <f>'2 - Section Count Projection'!$O$70</f>
        <v>0</v>
      </c>
      <c r="J184" s="16">
        <f>I184*H184</f>
        <v>0</v>
      </c>
      <c r="K184" s="7" t="str">
        <f t="shared" si="23"/>
        <v/>
      </c>
    </row>
    <row r="185" spans="1:11" x14ac:dyDescent="0.3">
      <c r="A185" s="14" t="s">
        <v>327</v>
      </c>
      <c r="B185" s="14" t="s">
        <v>69</v>
      </c>
      <c r="C185" s="6" t="s">
        <v>132</v>
      </c>
      <c r="D185" s="6" t="s">
        <v>133</v>
      </c>
      <c r="E185" s="101"/>
      <c r="F185" s="52">
        <v>3</v>
      </c>
      <c r="G185" s="52"/>
      <c r="H185" s="15">
        <f t="shared" ref="H185:H190" si="38">SUM(F185:G185)</f>
        <v>3</v>
      </c>
      <c r="I185" s="106">
        <f>'2 - Section Count Projection'!$O$70</f>
        <v>0</v>
      </c>
      <c r="J185" s="16">
        <f t="shared" ref="J185:J190" si="39">I185*H185</f>
        <v>0</v>
      </c>
      <c r="K185" s="7" t="str">
        <f t="shared" si="23"/>
        <v/>
      </c>
    </row>
    <row r="186" spans="1:11" x14ac:dyDescent="0.3">
      <c r="A186" s="14" t="s">
        <v>327</v>
      </c>
      <c r="B186" s="14" t="s">
        <v>69</v>
      </c>
      <c r="C186" s="6" t="s">
        <v>798</v>
      </c>
      <c r="D186" s="6" t="s">
        <v>799</v>
      </c>
      <c r="E186" s="101"/>
      <c r="F186" s="52">
        <v>3</v>
      </c>
      <c r="G186" s="52"/>
      <c r="H186" s="15">
        <f t="shared" si="38"/>
        <v>3</v>
      </c>
      <c r="I186" s="106">
        <f>'2 - Section Count Projection'!$O$70</f>
        <v>0</v>
      </c>
      <c r="J186" s="16">
        <f t="shared" si="39"/>
        <v>0</v>
      </c>
      <c r="K186" s="7" t="str">
        <f t="shared" si="23"/>
        <v/>
      </c>
    </row>
    <row r="187" spans="1:11" x14ac:dyDescent="0.3">
      <c r="A187" s="14" t="s">
        <v>327</v>
      </c>
      <c r="B187" s="14" t="s">
        <v>69</v>
      </c>
      <c r="C187" s="6" t="s">
        <v>800</v>
      </c>
      <c r="D187" s="6" t="s">
        <v>801</v>
      </c>
      <c r="E187" s="101"/>
      <c r="F187" s="52">
        <v>3</v>
      </c>
      <c r="G187" s="52"/>
      <c r="H187" s="15">
        <f t="shared" si="38"/>
        <v>3</v>
      </c>
      <c r="I187" s="106">
        <f>'2 - Section Count Projection'!$O$70</f>
        <v>0</v>
      </c>
      <c r="J187" s="16">
        <f t="shared" si="39"/>
        <v>0</v>
      </c>
      <c r="K187" s="7" t="str">
        <f t="shared" si="23"/>
        <v/>
      </c>
    </row>
    <row r="188" spans="1:11" x14ac:dyDescent="0.3">
      <c r="A188" s="14" t="s">
        <v>327</v>
      </c>
      <c r="B188" s="14" t="s">
        <v>69</v>
      </c>
      <c r="C188" s="6" t="s">
        <v>811</v>
      </c>
      <c r="D188" s="6" t="s">
        <v>812</v>
      </c>
      <c r="E188" s="101"/>
      <c r="F188" s="52">
        <v>2</v>
      </c>
      <c r="G188" s="52">
        <v>1.5</v>
      </c>
      <c r="H188" s="15">
        <f t="shared" si="38"/>
        <v>3.5</v>
      </c>
      <c r="I188" s="106">
        <f>'2 - Section Count Projection'!$O$70</f>
        <v>0</v>
      </c>
      <c r="J188" s="16">
        <f t="shared" si="39"/>
        <v>0</v>
      </c>
      <c r="K188" s="7" t="str">
        <f t="shared" si="23"/>
        <v/>
      </c>
    </row>
    <row r="189" spans="1:11" x14ac:dyDescent="0.3">
      <c r="A189" s="14" t="s">
        <v>327</v>
      </c>
      <c r="B189" s="14" t="s">
        <v>69</v>
      </c>
      <c r="C189" s="6" t="s">
        <v>813</v>
      </c>
      <c r="D189" s="6" t="s">
        <v>814</v>
      </c>
      <c r="E189" s="6" t="s">
        <v>43</v>
      </c>
      <c r="F189" s="52">
        <v>3</v>
      </c>
      <c r="G189" s="52"/>
      <c r="H189" s="15">
        <f t="shared" si="38"/>
        <v>3</v>
      </c>
      <c r="I189" s="106">
        <f>'2 - Section Count Projection'!$O$70</f>
        <v>0</v>
      </c>
      <c r="J189" s="16">
        <f t="shared" si="39"/>
        <v>0</v>
      </c>
      <c r="K189" s="7" t="str">
        <f t="shared" si="23"/>
        <v/>
      </c>
    </row>
    <row r="190" spans="1:11" x14ac:dyDescent="0.3">
      <c r="A190" s="14" t="s">
        <v>327</v>
      </c>
      <c r="B190" s="14" t="s">
        <v>69</v>
      </c>
      <c r="C190" s="6" t="s">
        <v>815</v>
      </c>
      <c r="D190" s="6" t="s">
        <v>816</v>
      </c>
      <c r="E190" s="101"/>
      <c r="F190" s="52">
        <v>3</v>
      </c>
      <c r="G190" s="52"/>
      <c r="H190" s="15">
        <f t="shared" si="38"/>
        <v>3</v>
      </c>
      <c r="I190" s="106">
        <f>'2 - Section Count Projection'!$O$70</f>
        <v>0</v>
      </c>
      <c r="J190" s="16">
        <f t="shared" si="39"/>
        <v>0</v>
      </c>
      <c r="K190" s="7" t="str">
        <f t="shared" si="23"/>
        <v/>
      </c>
    </row>
    <row r="191" spans="1:11" x14ac:dyDescent="0.3">
      <c r="A191" s="7"/>
      <c r="K191" s="7" t="str">
        <f t="shared" si="23"/>
        <v/>
      </c>
    </row>
    <row r="192" spans="1:11" x14ac:dyDescent="0.3">
      <c r="A192" s="58" t="s">
        <v>336</v>
      </c>
      <c r="K192" s="7" t="str">
        <f t="shared" si="23"/>
        <v/>
      </c>
    </row>
    <row r="193" spans="1:11" x14ac:dyDescent="0.3">
      <c r="A193" s="14" t="s">
        <v>327</v>
      </c>
      <c r="B193" s="14" t="s">
        <v>73</v>
      </c>
      <c r="C193" s="6" t="s">
        <v>817</v>
      </c>
      <c r="D193" s="6" t="s">
        <v>818</v>
      </c>
      <c r="E193" s="6" t="s">
        <v>43</v>
      </c>
      <c r="F193" s="172"/>
      <c r="G193" s="187">
        <v>3</v>
      </c>
      <c r="H193" s="15">
        <v>3</v>
      </c>
      <c r="I193" s="106">
        <f>'2 - Section Count Projection'!$O$72</f>
        <v>0</v>
      </c>
      <c r="J193" s="16">
        <f>I193*H193</f>
        <v>0</v>
      </c>
      <c r="K193" s="7" t="str">
        <f t="shared" si="23"/>
        <v/>
      </c>
    </row>
    <row r="194" spans="1:11" x14ac:dyDescent="0.3">
      <c r="K194" s="7" t="str">
        <f t="shared" si="23"/>
        <v/>
      </c>
    </row>
    <row r="195" spans="1:11" x14ac:dyDescent="0.3">
      <c r="A195" s="58" t="s">
        <v>341</v>
      </c>
      <c r="K195" s="7" t="str">
        <f t="shared" si="23"/>
        <v/>
      </c>
    </row>
    <row r="196" spans="1:11" x14ac:dyDescent="0.3">
      <c r="A196" s="9" t="s">
        <v>342</v>
      </c>
      <c r="B196" s="9" t="s">
        <v>61</v>
      </c>
      <c r="C196" s="6" t="s">
        <v>668</v>
      </c>
      <c r="D196" s="12" t="s">
        <v>669</v>
      </c>
      <c r="E196" s="101"/>
      <c r="F196" s="52">
        <v>3</v>
      </c>
      <c r="G196" s="13"/>
      <c r="H196" s="52">
        <f t="shared" ref="H196:H202" si="40">SUM(F196:G196)</f>
        <v>3</v>
      </c>
      <c r="I196" s="106">
        <f>'2 - Section Count Projection'!$O$57</f>
        <v>0</v>
      </c>
      <c r="J196" s="8">
        <f t="shared" ref="J196:J202" si="41">I196*H196</f>
        <v>0</v>
      </c>
      <c r="K196" s="7" t="str">
        <f t="shared" ref="K196:K259" si="42">IF(I196&gt;0,F196,"")</f>
        <v/>
      </c>
    </row>
    <row r="197" spans="1:11" x14ac:dyDescent="0.3">
      <c r="A197" s="9" t="s">
        <v>342</v>
      </c>
      <c r="B197" s="9" t="s">
        <v>61</v>
      </c>
      <c r="C197" s="6" t="s">
        <v>670</v>
      </c>
      <c r="D197" s="12" t="s">
        <v>698</v>
      </c>
      <c r="E197" s="6" t="s">
        <v>38</v>
      </c>
      <c r="F197" s="52">
        <v>2</v>
      </c>
      <c r="G197" s="13"/>
      <c r="H197" s="52">
        <f t="shared" si="40"/>
        <v>2</v>
      </c>
      <c r="I197" s="106">
        <f>'2 - Section Count Projection'!$O$57</f>
        <v>0</v>
      </c>
      <c r="J197" s="8">
        <f t="shared" si="41"/>
        <v>0</v>
      </c>
      <c r="K197" s="7" t="str">
        <f t="shared" si="42"/>
        <v/>
      </c>
    </row>
    <row r="198" spans="1:11" x14ac:dyDescent="0.3">
      <c r="A198" s="9" t="s">
        <v>342</v>
      </c>
      <c r="B198" s="9" t="s">
        <v>61</v>
      </c>
      <c r="C198" s="6" t="s">
        <v>125</v>
      </c>
      <c r="D198" s="12" t="s">
        <v>126</v>
      </c>
      <c r="E198" s="6" t="s">
        <v>127</v>
      </c>
      <c r="F198" s="52">
        <v>3</v>
      </c>
      <c r="G198" s="13"/>
      <c r="H198" s="52">
        <f t="shared" si="40"/>
        <v>3</v>
      </c>
      <c r="I198" s="106">
        <f>'2 - Section Count Projection'!$O$57</f>
        <v>0</v>
      </c>
      <c r="J198" s="8">
        <f t="shared" si="41"/>
        <v>0</v>
      </c>
      <c r="K198" s="7" t="str">
        <f t="shared" si="42"/>
        <v/>
      </c>
    </row>
    <row r="199" spans="1:11" x14ac:dyDescent="0.3">
      <c r="A199" s="9" t="s">
        <v>342</v>
      </c>
      <c r="B199" s="9" t="s">
        <v>61</v>
      </c>
      <c r="C199" s="6" t="s">
        <v>774</v>
      </c>
      <c r="D199" s="12" t="s">
        <v>775</v>
      </c>
      <c r="E199" s="6" t="s">
        <v>32</v>
      </c>
      <c r="F199" s="52">
        <v>1</v>
      </c>
      <c r="G199" s="13">
        <v>3</v>
      </c>
      <c r="H199" s="52">
        <f t="shared" si="40"/>
        <v>4</v>
      </c>
      <c r="I199" s="106">
        <f>'2 - Section Count Projection'!$O$57</f>
        <v>0</v>
      </c>
      <c r="J199" s="8">
        <f t="shared" si="41"/>
        <v>0</v>
      </c>
      <c r="K199" s="7" t="str">
        <f t="shared" si="42"/>
        <v/>
      </c>
    </row>
    <row r="200" spans="1:11" x14ac:dyDescent="0.3">
      <c r="A200" s="9" t="s">
        <v>342</v>
      </c>
      <c r="B200" s="9" t="s">
        <v>61</v>
      </c>
      <c r="C200" s="6" t="s">
        <v>529</v>
      </c>
      <c r="D200" s="12" t="s">
        <v>530</v>
      </c>
      <c r="E200" s="6" t="s">
        <v>34</v>
      </c>
      <c r="F200" s="52"/>
      <c r="G200" s="13">
        <v>1.5</v>
      </c>
      <c r="H200" s="52">
        <f t="shared" si="40"/>
        <v>1.5</v>
      </c>
      <c r="I200" s="106">
        <f>'2 - Section Count Projection'!$O$57</f>
        <v>0</v>
      </c>
      <c r="J200" s="8">
        <f t="shared" si="41"/>
        <v>0</v>
      </c>
      <c r="K200" s="7" t="str">
        <f t="shared" si="42"/>
        <v/>
      </c>
    </row>
    <row r="201" spans="1:11" x14ac:dyDescent="0.3">
      <c r="A201" s="9" t="s">
        <v>342</v>
      </c>
      <c r="B201" s="9" t="s">
        <v>61</v>
      </c>
      <c r="C201" s="6" t="s">
        <v>776</v>
      </c>
      <c r="D201" s="12" t="s">
        <v>777</v>
      </c>
      <c r="E201" s="101"/>
      <c r="F201" s="52">
        <v>3</v>
      </c>
      <c r="G201" s="13"/>
      <c r="H201" s="52">
        <f t="shared" si="40"/>
        <v>3</v>
      </c>
      <c r="I201" s="106">
        <f>'2 - Section Count Projection'!$O$57</f>
        <v>0</v>
      </c>
      <c r="J201" s="8">
        <f t="shared" si="41"/>
        <v>0</v>
      </c>
      <c r="K201" s="7" t="str">
        <f t="shared" si="42"/>
        <v/>
      </c>
    </row>
    <row r="202" spans="1:11" x14ac:dyDescent="0.3">
      <c r="A202" s="9" t="s">
        <v>342</v>
      </c>
      <c r="B202" s="9" t="s">
        <v>61</v>
      </c>
      <c r="C202" s="6" t="s">
        <v>778</v>
      </c>
      <c r="D202" s="12" t="s">
        <v>779</v>
      </c>
      <c r="E202" s="101"/>
      <c r="F202" s="52">
        <v>3</v>
      </c>
      <c r="G202" s="13"/>
      <c r="H202" s="52">
        <f t="shared" si="40"/>
        <v>3</v>
      </c>
      <c r="I202" s="106">
        <f>'2 - Section Count Projection'!$O$57</f>
        <v>0</v>
      </c>
      <c r="J202" s="8">
        <f t="shared" si="41"/>
        <v>0</v>
      </c>
      <c r="K202" s="7" t="str">
        <f t="shared" si="42"/>
        <v/>
      </c>
    </row>
    <row r="203" spans="1:11" x14ac:dyDescent="0.3">
      <c r="K203" s="7" t="str">
        <f t="shared" si="42"/>
        <v/>
      </c>
    </row>
    <row r="204" spans="1:11" x14ac:dyDescent="0.3">
      <c r="A204" s="58" t="s">
        <v>341</v>
      </c>
      <c r="K204" s="7" t="str">
        <f t="shared" si="42"/>
        <v/>
      </c>
    </row>
    <row r="205" spans="1:11" x14ac:dyDescent="0.3">
      <c r="A205" s="14" t="s">
        <v>342</v>
      </c>
      <c r="B205" s="14" t="s">
        <v>64</v>
      </c>
      <c r="C205" s="93" t="s">
        <v>673</v>
      </c>
      <c r="D205" s="12" t="s">
        <v>674</v>
      </c>
      <c r="E205" s="6" t="s">
        <v>141</v>
      </c>
      <c r="F205" s="52">
        <v>3</v>
      </c>
      <c r="G205" s="13"/>
      <c r="H205" s="15">
        <f t="shared" ref="H205:H212" si="43">SUM(F205:G205)</f>
        <v>3</v>
      </c>
      <c r="I205" s="106">
        <f>'2 - Section Count Projection'!$O$59</f>
        <v>0</v>
      </c>
      <c r="J205" s="16">
        <f t="shared" ref="J205:J212" si="44">I205*H205</f>
        <v>0</v>
      </c>
      <c r="K205" s="7" t="str">
        <f t="shared" si="42"/>
        <v/>
      </c>
    </row>
    <row r="206" spans="1:11" x14ac:dyDescent="0.3">
      <c r="A206" s="14" t="s">
        <v>342</v>
      </c>
      <c r="B206" s="14" t="s">
        <v>64</v>
      </c>
      <c r="C206" s="93" t="s">
        <v>678</v>
      </c>
      <c r="D206" s="12" t="s">
        <v>703</v>
      </c>
      <c r="E206" s="6" t="s">
        <v>38</v>
      </c>
      <c r="F206" s="52">
        <v>2</v>
      </c>
      <c r="G206" s="13"/>
      <c r="H206" s="15">
        <f t="shared" si="43"/>
        <v>2</v>
      </c>
      <c r="I206" s="106">
        <f>'2 - Section Count Projection'!$O$59</f>
        <v>0</v>
      </c>
      <c r="J206" s="16">
        <f t="shared" si="44"/>
        <v>0</v>
      </c>
      <c r="K206" s="7" t="str">
        <f t="shared" si="42"/>
        <v/>
      </c>
    </row>
    <row r="207" spans="1:11" x14ac:dyDescent="0.3">
      <c r="A207" s="14" t="s">
        <v>342</v>
      </c>
      <c r="B207" s="14" t="s">
        <v>64</v>
      </c>
      <c r="C207" s="93" t="s">
        <v>393</v>
      </c>
      <c r="D207" s="12" t="s">
        <v>672</v>
      </c>
      <c r="E207" s="101"/>
      <c r="F207" s="52">
        <v>3</v>
      </c>
      <c r="G207" s="13"/>
      <c r="H207" s="15">
        <f t="shared" si="43"/>
        <v>3</v>
      </c>
      <c r="I207" s="106">
        <f>'2 - Section Count Projection'!$O$59</f>
        <v>0</v>
      </c>
      <c r="J207" s="16">
        <f t="shared" si="44"/>
        <v>0</v>
      </c>
      <c r="K207" s="7" t="str">
        <f t="shared" si="42"/>
        <v/>
      </c>
    </row>
    <row r="208" spans="1:11" x14ac:dyDescent="0.3">
      <c r="A208" s="14" t="s">
        <v>342</v>
      </c>
      <c r="B208" s="14" t="s">
        <v>64</v>
      </c>
      <c r="C208" s="93" t="s">
        <v>781</v>
      </c>
      <c r="D208" s="12" t="s">
        <v>782</v>
      </c>
      <c r="E208" s="6" t="s">
        <v>32</v>
      </c>
      <c r="F208" s="52">
        <v>1</v>
      </c>
      <c r="G208" s="13">
        <v>1.5</v>
      </c>
      <c r="H208" s="15">
        <f t="shared" si="43"/>
        <v>2.5</v>
      </c>
      <c r="I208" s="106">
        <f>'2 - Section Count Projection'!$O$59</f>
        <v>0</v>
      </c>
      <c r="J208" s="16">
        <f t="shared" si="44"/>
        <v>0</v>
      </c>
      <c r="K208" s="7" t="str">
        <f t="shared" si="42"/>
        <v/>
      </c>
    </row>
    <row r="209" spans="1:11" x14ac:dyDescent="0.3">
      <c r="A209" s="14" t="s">
        <v>342</v>
      </c>
      <c r="B209" s="14" t="s">
        <v>64</v>
      </c>
      <c r="C209" s="93" t="s">
        <v>783</v>
      </c>
      <c r="D209" s="12" t="s">
        <v>784</v>
      </c>
      <c r="E209" s="101"/>
      <c r="F209" s="52">
        <v>3</v>
      </c>
      <c r="G209" s="13"/>
      <c r="H209" s="15">
        <f t="shared" si="43"/>
        <v>3</v>
      </c>
      <c r="I209" s="106">
        <f>'2 - Section Count Projection'!$O$59</f>
        <v>0</v>
      </c>
      <c r="J209" s="16">
        <f t="shared" si="44"/>
        <v>0</v>
      </c>
      <c r="K209" s="7" t="str">
        <f t="shared" si="42"/>
        <v/>
      </c>
    </row>
    <row r="210" spans="1:11" x14ac:dyDescent="0.3">
      <c r="A210" s="14" t="s">
        <v>342</v>
      </c>
      <c r="B210" s="14" t="s">
        <v>64</v>
      </c>
      <c r="C210" s="93" t="s">
        <v>785</v>
      </c>
      <c r="D210" s="12" t="s">
        <v>786</v>
      </c>
      <c r="E210" s="6" t="s">
        <v>32</v>
      </c>
      <c r="F210" s="52">
        <v>2</v>
      </c>
      <c r="G210" s="13">
        <v>1.5</v>
      </c>
      <c r="H210" s="15">
        <f t="shared" si="43"/>
        <v>3.5</v>
      </c>
      <c r="I210" s="106">
        <f>'2 - Section Count Projection'!$O$59</f>
        <v>0</v>
      </c>
      <c r="J210" s="16">
        <f t="shared" si="44"/>
        <v>0</v>
      </c>
      <c r="K210" s="7" t="str">
        <f t="shared" si="42"/>
        <v/>
      </c>
    </row>
    <row r="211" spans="1:11" ht="28.8" x14ac:dyDescent="0.3">
      <c r="A211" s="14" t="s">
        <v>342</v>
      </c>
      <c r="B211" s="14" t="s">
        <v>64</v>
      </c>
      <c r="C211" s="93" t="s">
        <v>787</v>
      </c>
      <c r="D211" s="94" t="s">
        <v>819</v>
      </c>
      <c r="E211" s="101"/>
      <c r="F211" s="52">
        <v>2</v>
      </c>
      <c r="G211" s="16">
        <v>1.5</v>
      </c>
      <c r="H211" s="52">
        <f t="shared" ref="H211" si="45">SUM(F211:G211)</f>
        <v>3.5</v>
      </c>
      <c r="I211" s="106">
        <f>'2 - Section Count Projection'!$O$59</f>
        <v>0</v>
      </c>
      <c r="J211" s="16">
        <f t="shared" ref="J211" si="46">I211*H211</f>
        <v>0</v>
      </c>
      <c r="K211" s="7" t="str">
        <f t="shared" si="42"/>
        <v/>
      </c>
    </row>
    <row r="212" spans="1:11" x14ac:dyDescent="0.3">
      <c r="A212" s="14" t="s">
        <v>342</v>
      </c>
      <c r="B212" s="14" t="s">
        <v>64</v>
      </c>
      <c r="C212" s="93" t="s">
        <v>789</v>
      </c>
      <c r="D212" s="12" t="s">
        <v>790</v>
      </c>
      <c r="E212" s="6" t="s">
        <v>127</v>
      </c>
      <c r="F212" s="52">
        <v>3</v>
      </c>
      <c r="G212" s="13"/>
      <c r="H212" s="15">
        <f t="shared" si="43"/>
        <v>3</v>
      </c>
      <c r="I212" s="106">
        <f>'2 - Section Count Projection'!$O$59</f>
        <v>0</v>
      </c>
      <c r="J212" s="16">
        <f t="shared" si="44"/>
        <v>0</v>
      </c>
      <c r="K212" s="7" t="str">
        <f t="shared" si="42"/>
        <v/>
      </c>
    </row>
    <row r="213" spans="1:11" x14ac:dyDescent="0.3">
      <c r="K213" s="7" t="str">
        <f t="shared" si="42"/>
        <v/>
      </c>
    </row>
    <row r="214" spans="1:11" x14ac:dyDescent="0.3">
      <c r="A214" s="58" t="s">
        <v>341</v>
      </c>
      <c r="K214" s="7" t="str">
        <f t="shared" si="42"/>
        <v/>
      </c>
    </row>
    <row r="215" spans="1:11" x14ac:dyDescent="0.3">
      <c r="A215" s="14" t="s">
        <v>342</v>
      </c>
      <c r="B215" s="14" t="s">
        <v>69</v>
      </c>
      <c r="C215" s="93" t="s">
        <v>791</v>
      </c>
      <c r="D215" s="12" t="s">
        <v>406</v>
      </c>
      <c r="E215" s="6" t="s">
        <v>20</v>
      </c>
      <c r="F215" s="52">
        <v>3</v>
      </c>
      <c r="G215" s="16"/>
      <c r="H215" s="15">
        <f t="shared" ref="H215:H221" si="47">SUM(F215:G215)</f>
        <v>3</v>
      </c>
      <c r="I215" s="106">
        <f>'2 - Section Count Projection'!$O$61</f>
        <v>0</v>
      </c>
      <c r="J215" s="16">
        <f t="shared" ref="J215:J221" si="48">I215*H215</f>
        <v>0</v>
      </c>
      <c r="K215" s="7" t="str">
        <f t="shared" si="42"/>
        <v/>
      </c>
    </row>
    <row r="216" spans="1:11" x14ac:dyDescent="0.3">
      <c r="A216" s="14" t="s">
        <v>342</v>
      </c>
      <c r="B216" s="14" t="s">
        <v>69</v>
      </c>
      <c r="C216" s="6" t="s">
        <v>132</v>
      </c>
      <c r="D216" s="12" t="s">
        <v>133</v>
      </c>
      <c r="E216" s="101"/>
      <c r="F216" s="52">
        <v>3</v>
      </c>
      <c r="G216" s="16"/>
      <c r="H216" s="15">
        <f t="shared" si="47"/>
        <v>3</v>
      </c>
      <c r="I216" s="106">
        <f>'2 - Section Count Projection'!$O$61</f>
        <v>0</v>
      </c>
      <c r="J216" s="16">
        <f t="shared" si="48"/>
        <v>0</v>
      </c>
      <c r="K216" s="7" t="str">
        <f t="shared" si="42"/>
        <v/>
      </c>
    </row>
    <row r="217" spans="1:11" x14ac:dyDescent="0.3">
      <c r="A217" s="14" t="s">
        <v>342</v>
      </c>
      <c r="B217" s="14" t="s">
        <v>69</v>
      </c>
      <c r="C217" s="93" t="s">
        <v>792</v>
      </c>
      <c r="D217" s="12" t="s">
        <v>793</v>
      </c>
      <c r="E217" s="6" t="s">
        <v>32</v>
      </c>
      <c r="F217" s="52">
        <v>1</v>
      </c>
      <c r="G217" s="16">
        <v>1.5</v>
      </c>
      <c r="H217" s="15">
        <f t="shared" si="47"/>
        <v>2.5</v>
      </c>
      <c r="I217" s="106">
        <f>'2 - Section Count Projection'!$O$61</f>
        <v>0</v>
      </c>
      <c r="J217" s="16">
        <f t="shared" si="48"/>
        <v>0</v>
      </c>
      <c r="K217" s="7" t="str">
        <f t="shared" si="42"/>
        <v/>
      </c>
    </row>
    <row r="218" spans="1:11" x14ac:dyDescent="0.3">
      <c r="A218" s="14" t="s">
        <v>342</v>
      </c>
      <c r="B218" s="14" t="s">
        <v>69</v>
      </c>
      <c r="C218" s="93" t="s">
        <v>794</v>
      </c>
      <c r="D218" s="12" t="s">
        <v>795</v>
      </c>
      <c r="E218" s="6" t="s">
        <v>32</v>
      </c>
      <c r="F218" s="52">
        <v>1</v>
      </c>
      <c r="G218" s="16">
        <v>1.5</v>
      </c>
      <c r="H218" s="15">
        <f t="shared" si="47"/>
        <v>2.5</v>
      </c>
      <c r="I218" s="106">
        <f>'2 - Section Count Projection'!$O$61</f>
        <v>0</v>
      </c>
      <c r="J218" s="16">
        <f t="shared" si="48"/>
        <v>0</v>
      </c>
      <c r="K218" s="7" t="str">
        <f t="shared" si="42"/>
        <v/>
      </c>
    </row>
    <row r="219" spans="1:11" ht="27" customHeight="1" x14ac:dyDescent="0.3">
      <c r="A219" s="14" t="s">
        <v>342</v>
      </c>
      <c r="B219" s="14" t="s">
        <v>69</v>
      </c>
      <c r="C219" s="95" t="s">
        <v>796</v>
      </c>
      <c r="D219" s="94" t="s">
        <v>797</v>
      </c>
      <c r="E219" s="6" t="s">
        <v>32</v>
      </c>
      <c r="F219" s="52">
        <v>2</v>
      </c>
      <c r="G219" s="16">
        <v>1.5</v>
      </c>
      <c r="H219" s="15">
        <f t="shared" si="47"/>
        <v>3.5</v>
      </c>
      <c r="I219" s="106">
        <f>'2 - Section Count Projection'!$O$61</f>
        <v>0</v>
      </c>
      <c r="J219" s="16">
        <f t="shared" si="48"/>
        <v>0</v>
      </c>
      <c r="K219" s="7" t="str">
        <f t="shared" si="42"/>
        <v/>
      </c>
    </row>
    <row r="220" spans="1:11" x14ac:dyDescent="0.3">
      <c r="A220" s="14" t="s">
        <v>342</v>
      </c>
      <c r="B220" s="14" t="s">
        <v>69</v>
      </c>
      <c r="C220" s="93" t="s">
        <v>798</v>
      </c>
      <c r="D220" s="12" t="s">
        <v>799</v>
      </c>
      <c r="E220" s="101"/>
      <c r="F220" s="52">
        <v>3</v>
      </c>
      <c r="G220" s="16"/>
      <c r="H220" s="15">
        <f t="shared" si="47"/>
        <v>3</v>
      </c>
      <c r="I220" s="106">
        <f>'2 - Section Count Projection'!$O$61</f>
        <v>0</v>
      </c>
      <c r="J220" s="16">
        <f t="shared" si="48"/>
        <v>0</v>
      </c>
      <c r="K220" s="7" t="str">
        <f t="shared" si="42"/>
        <v/>
      </c>
    </row>
    <row r="221" spans="1:11" x14ac:dyDescent="0.3">
      <c r="A221" s="14" t="s">
        <v>342</v>
      </c>
      <c r="B221" s="14" t="s">
        <v>69</v>
      </c>
      <c r="C221" s="93" t="s">
        <v>800</v>
      </c>
      <c r="D221" s="12" t="s">
        <v>801</v>
      </c>
      <c r="E221" s="101"/>
      <c r="F221" s="52">
        <v>3</v>
      </c>
      <c r="G221" s="16"/>
      <c r="H221" s="15">
        <f t="shared" si="47"/>
        <v>3</v>
      </c>
      <c r="I221" s="106">
        <f>'2 - Section Count Projection'!$O$61</f>
        <v>0</v>
      </c>
      <c r="J221" s="16">
        <f t="shared" si="48"/>
        <v>0</v>
      </c>
      <c r="K221" s="7" t="str">
        <f t="shared" si="42"/>
        <v/>
      </c>
    </row>
    <row r="222" spans="1:11" x14ac:dyDescent="0.3">
      <c r="K222" s="7" t="str">
        <f t="shared" si="42"/>
        <v/>
      </c>
    </row>
    <row r="223" spans="1:11" x14ac:dyDescent="0.3">
      <c r="A223" s="58" t="s">
        <v>345</v>
      </c>
      <c r="K223" s="7" t="str">
        <f t="shared" si="42"/>
        <v/>
      </c>
    </row>
    <row r="224" spans="1:11" x14ac:dyDescent="0.3">
      <c r="A224" s="14" t="s">
        <v>342</v>
      </c>
      <c r="B224" s="14" t="s">
        <v>73</v>
      </c>
      <c r="C224" s="6" t="s">
        <v>820</v>
      </c>
      <c r="D224" s="6" t="s">
        <v>821</v>
      </c>
      <c r="E224" s="6" t="s">
        <v>32</v>
      </c>
      <c r="F224" s="172">
        <v>3</v>
      </c>
      <c r="G224" s="186"/>
      <c r="H224" s="15">
        <v>3</v>
      </c>
      <c r="I224" s="106">
        <f>'2 - Section Count Projection'!$O$63</f>
        <v>0</v>
      </c>
      <c r="J224" s="16">
        <f>I224*H224</f>
        <v>0</v>
      </c>
      <c r="K224" s="7" t="str">
        <f t="shared" si="42"/>
        <v/>
      </c>
    </row>
    <row r="225" spans="1:11" x14ac:dyDescent="0.3">
      <c r="K225" s="7" t="str">
        <f t="shared" si="42"/>
        <v/>
      </c>
    </row>
    <row r="226" spans="1:11" x14ac:dyDescent="0.3">
      <c r="A226" s="58" t="s">
        <v>346</v>
      </c>
      <c r="K226" s="7" t="str">
        <f t="shared" si="42"/>
        <v/>
      </c>
    </row>
    <row r="227" spans="1:11" x14ac:dyDescent="0.3">
      <c r="A227" s="14" t="s">
        <v>347</v>
      </c>
      <c r="B227" s="14" t="s">
        <v>61</v>
      </c>
      <c r="C227" s="6" t="s">
        <v>673</v>
      </c>
      <c r="D227" s="6" t="s">
        <v>674</v>
      </c>
      <c r="E227" s="6" t="s">
        <v>141</v>
      </c>
      <c r="F227" s="52">
        <v>3</v>
      </c>
      <c r="G227" s="52"/>
      <c r="H227" s="15">
        <f>SUM(F227:G227)</f>
        <v>3</v>
      </c>
      <c r="I227" s="106">
        <f>'2 - Section Count Projection'!$O$75</f>
        <v>0</v>
      </c>
      <c r="J227" s="16">
        <f>I227*H227</f>
        <v>0</v>
      </c>
      <c r="K227" s="7" t="str">
        <f t="shared" si="42"/>
        <v/>
      </c>
    </row>
    <row r="228" spans="1:11" x14ac:dyDescent="0.3">
      <c r="A228" s="14" t="s">
        <v>347</v>
      </c>
      <c r="B228" s="14" t="s">
        <v>61</v>
      </c>
      <c r="C228" s="6" t="s">
        <v>668</v>
      </c>
      <c r="D228" s="6" t="s">
        <v>669</v>
      </c>
      <c r="E228" s="101"/>
      <c r="F228" s="52">
        <v>3</v>
      </c>
      <c r="G228" s="52"/>
      <c r="H228" s="15">
        <f t="shared" ref="H228:H233" si="49">SUM(F228:G228)</f>
        <v>3</v>
      </c>
      <c r="I228" s="106">
        <f>'2 - Section Count Projection'!$O$75</f>
        <v>0</v>
      </c>
      <c r="J228" s="16">
        <f t="shared" ref="J228:J233" si="50">I228*H228</f>
        <v>0</v>
      </c>
      <c r="K228" s="7" t="str">
        <f t="shared" si="42"/>
        <v/>
      </c>
    </row>
    <row r="229" spans="1:11" x14ac:dyDescent="0.3">
      <c r="A229" s="14" t="s">
        <v>347</v>
      </c>
      <c r="B229" s="14" t="s">
        <v>61</v>
      </c>
      <c r="C229" s="6" t="s">
        <v>670</v>
      </c>
      <c r="D229" s="6" t="s">
        <v>698</v>
      </c>
      <c r="E229" s="6" t="s">
        <v>38</v>
      </c>
      <c r="F229" s="52">
        <v>2</v>
      </c>
      <c r="G229" s="52"/>
      <c r="H229" s="15">
        <f t="shared" si="49"/>
        <v>2</v>
      </c>
      <c r="I229" s="106">
        <f>'2 - Section Count Projection'!$O$75</f>
        <v>0</v>
      </c>
      <c r="J229" s="16">
        <f t="shared" si="50"/>
        <v>0</v>
      </c>
      <c r="K229" s="7" t="str">
        <f t="shared" si="42"/>
        <v/>
      </c>
    </row>
    <row r="230" spans="1:11" x14ac:dyDescent="0.3">
      <c r="A230" s="14" t="s">
        <v>347</v>
      </c>
      <c r="B230" s="14" t="s">
        <v>61</v>
      </c>
      <c r="C230" s="6" t="s">
        <v>217</v>
      </c>
      <c r="D230" s="6" t="s">
        <v>218</v>
      </c>
      <c r="E230" s="6" t="s">
        <v>36</v>
      </c>
      <c r="F230" s="52">
        <v>3</v>
      </c>
      <c r="G230" s="52"/>
      <c r="H230" s="15">
        <f t="shared" si="49"/>
        <v>3</v>
      </c>
      <c r="I230" s="106">
        <f>'2 - Section Count Projection'!$O$75</f>
        <v>0</v>
      </c>
      <c r="J230" s="16">
        <f t="shared" si="50"/>
        <v>0</v>
      </c>
      <c r="K230" s="7" t="str">
        <f t="shared" si="42"/>
        <v/>
      </c>
    </row>
    <row r="231" spans="1:11" x14ac:dyDescent="0.3">
      <c r="A231" s="14" t="s">
        <v>347</v>
      </c>
      <c r="B231" s="14" t="s">
        <v>61</v>
      </c>
      <c r="C231" s="6" t="s">
        <v>393</v>
      </c>
      <c r="D231" s="6" t="s">
        <v>672</v>
      </c>
      <c r="E231" s="101"/>
      <c r="F231" s="52">
        <v>3</v>
      </c>
      <c r="G231" s="52"/>
      <c r="H231" s="15">
        <f t="shared" si="49"/>
        <v>3</v>
      </c>
      <c r="I231" s="106">
        <f>'2 - Section Count Projection'!$O$75</f>
        <v>0</v>
      </c>
      <c r="J231" s="16">
        <f t="shared" si="50"/>
        <v>0</v>
      </c>
      <c r="K231" s="7" t="str">
        <f t="shared" si="42"/>
        <v/>
      </c>
    </row>
    <row r="232" spans="1:11" x14ac:dyDescent="0.3">
      <c r="A232" s="14" t="s">
        <v>347</v>
      </c>
      <c r="B232" s="14" t="s">
        <v>61</v>
      </c>
      <c r="C232" s="6" t="s">
        <v>529</v>
      </c>
      <c r="D232" s="6" t="s">
        <v>530</v>
      </c>
      <c r="E232" s="6" t="s">
        <v>34</v>
      </c>
      <c r="F232" s="52"/>
      <c r="G232" s="52">
        <v>1.5</v>
      </c>
      <c r="H232" s="15">
        <f t="shared" si="49"/>
        <v>1.5</v>
      </c>
      <c r="I232" s="106">
        <f>'2 - Section Count Projection'!$O$75</f>
        <v>0</v>
      </c>
      <c r="J232" s="16">
        <f t="shared" si="50"/>
        <v>0</v>
      </c>
      <c r="K232" s="7" t="str">
        <f t="shared" si="42"/>
        <v/>
      </c>
    </row>
    <row r="233" spans="1:11" x14ac:dyDescent="0.3">
      <c r="A233" s="14" t="s">
        <v>347</v>
      </c>
      <c r="B233" s="14" t="s">
        <v>61</v>
      </c>
      <c r="C233" s="6" t="s">
        <v>822</v>
      </c>
      <c r="D233" s="6" t="s">
        <v>823</v>
      </c>
      <c r="E233" s="6" t="s">
        <v>20</v>
      </c>
      <c r="F233" s="52">
        <v>2</v>
      </c>
      <c r="G233" s="52">
        <v>1.5</v>
      </c>
      <c r="H233" s="15">
        <f t="shared" si="49"/>
        <v>3.5</v>
      </c>
      <c r="I233" s="106">
        <f>'2 - Section Count Projection'!$O$75</f>
        <v>0</v>
      </c>
      <c r="J233" s="16">
        <f t="shared" si="50"/>
        <v>0</v>
      </c>
      <c r="K233" s="7" t="str">
        <f t="shared" si="42"/>
        <v/>
      </c>
    </row>
    <row r="234" spans="1:11" x14ac:dyDescent="0.3">
      <c r="K234" s="7" t="str">
        <f t="shared" si="42"/>
        <v/>
      </c>
    </row>
    <row r="235" spans="1:11" x14ac:dyDescent="0.3">
      <c r="A235" s="58" t="s">
        <v>362</v>
      </c>
      <c r="K235" s="7" t="str">
        <f t="shared" si="42"/>
        <v/>
      </c>
    </row>
    <row r="236" spans="1:11" x14ac:dyDescent="0.3">
      <c r="A236" s="14" t="s">
        <v>347</v>
      </c>
      <c r="B236" s="14" t="s">
        <v>64</v>
      </c>
      <c r="C236" s="6" t="s">
        <v>824</v>
      </c>
      <c r="D236" s="6" t="s">
        <v>825</v>
      </c>
      <c r="E236" s="6" t="s">
        <v>398</v>
      </c>
      <c r="F236" s="5">
        <v>3</v>
      </c>
      <c r="G236" s="52"/>
      <c r="H236" s="15">
        <f t="shared" ref="H236:H241" si="51">SUM(F236:G236)</f>
        <v>3</v>
      </c>
      <c r="I236" s="106">
        <f>'2 - Section Count Projection'!$O$77</f>
        <v>0</v>
      </c>
      <c r="J236" s="16">
        <f>I236*H236</f>
        <v>0</v>
      </c>
      <c r="K236" s="7" t="str">
        <f t="shared" si="42"/>
        <v/>
      </c>
    </row>
    <row r="237" spans="1:11" x14ac:dyDescent="0.3">
      <c r="A237" s="14" t="s">
        <v>347</v>
      </c>
      <c r="B237" s="14" t="s">
        <v>64</v>
      </c>
      <c r="C237" s="6" t="s">
        <v>826</v>
      </c>
      <c r="D237" s="6" t="s">
        <v>827</v>
      </c>
      <c r="E237" s="6" t="s">
        <v>398</v>
      </c>
      <c r="F237" s="5">
        <v>3</v>
      </c>
      <c r="G237" s="12"/>
      <c r="H237" s="15">
        <f t="shared" si="51"/>
        <v>3</v>
      </c>
      <c r="I237" s="106">
        <f>'2 - Section Count Projection'!$O$77</f>
        <v>0</v>
      </c>
      <c r="J237" s="16">
        <f t="shared" ref="J237:J244" si="52">I237*H237</f>
        <v>0</v>
      </c>
      <c r="K237" s="7" t="str">
        <f t="shared" si="42"/>
        <v/>
      </c>
    </row>
    <row r="238" spans="1:11" x14ac:dyDescent="0.3">
      <c r="A238" s="14" t="s">
        <v>347</v>
      </c>
      <c r="B238" s="14" t="s">
        <v>64</v>
      </c>
      <c r="C238" s="6" t="s">
        <v>132</v>
      </c>
      <c r="D238" s="6" t="s">
        <v>133</v>
      </c>
      <c r="E238" s="101"/>
      <c r="F238" s="5">
        <v>3</v>
      </c>
      <c r="G238" s="12"/>
      <c r="H238" s="15">
        <f t="shared" si="51"/>
        <v>3</v>
      </c>
      <c r="I238" s="106">
        <f>'2 - Section Count Projection'!$O$77</f>
        <v>0</v>
      </c>
      <c r="J238" s="16">
        <f t="shared" si="52"/>
        <v>0</v>
      </c>
      <c r="K238" s="7" t="str">
        <f t="shared" si="42"/>
        <v/>
      </c>
    </row>
    <row r="239" spans="1:11" x14ac:dyDescent="0.3">
      <c r="A239" s="14" t="s">
        <v>347</v>
      </c>
      <c r="B239" s="14" t="s">
        <v>64</v>
      </c>
      <c r="C239" s="6" t="s">
        <v>297</v>
      </c>
      <c r="D239" s="6" t="s">
        <v>298</v>
      </c>
      <c r="E239" s="6" t="s">
        <v>141</v>
      </c>
      <c r="F239" s="5">
        <v>3</v>
      </c>
      <c r="G239" s="12"/>
      <c r="H239" s="15">
        <f t="shared" si="51"/>
        <v>3</v>
      </c>
      <c r="I239" s="106">
        <f>'2 - Section Count Projection'!$O$77</f>
        <v>0</v>
      </c>
      <c r="J239" s="16">
        <f t="shared" si="52"/>
        <v>0</v>
      </c>
      <c r="K239" s="7" t="str">
        <f t="shared" si="42"/>
        <v/>
      </c>
    </row>
    <row r="240" spans="1:11" x14ac:dyDescent="0.3">
      <c r="A240" s="14" t="s">
        <v>347</v>
      </c>
      <c r="B240" s="14" t="s">
        <v>64</v>
      </c>
      <c r="C240" s="6" t="s">
        <v>678</v>
      </c>
      <c r="D240" s="6" t="s">
        <v>703</v>
      </c>
      <c r="E240" s="6" t="s">
        <v>38</v>
      </c>
      <c r="F240" s="5">
        <v>2</v>
      </c>
      <c r="G240" s="13"/>
      <c r="H240" s="15">
        <f t="shared" si="51"/>
        <v>2</v>
      </c>
      <c r="I240" s="106">
        <f>'2 - Section Count Projection'!$O$77</f>
        <v>0</v>
      </c>
      <c r="J240" s="16">
        <f t="shared" si="52"/>
        <v>0</v>
      </c>
      <c r="K240" s="7" t="str">
        <f t="shared" si="42"/>
        <v/>
      </c>
    </row>
    <row r="241" spans="1:11" x14ac:dyDescent="0.3">
      <c r="A241" s="14" t="s">
        <v>347</v>
      </c>
      <c r="B241" s="14" t="s">
        <v>64</v>
      </c>
      <c r="C241" s="6" t="s">
        <v>828</v>
      </c>
      <c r="D241" s="6" t="s">
        <v>829</v>
      </c>
      <c r="E241" s="6" t="s">
        <v>20</v>
      </c>
      <c r="F241" s="5">
        <v>3</v>
      </c>
      <c r="G241" s="12"/>
      <c r="H241" s="15">
        <f t="shared" si="51"/>
        <v>3</v>
      </c>
      <c r="I241" s="106">
        <f>'2 - Section Count Projection'!$O$77</f>
        <v>0</v>
      </c>
      <c r="J241" s="16">
        <f t="shared" si="52"/>
        <v>0</v>
      </c>
      <c r="K241" s="7" t="str">
        <f t="shared" si="42"/>
        <v/>
      </c>
    </row>
    <row r="242" spans="1:11" x14ac:dyDescent="0.3">
      <c r="K242" s="7" t="str">
        <f t="shared" si="42"/>
        <v/>
      </c>
    </row>
    <row r="243" spans="1:11" x14ac:dyDescent="0.3">
      <c r="A243" s="58" t="s">
        <v>362</v>
      </c>
      <c r="K243" s="7" t="str">
        <f t="shared" si="42"/>
        <v/>
      </c>
    </row>
    <row r="244" spans="1:11" x14ac:dyDescent="0.3">
      <c r="A244" s="14" t="s">
        <v>347</v>
      </c>
      <c r="B244" s="14" t="s">
        <v>69</v>
      </c>
      <c r="C244" s="6" t="s">
        <v>430</v>
      </c>
      <c r="D244" s="6" t="s">
        <v>431</v>
      </c>
      <c r="E244" s="6" t="s">
        <v>20</v>
      </c>
      <c r="F244" s="5">
        <v>3</v>
      </c>
      <c r="G244" s="13"/>
      <c r="H244" s="15">
        <f t="shared" ref="H244:H249" si="53">SUM(F244:G244)</f>
        <v>3</v>
      </c>
      <c r="I244" s="106">
        <f>'2 - Section Count Projection'!$O$79</f>
        <v>0</v>
      </c>
      <c r="J244" s="16">
        <f t="shared" si="52"/>
        <v>0</v>
      </c>
      <c r="K244" s="7" t="str">
        <f t="shared" si="42"/>
        <v/>
      </c>
    </row>
    <row r="245" spans="1:11" x14ac:dyDescent="0.3">
      <c r="A245" s="14" t="s">
        <v>347</v>
      </c>
      <c r="B245" s="14" t="s">
        <v>69</v>
      </c>
      <c r="C245" s="6" t="s">
        <v>405</v>
      </c>
      <c r="D245" s="6" t="s">
        <v>406</v>
      </c>
      <c r="E245" s="6" t="s">
        <v>20</v>
      </c>
      <c r="F245" s="5">
        <v>3</v>
      </c>
      <c r="G245" s="13"/>
      <c r="H245" s="15">
        <f t="shared" si="53"/>
        <v>3</v>
      </c>
      <c r="I245" s="106">
        <f>'2 - Section Count Projection'!$O$79</f>
        <v>0</v>
      </c>
      <c r="J245" s="16">
        <f>I245*H245</f>
        <v>0</v>
      </c>
      <c r="K245" s="7" t="str">
        <f t="shared" si="42"/>
        <v/>
      </c>
    </row>
    <row r="246" spans="1:11" x14ac:dyDescent="0.3">
      <c r="A246" s="14" t="s">
        <v>347</v>
      </c>
      <c r="B246" s="14" t="s">
        <v>69</v>
      </c>
      <c r="C246" s="6" t="s">
        <v>688</v>
      </c>
      <c r="D246" s="6" t="s">
        <v>830</v>
      </c>
      <c r="E246" s="6" t="s">
        <v>34</v>
      </c>
      <c r="F246" s="5">
        <v>3</v>
      </c>
      <c r="G246" s="13"/>
      <c r="H246" s="15">
        <f t="shared" si="53"/>
        <v>3</v>
      </c>
      <c r="I246" s="106">
        <f>'2 - Section Count Projection'!$O$79</f>
        <v>0</v>
      </c>
      <c r="J246" s="16">
        <f>I246*H246</f>
        <v>0</v>
      </c>
      <c r="K246" s="7" t="str">
        <f t="shared" si="42"/>
        <v/>
      </c>
    </row>
    <row r="247" spans="1:11" x14ac:dyDescent="0.3">
      <c r="A247" s="14" t="s">
        <v>347</v>
      </c>
      <c r="B247" s="14" t="s">
        <v>69</v>
      </c>
      <c r="C247" s="6" t="s">
        <v>831</v>
      </c>
      <c r="D247" s="6" t="s">
        <v>832</v>
      </c>
      <c r="E247" s="6" t="s">
        <v>20</v>
      </c>
      <c r="F247" s="5">
        <v>3</v>
      </c>
      <c r="G247" s="13"/>
      <c r="H247" s="15">
        <f t="shared" si="53"/>
        <v>3</v>
      </c>
      <c r="I247" s="106">
        <f>'2 - Section Count Projection'!$O$79</f>
        <v>0</v>
      </c>
      <c r="J247" s="16">
        <f>I247*H247</f>
        <v>0</v>
      </c>
      <c r="K247" s="7" t="str">
        <f t="shared" si="42"/>
        <v/>
      </c>
    </row>
    <row r="248" spans="1:11" x14ac:dyDescent="0.3">
      <c r="A248" s="14" t="s">
        <v>347</v>
      </c>
      <c r="B248" s="14" t="s">
        <v>69</v>
      </c>
      <c r="C248" s="6" t="s">
        <v>833</v>
      </c>
      <c r="D248" s="6" t="s">
        <v>834</v>
      </c>
      <c r="E248" s="6" t="s">
        <v>20</v>
      </c>
      <c r="F248" s="5">
        <v>2</v>
      </c>
      <c r="G248" s="13">
        <v>1.5</v>
      </c>
      <c r="H248" s="15">
        <f t="shared" si="53"/>
        <v>3.5</v>
      </c>
      <c r="I248" s="106">
        <f>'2 - Section Count Projection'!$O$79</f>
        <v>0</v>
      </c>
      <c r="J248" s="16">
        <f>I248*H248</f>
        <v>0</v>
      </c>
      <c r="K248" s="7" t="str">
        <f t="shared" si="42"/>
        <v/>
      </c>
    </row>
    <row r="249" spans="1:11" x14ac:dyDescent="0.3">
      <c r="A249" s="14" t="s">
        <v>347</v>
      </c>
      <c r="B249" s="14" t="s">
        <v>69</v>
      </c>
      <c r="C249" s="6" t="s">
        <v>835</v>
      </c>
      <c r="D249" s="6" t="s">
        <v>836</v>
      </c>
      <c r="E249" s="6" t="s">
        <v>34</v>
      </c>
      <c r="F249" s="5">
        <v>3</v>
      </c>
      <c r="G249" s="13"/>
      <c r="H249" s="15">
        <f t="shared" si="53"/>
        <v>3</v>
      </c>
      <c r="I249" s="106">
        <f>'2 - Section Count Projection'!$O$79</f>
        <v>0</v>
      </c>
      <c r="J249" s="16">
        <f>I249*H249</f>
        <v>0</v>
      </c>
      <c r="K249" s="7" t="str">
        <f t="shared" si="42"/>
        <v/>
      </c>
    </row>
    <row r="250" spans="1:11" x14ac:dyDescent="0.3">
      <c r="K250" s="7" t="str">
        <f t="shared" si="42"/>
        <v/>
      </c>
    </row>
    <row r="251" spans="1:11" x14ac:dyDescent="0.3">
      <c r="A251" s="58" t="s">
        <v>379</v>
      </c>
      <c r="K251" s="7" t="str">
        <f t="shared" si="42"/>
        <v/>
      </c>
    </row>
    <row r="252" spans="1:11" x14ac:dyDescent="0.3">
      <c r="A252" s="14" t="s">
        <v>347</v>
      </c>
      <c r="B252" s="14" t="s">
        <v>73</v>
      </c>
      <c r="C252" s="6" t="s">
        <v>837</v>
      </c>
      <c r="D252" s="6" t="s">
        <v>838</v>
      </c>
      <c r="E252" s="6" t="s">
        <v>20</v>
      </c>
      <c r="F252" s="5"/>
      <c r="G252" s="187">
        <v>3</v>
      </c>
      <c r="H252" s="15">
        <v>3</v>
      </c>
      <c r="I252" s="106">
        <f>'2 - Section Count Projection'!$O$81</f>
        <v>0</v>
      </c>
      <c r="J252" s="16">
        <f>I252*H252</f>
        <v>0</v>
      </c>
      <c r="K252" s="7" t="str">
        <f t="shared" si="42"/>
        <v/>
      </c>
    </row>
    <row r="253" spans="1:11" x14ac:dyDescent="0.3">
      <c r="K253" s="7" t="str">
        <f t="shared" si="42"/>
        <v/>
      </c>
    </row>
    <row r="254" spans="1:11" x14ac:dyDescent="0.3">
      <c r="A254" s="58" t="s">
        <v>389</v>
      </c>
      <c r="K254" s="7" t="str">
        <f t="shared" si="42"/>
        <v/>
      </c>
    </row>
    <row r="255" spans="1:11" x14ac:dyDescent="0.3">
      <c r="A255" s="8" t="s">
        <v>390</v>
      </c>
      <c r="B255" s="9" t="s">
        <v>61</v>
      </c>
      <c r="C255" s="6" t="s">
        <v>839</v>
      </c>
      <c r="D255" s="6" t="s">
        <v>840</v>
      </c>
      <c r="E255" s="6" t="s">
        <v>378</v>
      </c>
      <c r="F255" s="43">
        <v>3</v>
      </c>
      <c r="G255" s="44"/>
      <c r="H255" s="17">
        <f t="shared" ref="H255:H263" si="54">SUM(F255:G255)</f>
        <v>3</v>
      </c>
      <c r="I255" s="106">
        <f>'2 - Section Count Projection'!$O$84</f>
        <v>0</v>
      </c>
      <c r="J255" s="16">
        <f t="shared" ref="J255:J263" si="55">I255*H255</f>
        <v>0</v>
      </c>
      <c r="K255" s="7" t="str">
        <f t="shared" si="42"/>
        <v/>
      </c>
    </row>
    <row r="256" spans="1:11" x14ac:dyDescent="0.3">
      <c r="A256" s="8" t="s">
        <v>390</v>
      </c>
      <c r="B256" s="9" t="s">
        <v>61</v>
      </c>
      <c r="C256" s="6" t="s">
        <v>841</v>
      </c>
      <c r="D256" s="6" t="s">
        <v>842</v>
      </c>
      <c r="E256" s="6" t="s">
        <v>378</v>
      </c>
      <c r="F256" s="43">
        <v>3</v>
      </c>
      <c r="G256" s="44"/>
      <c r="H256" s="17">
        <f t="shared" si="54"/>
        <v>3</v>
      </c>
      <c r="I256" s="106">
        <f>'2 - Section Count Projection'!$O$84</f>
        <v>0</v>
      </c>
      <c r="J256" s="16">
        <f t="shared" si="55"/>
        <v>0</v>
      </c>
      <c r="K256" s="7" t="str">
        <f t="shared" si="42"/>
        <v/>
      </c>
    </row>
    <row r="257" spans="1:11" x14ac:dyDescent="0.3">
      <c r="A257" s="8" t="s">
        <v>390</v>
      </c>
      <c r="B257" s="9" t="s">
        <v>61</v>
      </c>
      <c r="C257" s="6" t="s">
        <v>843</v>
      </c>
      <c r="D257" s="6" t="s">
        <v>844</v>
      </c>
      <c r="E257" s="6" t="s">
        <v>398</v>
      </c>
      <c r="F257" s="43">
        <v>3</v>
      </c>
      <c r="G257" s="44"/>
      <c r="H257" s="17">
        <f t="shared" si="54"/>
        <v>3</v>
      </c>
      <c r="I257" s="106">
        <f>'2 - Section Count Projection'!$O$84</f>
        <v>0</v>
      </c>
      <c r="J257" s="16">
        <f t="shared" si="55"/>
        <v>0</v>
      </c>
      <c r="K257" s="7" t="str">
        <f t="shared" si="42"/>
        <v/>
      </c>
    </row>
    <row r="258" spans="1:11" x14ac:dyDescent="0.3">
      <c r="A258" s="8" t="s">
        <v>390</v>
      </c>
      <c r="B258" s="9" t="s">
        <v>61</v>
      </c>
      <c r="C258" s="6" t="s">
        <v>845</v>
      </c>
      <c r="D258" s="6" t="s">
        <v>846</v>
      </c>
      <c r="E258" s="6" t="s">
        <v>398</v>
      </c>
      <c r="F258" s="43">
        <v>3</v>
      </c>
      <c r="G258" s="44"/>
      <c r="H258" s="17">
        <f t="shared" si="54"/>
        <v>3</v>
      </c>
      <c r="I258" s="106">
        <f>'2 - Section Count Projection'!$O$84</f>
        <v>0</v>
      </c>
      <c r="J258" s="16">
        <f t="shared" si="55"/>
        <v>0</v>
      </c>
      <c r="K258" s="7" t="str">
        <f t="shared" si="42"/>
        <v/>
      </c>
    </row>
    <row r="259" spans="1:11" x14ac:dyDescent="0.3">
      <c r="A259" s="8" t="s">
        <v>390</v>
      </c>
      <c r="B259" s="9" t="s">
        <v>61</v>
      </c>
      <c r="C259" s="6" t="s">
        <v>309</v>
      </c>
      <c r="D259" s="6" t="s">
        <v>310</v>
      </c>
      <c r="E259" s="6" t="s">
        <v>20</v>
      </c>
      <c r="F259" s="43">
        <v>3</v>
      </c>
      <c r="G259" s="44"/>
      <c r="H259" s="17">
        <f t="shared" si="54"/>
        <v>3</v>
      </c>
      <c r="I259" s="106">
        <f>'2 - Section Count Projection'!$O$84</f>
        <v>0</v>
      </c>
      <c r="J259" s="16">
        <f t="shared" si="55"/>
        <v>0</v>
      </c>
      <c r="K259" s="7" t="str">
        <f t="shared" si="42"/>
        <v/>
      </c>
    </row>
    <row r="260" spans="1:11" x14ac:dyDescent="0.3">
      <c r="A260" s="8" t="s">
        <v>390</v>
      </c>
      <c r="B260" s="9" t="s">
        <v>61</v>
      </c>
      <c r="C260" s="6" t="s">
        <v>673</v>
      </c>
      <c r="D260" s="6" t="s">
        <v>674</v>
      </c>
      <c r="E260" s="6" t="s">
        <v>141</v>
      </c>
      <c r="F260" s="43">
        <v>3</v>
      </c>
      <c r="G260" s="44"/>
      <c r="H260" s="17">
        <f t="shared" si="54"/>
        <v>3</v>
      </c>
      <c r="I260" s="106">
        <f>'2 - Section Count Projection'!$O$84</f>
        <v>0</v>
      </c>
      <c r="J260" s="16">
        <f t="shared" si="55"/>
        <v>0</v>
      </c>
      <c r="K260" s="7" t="str">
        <f t="shared" ref="K260:K323" si="56">IF(I260&gt;0,F260,"")</f>
        <v/>
      </c>
    </row>
    <row r="261" spans="1:11" x14ac:dyDescent="0.3">
      <c r="A261" s="8" t="s">
        <v>390</v>
      </c>
      <c r="B261" s="9" t="s">
        <v>61</v>
      </c>
      <c r="C261" s="6" t="s">
        <v>668</v>
      </c>
      <c r="D261" s="6" t="s">
        <v>669</v>
      </c>
      <c r="E261" s="101"/>
      <c r="F261" s="43">
        <v>3</v>
      </c>
      <c r="G261" s="44"/>
      <c r="H261" s="17">
        <f t="shared" si="54"/>
        <v>3</v>
      </c>
      <c r="I261" s="106">
        <f>'2 - Section Count Projection'!$O$84</f>
        <v>0</v>
      </c>
      <c r="J261" s="16">
        <f t="shared" si="55"/>
        <v>0</v>
      </c>
      <c r="K261" s="7" t="str">
        <f t="shared" si="56"/>
        <v/>
      </c>
    </row>
    <row r="262" spans="1:11" x14ac:dyDescent="0.3">
      <c r="A262" s="8" t="s">
        <v>390</v>
      </c>
      <c r="B262" s="9" t="s">
        <v>61</v>
      </c>
      <c r="C262" s="6" t="s">
        <v>670</v>
      </c>
      <c r="D262" s="6" t="s">
        <v>698</v>
      </c>
      <c r="E262" s="6" t="s">
        <v>38</v>
      </c>
      <c r="F262" s="43">
        <v>2</v>
      </c>
      <c r="G262" s="44"/>
      <c r="H262" s="17">
        <f t="shared" si="54"/>
        <v>2</v>
      </c>
      <c r="I262" s="106">
        <f>'2 - Section Count Projection'!$O$84</f>
        <v>0</v>
      </c>
      <c r="J262" s="16">
        <f t="shared" si="55"/>
        <v>0</v>
      </c>
      <c r="K262" s="7" t="str">
        <f t="shared" si="56"/>
        <v/>
      </c>
    </row>
    <row r="263" spans="1:11" x14ac:dyDescent="0.3">
      <c r="A263" s="8" t="s">
        <v>390</v>
      </c>
      <c r="B263" s="9" t="s">
        <v>61</v>
      </c>
      <c r="C263" s="6" t="s">
        <v>217</v>
      </c>
      <c r="D263" s="6" t="s">
        <v>218</v>
      </c>
      <c r="E263" s="6" t="s">
        <v>36</v>
      </c>
      <c r="F263" s="43">
        <v>3</v>
      </c>
      <c r="G263" s="44"/>
      <c r="H263" s="17">
        <f t="shared" si="54"/>
        <v>3</v>
      </c>
      <c r="I263" s="106">
        <f>'2 - Section Count Projection'!$O$84</f>
        <v>0</v>
      </c>
      <c r="J263" s="16">
        <f t="shared" si="55"/>
        <v>0</v>
      </c>
      <c r="K263" s="7" t="str">
        <f t="shared" si="56"/>
        <v/>
      </c>
    </row>
    <row r="264" spans="1:11" x14ac:dyDescent="0.3">
      <c r="A264" s="8" t="s">
        <v>390</v>
      </c>
      <c r="B264" s="9" t="s">
        <v>61</v>
      </c>
      <c r="C264" s="6" t="s">
        <v>529</v>
      </c>
      <c r="D264" s="6" t="s">
        <v>530</v>
      </c>
      <c r="E264" s="6" t="s">
        <v>34</v>
      </c>
      <c r="F264" s="44"/>
      <c r="G264" s="52">
        <v>1.5</v>
      </c>
      <c r="H264" s="17">
        <f t="shared" ref="H264" si="57">SUM(F264:G264)</f>
        <v>1.5</v>
      </c>
      <c r="I264" s="106">
        <f>'2 - Section Count Projection'!$O$84</f>
        <v>0</v>
      </c>
      <c r="J264" s="16">
        <f t="shared" ref="J264" si="58">I264*H264</f>
        <v>0</v>
      </c>
      <c r="K264" s="7" t="str">
        <f t="shared" si="56"/>
        <v/>
      </c>
    </row>
    <row r="265" spans="1:11" x14ac:dyDescent="0.3">
      <c r="A265" s="7"/>
      <c r="K265" s="7" t="str">
        <f t="shared" si="56"/>
        <v/>
      </c>
    </row>
    <row r="266" spans="1:11" x14ac:dyDescent="0.3">
      <c r="A266" s="58" t="s">
        <v>395</v>
      </c>
      <c r="K266" s="7" t="str">
        <f t="shared" si="56"/>
        <v/>
      </c>
    </row>
    <row r="267" spans="1:11" x14ac:dyDescent="0.3">
      <c r="A267" s="8" t="s">
        <v>390</v>
      </c>
      <c r="B267" s="9" t="s">
        <v>64</v>
      </c>
      <c r="C267" s="6" t="s">
        <v>847</v>
      </c>
      <c r="D267" s="6" t="s">
        <v>848</v>
      </c>
      <c r="E267" s="6" t="s">
        <v>378</v>
      </c>
      <c r="F267" s="52">
        <v>2</v>
      </c>
      <c r="G267" s="52">
        <v>1.5</v>
      </c>
      <c r="H267" s="15">
        <f>SUM(F267:G267)</f>
        <v>3.5</v>
      </c>
      <c r="I267" s="106">
        <f>'2 - Section Count Projection'!$O$86</f>
        <v>0</v>
      </c>
      <c r="J267" s="16">
        <f>I267*H267</f>
        <v>0</v>
      </c>
      <c r="K267" s="7" t="str">
        <f t="shared" si="56"/>
        <v/>
      </c>
    </row>
    <row r="268" spans="1:11" x14ac:dyDescent="0.3">
      <c r="A268" s="8" t="s">
        <v>390</v>
      </c>
      <c r="B268" s="9" t="s">
        <v>64</v>
      </c>
      <c r="C268" s="6" t="s">
        <v>849</v>
      </c>
      <c r="D268" s="6" t="s">
        <v>850</v>
      </c>
      <c r="E268" s="6" t="s">
        <v>378</v>
      </c>
      <c r="F268" s="52">
        <v>3</v>
      </c>
      <c r="G268" s="52"/>
      <c r="H268" s="15">
        <f t="shared" ref="H268:H275" si="59">SUM(F268:G268)</f>
        <v>3</v>
      </c>
      <c r="I268" s="106">
        <f>'2 - Section Count Projection'!$O$86</f>
        <v>0</v>
      </c>
      <c r="J268" s="16">
        <f t="shared" ref="J268:J275" si="60">I268*H268</f>
        <v>0</v>
      </c>
      <c r="K268" s="7" t="str">
        <f t="shared" si="56"/>
        <v/>
      </c>
    </row>
    <row r="269" spans="1:11" x14ac:dyDescent="0.3">
      <c r="A269" s="8" t="s">
        <v>390</v>
      </c>
      <c r="B269" s="9" t="s">
        <v>64</v>
      </c>
      <c r="C269" s="6" t="s">
        <v>851</v>
      </c>
      <c r="D269" s="6" t="s">
        <v>280</v>
      </c>
      <c r="E269" s="6" t="s">
        <v>20</v>
      </c>
      <c r="F269" s="52">
        <v>3</v>
      </c>
      <c r="G269" s="52"/>
      <c r="H269" s="15">
        <f t="shared" si="59"/>
        <v>3</v>
      </c>
      <c r="I269" s="106">
        <f>'2 - Section Count Projection'!$O$86</f>
        <v>0</v>
      </c>
      <c r="J269" s="16">
        <f t="shared" si="60"/>
        <v>0</v>
      </c>
      <c r="K269" s="7" t="str">
        <f t="shared" si="56"/>
        <v/>
      </c>
    </row>
    <row r="270" spans="1:11" x14ac:dyDescent="0.3">
      <c r="A270" s="8" t="s">
        <v>390</v>
      </c>
      <c r="B270" s="9" t="s">
        <v>64</v>
      </c>
      <c r="C270" s="6" t="s">
        <v>852</v>
      </c>
      <c r="D270" s="6" t="s">
        <v>853</v>
      </c>
      <c r="E270" s="6" t="s">
        <v>378</v>
      </c>
      <c r="F270" s="52">
        <v>2</v>
      </c>
      <c r="G270" s="52">
        <v>1.5</v>
      </c>
      <c r="H270" s="15">
        <f t="shared" si="59"/>
        <v>3.5</v>
      </c>
      <c r="I270" s="106">
        <f>'2 - Section Count Projection'!$O$86</f>
        <v>0</v>
      </c>
      <c r="J270" s="16">
        <f t="shared" si="60"/>
        <v>0</v>
      </c>
      <c r="K270" s="7" t="str">
        <f t="shared" si="56"/>
        <v/>
      </c>
    </row>
    <row r="271" spans="1:11" x14ac:dyDescent="0.3">
      <c r="A271" s="8" t="s">
        <v>390</v>
      </c>
      <c r="B271" s="9" t="s">
        <v>64</v>
      </c>
      <c r="C271" s="6" t="s">
        <v>854</v>
      </c>
      <c r="D271" s="6" t="s">
        <v>855</v>
      </c>
      <c r="E271" s="6" t="s">
        <v>378</v>
      </c>
      <c r="F271" s="52">
        <v>3</v>
      </c>
      <c r="G271" s="52"/>
      <c r="H271" s="15">
        <f t="shared" si="59"/>
        <v>3</v>
      </c>
      <c r="I271" s="106">
        <f>'2 - Section Count Projection'!$O$86</f>
        <v>0</v>
      </c>
      <c r="J271" s="16">
        <f t="shared" si="60"/>
        <v>0</v>
      </c>
      <c r="K271" s="7" t="str">
        <f t="shared" si="56"/>
        <v/>
      </c>
    </row>
    <row r="272" spans="1:11" x14ac:dyDescent="0.3">
      <c r="A272" s="8" t="s">
        <v>390</v>
      </c>
      <c r="B272" s="9" t="s">
        <v>64</v>
      </c>
      <c r="C272" s="6" t="s">
        <v>132</v>
      </c>
      <c r="D272" s="6" t="s">
        <v>133</v>
      </c>
      <c r="E272" s="101"/>
      <c r="F272" s="52">
        <v>3</v>
      </c>
      <c r="G272" s="52"/>
      <c r="H272" s="15">
        <f t="shared" si="59"/>
        <v>3</v>
      </c>
      <c r="I272" s="106">
        <f>'2 - Section Count Projection'!$O$86</f>
        <v>0</v>
      </c>
      <c r="J272" s="16">
        <f t="shared" si="60"/>
        <v>0</v>
      </c>
      <c r="K272" s="7" t="str">
        <f t="shared" si="56"/>
        <v/>
      </c>
    </row>
    <row r="273" spans="1:11" x14ac:dyDescent="0.3">
      <c r="A273" s="8" t="s">
        <v>390</v>
      </c>
      <c r="B273" s="9" t="s">
        <v>64</v>
      </c>
      <c r="C273" s="6" t="s">
        <v>297</v>
      </c>
      <c r="D273" s="6" t="s">
        <v>298</v>
      </c>
      <c r="E273" s="6" t="s">
        <v>141</v>
      </c>
      <c r="F273" s="52">
        <v>3</v>
      </c>
      <c r="G273" s="52"/>
      <c r="H273" s="15">
        <f t="shared" si="59"/>
        <v>3</v>
      </c>
      <c r="I273" s="106">
        <f>'2 - Section Count Projection'!$O$86</f>
        <v>0</v>
      </c>
      <c r="J273" s="16">
        <f t="shared" si="60"/>
        <v>0</v>
      </c>
      <c r="K273" s="7" t="str">
        <f t="shared" si="56"/>
        <v/>
      </c>
    </row>
    <row r="274" spans="1:11" x14ac:dyDescent="0.3">
      <c r="A274" s="8" t="s">
        <v>390</v>
      </c>
      <c r="B274" s="9" t="s">
        <v>64</v>
      </c>
      <c r="C274" s="6" t="s">
        <v>678</v>
      </c>
      <c r="D274" s="6" t="s">
        <v>703</v>
      </c>
      <c r="E274" s="6" t="s">
        <v>38</v>
      </c>
      <c r="F274" s="52">
        <v>2</v>
      </c>
      <c r="G274" s="52"/>
      <c r="H274" s="15">
        <f t="shared" si="59"/>
        <v>2</v>
      </c>
      <c r="I274" s="106">
        <f>'2 - Section Count Projection'!$O$86</f>
        <v>0</v>
      </c>
      <c r="J274" s="16">
        <f t="shared" si="60"/>
        <v>0</v>
      </c>
      <c r="K274" s="7" t="str">
        <f t="shared" si="56"/>
        <v/>
      </c>
    </row>
    <row r="275" spans="1:11" x14ac:dyDescent="0.3">
      <c r="A275" s="8" t="s">
        <v>390</v>
      </c>
      <c r="B275" s="9" t="s">
        <v>64</v>
      </c>
      <c r="C275" s="6" t="s">
        <v>856</v>
      </c>
      <c r="D275" s="6" t="s">
        <v>857</v>
      </c>
      <c r="E275" s="6" t="s">
        <v>34</v>
      </c>
      <c r="F275" s="52">
        <v>3</v>
      </c>
      <c r="G275" s="52"/>
      <c r="H275" s="15">
        <f t="shared" si="59"/>
        <v>3</v>
      </c>
      <c r="I275" s="106">
        <f>'2 - Section Count Projection'!$O$86</f>
        <v>0</v>
      </c>
      <c r="J275" s="16">
        <f t="shared" si="60"/>
        <v>0</v>
      </c>
      <c r="K275" s="7" t="str">
        <f t="shared" si="56"/>
        <v/>
      </c>
    </row>
    <row r="276" spans="1:11" x14ac:dyDescent="0.3">
      <c r="K276" s="7" t="str">
        <f t="shared" si="56"/>
        <v/>
      </c>
    </row>
    <row r="277" spans="1:11" x14ac:dyDescent="0.3">
      <c r="A277" s="58" t="s">
        <v>395</v>
      </c>
      <c r="K277" s="7" t="str">
        <f t="shared" si="56"/>
        <v/>
      </c>
    </row>
    <row r="278" spans="1:11" x14ac:dyDescent="0.3">
      <c r="A278" s="8" t="s">
        <v>390</v>
      </c>
      <c r="B278" s="9" t="s">
        <v>69</v>
      </c>
      <c r="C278" s="4" t="s">
        <v>858</v>
      </c>
      <c r="D278" s="4" t="s">
        <v>859</v>
      </c>
      <c r="E278" s="6" t="s">
        <v>378</v>
      </c>
      <c r="F278" s="52">
        <v>2</v>
      </c>
      <c r="G278" s="52">
        <v>1.5</v>
      </c>
      <c r="H278" s="17">
        <f>SUM(F278:G278)</f>
        <v>3.5</v>
      </c>
      <c r="I278" s="106">
        <f>'2 - Section Count Projection'!$O$88</f>
        <v>0</v>
      </c>
      <c r="J278" s="16">
        <f>I278*H278</f>
        <v>0</v>
      </c>
      <c r="K278" s="7" t="str">
        <f t="shared" si="56"/>
        <v/>
      </c>
    </row>
    <row r="279" spans="1:11" x14ac:dyDescent="0.3">
      <c r="A279" s="8" t="s">
        <v>390</v>
      </c>
      <c r="B279" s="9" t="s">
        <v>69</v>
      </c>
      <c r="C279" s="4" t="s">
        <v>860</v>
      </c>
      <c r="D279" s="4" t="s">
        <v>861</v>
      </c>
      <c r="E279" s="6" t="s">
        <v>378</v>
      </c>
      <c r="F279" s="52">
        <v>3</v>
      </c>
      <c r="G279" s="52"/>
      <c r="H279" s="17">
        <f t="shared" ref="H279:H284" si="61">SUM(F279:G279)</f>
        <v>3</v>
      </c>
      <c r="I279" s="106">
        <f>'2 - Section Count Projection'!$O$88</f>
        <v>0</v>
      </c>
      <c r="J279" s="16">
        <f t="shared" ref="J279:J284" si="62">I279*H279</f>
        <v>0</v>
      </c>
      <c r="K279" s="7" t="str">
        <f t="shared" si="56"/>
        <v/>
      </c>
    </row>
    <row r="280" spans="1:11" x14ac:dyDescent="0.3">
      <c r="A280" s="8" t="s">
        <v>390</v>
      </c>
      <c r="B280" s="9" t="s">
        <v>69</v>
      </c>
      <c r="C280" s="4" t="s">
        <v>862</v>
      </c>
      <c r="D280" s="4" t="s">
        <v>863</v>
      </c>
      <c r="E280" s="6" t="s">
        <v>34</v>
      </c>
      <c r="F280" s="52">
        <v>3</v>
      </c>
      <c r="G280" s="52"/>
      <c r="H280" s="17">
        <f t="shared" si="61"/>
        <v>3</v>
      </c>
      <c r="I280" s="106">
        <f>'2 - Section Count Projection'!$O$88</f>
        <v>0</v>
      </c>
      <c r="J280" s="16">
        <f t="shared" si="62"/>
        <v>0</v>
      </c>
      <c r="K280" s="7" t="str">
        <f t="shared" si="56"/>
        <v/>
      </c>
    </row>
    <row r="281" spans="1:11" x14ac:dyDescent="0.3">
      <c r="A281" s="8" t="s">
        <v>390</v>
      </c>
      <c r="B281" s="9" t="s">
        <v>69</v>
      </c>
      <c r="C281" s="4" t="s">
        <v>864</v>
      </c>
      <c r="D281" s="4" t="s">
        <v>865</v>
      </c>
      <c r="E281" s="6" t="s">
        <v>34</v>
      </c>
      <c r="F281" s="52">
        <v>3</v>
      </c>
      <c r="G281" s="52"/>
      <c r="H281" s="17">
        <f t="shared" si="61"/>
        <v>3</v>
      </c>
      <c r="I281" s="106">
        <f>'2 - Section Count Projection'!$O$88</f>
        <v>0</v>
      </c>
      <c r="J281" s="16">
        <f t="shared" si="62"/>
        <v>0</v>
      </c>
      <c r="K281" s="7" t="str">
        <f t="shared" si="56"/>
        <v/>
      </c>
    </row>
    <row r="282" spans="1:11" x14ac:dyDescent="0.3">
      <c r="A282" s="8" t="s">
        <v>390</v>
      </c>
      <c r="B282" s="9" t="s">
        <v>69</v>
      </c>
      <c r="C282" s="4" t="s">
        <v>866</v>
      </c>
      <c r="D282" s="4" t="s">
        <v>867</v>
      </c>
      <c r="E282" s="6" t="s">
        <v>34</v>
      </c>
      <c r="F282" s="52">
        <v>2</v>
      </c>
      <c r="G282" s="52">
        <v>1.5</v>
      </c>
      <c r="H282" s="17">
        <f t="shared" si="61"/>
        <v>3.5</v>
      </c>
      <c r="I282" s="106">
        <f>'2 - Section Count Projection'!$O$88</f>
        <v>0</v>
      </c>
      <c r="J282" s="16">
        <f t="shared" si="62"/>
        <v>0</v>
      </c>
      <c r="K282" s="7" t="str">
        <f t="shared" si="56"/>
        <v/>
      </c>
    </row>
    <row r="283" spans="1:11" x14ac:dyDescent="0.3">
      <c r="A283" s="8" t="s">
        <v>390</v>
      </c>
      <c r="B283" s="9" t="s">
        <v>69</v>
      </c>
      <c r="C283" s="4" t="s">
        <v>688</v>
      </c>
      <c r="D283" s="4" t="s">
        <v>830</v>
      </c>
      <c r="E283" s="6" t="s">
        <v>34</v>
      </c>
      <c r="F283" s="52">
        <v>3</v>
      </c>
      <c r="G283" s="52"/>
      <c r="H283" s="17">
        <f t="shared" si="61"/>
        <v>3</v>
      </c>
      <c r="I283" s="106">
        <f>'2 - Section Count Projection'!$O$88</f>
        <v>0</v>
      </c>
      <c r="J283" s="16">
        <f t="shared" si="62"/>
        <v>0</v>
      </c>
      <c r="K283" s="7" t="str">
        <f t="shared" si="56"/>
        <v/>
      </c>
    </row>
    <row r="284" spans="1:11" x14ac:dyDescent="0.3">
      <c r="A284" s="8" t="s">
        <v>390</v>
      </c>
      <c r="B284" s="9" t="s">
        <v>69</v>
      </c>
      <c r="C284" s="4" t="s">
        <v>835</v>
      </c>
      <c r="D284" s="4" t="s">
        <v>836</v>
      </c>
      <c r="E284" s="6" t="s">
        <v>34</v>
      </c>
      <c r="F284" s="52">
        <v>3</v>
      </c>
      <c r="G284" s="52"/>
      <c r="H284" s="17">
        <f t="shared" si="61"/>
        <v>3</v>
      </c>
      <c r="I284" s="106">
        <f>'2 - Section Count Projection'!$O$88</f>
        <v>0</v>
      </c>
      <c r="J284" s="16">
        <f t="shared" si="62"/>
        <v>0</v>
      </c>
      <c r="K284" s="7" t="str">
        <f t="shared" si="56"/>
        <v/>
      </c>
    </row>
    <row r="285" spans="1:11" x14ac:dyDescent="0.3">
      <c r="K285" s="7" t="str">
        <f t="shared" si="56"/>
        <v/>
      </c>
    </row>
    <row r="286" spans="1:11" x14ac:dyDescent="0.3">
      <c r="A286" s="58" t="s">
        <v>421</v>
      </c>
      <c r="K286" s="7" t="str">
        <f t="shared" si="56"/>
        <v/>
      </c>
    </row>
    <row r="287" spans="1:11" x14ac:dyDescent="0.3">
      <c r="A287" s="8" t="s">
        <v>390</v>
      </c>
      <c r="B287" s="9" t="s">
        <v>73</v>
      </c>
      <c r="C287" s="6" t="s">
        <v>868</v>
      </c>
      <c r="D287" s="6" t="s">
        <v>869</v>
      </c>
      <c r="E287" s="6" t="s">
        <v>378</v>
      </c>
      <c r="F287" s="52">
        <v>2</v>
      </c>
      <c r="G287" s="52"/>
      <c r="H287" s="17">
        <f>SUM(F287:G287)</f>
        <v>2</v>
      </c>
      <c r="I287" s="106">
        <f>'2 - Section Count Projection'!$O$90</f>
        <v>0</v>
      </c>
      <c r="J287" s="16">
        <f>I287*H287</f>
        <v>0</v>
      </c>
      <c r="K287" s="7" t="str">
        <f t="shared" si="56"/>
        <v/>
      </c>
    </row>
    <row r="288" spans="1:11" x14ac:dyDescent="0.3">
      <c r="A288" s="8" t="s">
        <v>390</v>
      </c>
      <c r="B288" s="9" t="s">
        <v>73</v>
      </c>
      <c r="C288" s="6" t="s">
        <v>870</v>
      </c>
      <c r="D288" s="6" t="s">
        <v>871</v>
      </c>
      <c r="E288" s="6" t="s">
        <v>378</v>
      </c>
      <c r="F288" s="52"/>
      <c r="G288" s="172">
        <v>3</v>
      </c>
      <c r="H288" s="17">
        <v>3</v>
      </c>
      <c r="I288" s="106">
        <f>'2 - Section Count Projection'!$O$90</f>
        <v>0</v>
      </c>
      <c r="J288" s="16">
        <f t="shared" ref="J288" si="63">I288*H288</f>
        <v>0</v>
      </c>
      <c r="K288" s="7" t="str">
        <f t="shared" si="56"/>
        <v/>
      </c>
    </row>
    <row r="289" spans="1:11" x14ac:dyDescent="0.3">
      <c r="K289" s="7" t="str">
        <f t="shared" si="56"/>
        <v/>
      </c>
    </row>
    <row r="290" spans="1:11" x14ac:dyDescent="0.3">
      <c r="A290" s="58" t="s">
        <v>436</v>
      </c>
      <c r="K290" s="7" t="str">
        <f t="shared" si="56"/>
        <v/>
      </c>
    </row>
    <row r="291" spans="1:11" x14ac:dyDescent="0.3">
      <c r="A291" s="8" t="s">
        <v>437</v>
      </c>
      <c r="B291" s="9" t="s">
        <v>61</v>
      </c>
      <c r="C291" s="6" t="s">
        <v>839</v>
      </c>
      <c r="D291" s="6" t="s">
        <v>840</v>
      </c>
      <c r="E291" s="6" t="s">
        <v>378</v>
      </c>
      <c r="F291" s="52">
        <v>3</v>
      </c>
      <c r="G291" s="52"/>
      <c r="H291" s="17">
        <f>SUM(F291:G291)</f>
        <v>3</v>
      </c>
      <c r="I291" s="106">
        <f>'2 - Section Count Projection'!$O$93</f>
        <v>0</v>
      </c>
      <c r="J291" s="16">
        <f>I291*H291</f>
        <v>0</v>
      </c>
      <c r="K291" s="7" t="str">
        <f t="shared" si="56"/>
        <v/>
      </c>
    </row>
    <row r="292" spans="1:11" x14ac:dyDescent="0.3">
      <c r="A292" s="8" t="s">
        <v>437</v>
      </c>
      <c r="B292" s="9" t="s">
        <v>61</v>
      </c>
      <c r="C292" s="6" t="s">
        <v>841</v>
      </c>
      <c r="D292" s="6" t="s">
        <v>842</v>
      </c>
      <c r="E292" s="6" t="s">
        <v>378</v>
      </c>
      <c r="F292" s="52">
        <v>3</v>
      </c>
      <c r="G292" s="52"/>
      <c r="H292" s="17">
        <f t="shared" ref="H292:H299" si="64">SUM(F292:G292)</f>
        <v>3</v>
      </c>
      <c r="I292" s="106">
        <f>'2 - Section Count Projection'!$O$93</f>
        <v>0</v>
      </c>
      <c r="J292" s="16">
        <f t="shared" ref="J292:J299" si="65">I292*H292</f>
        <v>0</v>
      </c>
      <c r="K292" s="7" t="str">
        <f t="shared" si="56"/>
        <v/>
      </c>
    </row>
    <row r="293" spans="1:11" x14ac:dyDescent="0.3">
      <c r="A293" s="8" t="s">
        <v>437</v>
      </c>
      <c r="B293" s="9" t="s">
        <v>61</v>
      </c>
      <c r="C293" s="6" t="s">
        <v>843</v>
      </c>
      <c r="D293" s="6" t="s">
        <v>844</v>
      </c>
      <c r="E293" s="6" t="s">
        <v>398</v>
      </c>
      <c r="F293" s="52">
        <v>3</v>
      </c>
      <c r="G293" s="52"/>
      <c r="H293" s="17">
        <f t="shared" si="64"/>
        <v>3</v>
      </c>
      <c r="I293" s="106">
        <f>'2 - Section Count Projection'!$O$93</f>
        <v>0</v>
      </c>
      <c r="J293" s="16">
        <f t="shared" si="65"/>
        <v>0</v>
      </c>
      <c r="K293" s="7" t="str">
        <f t="shared" si="56"/>
        <v/>
      </c>
    </row>
    <row r="294" spans="1:11" x14ac:dyDescent="0.3">
      <c r="A294" s="8" t="s">
        <v>437</v>
      </c>
      <c r="B294" s="9" t="s">
        <v>61</v>
      </c>
      <c r="C294" s="6" t="s">
        <v>845</v>
      </c>
      <c r="D294" s="6" t="s">
        <v>846</v>
      </c>
      <c r="E294" s="6" t="s">
        <v>398</v>
      </c>
      <c r="F294" s="52">
        <v>3</v>
      </c>
      <c r="G294" s="52"/>
      <c r="H294" s="17">
        <f t="shared" si="64"/>
        <v>3</v>
      </c>
      <c r="I294" s="106">
        <f>'2 - Section Count Projection'!$O$93</f>
        <v>0</v>
      </c>
      <c r="J294" s="16">
        <f t="shared" si="65"/>
        <v>0</v>
      </c>
      <c r="K294" s="7" t="str">
        <f t="shared" si="56"/>
        <v/>
      </c>
    </row>
    <row r="295" spans="1:11" x14ac:dyDescent="0.3">
      <c r="A295" s="8" t="s">
        <v>437</v>
      </c>
      <c r="B295" s="9" t="s">
        <v>61</v>
      </c>
      <c r="C295" s="6" t="s">
        <v>309</v>
      </c>
      <c r="D295" s="6" t="s">
        <v>310</v>
      </c>
      <c r="E295" s="6" t="s">
        <v>20</v>
      </c>
      <c r="F295" s="52">
        <v>3</v>
      </c>
      <c r="G295" s="52"/>
      <c r="H295" s="17">
        <f t="shared" si="64"/>
        <v>3</v>
      </c>
      <c r="I295" s="106">
        <f>'2 - Section Count Projection'!$O$93</f>
        <v>0</v>
      </c>
      <c r="J295" s="16">
        <f t="shared" si="65"/>
        <v>0</v>
      </c>
      <c r="K295" s="7" t="str">
        <f t="shared" si="56"/>
        <v/>
      </c>
    </row>
    <row r="296" spans="1:11" x14ac:dyDescent="0.3">
      <c r="A296" s="8" t="s">
        <v>437</v>
      </c>
      <c r="B296" s="9" t="s">
        <v>61</v>
      </c>
      <c r="C296" s="6" t="s">
        <v>673</v>
      </c>
      <c r="D296" s="6" t="s">
        <v>674</v>
      </c>
      <c r="E296" s="6" t="s">
        <v>141</v>
      </c>
      <c r="F296" s="52">
        <v>3</v>
      </c>
      <c r="G296" s="52"/>
      <c r="H296" s="17">
        <f t="shared" si="64"/>
        <v>3</v>
      </c>
      <c r="I296" s="106">
        <f>'2 - Section Count Projection'!$O$93</f>
        <v>0</v>
      </c>
      <c r="J296" s="16">
        <f t="shared" si="65"/>
        <v>0</v>
      </c>
      <c r="K296" s="7" t="str">
        <f t="shared" si="56"/>
        <v/>
      </c>
    </row>
    <row r="297" spans="1:11" x14ac:dyDescent="0.3">
      <c r="A297" s="8" t="s">
        <v>437</v>
      </c>
      <c r="B297" s="9" t="s">
        <v>61</v>
      </c>
      <c r="C297" s="6" t="s">
        <v>668</v>
      </c>
      <c r="D297" s="6" t="s">
        <v>669</v>
      </c>
      <c r="E297" s="101"/>
      <c r="F297" s="52">
        <v>3</v>
      </c>
      <c r="G297" s="52"/>
      <c r="H297" s="17">
        <f t="shared" si="64"/>
        <v>3</v>
      </c>
      <c r="I297" s="106">
        <f>'2 - Section Count Projection'!$O$93</f>
        <v>0</v>
      </c>
      <c r="J297" s="16">
        <f t="shared" si="65"/>
        <v>0</v>
      </c>
      <c r="K297" s="7" t="str">
        <f t="shared" si="56"/>
        <v/>
      </c>
    </row>
    <row r="298" spans="1:11" x14ac:dyDescent="0.3">
      <c r="A298" s="8" t="s">
        <v>437</v>
      </c>
      <c r="B298" s="9" t="s">
        <v>61</v>
      </c>
      <c r="C298" s="6" t="s">
        <v>670</v>
      </c>
      <c r="D298" s="6" t="s">
        <v>698</v>
      </c>
      <c r="E298" s="6" t="s">
        <v>38</v>
      </c>
      <c r="F298" s="52">
        <v>2</v>
      </c>
      <c r="G298" s="52"/>
      <c r="H298" s="17">
        <f t="shared" si="64"/>
        <v>2</v>
      </c>
      <c r="I298" s="106">
        <f>'2 - Section Count Projection'!$O$93</f>
        <v>0</v>
      </c>
      <c r="J298" s="16">
        <f t="shared" si="65"/>
        <v>0</v>
      </c>
      <c r="K298" s="7" t="str">
        <f t="shared" si="56"/>
        <v/>
      </c>
    </row>
    <row r="299" spans="1:11" x14ac:dyDescent="0.3">
      <c r="A299" s="8" t="s">
        <v>437</v>
      </c>
      <c r="B299" s="9" t="s">
        <v>61</v>
      </c>
      <c r="C299" s="6" t="s">
        <v>217</v>
      </c>
      <c r="D299" s="6" t="s">
        <v>218</v>
      </c>
      <c r="E299" s="6" t="s">
        <v>36</v>
      </c>
      <c r="F299" s="52">
        <v>3</v>
      </c>
      <c r="G299" s="52"/>
      <c r="H299" s="17">
        <f t="shared" si="64"/>
        <v>3</v>
      </c>
      <c r="I299" s="106">
        <f>'2 - Section Count Projection'!$O$93</f>
        <v>0</v>
      </c>
      <c r="J299" s="16">
        <f t="shared" si="65"/>
        <v>0</v>
      </c>
      <c r="K299" s="7" t="str">
        <f t="shared" si="56"/>
        <v/>
      </c>
    </row>
    <row r="300" spans="1:11" x14ac:dyDescent="0.3">
      <c r="A300" s="8" t="s">
        <v>437</v>
      </c>
      <c r="B300" s="9" t="s">
        <v>61</v>
      </c>
      <c r="C300" s="6" t="s">
        <v>529</v>
      </c>
      <c r="D300" s="6" t="s">
        <v>530</v>
      </c>
      <c r="E300" s="6" t="s">
        <v>34</v>
      </c>
      <c r="F300" s="52"/>
      <c r="G300" s="52">
        <v>1.5</v>
      </c>
      <c r="H300" s="17">
        <f t="shared" ref="H300" si="66">SUM(F300:G300)</f>
        <v>1.5</v>
      </c>
      <c r="I300" s="106">
        <f>'2 - Section Count Projection'!$O$93</f>
        <v>0</v>
      </c>
      <c r="J300" s="16">
        <f t="shared" ref="J300" si="67">I300*H300</f>
        <v>0</v>
      </c>
      <c r="K300" s="7" t="str">
        <f t="shared" si="56"/>
        <v/>
      </c>
    </row>
    <row r="301" spans="1:11" x14ac:dyDescent="0.3">
      <c r="C301" s="42"/>
      <c r="D301" s="42"/>
      <c r="K301" s="7" t="str">
        <f t="shared" si="56"/>
        <v/>
      </c>
    </row>
    <row r="302" spans="1:11" x14ac:dyDescent="0.3">
      <c r="A302" s="58" t="s">
        <v>438</v>
      </c>
      <c r="C302" s="42"/>
      <c r="D302" s="42"/>
      <c r="K302" s="7" t="str">
        <f t="shared" si="56"/>
        <v/>
      </c>
    </row>
    <row r="303" spans="1:11" x14ac:dyDescent="0.3">
      <c r="A303" s="8" t="s">
        <v>437</v>
      </c>
      <c r="B303" s="9" t="s">
        <v>64</v>
      </c>
      <c r="C303" s="6" t="s">
        <v>847</v>
      </c>
      <c r="D303" s="6" t="s">
        <v>848</v>
      </c>
      <c r="E303" s="6" t="s">
        <v>378</v>
      </c>
      <c r="F303" s="52">
        <v>2</v>
      </c>
      <c r="G303" s="52">
        <v>1.5</v>
      </c>
      <c r="H303" s="15">
        <f t="shared" ref="H303:H311" si="68">SUM(F303:G303)</f>
        <v>3.5</v>
      </c>
      <c r="I303" s="106">
        <f>'2 - Section Count Projection'!$O$95</f>
        <v>0</v>
      </c>
      <c r="J303" s="16">
        <f t="shared" ref="J303:J311" si="69">I303*H303</f>
        <v>0</v>
      </c>
      <c r="K303" s="7" t="str">
        <f t="shared" si="56"/>
        <v/>
      </c>
    </row>
    <row r="304" spans="1:11" x14ac:dyDescent="0.3">
      <c r="A304" s="8" t="s">
        <v>437</v>
      </c>
      <c r="B304" s="9" t="s">
        <v>64</v>
      </c>
      <c r="C304" s="6" t="s">
        <v>849</v>
      </c>
      <c r="D304" s="6" t="s">
        <v>850</v>
      </c>
      <c r="E304" s="6" t="s">
        <v>398</v>
      </c>
      <c r="F304" s="52">
        <v>3</v>
      </c>
      <c r="G304" s="52"/>
      <c r="H304" s="15">
        <f t="shared" si="68"/>
        <v>3</v>
      </c>
      <c r="I304" s="106">
        <f>'2 - Section Count Projection'!$O$95</f>
        <v>0</v>
      </c>
      <c r="J304" s="16">
        <f t="shared" si="69"/>
        <v>0</v>
      </c>
      <c r="K304" s="7" t="str">
        <f t="shared" si="56"/>
        <v/>
      </c>
    </row>
    <row r="305" spans="1:11" x14ac:dyDescent="0.3">
      <c r="A305" s="8" t="s">
        <v>437</v>
      </c>
      <c r="B305" s="9" t="s">
        <v>64</v>
      </c>
      <c r="C305" s="6" t="s">
        <v>851</v>
      </c>
      <c r="D305" s="6" t="s">
        <v>280</v>
      </c>
      <c r="E305" s="6" t="s">
        <v>20</v>
      </c>
      <c r="F305" s="52">
        <v>3</v>
      </c>
      <c r="G305" s="52"/>
      <c r="H305" s="15">
        <f t="shared" si="68"/>
        <v>3</v>
      </c>
      <c r="I305" s="106">
        <f>'2 - Section Count Projection'!$O$95</f>
        <v>0</v>
      </c>
      <c r="J305" s="16">
        <f t="shared" si="69"/>
        <v>0</v>
      </c>
      <c r="K305" s="7" t="str">
        <f t="shared" si="56"/>
        <v/>
      </c>
    </row>
    <row r="306" spans="1:11" x14ac:dyDescent="0.3">
      <c r="A306" s="8" t="s">
        <v>437</v>
      </c>
      <c r="B306" s="9" t="s">
        <v>64</v>
      </c>
      <c r="C306" s="6" t="s">
        <v>852</v>
      </c>
      <c r="D306" s="6" t="s">
        <v>853</v>
      </c>
      <c r="E306" s="6" t="s">
        <v>378</v>
      </c>
      <c r="F306" s="52">
        <v>2</v>
      </c>
      <c r="G306" s="52">
        <v>1.5</v>
      </c>
      <c r="H306" s="15">
        <f t="shared" si="68"/>
        <v>3.5</v>
      </c>
      <c r="I306" s="106">
        <f>'2 - Section Count Projection'!$O$95</f>
        <v>0</v>
      </c>
      <c r="J306" s="16">
        <f t="shared" si="69"/>
        <v>0</v>
      </c>
      <c r="K306" s="7" t="str">
        <f t="shared" si="56"/>
        <v/>
      </c>
    </row>
    <row r="307" spans="1:11" x14ac:dyDescent="0.3">
      <c r="A307" s="8" t="s">
        <v>437</v>
      </c>
      <c r="B307" s="9" t="s">
        <v>64</v>
      </c>
      <c r="C307" s="6" t="s">
        <v>854</v>
      </c>
      <c r="D307" s="6" t="s">
        <v>855</v>
      </c>
      <c r="E307" s="6" t="s">
        <v>378</v>
      </c>
      <c r="F307" s="52">
        <v>3</v>
      </c>
      <c r="G307" s="52"/>
      <c r="H307" s="15">
        <f t="shared" si="68"/>
        <v>3</v>
      </c>
      <c r="I307" s="106">
        <f>'2 - Section Count Projection'!$O$95</f>
        <v>0</v>
      </c>
      <c r="J307" s="16">
        <f t="shared" si="69"/>
        <v>0</v>
      </c>
      <c r="K307" s="7" t="str">
        <f t="shared" si="56"/>
        <v/>
      </c>
    </row>
    <row r="308" spans="1:11" x14ac:dyDescent="0.3">
      <c r="A308" s="8" t="s">
        <v>437</v>
      </c>
      <c r="B308" s="9" t="s">
        <v>64</v>
      </c>
      <c r="C308" s="6" t="s">
        <v>132</v>
      </c>
      <c r="D308" s="6" t="s">
        <v>133</v>
      </c>
      <c r="E308" s="101"/>
      <c r="F308" s="52">
        <v>3</v>
      </c>
      <c r="G308" s="52"/>
      <c r="H308" s="15">
        <f t="shared" si="68"/>
        <v>3</v>
      </c>
      <c r="I308" s="106">
        <f>'2 - Section Count Projection'!$O$95</f>
        <v>0</v>
      </c>
      <c r="J308" s="16">
        <f t="shared" si="69"/>
        <v>0</v>
      </c>
      <c r="K308" s="7" t="str">
        <f t="shared" si="56"/>
        <v/>
      </c>
    </row>
    <row r="309" spans="1:11" x14ac:dyDescent="0.3">
      <c r="A309" s="8" t="s">
        <v>437</v>
      </c>
      <c r="B309" s="9" t="s">
        <v>64</v>
      </c>
      <c r="C309" s="6" t="s">
        <v>297</v>
      </c>
      <c r="D309" s="6" t="s">
        <v>298</v>
      </c>
      <c r="E309" s="6" t="s">
        <v>141</v>
      </c>
      <c r="F309" s="52">
        <v>3</v>
      </c>
      <c r="G309" s="52"/>
      <c r="H309" s="15">
        <f t="shared" si="68"/>
        <v>3</v>
      </c>
      <c r="I309" s="106">
        <f>'2 - Section Count Projection'!$O$95</f>
        <v>0</v>
      </c>
      <c r="J309" s="16">
        <f t="shared" si="69"/>
        <v>0</v>
      </c>
      <c r="K309" s="7" t="str">
        <f t="shared" si="56"/>
        <v/>
      </c>
    </row>
    <row r="310" spans="1:11" x14ac:dyDescent="0.3">
      <c r="A310" s="8" t="s">
        <v>437</v>
      </c>
      <c r="B310" s="9" t="s">
        <v>64</v>
      </c>
      <c r="C310" s="6" t="s">
        <v>678</v>
      </c>
      <c r="D310" s="6" t="s">
        <v>703</v>
      </c>
      <c r="E310" s="6" t="s">
        <v>38</v>
      </c>
      <c r="F310" s="52">
        <v>2</v>
      </c>
      <c r="G310" s="52"/>
      <c r="H310" s="15">
        <f t="shared" si="68"/>
        <v>2</v>
      </c>
      <c r="I310" s="106">
        <f>'2 - Section Count Projection'!$O$95</f>
        <v>0</v>
      </c>
      <c r="J310" s="16">
        <f t="shared" si="69"/>
        <v>0</v>
      </c>
      <c r="K310" s="7" t="str">
        <f t="shared" si="56"/>
        <v/>
      </c>
    </row>
    <row r="311" spans="1:11" x14ac:dyDescent="0.3">
      <c r="A311" s="8" t="s">
        <v>437</v>
      </c>
      <c r="B311" s="9" t="s">
        <v>64</v>
      </c>
      <c r="C311" s="6" t="s">
        <v>872</v>
      </c>
      <c r="D311" s="6" t="s">
        <v>873</v>
      </c>
      <c r="E311" s="6" t="s">
        <v>378</v>
      </c>
      <c r="F311" s="52">
        <v>3</v>
      </c>
      <c r="G311" s="52"/>
      <c r="H311" s="15">
        <f t="shared" si="68"/>
        <v>3</v>
      </c>
      <c r="I311" s="106">
        <f>'2 - Section Count Projection'!$O$95</f>
        <v>0</v>
      </c>
      <c r="J311" s="16">
        <f t="shared" si="69"/>
        <v>0</v>
      </c>
      <c r="K311" s="7" t="str">
        <f t="shared" si="56"/>
        <v/>
      </c>
    </row>
    <row r="312" spans="1:11" x14ac:dyDescent="0.3">
      <c r="K312" s="7" t="str">
        <f t="shared" si="56"/>
        <v/>
      </c>
    </row>
    <row r="313" spans="1:11" x14ac:dyDescent="0.3">
      <c r="A313" s="58" t="s">
        <v>438</v>
      </c>
      <c r="K313" s="7" t="str">
        <f t="shared" si="56"/>
        <v/>
      </c>
    </row>
    <row r="314" spans="1:11" x14ac:dyDescent="0.3">
      <c r="A314" s="8" t="s">
        <v>437</v>
      </c>
      <c r="B314" s="9" t="s">
        <v>69</v>
      </c>
      <c r="C314" s="6" t="s">
        <v>858</v>
      </c>
      <c r="D314" s="6" t="s">
        <v>859</v>
      </c>
      <c r="E314" s="6" t="s">
        <v>378</v>
      </c>
      <c r="F314" s="52">
        <v>2</v>
      </c>
      <c r="G314" s="52">
        <v>1.5</v>
      </c>
      <c r="H314" s="17">
        <f t="shared" ref="H314:H320" si="70">SUM(F314:G314)</f>
        <v>3.5</v>
      </c>
      <c r="I314" s="106">
        <f>'2 - Section Count Projection'!$O$97</f>
        <v>0</v>
      </c>
      <c r="J314" s="16">
        <f t="shared" ref="J314:J320" si="71">I314*H314</f>
        <v>0</v>
      </c>
      <c r="K314" s="7" t="str">
        <f t="shared" si="56"/>
        <v/>
      </c>
    </row>
    <row r="315" spans="1:11" x14ac:dyDescent="0.3">
      <c r="A315" s="8" t="s">
        <v>437</v>
      </c>
      <c r="B315" s="9" t="s">
        <v>69</v>
      </c>
      <c r="C315" s="6" t="s">
        <v>860</v>
      </c>
      <c r="D315" s="6" t="s">
        <v>861</v>
      </c>
      <c r="E315" s="6" t="s">
        <v>378</v>
      </c>
      <c r="F315" s="52">
        <v>3</v>
      </c>
      <c r="G315" s="52"/>
      <c r="H315" s="17">
        <f t="shared" si="70"/>
        <v>3</v>
      </c>
      <c r="I315" s="106">
        <f>'2 - Section Count Projection'!$O$97</f>
        <v>0</v>
      </c>
      <c r="J315" s="16">
        <f t="shared" si="71"/>
        <v>0</v>
      </c>
      <c r="K315" s="7" t="str">
        <f t="shared" si="56"/>
        <v/>
      </c>
    </row>
    <row r="316" spans="1:11" x14ac:dyDescent="0.3">
      <c r="A316" s="8" t="s">
        <v>437</v>
      </c>
      <c r="B316" s="9" t="s">
        <v>69</v>
      </c>
      <c r="C316" s="6" t="s">
        <v>874</v>
      </c>
      <c r="D316" s="6" t="s">
        <v>875</v>
      </c>
      <c r="E316" s="6" t="s">
        <v>378</v>
      </c>
      <c r="F316" s="52">
        <v>3</v>
      </c>
      <c r="G316" s="52"/>
      <c r="H316" s="17">
        <f t="shared" si="70"/>
        <v>3</v>
      </c>
      <c r="I316" s="106">
        <f>'2 - Section Count Projection'!$O$97</f>
        <v>0</v>
      </c>
      <c r="J316" s="16">
        <f t="shared" si="71"/>
        <v>0</v>
      </c>
      <c r="K316" s="7" t="str">
        <f t="shared" si="56"/>
        <v/>
      </c>
    </row>
    <row r="317" spans="1:11" x14ac:dyDescent="0.3">
      <c r="A317" s="8" t="s">
        <v>437</v>
      </c>
      <c r="B317" s="9" t="s">
        <v>69</v>
      </c>
      <c r="C317" s="6" t="s">
        <v>876</v>
      </c>
      <c r="D317" s="6" t="s">
        <v>877</v>
      </c>
      <c r="E317" s="6" t="s">
        <v>378</v>
      </c>
      <c r="F317" s="52">
        <v>3</v>
      </c>
      <c r="G317" s="52"/>
      <c r="H317" s="17">
        <f t="shared" si="70"/>
        <v>3</v>
      </c>
      <c r="I317" s="106">
        <f>'2 - Section Count Projection'!$O$97</f>
        <v>0</v>
      </c>
      <c r="J317" s="16">
        <f t="shared" si="71"/>
        <v>0</v>
      </c>
      <c r="K317" s="7" t="str">
        <f t="shared" si="56"/>
        <v/>
      </c>
    </row>
    <row r="318" spans="1:11" x14ac:dyDescent="0.3">
      <c r="A318" s="8" t="s">
        <v>437</v>
      </c>
      <c r="B318" s="14" t="s">
        <v>69</v>
      </c>
      <c r="C318" s="6" t="s">
        <v>878</v>
      </c>
      <c r="D318" s="6" t="s">
        <v>879</v>
      </c>
      <c r="E318" s="6" t="s">
        <v>378</v>
      </c>
      <c r="F318" s="52">
        <v>3</v>
      </c>
      <c r="G318" s="52"/>
      <c r="H318" s="17">
        <f t="shared" si="70"/>
        <v>3</v>
      </c>
      <c r="I318" s="106">
        <f>'2 - Section Count Projection'!$O$97</f>
        <v>0</v>
      </c>
      <c r="J318" s="16">
        <f t="shared" si="71"/>
        <v>0</v>
      </c>
      <c r="K318" s="7" t="str">
        <f t="shared" si="56"/>
        <v/>
      </c>
    </row>
    <row r="319" spans="1:11" x14ac:dyDescent="0.3">
      <c r="A319" s="8" t="s">
        <v>437</v>
      </c>
      <c r="B319" s="9" t="s">
        <v>69</v>
      </c>
      <c r="C319" s="6" t="s">
        <v>880</v>
      </c>
      <c r="D319" s="6" t="s">
        <v>881</v>
      </c>
      <c r="E319" s="6" t="s">
        <v>378</v>
      </c>
      <c r="F319" s="52">
        <v>3</v>
      </c>
      <c r="G319" s="52"/>
      <c r="H319" s="17">
        <f t="shared" si="70"/>
        <v>3</v>
      </c>
      <c r="I319" s="106">
        <f>'2 - Section Count Projection'!$O$97</f>
        <v>0</v>
      </c>
      <c r="J319" s="16">
        <f t="shared" si="71"/>
        <v>0</v>
      </c>
      <c r="K319" s="7" t="str">
        <f t="shared" si="56"/>
        <v/>
      </c>
    </row>
    <row r="320" spans="1:11" x14ac:dyDescent="0.3">
      <c r="A320" s="8" t="s">
        <v>437</v>
      </c>
      <c r="B320" s="9" t="s">
        <v>69</v>
      </c>
      <c r="C320" s="6" t="s">
        <v>882</v>
      </c>
      <c r="D320" s="6" t="s">
        <v>883</v>
      </c>
      <c r="E320" s="6" t="s">
        <v>378</v>
      </c>
      <c r="F320" s="52">
        <v>3</v>
      </c>
      <c r="G320" s="52"/>
      <c r="H320" s="17">
        <f t="shared" si="70"/>
        <v>3</v>
      </c>
      <c r="I320" s="106">
        <f>'2 - Section Count Projection'!$O$97</f>
        <v>0</v>
      </c>
      <c r="J320" s="16">
        <f t="shared" si="71"/>
        <v>0</v>
      </c>
      <c r="K320" s="7" t="str">
        <f t="shared" si="56"/>
        <v/>
      </c>
    </row>
    <row r="321" spans="1:11" x14ac:dyDescent="0.3">
      <c r="K321" s="7" t="str">
        <f t="shared" si="56"/>
        <v/>
      </c>
    </row>
    <row r="322" spans="1:11" x14ac:dyDescent="0.3">
      <c r="A322" s="58" t="s">
        <v>446</v>
      </c>
      <c r="K322" s="7" t="str">
        <f t="shared" si="56"/>
        <v/>
      </c>
    </row>
    <row r="323" spans="1:11" x14ac:dyDescent="0.3">
      <c r="A323" s="8" t="s">
        <v>437</v>
      </c>
      <c r="B323" s="9" t="s">
        <v>73</v>
      </c>
      <c r="C323" s="6" t="s">
        <v>868</v>
      </c>
      <c r="D323" s="6" t="s">
        <v>869</v>
      </c>
      <c r="E323" s="6" t="s">
        <v>378</v>
      </c>
      <c r="F323" s="52">
        <v>2</v>
      </c>
      <c r="G323" s="52"/>
      <c r="H323" s="17">
        <f t="shared" ref="H323" si="72">SUM(F323:G323)</f>
        <v>2</v>
      </c>
      <c r="I323" s="106">
        <f>'2 - Section Count Projection'!$O$99</f>
        <v>0</v>
      </c>
      <c r="J323" s="16">
        <f t="shared" ref="J323:J324" si="73">I323*H323</f>
        <v>0</v>
      </c>
      <c r="K323" s="7" t="str">
        <f t="shared" si="56"/>
        <v/>
      </c>
    </row>
    <row r="324" spans="1:11" x14ac:dyDescent="0.3">
      <c r="A324" s="8" t="s">
        <v>437</v>
      </c>
      <c r="B324" s="9" t="s">
        <v>73</v>
      </c>
      <c r="C324" s="6" t="s">
        <v>870</v>
      </c>
      <c r="D324" s="6" t="s">
        <v>884</v>
      </c>
      <c r="E324" s="6" t="s">
        <v>378</v>
      </c>
      <c r="F324" s="52"/>
      <c r="G324" s="172">
        <v>3</v>
      </c>
      <c r="H324" s="17">
        <v>3</v>
      </c>
      <c r="I324" s="106">
        <f>'2 - Section Count Projection'!$O$99</f>
        <v>0</v>
      </c>
      <c r="J324" s="16">
        <f t="shared" si="73"/>
        <v>0</v>
      </c>
      <c r="K324" s="7" t="str">
        <f t="shared" ref="K324:K387" si="74">IF(I324&gt;0,F324,"")</f>
        <v/>
      </c>
    </row>
    <row r="325" spans="1:11" x14ac:dyDescent="0.3">
      <c r="K325" s="7" t="str">
        <f t="shared" si="74"/>
        <v/>
      </c>
    </row>
    <row r="326" spans="1:11" x14ac:dyDescent="0.3">
      <c r="A326" s="58" t="s">
        <v>457</v>
      </c>
      <c r="K326" s="7" t="str">
        <f t="shared" si="74"/>
        <v/>
      </c>
    </row>
    <row r="327" spans="1:11" x14ac:dyDescent="0.3">
      <c r="A327" s="8" t="s">
        <v>458</v>
      </c>
      <c r="B327" s="9" t="s">
        <v>61</v>
      </c>
      <c r="C327" s="6" t="s">
        <v>839</v>
      </c>
      <c r="D327" s="6" t="s">
        <v>840</v>
      </c>
      <c r="E327" s="6" t="s">
        <v>378</v>
      </c>
      <c r="F327" s="52">
        <v>3</v>
      </c>
      <c r="G327" s="52"/>
      <c r="H327" s="17">
        <f t="shared" ref="H327:H336" si="75">SUM(F327:G327)</f>
        <v>3</v>
      </c>
      <c r="I327" s="106">
        <f>'2 - Section Count Projection'!$O$102</f>
        <v>0</v>
      </c>
      <c r="J327" s="16">
        <f t="shared" ref="J327:J336" si="76">I327*H327</f>
        <v>0</v>
      </c>
      <c r="K327" s="7" t="str">
        <f t="shared" si="74"/>
        <v/>
      </c>
    </row>
    <row r="328" spans="1:11" x14ac:dyDescent="0.3">
      <c r="A328" s="8" t="s">
        <v>458</v>
      </c>
      <c r="B328" s="9" t="s">
        <v>61</v>
      </c>
      <c r="C328" s="6" t="s">
        <v>841</v>
      </c>
      <c r="D328" s="6" t="s">
        <v>842</v>
      </c>
      <c r="E328" s="6" t="s">
        <v>378</v>
      </c>
      <c r="F328" s="52">
        <v>3</v>
      </c>
      <c r="G328" s="52"/>
      <c r="H328" s="17">
        <f t="shared" si="75"/>
        <v>3</v>
      </c>
      <c r="I328" s="106">
        <f>'2 - Section Count Projection'!$O$102</f>
        <v>0</v>
      </c>
      <c r="J328" s="16">
        <f t="shared" si="76"/>
        <v>0</v>
      </c>
      <c r="K328" s="7" t="str">
        <f t="shared" si="74"/>
        <v/>
      </c>
    </row>
    <row r="329" spans="1:11" x14ac:dyDescent="0.3">
      <c r="A329" s="8" t="s">
        <v>458</v>
      </c>
      <c r="B329" s="9" t="s">
        <v>61</v>
      </c>
      <c r="C329" s="6" t="s">
        <v>843</v>
      </c>
      <c r="D329" s="6" t="s">
        <v>844</v>
      </c>
      <c r="E329" s="6" t="s">
        <v>378</v>
      </c>
      <c r="F329" s="52">
        <v>3</v>
      </c>
      <c r="G329" s="52"/>
      <c r="H329" s="17">
        <f t="shared" si="75"/>
        <v>3</v>
      </c>
      <c r="I329" s="106">
        <f>'2 - Section Count Projection'!$O$102</f>
        <v>0</v>
      </c>
      <c r="J329" s="16">
        <f t="shared" si="76"/>
        <v>0</v>
      </c>
      <c r="K329" s="7" t="str">
        <f t="shared" si="74"/>
        <v/>
      </c>
    </row>
    <row r="330" spans="1:11" x14ac:dyDescent="0.3">
      <c r="A330" s="8" t="s">
        <v>458</v>
      </c>
      <c r="B330" s="9" t="s">
        <v>61</v>
      </c>
      <c r="C330" s="6" t="s">
        <v>845</v>
      </c>
      <c r="D330" s="6" t="s">
        <v>846</v>
      </c>
      <c r="E330" s="6" t="s">
        <v>398</v>
      </c>
      <c r="F330" s="52">
        <v>3</v>
      </c>
      <c r="G330" s="52"/>
      <c r="H330" s="17">
        <f t="shared" si="75"/>
        <v>3</v>
      </c>
      <c r="I330" s="106">
        <f>'2 - Section Count Projection'!$O$102</f>
        <v>0</v>
      </c>
      <c r="J330" s="16">
        <f t="shared" si="76"/>
        <v>0</v>
      </c>
      <c r="K330" s="7" t="str">
        <f t="shared" si="74"/>
        <v/>
      </c>
    </row>
    <row r="331" spans="1:11" x14ac:dyDescent="0.3">
      <c r="A331" s="8" t="s">
        <v>458</v>
      </c>
      <c r="B331" s="9" t="s">
        <v>61</v>
      </c>
      <c r="C331" s="6" t="s">
        <v>309</v>
      </c>
      <c r="D331" s="6" t="s">
        <v>310</v>
      </c>
      <c r="E331" s="6" t="s">
        <v>20</v>
      </c>
      <c r="F331" s="52">
        <v>3</v>
      </c>
      <c r="G331" s="52"/>
      <c r="H331" s="17">
        <f t="shared" si="75"/>
        <v>3</v>
      </c>
      <c r="I331" s="106">
        <f>'2 - Section Count Projection'!$O$102</f>
        <v>0</v>
      </c>
      <c r="J331" s="16">
        <f t="shared" si="76"/>
        <v>0</v>
      </c>
      <c r="K331" s="7" t="str">
        <f t="shared" si="74"/>
        <v/>
      </c>
    </row>
    <row r="332" spans="1:11" x14ac:dyDescent="0.3">
      <c r="A332" s="8" t="s">
        <v>458</v>
      </c>
      <c r="B332" s="9" t="s">
        <v>61</v>
      </c>
      <c r="C332" s="6" t="s">
        <v>673</v>
      </c>
      <c r="D332" s="6" t="s">
        <v>674</v>
      </c>
      <c r="E332" s="6" t="s">
        <v>141</v>
      </c>
      <c r="F332" s="52">
        <v>3</v>
      </c>
      <c r="G332" s="52"/>
      <c r="H332" s="17">
        <f t="shared" si="75"/>
        <v>3</v>
      </c>
      <c r="I332" s="106">
        <f>'2 - Section Count Projection'!$O$102</f>
        <v>0</v>
      </c>
      <c r="J332" s="16">
        <f t="shared" si="76"/>
        <v>0</v>
      </c>
      <c r="K332" s="7" t="str">
        <f t="shared" si="74"/>
        <v/>
      </c>
    </row>
    <row r="333" spans="1:11" x14ac:dyDescent="0.3">
      <c r="A333" s="8" t="s">
        <v>458</v>
      </c>
      <c r="B333" s="9" t="s">
        <v>61</v>
      </c>
      <c r="C333" s="6" t="s">
        <v>668</v>
      </c>
      <c r="D333" s="6" t="s">
        <v>669</v>
      </c>
      <c r="E333" s="101"/>
      <c r="F333" s="52">
        <v>3</v>
      </c>
      <c r="G333" s="52"/>
      <c r="H333" s="17">
        <f t="shared" si="75"/>
        <v>3</v>
      </c>
      <c r="I333" s="106">
        <f>'2 - Section Count Projection'!$O$102</f>
        <v>0</v>
      </c>
      <c r="J333" s="16">
        <f t="shared" si="76"/>
        <v>0</v>
      </c>
      <c r="K333" s="7" t="str">
        <f t="shared" si="74"/>
        <v/>
      </c>
    </row>
    <row r="334" spans="1:11" x14ac:dyDescent="0.3">
      <c r="A334" s="8" t="s">
        <v>458</v>
      </c>
      <c r="B334" s="9" t="s">
        <v>61</v>
      </c>
      <c r="C334" s="6" t="s">
        <v>670</v>
      </c>
      <c r="D334" s="6" t="s">
        <v>698</v>
      </c>
      <c r="E334" s="6" t="s">
        <v>38</v>
      </c>
      <c r="F334" s="52">
        <v>2</v>
      </c>
      <c r="G334" s="52"/>
      <c r="H334" s="17">
        <f t="shared" ref="H334" si="77">SUM(F334:G334)</f>
        <v>2</v>
      </c>
      <c r="I334" s="106">
        <f>'2 - Section Count Projection'!$O$102</f>
        <v>0</v>
      </c>
      <c r="J334" s="16">
        <f t="shared" ref="J334" si="78">I334*H334</f>
        <v>0</v>
      </c>
      <c r="K334" s="7" t="str">
        <f t="shared" si="74"/>
        <v/>
      </c>
    </row>
    <row r="335" spans="1:11" x14ac:dyDescent="0.3">
      <c r="A335" s="8" t="s">
        <v>458</v>
      </c>
      <c r="B335" s="9" t="s">
        <v>61</v>
      </c>
      <c r="C335" s="6" t="s">
        <v>217</v>
      </c>
      <c r="D335" s="6" t="s">
        <v>218</v>
      </c>
      <c r="E335" s="6" t="s">
        <v>36</v>
      </c>
      <c r="F335" s="52">
        <v>3</v>
      </c>
      <c r="G335" s="52"/>
      <c r="H335" s="17">
        <f t="shared" si="75"/>
        <v>3</v>
      </c>
      <c r="I335" s="106">
        <f>'2 - Section Count Projection'!$O$102</f>
        <v>0</v>
      </c>
      <c r="J335" s="16">
        <f t="shared" si="76"/>
        <v>0</v>
      </c>
      <c r="K335" s="7" t="str">
        <f t="shared" si="74"/>
        <v/>
      </c>
    </row>
    <row r="336" spans="1:11" x14ac:dyDescent="0.3">
      <c r="A336" s="8" t="s">
        <v>458</v>
      </c>
      <c r="B336" s="9" t="s">
        <v>61</v>
      </c>
      <c r="C336" s="6" t="s">
        <v>529</v>
      </c>
      <c r="D336" s="6" t="s">
        <v>530</v>
      </c>
      <c r="E336" s="6" t="s">
        <v>34</v>
      </c>
      <c r="F336" s="52"/>
      <c r="G336" s="52">
        <v>1.5</v>
      </c>
      <c r="H336" s="17">
        <f t="shared" si="75"/>
        <v>1.5</v>
      </c>
      <c r="I336" s="106">
        <f>'2 - Section Count Projection'!$O$102</f>
        <v>0</v>
      </c>
      <c r="J336" s="16">
        <f t="shared" si="76"/>
        <v>0</v>
      </c>
      <c r="K336" s="7" t="str">
        <f t="shared" si="74"/>
        <v/>
      </c>
    </row>
    <row r="337" spans="1:11" x14ac:dyDescent="0.3">
      <c r="K337" s="7" t="str">
        <f t="shared" si="74"/>
        <v/>
      </c>
    </row>
    <row r="338" spans="1:11" x14ac:dyDescent="0.3">
      <c r="A338" s="58" t="s">
        <v>459</v>
      </c>
      <c r="K338" s="7" t="str">
        <f t="shared" si="74"/>
        <v/>
      </c>
    </row>
    <row r="339" spans="1:11" x14ac:dyDescent="0.3">
      <c r="A339" s="8" t="s">
        <v>458</v>
      </c>
      <c r="B339" s="9" t="s">
        <v>64</v>
      </c>
      <c r="C339" s="6" t="s">
        <v>847</v>
      </c>
      <c r="D339" s="6" t="s">
        <v>848</v>
      </c>
      <c r="E339" s="6" t="s">
        <v>378</v>
      </c>
      <c r="F339" s="52">
        <v>2</v>
      </c>
      <c r="G339" s="52">
        <v>1.5</v>
      </c>
      <c r="H339" s="15">
        <f t="shared" ref="H339:H347" si="79">SUM(F339:G339)</f>
        <v>3.5</v>
      </c>
      <c r="I339" s="106">
        <f>'2 - Section Count Projection'!$O$104</f>
        <v>0</v>
      </c>
      <c r="J339" s="16">
        <f t="shared" ref="J339:J347" si="80">I339*H339</f>
        <v>0</v>
      </c>
      <c r="K339" s="7" t="str">
        <f t="shared" si="74"/>
        <v/>
      </c>
    </row>
    <row r="340" spans="1:11" x14ac:dyDescent="0.3">
      <c r="A340" s="8" t="s">
        <v>458</v>
      </c>
      <c r="B340" s="9" t="s">
        <v>64</v>
      </c>
      <c r="C340" s="6" t="s">
        <v>849</v>
      </c>
      <c r="D340" s="6" t="s">
        <v>850</v>
      </c>
      <c r="E340" s="6" t="s">
        <v>398</v>
      </c>
      <c r="F340" s="52">
        <v>3</v>
      </c>
      <c r="G340" s="52"/>
      <c r="H340" s="15">
        <f t="shared" si="79"/>
        <v>3</v>
      </c>
      <c r="I340" s="106">
        <f>'2 - Section Count Projection'!$O$104</f>
        <v>0</v>
      </c>
      <c r="J340" s="16">
        <f t="shared" si="80"/>
        <v>0</v>
      </c>
      <c r="K340" s="7" t="str">
        <f t="shared" si="74"/>
        <v/>
      </c>
    </row>
    <row r="341" spans="1:11" x14ac:dyDescent="0.3">
      <c r="A341" s="8" t="s">
        <v>458</v>
      </c>
      <c r="B341" s="9" t="s">
        <v>64</v>
      </c>
      <c r="C341" s="6" t="s">
        <v>851</v>
      </c>
      <c r="D341" s="6" t="s">
        <v>280</v>
      </c>
      <c r="E341" s="6" t="s">
        <v>20</v>
      </c>
      <c r="F341" s="52">
        <v>3</v>
      </c>
      <c r="G341" s="52"/>
      <c r="H341" s="15">
        <f t="shared" si="79"/>
        <v>3</v>
      </c>
      <c r="I341" s="106">
        <f>'2 - Section Count Projection'!$O$104</f>
        <v>0</v>
      </c>
      <c r="J341" s="16">
        <f t="shared" si="80"/>
        <v>0</v>
      </c>
      <c r="K341" s="7" t="str">
        <f t="shared" si="74"/>
        <v/>
      </c>
    </row>
    <row r="342" spans="1:11" x14ac:dyDescent="0.3">
      <c r="A342" s="8" t="s">
        <v>458</v>
      </c>
      <c r="B342" s="9" t="s">
        <v>64</v>
      </c>
      <c r="C342" s="6" t="s">
        <v>852</v>
      </c>
      <c r="D342" s="6" t="s">
        <v>853</v>
      </c>
      <c r="E342" s="6" t="s">
        <v>378</v>
      </c>
      <c r="F342" s="52">
        <v>2</v>
      </c>
      <c r="G342" s="52">
        <v>1.5</v>
      </c>
      <c r="H342" s="15">
        <f t="shared" si="79"/>
        <v>3.5</v>
      </c>
      <c r="I342" s="106">
        <f>'2 - Section Count Projection'!$O$104</f>
        <v>0</v>
      </c>
      <c r="J342" s="16">
        <f t="shared" si="80"/>
        <v>0</v>
      </c>
      <c r="K342" s="7" t="str">
        <f t="shared" si="74"/>
        <v/>
      </c>
    </row>
    <row r="343" spans="1:11" x14ac:dyDescent="0.3">
      <c r="A343" s="8" t="s">
        <v>458</v>
      </c>
      <c r="B343" s="9" t="s">
        <v>64</v>
      </c>
      <c r="C343" s="6" t="s">
        <v>854</v>
      </c>
      <c r="D343" s="6" t="s">
        <v>855</v>
      </c>
      <c r="E343" s="6" t="s">
        <v>378</v>
      </c>
      <c r="F343" s="52">
        <v>3</v>
      </c>
      <c r="G343" s="52"/>
      <c r="H343" s="15">
        <f t="shared" si="79"/>
        <v>3</v>
      </c>
      <c r="I343" s="106">
        <f>'2 - Section Count Projection'!$O$104</f>
        <v>0</v>
      </c>
      <c r="J343" s="16">
        <f t="shared" si="80"/>
        <v>0</v>
      </c>
      <c r="K343" s="7" t="str">
        <f t="shared" si="74"/>
        <v/>
      </c>
    </row>
    <row r="344" spans="1:11" x14ac:dyDescent="0.3">
      <c r="A344" s="8" t="s">
        <v>458</v>
      </c>
      <c r="B344" s="9" t="s">
        <v>64</v>
      </c>
      <c r="C344" s="6" t="s">
        <v>132</v>
      </c>
      <c r="D344" s="6" t="s">
        <v>133</v>
      </c>
      <c r="E344" s="101"/>
      <c r="F344" s="52">
        <v>3</v>
      </c>
      <c r="G344" s="52"/>
      <c r="H344" s="15">
        <f t="shared" si="79"/>
        <v>3</v>
      </c>
      <c r="I344" s="106">
        <f>'2 - Section Count Projection'!$O$104</f>
        <v>0</v>
      </c>
      <c r="J344" s="16">
        <f t="shared" si="80"/>
        <v>0</v>
      </c>
      <c r="K344" s="7" t="str">
        <f t="shared" si="74"/>
        <v/>
      </c>
    </row>
    <row r="345" spans="1:11" x14ac:dyDescent="0.3">
      <c r="A345" s="8" t="s">
        <v>458</v>
      </c>
      <c r="B345" s="9" t="s">
        <v>64</v>
      </c>
      <c r="C345" s="6" t="s">
        <v>297</v>
      </c>
      <c r="D345" s="6" t="s">
        <v>298</v>
      </c>
      <c r="E345" s="6" t="s">
        <v>141</v>
      </c>
      <c r="F345" s="52">
        <v>3</v>
      </c>
      <c r="G345" s="52"/>
      <c r="H345" s="15">
        <f t="shared" si="79"/>
        <v>3</v>
      </c>
      <c r="I345" s="106">
        <f>'2 - Section Count Projection'!$O$104</f>
        <v>0</v>
      </c>
      <c r="J345" s="16">
        <f t="shared" si="80"/>
        <v>0</v>
      </c>
      <c r="K345" s="7" t="str">
        <f t="shared" si="74"/>
        <v/>
      </c>
    </row>
    <row r="346" spans="1:11" x14ac:dyDescent="0.3">
      <c r="A346" s="8" t="s">
        <v>458</v>
      </c>
      <c r="B346" s="9" t="s">
        <v>64</v>
      </c>
      <c r="C346" s="6" t="s">
        <v>678</v>
      </c>
      <c r="D346" s="6" t="s">
        <v>703</v>
      </c>
      <c r="E346" s="6" t="s">
        <v>38</v>
      </c>
      <c r="F346" s="52">
        <v>2</v>
      </c>
      <c r="G346" s="52"/>
      <c r="H346" s="15">
        <f t="shared" si="79"/>
        <v>2</v>
      </c>
      <c r="I346" s="106">
        <f>'2 - Section Count Projection'!$O$104</f>
        <v>0</v>
      </c>
      <c r="J346" s="16">
        <f t="shared" si="80"/>
        <v>0</v>
      </c>
      <c r="K346" s="7" t="str">
        <f t="shared" si="74"/>
        <v/>
      </c>
    </row>
    <row r="347" spans="1:11" x14ac:dyDescent="0.3">
      <c r="A347" s="8" t="s">
        <v>458</v>
      </c>
      <c r="B347" s="9" t="s">
        <v>64</v>
      </c>
      <c r="C347" s="6" t="s">
        <v>885</v>
      </c>
      <c r="D347" s="6" t="s">
        <v>886</v>
      </c>
      <c r="E347" s="6" t="s">
        <v>20</v>
      </c>
      <c r="F347" s="52">
        <v>3</v>
      </c>
      <c r="G347" s="52"/>
      <c r="H347" s="15">
        <f t="shared" si="79"/>
        <v>3</v>
      </c>
      <c r="I347" s="106">
        <f>'2 - Section Count Projection'!$O$104</f>
        <v>0</v>
      </c>
      <c r="J347" s="16">
        <f t="shared" si="80"/>
        <v>0</v>
      </c>
      <c r="K347" s="7" t="str">
        <f t="shared" si="74"/>
        <v/>
      </c>
    </row>
    <row r="348" spans="1:11" x14ac:dyDescent="0.3">
      <c r="K348" s="7" t="str">
        <f t="shared" si="74"/>
        <v/>
      </c>
    </row>
    <row r="349" spans="1:11" x14ac:dyDescent="0.3">
      <c r="A349" s="58" t="s">
        <v>459</v>
      </c>
      <c r="K349" s="7" t="str">
        <f t="shared" si="74"/>
        <v/>
      </c>
    </row>
    <row r="350" spans="1:11" x14ac:dyDescent="0.3">
      <c r="A350" s="8" t="s">
        <v>458</v>
      </c>
      <c r="B350" s="9" t="s">
        <v>69</v>
      </c>
      <c r="C350" s="6" t="s">
        <v>858</v>
      </c>
      <c r="D350" s="6" t="s">
        <v>859</v>
      </c>
      <c r="E350" s="6" t="s">
        <v>378</v>
      </c>
      <c r="F350" s="52">
        <v>2</v>
      </c>
      <c r="G350" s="52">
        <v>1.5</v>
      </c>
      <c r="H350" s="17">
        <f t="shared" ref="H350:H356" si="81">SUM(F350:G350)</f>
        <v>3.5</v>
      </c>
      <c r="I350" s="106">
        <f>'2 - Section Count Projection'!$O$106</f>
        <v>0</v>
      </c>
      <c r="J350" s="16">
        <f t="shared" ref="J350:J356" si="82">I350*H350</f>
        <v>0</v>
      </c>
      <c r="K350" s="7" t="str">
        <f t="shared" si="74"/>
        <v/>
      </c>
    </row>
    <row r="351" spans="1:11" x14ac:dyDescent="0.3">
      <c r="A351" s="8" t="s">
        <v>458</v>
      </c>
      <c r="B351" s="9" t="s">
        <v>69</v>
      </c>
      <c r="C351" s="6" t="s">
        <v>860</v>
      </c>
      <c r="D351" s="6" t="s">
        <v>861</v>
      </c>
      <c r="E351" s="6" t="s">
        <v>378</v>
      </c>
      <c r="F351" s="52">
        <v>3</v>
      </c>
      <c r="G351" s="52"/>
      <c r="H351" s="17">
        <f t="shared" si="81"/>
        <v>3</v>
      </c>
      <c r="I351" s="106">
        <f>'2 - Section Count Projection'!$O$106</f>
        <v>0</v>
      </c>
      <c r="J351" s="16">
        <f t="shared" si="82"/>
        <v>0</v>
      </c>
      <c r="K351" s="7" t="str">
        <f t="shared" si="74"/>
        <v/>
      </c>
    </row>
    <row r="352" spans="1:11" x14ac:dyDescent="0.3">
      <c r="A352" s="8" t="s">
        <v>458</v>
      </c>
      <c r="B352" s="9" t="s">
        <v>69</v>
      </c>
      <c r="C352" s="6" t="s">
        <v>874</v>
      </c>
      <c r="D352" s="6" t="s">
        <v>875</v>
      </c>
      <c r="E352" s="6" t="s">
        <v>378</v>
      </c>
      <c r="F352" s="52">
        <v>3</v>
      </c>
      <c r="G352" s="52"/>
      <c r="H352" s="17">
        <f t="shared" si="81"/>
        <v>3</v>
      </c>
      <c r="I352" s="106">
        <f>'2 - Section Count Projection'!$O$106</f>
        <v>0</v>
      </c>
      <c r="J352" s="16">
        <f t="shared" si="82"/>
        <v>0</v>
      </c>
      <c r="K352" s="7" t="str">
        <f t="shared" si="74"/>
        <v/>
      </c>
    </row>
    <row r="353" spans="1:11" x14ac:dyDescent="0.3">
      <c r="A353" s="8" t="s">
        <v>458</v>
      </c>
      <c r="B353" s="9" t="s">
        <v>69</v>
      </c>
      <c r="C353" s="6" t="s">
        <v>878</v>
      </c>
      <c r="D353" s="6" t="s">
        <v>879</v>
      </c>
      <c r="E353" s="6" t="s">
        <v>378</v>
      </c>
      <c r="F353" s="52">
        <v>3</v>
      </c>
      <c r="G353" s="52"/>
      <c r="H353" s="17">
        <f t="shared" si="81"/>
        <v>3</v>
      </c>
      <c r="I353" s="106">
        <f>'2 - Section Count Projection'!$O$106</f>
        <v>0</v>
      </c>
      <c r="J353" s="16">
        <f t="shared" si="82"/>
        <v>0</v>
      </c>
      <c r="K353" s="7" t="str">
        <f t="shared" si="74"/>
        <v/>
      </c>
    </row>
    <row r="354" spans="1:11" x14ac:dyDescent="0.3">
      <c r="A354" s="8" t="s">
        <v>458</v>
      </c>
      <c r="B354" s="9" t="s">
        <v>69</v>
      </c>
      <c r="C354" s="6" t="s">
        <v>835</v>
      </c>
      <c r="D354" s="6" t="s">
        <v>836</v>
      </c>
      <c r="E354" s="6" t="s">
        <v>34</v>
      </c>
      <c r="F354" s="52">
        <v>3</v>
      </c>
      <c r="G354" s="52"/>
      <c r="H354" s="17">
        <f t="shared" si="81"/>
        <v>3</v>
      </c>
      <c r="I354" s="106">
        <f>'2 - Section Count Projection'!$O$106</f>
        <v>0</v>
      </c>
      <c r="J354" s="16">
        <f t="shared" si="82"/>
        <v>0</v>
      </c>
      <c r="K354" s="7" t="str">
        <f t="shared" si="74"/>
        <v/>
      </c>
    </row>
    <row r="355" spans="1:11" x14ac:dyDescent="0.3">
      <c r="A355" s="8" t="s">
        <v>458</v>
      </c>
      <c r="B355" s="9" t="s">
        <v>69</v>
      </c>
      <c r="C355" s="6" t="s">
        <v>887</v>
      </c>
      <c r="D355" s="6" t="s">
        <v>888</v>
      </c>
      <c r="E355" s="6" t="s">
        <v>378</v>
      </c>
      <c r="F355" s="52">
        <v>3</v>
      </c>
      <c r="G355" s="52"/>
      <c r="H355" s="17">
        <f t="shared" si="81"/>
        <v>3</v>
      </c>
      <c r="I355" s="106">
        <f>'2 - Section Count Projection'!$O$106</f>
        <v>0</v>
      </c>
      <c r="J355" s="16">
        <f t="shared" si="82"/>
        <v>0</v>
      </c>
      <c r="K355" s="7" t="str">
        <f t="shared" si="74"/>
        <v/>
      </c>
    </row>
    <row r="356" spans="1:11" x14ac:dyDescent="0.3">
      <c r="A356" s="8" t="s">
        <v>458</v>
      </c>
      <c r="B356" s="9" t="s">
        <v>69</v>
      </c>
      <c r="C356" s="6" t="s">
        <v>889</v>
      </c>
      <c r="D356" s="6" t="s">
        <v>890</v>
      </c>
      <c r="E356" s="6" t="s">
        <v>378</v>
      </c>
      <c r="F356" s="52">
        <v>3</v>
      </c>
      <c r="G356" s="52"/>
      <c r="H356" s="17">
        <f t="shared" si="81"/>
        <v>3</v>
      </c>
      <c r="I356" s="106">
        <f>'2 - Section Count Projection'!$O$106</f>
        <v>0</v>
      </c>
      <c r="J356" s="16">
        <f t="shared" si="82"/>
        <v>0</v>
      </c>
      <c r="K356" s="7" t="str">
        <f t="shared" si="74"/>
        <v/>
      </c>
    </row>
    <row r="357" spans="1:11" x14ac:dyDescent="0.3">
      <c r="K357" s="7" t="str">
        <f t="shared" si="74"/>
        <v/>
      </c>
    </row>
    <row r="358" spans="1:11" x14ac:dyDescent="0.3">
      <c r="A358" s="58" t="s">
        <v>462</v>
      </c>
      <c r="K358" s="7" t="str">
        <f t="shared" si="74"/>
        <v/>
      </c>
    </row>
    <row r="359" spans="1:11" x14ac:dyDescent="0.3">
      <c r="A359" s="8" t="s">
        <v>458</v>
      </c>
      <c r="B359" s="9" t="s">
        <v>73</v>
      </c>
      <c r="C359" s="6" t="s">
        <v>868</v>
      </c>
      <c r="D359" s="6" t="s">
        <v>869</v>
      </c>
      <c r="E359" s="6" t="s">
        <v>378</v>
      </c>
      <c r="F359" s="52">
        <v>2</v>
      </c>
      <c r="G359" s="52"/>
      <c r="H359" s="17">
        <f t="shared" ref="H359" si="83">SUM(F359:G359)</f>
        <v>2</v>
      </c>
      <c r="I359" s="106">
        <f>'2 - Section Count Projection'!$O$108</f>
        <v>0</v>
      </c>
      <c r="J359" s="16">
        <f t="shared" ref="J359:J360" si="84">I359*H359</f>
        <v>0</v>
      </c>
      <c r="K359" s="7" t="str">
        <f t="shared" si="74"/>
        <v/>
      </c>
    </row>
    <row r="360" spans="1:11" x14ac:dyDescent="0.3">
      <c r="A360" s="8" t="s">
        <v>458</v>
      </c>
      <c r="B360" s="9" t="s">
        <v>73</v>
      </c>
      <c r="C360" s="6" t="s">
        <v>870</v>
      </c>
      <c r="D360" s="6" t="s">
        <v>884</v>
      </c>
      <c r="E360" s="6" t="s">
        <v>378</v>
      </c>
      <c r="F360" s="52"/>
      <c r="G360" s="172">
        <v>3</v>
      </c>
      <c r="H360" s="17">
        <v>3</v>
      </c>
      <c r="I360" s="106">
        <f>'2 - Section Count Projection'!$O$108</f>
        <v>0</v>
      </c>
      <c r="J360" s="16">
        <f t="shared" si="84"/>
        <v>0</v>
      </c>
      <c r="K360" s="7" t="str">
        <f t="shared" si="74"/>
        <v/>
      </c>
    </row>
    <row r="361" spans="1:11" x14ac:dyDescent="0.3">
      <c r="K361" s="7" t="str">
        <f t="shared" si="74"/>
        <v/>
      </c>
    </row>
    <row r="362" spans="1:11" x14ac:dyDescent="0.3">
      <c r="A362" s="58" t="s">
        <v>466</v>
      </c>
      <c r="K362" s="7" t="str">
        <f t="shared" si="74"/>
        <v/>
      </c>
    </row>
    <row r="363" spans="1:11" x14ac:dyDescent="0.3">
      <c r="A363" s="8" t="s">
        <v>467</v>
      </c>
      <c r="B363" s="9" t="s">
        <v>61</v>
      </c>
      <c r="C363" s="6" t="s">
        <v>891</v>
      </c>
      <c r="D363" s="6" t="s">
        <v>892</v>
      </c>
      <c r="E363" s="6" t="s">
        <v>470</v>
      </c>
      <c r="F363" s="52">
        <v>3</v>
      </c>
      <c r="G363" s="52"/>
      <c r="H363" s="15">
        <f>SUM(F363:G363)</f>
        <v>3</v>
      </c>
      <c r="I363" s="106">
        <f>'2 - Section Count Projection'!$O$120</f>
        <v>0</v>
      </c>
      <c r="J363" s="16">
        <f>I363*H363</f>
        <v>0</v>
      </c>
      <c r="K363" s="7" t="str">
        <f t="shared" si="74"/>
        <v/>
      </c>
    </row>
    <row r="364" spans="1:11" x14ac:dyDescent="0.3">
      <c r="A364" s="8" t="s">
        <v>467</v>
      </c>
      <c r="B364" s="9" t="s">
        <v>61</v>
      </c>
      <c r="C364" s="6" t="s">
        <v>673</v>
      </c>
      <c r="D364" s="6" t="s">
        <v>674</v>
      </c>
      <c r="E364" s="6" t="s">
        <v>141</v>
      </c>
      <c r="F364" s="52">
        <v>3</v>
      </c>
      <c r="G364" s="52"/>
      <c r="H364" s="15">
        <f t="shared" ref="H364:H369" si="85">SUM(F364:G364)</f>
        <v>3</v>
      </c>
      <c r="I364" s="106">
        <f>'2 - Section Count Projection'!$O$120</f>
        <v>0</v>
      </c>
      <c r="J364" s="16">
        <f t="shared" ref="J364:J369" si="86">I364*H364</f>
        <v>0</v>
      </c>
      <c r="K364" s="7" t="str">
        <f t="shared" si="74"/>
        <v/>
      </c>
    </row>
    <row r="365" spans="1:11" x14ac:dyDescent="0.3">
      <c r="A365" s="8" t="s">
        <v>467</v>
      </c>
      <c r="B365" s="9" t="s">
        <v>61</v>
      </c>
      <c r="C365" s="6" t="s">
        <v>668</v>
      </c>
      <c r="D365" s="6" t="s">
        <v>669</v>
      </c>
      <c r="E365" s="101"/>
      <c r="F365" s="52">
        <v>3</v>
      </c>
      <c r="G365" s="52"/>
      <c r="H365" s="15">
        <f t="shared" si="85"/>
        <v>3</v>
      </c>
      <c r="I365" s="106">
        <f>'2 - Section Count Projection'!$O$120</f>
        <v>0</v>
      </c>
      <c r="J365" s="16">
        <f t="shared" si="86"/>
        <v>0</v>
      </c>
      <c r="K365" s="7" t="str">
        <f t="shared" si="74"/>
        <v/>
      </c>
    </row>
    <row r="366" spans="1:11" x14ac:dyDescent="0.3">
      <c r="A366" s="8" t="s">
        <v>467</v>
      </c>
      <c r="B366" s="9" t="s">
        <v>61</v>
      </c>
      <c r="C366" s="6" t="s">
        <v>670</v>
      </c>
      <c r="D366" s="6" t="s">
        <v>698</v>
      </c>
      <c r="E366" s="6" t="s">
        <v>38</v>
      </c>
      <c r="F366" s="52">
        <v>2</v>
      </c>
      <c r="G366" s="52"/>
      <c r="H366" s="15">
        <f t="shared" si="85"/>
        <v>2</v>
      </c>
      <c r="I366" s="106">
        <f>'2 - Section Count Projection'!$O$120</f>
        <v>0</v>
      </c>
      <c r="J366" s="16">
        <f t="shared" si="86"/>
        <v>0</v>
      </c>
      <c r="K366" s="7" t="str">
        <f t="shared" si="74"/>
        <v/>
      </c>
    </row>
    <row r="367" spans="1:11" x14ac:dyDescent="0.3">
      <c r="A367" s="8" t="s">
        <v>467</v>
      </c>
      <c r="B367" s="9" t="s">
        <v>61</v>
      </c>
      <c r="C367" s="6" t="s">
        <v>125</v>
      </c>
      <c r="D367" s="6" t="s">
        <v>126</v>
      </c>
      <c r="E367" s="6" t="s">
        <v>127</v>
      </c>
      <c r="F367" s="52">
        <v>3</v>
      </c>
      <c r="G367" s="52"/>
      <c r="H367" s="15">
        <f t="shared" si="85"/>
        <v>3</v>
      </c>
      <c r="I367" s="106">
        <f>'2 - Section Count Projection'!$O$120</f>
        <v>0</v>
      </c>
      <c r="J367" s="16">
        <f t="shared" si="86"/>
        <v>0</v>
      </c>
      <c r="K367" s="7" t="str">
        <f t="shared" si="74"/>
        <v/>
      </c>
    </row>
    <row r="368" spans="1:11" x14ac:dyDescent="0.3">
      <c r="A368" s="8" t="s">
        <v>467</v>
      </c>
      <c r="B368" s="9" t="s">
        <v>61</v>
      </c>
      <c r="C368" s="6" t="s">
        <v>529</v>
      </c>
      <c r="D368" s="6" t="s">
        <v>530</v>
      </c>
      <c r="E368" s="6" t="s">
        <v>34</v>
      </c>
      <c r="F368" s="52"/>
      <c r="G368" s="52">
        <v>1.5</v>
      </c>
      <c r="H368" s="15">
        <f t="shared" si="85"/>
        <v>1.5</v>
      </c>
      <c r="I368" s="106">
        <f>'2 - Section Count Projection'!$O$120</f>
        <v>0</v>
      </c>
      <c r="J368" s="16">
        <f t="shared" si="86"/>
        <v>0</v>
      </c>
      <c r="K368" s="7" t="str">
        <f t="shared" si="74"/>
        <v/>
      </c>
    </row>
    <row r="369" spans="1:11" x14ac:dyDescent="0.3">
      <c r="A369" s="8" t="s">
        <v>467</v>
      </c>
      <c r="B369" s="9" t="s">
        <v>61</v>
      </c>
      <c r="C369" s="6" t="s">
        <v>893</v>
      </c>
      <c r="D369" s="6" t="s">
        <v>513</v>
      </c>
      <c r="E369" s="6" t="s">
        <v>470</v>
      </c>
      <c r="F369" s="52">
        <v>2</v>
      </c>
      <c r="G369" s="52">
        <v>1.5</v>
      </c>
      <c r="H369" s="15">
        <f t="shared" si="85"/>
        <v>3.5</v>
      </c>
      <c r="I369" s="106">
        <f>'2 - Section Count Projection'!$O$120</f>
        <v>0</v>
      </c>
      <c r="J369" s="16">
        <f t="shared" si="86"/>
        <v>0</v>
      </c>
      <c r="K369" s="7" t="str">
        <f t="shared" si="74"/>
        <v/>
      </c>
    </row>
    <row r="370" spans="1:11" x14ac:dyDescent="0.3">
      <c r="K370" s="7" t="str">
        <f t="shared" si="74"/>
        <v/>
      </c>
    </row>
    <row r="371" spans="1:11" x14ac:dyDescent="0.3">
      <c r="A371" s="58" t="s">
        <v>466</v>
      </c>
      <c r="K371" s="7" t="str">
        <f t="shared" si="74"/>
        <v/>
      </c>
    </row>
    <row r="372" spans="1:11" x14ac:dyDescent="0.3">
      <c r="A372" s="8" t="s">
        <v>467</v>
      </c>
      <c r="B372" s="9" t="s">
        <v>64</v>
      </c>
      <c r="C372" s="6" t="s">
        <v>894</v>
      </c>
      <c r="D372" s="180" t="s">
        <v>895</v>
      </c>
      <c r="E372" s="6" t="s">
        <v>470</v>
      </c>
      <c r="F372" s="52">
        <v>3</v>
      </c>
      <c r="G372" s="52"/>
      <c r="H372" s="17">
        <f t="shared" ref="H372:H377" si="87">SUM(F372:G372)</f>
        <v>3</v>
      </c>
      <c r="I372" s="106">
        <f>'2 - Section Count Projection'!$O$122</f>
        <v>0</v>
      </c>
      <c r="J372" s="16">
        <f t="shared" ref="J372:J377" si="88">I372*H372</f>
        <v>0</v>
      </c>
      <c r="K372" s="7" t="str">
        <f t="shared" si="74"/>
        <v/>
      </c>
    </row>
    <row r="373" spans="1:11" x14ac:dyDescent="0.3">
      <c r="A373" s="8" t="s">
        <v>467</v>
      </c>
      <c r="B373" s="9" t="s">
        <v>64</v>
      </c>
      <c r="C373" s="6" t="s">
        <v>896</v>
      </c>
      <c r="D373" s="6" t="s">
        <v>897</v>
      </c>
      <c r="E373" s="6" t="s">
        <v>470</v>
      </c>
      <c r="F373" s="52">
        <v>3</v>
      </c>
      <c r="G373" s="52"/>
      <c r="H373" s="17">
        <f t="shared" si="87"/>
        <v>3</v>
      </c>
      <c r="I373" s="106">
        <f>'2 - Section Count Projection'!$O$122</f>
        <v>0</v>
      </c>
      <c r="J373" s="16">
        <f t="shared" si="88"/>
        <v>0</v>
      </c>
      <c r="K373" s="7" t="str">
        <f t="shared" si="74"/>
        <v/>
      </c>
    </row>
    <row r="374" spans="1:11" x14ac:dyDescent="0.3">
      <c r="A374" s="8" t="s">
        <v>467</v>
      </c>
      <c r="B374" s="9" t="s">
        <v>64</v>
      </c>
      <c r="C374" s="6" t="s">
        <v>297</v>
      </c>
      <c r="D374" s="6" t="s">
        <v>298</v>
      </c>
      <c r="E374" s="6" t="s">
        <v>141</v>
      </c>
      <c r="F374" s="52">
        <v>3</v>
      </c>
      <c r="G374" s="52"/>
      <c r="H374" s="17">
        <f t="shared" si="87"/>
        <v>3</v>
      </c>
      <c r="I374" s="106">
        <f>'2 - Section Count Projection'!$O$122</f>
        <v>0</v>
      </c>
      <c r="J374" s="16">
        <f t="shared" si="88"/>
        <v>0</v>
      </c>
      <c r="K374" s="7" t="str">
        <f t="shared" si="74"/>
        <v/>
      </c>
    </row>
    <row r="375" spans="1:11" x14ac:dyDescent="0.3">
      <c r="A375" s="8" t="s">
        <v>467</v>
      </c>
      <c r="B375" s="9" t="s">
        <v>64</v>
      </c>
      <c r="C375" s="6" t="s">
        <v>678</v>
      </c>
      <c r="D375" s="180" t="s">
        <v>898</v>
      </c>
      <c r="E375" s="6" t="s">
        <v>38</v>
      </c>
      <c r="F375" s="52">
        <v>2</v>
      </c>
      <c r="G375" s="52"/>
      <c r="H375" s="17">
        <f t="shared" si="87"/>
        <v>2</v>
      </c>
      <c r="I375" s="106">
        <f>'2 - Section Count Projection'!$O$122</f>
        <v>0</v>
      </c>
      <c r="J375" s="16">
        <f t="shared" si="88"/>
        <v>0</v>
      </c>
      <c r="K375" s="7" t="str">
        <f t="shared" si="74"/>
        <v/>
      </c>
    </row>
    <row r="376" spans="1:11" x14ac:dyDescent="0.3">
      <c r="A376" s="8" t="s">
        <v>467</v>
      </c>
      <c r="B376" s="9" t="s">
        <v>64</v>
      </c>
      <c r="C376" s="6" t="s">
        <v>393</v>
      </c>
      <c r="D376" s="6" t="s">
        <v>899</v>
      </c>
      <c r="E376" s="101"/>
      <c r="F376" s="52">
        <v>3</v>
      </c>
      <c r="G376" s="52"/>
      <c r="H376" s="17">
        <f t="shared" si="87"/>
        <v>3</v>
      </c>
      <c r="I376" s="106">
        <f>'2 - Section Count Projection'!$O$122</f>
        <v>0</v>
      </c>
      <c r="J376" s="16">
        <f t="shared" si="88"/>
        <v>0</v>
      </c>
      <c r="K376" s="7" t="str">
        <f t="shared" si="74"/>
        <v/>
      </c>
    </row>
    <row r="377" spans="1:11" x14ac:dyDescent="0.3">
      <c r="A377" s="8" t="s">
        <v>467</v>
      </c>
      <c r="B377" s="9" t="s">
        <v>64</v>
      </c>
      <c r="C377" s="6" t="s">
        <v>900</v>
      </c>
      <c r="D377" s="6" t="s">
        <v>901</v>
      </c>
      <c r="E377" s="6" t="s">
        <v>470</v>
      </c>
      <c r="F377" s="52">
        <v>2</v>
      </c>
      <c r="G377" s="52">
        <v>1.5</v>
      </c>
      <c r="H377" s="17">
        <f t="shared" si="87"/>
        <v>3.5</v>
      </c>
      <c r="I377" s="106">
        <f>'2 - Section Count Projection'!$O$122</f>
        <v>0</v>
      </c>
      <c r="J377" s="16">
        <f t="shared" si="88"/>
        <v>0</v>
      </c>
      <c r="K377" s="7" t="str">
        <f t="shared" si="74"/>
        <v/>
      </c>
    </row>
    <row r="378" spans="1:11" x14ac:dyDescent="0.3">
      <c r="K378" s="7" t="str">
        <f t="shared" si="74"/>
        <v/>
      </c>
    </row>
    <row r="379" spans="1:11" x14ac:dyDescent="0.3">
      <c r="A379" s="58" t="s">
        <v>466</v>
      </c>
      <c r="K379" s="7" t="str">
        <f t="shared" si="74"/>
        <v/>
      </c>
    </row>
    <row r="380" spans="1:11" x14ac:dyDescent="0.3">
      <c r="A380" s="8" t="s">
        <v>467</v>
      </c>
      <c r="B380" s="9" t="s">
        <v>69</v>
      </c>
      <c r="C380" s="6" t="s">
        <v>902</v>
      </c>
      <c r="D380" s="6" t="s">
        <v>903</v>
      </c>
      <c r="E380" s="6" t="s">
        <v>470</v>
      </c>
      <c r="F380" s="52">
        <v>3</v>
      </c>
      <c r="G380" s="52"/>
      <c r="H380" s="17">
        <f t="shared" ref="H380:H385" si="89">SUM(F380:G380)</f>
        <v>3</v>
      </c>
      <c r="I380" s="106">
        <f>'2 - Section Count Projection'!$O$124</f>
        <v>0</v>
      </c>
      <c r="J380" s="16">
        <f t="shared" ref="J380:J385" si="90">I380*H380</f>
        <v>0</v>
      </c>
      <c r="K380" s="7" t="str">
        <f t="shared" si="74"/>
        <v/>
      </c>
    </row>
    <row r="381" spans="1:11" x14ac:dyDescent="0.3">
      <c r="A381" s="8" t="s">
        <v>467</v>
      </c>
      <c r="B381" s="9" t="s">
        <v>69</v>
      </c>
      <c r="C381" s="6" t="s">
        <v>132</v>
      </c>
      <c r="D381" s="6" t="s">
        <v>133</v>
      </c>
      <c r="E381" s="101"/>
      <c r="F381" s="52">
        <v>3</v>
      </c>
      <c r="G381" s="52"/>
      <c r="H381" s="17">
        <f t="shared" si="89"/>
        <v>3</v>
      </c>
      <c r="I381" s="106">
        <f>'2 - Section Count Projection'!$O$124</f>
        <v>0</v>
      </c>
      <c r="J381" s="16">
        <f t="shared" si="90"/>
        <v>0</v>
      </c>
      <c r="K381" s="7" t="str">
        <f t="shared" si="74"/>
        <v/>
      </c>
    </row>
    <row r="382" spans="1:11" x14ac:dyDescent="0.3">
      <c r="A382" s="8" t="s">
        <v>467</v>
      </c>
      <c r="B382" s="9" t="s">
        <v>69</v>
      </c>
      <c r="C382" s="6" t="s">
        <v>167</v>
      </c>
      <c r="D382" s="6" t="s">
        <v>168</v>
      </c>
      <c r="E382" s="101"/>
      <c r="F382" s="52">
        <v>1</v>
      </c>
      <c r="G382" s="52"/>
      <c r="H382" s="17">
        <f t="shared" si="89"/>
        <v>1</v>
      </c>
      <c r="I382" s="106">
        <f>'2 - Section Count Projection'!$O$124</f>
        <v>0</v>
      </c>
      <c r="J382" s="16">
        <f t="shared" si="90"/>
        <v>0</v>
      </c>
      <c r="K382" s="7" t="str">
        <f t="shared" si="74"/>
        <v/>
      </c>
    </row>
    <row r="383" spans="1:11" x14ac:dyDescent="0.3">
      <c r="A383" s="8" t="s">
        <v>467</v>
      </c>
      <c r="B383" s="9" t="s">
        <v>69</v>
      </c>
      <c r="C383" s="6" t="s">
        <v>904</v>
      </c>
      <c r="D383" s="6" t="s">
        <v>905</v>
      </c>
      <c r="E383" s="6" t="s">
        <v>30</v>
      </c>
      <c r="F383" s="52">
        <v>3</v>
      </c>
      <c r="G383" s="52"/>
      <c r="H383" s="17">
        <f t="shared" si="89"/>
        <v>3</v>
      </c>
      <c r="I383" s="106">
        <f>'2 - Section Count Projection'!$O$124</f>
        <v>0</v>
      </c>
      <c r="J383" s="16">
        <f t="shared" si="90"/>
        <v>0</v>
      </c>
      <c r="K383" s="7" t="str">
        <f t="shared" si="74"/>
        <v/>
      </c>
    </row>
    <row r="384" spans="1:11" x14ac:dyDescent="0.3">
      <c r="A384" s="8" t="s">
        <v>467</v>
      </c>
      <c r="B384" s="9" t="s">
        <v>69</v>
      </c>
      <c r="C384" s="6" t="s">
        <v>906</v>
      </c>
      <c r="D384" s="6" t="s">
        <v>907</v>
      </c>
      <c r="E384" s="6" t="s">
        <v>470</v>
      </c>
      <c r="F384" s="52">
        <v>3</v>
      </c>
      <c r="G384" s="52"/>
      <c r="H384" s="17">
        <f t="shared" si="89"/>
        <v>3</v>
      </c>
      <c r="I384" s="106">
        <f>'2 - Section Count Projection'!$O$124</f>
        <v>0</v>
      </c>
      <c r="J384" s="16">
        <f t="shared" si="90"/>
        <v>0</v>
      </c>
      <c r="K384" s="7" t="str">
        <f t="shared" si="74"/>
        <v/>
      </c>
    </row>
    <row r="385" spans="1:11" x14ac:dyDescent="0.3">
      <c r="A385" s="8" t="s">
        <v>467</v>
      </c>
      <c r="B385" s="9" t="s">
        <v>69</v>
      </c>
      <c r="C385" s="6" t="s">
        <v>908</v>
      </c>
      <c r="D385" s="6" t="s">
        <v>909</v>
      </c>
      <c r="E385" s="6" t="s">
        <v>470</v>
      </c>
      <c r="F385" s="52">
        <v>2</v>
      </c>
      <c r="G385" s="52">
        <v>1.5</v>
      </c>
      <c r="H385" s="17">
        <f t="shared" si="89"/>
        <v>3.5</v>
      </c>
      <c r="I385" s="106">
        <f>'2 - Section Count Projection'!$O$124</f>
        <v>0</v>
      </c>
      <c r="J385" s="16">
        <f t="shared" si="90"/>
        <v>0</v>
      </c>
      <c r="K385" s="7" t="str">
        <f t="shared" si="74"/>
        <v/>
      </c>
    </row>
    <row r="386" spans="1:11" ht="28.8" x14ac:dyDescent="0.3">
      <c r="A386" s="8" t="s">
        <v>467</v>
      </c>
      <c r="B386" s="9" t="s">
        <v>69</v>
      </c>
      <c r="C386" s="6" t="s">
        <v>910</v>
      </c>
      <c r="D386" s="6" t="s">
        <v>911</v>
      </c>
      <c r="E386" s="6" t="s">
        <v>470</v>
      </c>
      <c r="F386" s="52">
        <v>3</v>
      </c>
      <c r="G386" s="52"/>
      <c r="H386" s="17">
        <f t="shared" ref="H386" si="91">SUM(F386:G386)</f>
        <v>3</v>
      </c>
      <c r="I386" s="106">
        <f>'2 - Section Count Projection'!$O$124</f>
        <v>0</v>
      </c>
      <c r="J386" s="16">
        <f t="shared" ref="J386" si="92">I386*H386</f>
        <v>0</v>
      </c>
      <c r="K386" s="7" t="str">
        <f t="shared" si="74"/>
        <v/>
      </c>
    </row>
    <row r="387" spans="1:11" x14ac:dyDescent="0.3">
      <c r="A387" s="7"/>
      <c r="K387" s="7" t="str">
        <f t="shared" si="74"/>
        <v/>
      </c>
    </row>
    <row r="388" spans="1:11" x14ac:dyDescent="0.3">
      <c r="A388" s="58" t="s">
        <v>485</v>
      </c>
      <c r="K388" s="7" t="str">
        <f t="shared" ref="K388:K451" si="93">IF(I388&gt;0,F388,"")</f>
        <v/>
      </c>
    </row>
    <row r="389" spans="1:11" x14ac:dyDescent="0.3">
      <c r="A389" s="8" t="s">
        <v>467</v>
      </c>
      <c r="B389" s="9" t="s">
        <v>73</v>
      </c>
      <c r="C389" s="19" t="s">
        <v>912</v>
      </c>
      <c r="D389" s="18" t="s">
        <v>913</v>
      </c>
      <c r="E389" s="6" t="s">
        <v>470</v>
      </c>
      <c r="F389" s="20">
        <v>3</v>
      </c>
      <c r="G389" s="20"/>
      <c r="H389" s="17">
        <f>SUM(F389:G389)</f>
        <v>3</v>
      </c>
      <c r="I389" s="106">
        <f>'2 - Section Count Projection'!$O$126</f>
        <v>0</v>
      </c>
      <c r="J389" s="16">
        <f>I389*H389</f>
        <v>0</v>
      </c>
      <c r="K389" s="7" t="str">
        <f t="shared" si="93"/>
        <v/>
      </c>
    </row>
    <row r="390" spans="1:11" x14ac:dyDescent="0.3">
      <c r="A390" s="8" t="s">
        <v>467</v>
      </c>
      <c r="B390" s="9" t="s">
        <v>73</v>
      </c>
      <c r="C390" s="19" t="s">
        <v>914</v>
      </c>
      <c r="D390" s="18" t="s">
        <v>915</v>
      </c>
      <c r="E390" s="6" t="s">
        <v>470</v>
      </c>
      <c r="F390" s="20">
        <v>3</v>
      </c>
      <c r="G390" s="20"/>
      <c r="H390" s="17">
        <f>SUM(F390:G390)</f>
        <v>3</v>
      </c>
      <c r="I390" s="106">
        <f>'2 - Section Count Projection'!$O$126</f>
        <v>0</v>
      </c>
      <c r="J390" s="16">
        <f>I390*H390</f>
        <v>0</v>
      </c>
      <c r="K390" s="7" t="str">
        <f t="shared" si="93"/>
        <v/>
      </c>
    </row>
    <row r="391" spans="1:11" x14ac:dyDescent="0.3">
      <c r="A391" s="8" t="s">
        <v>467</v>
      </c>
      <c r="B391" s="9" t="s">
        <v>73</v>
      </c>
      <c r="C391" s="19" t="s">
        <v>916</v>
      </c>
      <c r="D391" s="18" t="s">
        <v>917</v>
      </c>
      <c r="E391" s="6" t="s">
        <v>470</v>
      </c>
      <c r="F391" s="20">
        <v>2</v>
      </c>
      <c r="G391" s="20"/>
      <c r="H391" s="190">
        <v>2</v>
      </c>
      <c r="I391" s="106">
        <f>'2 - Section Count Projection'!$O$126</f>
        <v>0</v>
      </c>
      <c r="J391" s="16">
        <f>I391*H391</f>
        <v>0</v>
      </c>
      <c r="K391" s="7" t="str">
        <f t="shared" si="93"/>
        <v/>
      </c>
    </row>
    <row r="392" spans="1:11" x14ac:dyDescent="0.3">
      <c r="K392" s="7" t="str">
        <f t="shared" si="93"/>
        <v/>
      </c>
    </row>
    <row r="393" spans="1:11" x14ac:dyDescent="0.3">
      <c r="A393" s="58" t="s">
        <v>496</v>
      </c>
      <c r="K393" s="7" t="str">
        <f t="shared" si="93"/>
        <v/>
      </c>
    </row>
    <row r="394" spans="1:11" x14ac:dyDescent="0.3">
      <c r="A394" s="8" t="s">
        <v>497</v>
      </c>
      <c r="B394" s="9" t="s">
        <v>61</v>
      </c>
      <c r="C394" s="19" t="s">
        <v>673</v>
      </c>
      <c r="D394" s="18" t="s">
        <v>674</v>
      </c>
      <c r="E394" s="6" t="s">
        <v>141</v>
      </c>
      <c r="F394" s="20">
        <v>3</v>
      </c>
      <c r="G394" s="20"/>
      <c r="H394" s="17">
        <f>SUM(F394:G394)</f>
        <v>3</v>
      </c>
      <c r="I394" s="106">
        <f>'2 - Section Count Projection'!$O$111</f>
        <v>0</v>
      </c>
      <c r="J394" s="16">
        <f>I394*H394</f>
        <v>0</v>
      </c>
      <c r="K394" s="7" t="str">
        <f t="shared" si="93"/>
        <v/>
      </c>
    </row>
    <row r="395" spans="1:11" x14ac:dyDescent="0.3">
      <c r="A395" s="8" t="s">
        <v>497</v>
      </c>
      <c r="B395" s="9" t="s">
        <v>61</v>
      </c>
      <c r="C395" s="19" t="s">
        <v>668</v>
      </c>
      <c r="D395" s="18" t="s">
        <v>669</v>
      </c>
      <c r="E395" s="101"/>
      <c r="F395" s="20">
        <v>3</v>
      </c>
      <c r="G395" s="20"/>
      <c r="H395" s="17">
        <f t="shared" ref="H395:H401" si="94">SUM(F395:G395)</f>
        <v>3</v>
      </c>
      <c r="I395" s="106">
        <f>'2 - Section Count Projection'!$O$111</f>
        <v>0</v>
      </c>
      <c r="J395" s="16">
        <f t="shared" ref="J395:J401" si="95">I395*H395</f>
        <v>0</v>
      </c>
      <c r="K395" s="7" t="str">
        <f t="shared" si="93"/>
        <v/>
      </c>
    </row>
    <row r="396" spans="1:11" x14ac:dyDescent="0.3">
      <c r="A396" s="8" t="s">
        <v>497</v>
      </c>
      <c r="B396" s="9" t="s">
        <v>61</v>
      </c>
      <c r="C396" s="19" t="s">
        <v>670</v>
      </c>
      <c r="D396" s="18" t="s">
        <v>698</v>
      </c>
      <c r="E396" s="6" t="s">
        <v>38</v>
      </c>
      <c r="F396" s="20">
        <v>2</v>
      </c>
      <c r="G396" s="20"/>
      <c r="H396" s="17">
        <f t="shared" si="94"/>
        <v>2</v>
      </c>
      <c r="I396" s="106">
        <f>'2 - Section Count Projection'!$O$111</f>
        <v>0</v>
      </c>
      <c r="J396" s="16">
        <f t="shared" si="95"/>
        <v>0</v>
      </c>
      <c r="K396" s="7" t="str">
        <f t="shared" si="93"/>
        <v/>
      </c>
    </row>
    <row r="397" spans="1:11" x14ac:dyDescent="0.3">
      <c r="A397" s="8" t="s">
        <v>497</v>
      </c>
      <c r="B397" s="9" t="s">
        <v>61</v>
      </c>
      <c r="C397" s="19" t="s">
        <v>125</v>
      </c>
      <c r="D397" s="18" t="s">
        <v>126</v>
      </c>
      <c r="E397" s="6" t="s">
        <v>127</v>
      </c>
      <c r="F397" s="20">
        <v>3</v>
      </c>
      <c r="G397" s="20"/>
      <c r="H397" s="17">
        <f t="shared" si="94"/>
        <v>3</v>
      </c>
      <c r="I397" s="106">
        <f>'2 - Section Count Projection'!$O$111</f>
        <v>0</v>
      </c>
      <c r="J397" s="16">
        <f t="shared" si="95"/>
        <v>0</v>
      </c>
      <c r="K397" s="7" t="str">
        <f t="shared" si="93"/>
        <v/>
      </c>
    </row>
    <row r="398" spans="1:11" x14ac:dyDescent="0.3">
      <c r="A398" s="8" t="s">
        <v>497</v>
      </c>
      <c r="B398" s="9" t="s">
        <v>61</v>
      </c>
      <c r="C398" s="19" t="s">
        <v>393</v>
      </c>
      <c r="D398" s="18" t="s">
        <v>672</v>
      </c>
      <c r="E398" s="101"/>
      <c r="F398" s="20">
        <v>3</v>
      </c>
      <c r="G398" s="20"/>
      <c r="H398" s="17">
        <f t="shared" si="94"/>
        <v>3</v>
      </c>
      <c r="I398" s="106">
        <f>'2 - Section Count Projection'!$O$111</f>
        <v>0</v>
      </c>
      <c r="J398" s="16">
        <f t="shared" si="95"/>
        <v>0</v>
      </c>
      <c r="K398" s="7" t="str">
        <f t="shared" si="93"/>
        <v/>
      </c>
    </row>
    <row r="399" spans="1:11" x14ac:dyDescent="0.3">
      <c r="A399" s="8" t="s">
        <v>497</v>
      </c>
      <c r="B399" s="9" t="s">
        <v>61</v>
      </c>
      <c r="C399" s="19" t="s">
        <v>529</v>
      </c>
      <c r="D399" s="18" t="s">
        <v>530</v>
      </c>
      <c r="E399" s="6" t="s">
        <v>34</v>
      </c>
      <c r="F399" s="20"/>
      <c r="G399" s="20">
        <v>1.5</v>
      </c>
      <c r="H399" s="17">
        <f t="shared" si="94"/>
        <v>1.5</v>
      </c>
      <c r="I399" s="106">
        <f>'2 - Section Count Projection'!$O$111</f>
        <v>0</v>
      </c>
      <c r="J399" s="16">
        <f t="shared" si="95"/>
        <v>0</v>
      </c>
      <c r="K399" s="7" t="str">
        <f t="shared" si="93"/>
        <v/>
      </c>
    </row>
    <row r="400" spans="1:11" x14ac:dyDescent="0.3">
      <c r="A400" s="8" t="s">
        <v>497</v>
      </c>
      <c r="B400" s="9" t="s">
        <v>61</v>
      </c>
      <c r="C400" s="19" t="s">
        <v>918</v>
      </c>
      <c r="D400" s="18" t="s">
        <v>919</v>
      </c>
      <c r="E400" s="6" t="s">
        <v>920</v>
      </c>
      <c r="F400" s="20">
        <v>1</v>
      </c>
      <c r="G400" s="20">
        <v>1.5</v>
      </c>
      <c r="H400" s="17">
        <f t="shared" si="94"/>
        <v>2.5</v>
      </c>
      <c r="I400" s="106">
        <f>'2 - Section Count Projection'!$O$111</f>
        <v>0</v>
      </c>
      <c r="J400" s="16">
        <f t="shared" si="95"/>
        <v>0</v>
      </c>
      <c r="K400" s="7" t="str">
        <f t="shared" si="93"/>
        <v/>
      </c>
    </row>
    <row r="401" spans="1:11" x14ac:dyDescent="0.3">
      <c r="A401" s="8" t="s">
        <v>497</v>
      </c>
      <c r="B401" s="9" t="s">
        <v>61</v>
      </c>
      <c r="C401" s="19" t="s">
        <v>921</v>
      </c>
      <c r="D401" s="18" t="s">
        <v>922</v>
      </c>
      <c r="E401" s="6" t="s">
        <v>920</v>
      </c>
      <c r="F401" s="20">
        <v>2</v>
      </c>
      <c r="G401" s="20">
        <v>1.5</v>
      </c>
      <c r="H401" s="17">
        <f t="shared" si="94"/>
        <v>3.5</v>
      </c>
      <c r="I401" s="106">
        <f>'2 - Section Count Projection'!$O$111</f>
        <v>0</v>
      </c>
      <c r="J401" s="16">
        <f t="shared" si="95"/>
        <v>0</v>
      </c>
      <c r="K401" s="7" t="str">
        <f t="shared" si="93"/>
        <v/>
      </c>
    </row>
    <row r="402" spans="1:11" x14ac:dyDescent="0.3">
      <c r="A402" s="8" t="s">
        <v>497</v>
      </c>
      <c r="B402" s="9" t="s">
        <v>61</v>
      </c>
      <c r="C402" s="19" t="s">
        <v>923</v>
      </c>
      <c r="D402" s="18" t="s">
        <v>924</v>
      </c>
      <c r="E402" s="6" t="s">
        <v>920</v>
      </c>
      <c r="F402" s="20">
        <v>3</v>
      </c>
      <c r="G402" s="20"/>
      <c r="H402" s="17">
        <f>SUM(F402:G402)</f>
        <v>3</v>
      </c>
      <c r="I402" s="106">
        <f>'2 - Section Count Projection'!$O$111</f>
        <v>0</v>
      </c>
      <c r="J402" s="16">
        <f>I402*H402</f>
        <v>0</v>
      </c>
      <c r="K402" s="7" t="str">
        <f t="shared" si="93"/>
        <v/>
      </c>
    </row>
    <row r="403" spans="1:11" x14ac:dyDescent="0.3">
      <c r="K403" s="7" t="str">
        <f t="shared" si="93"/>
        <v/>
      </c>
    </row>
    <row r="404" spans="1:11" x14ac:dyDescent="0.3">
      <c r="A404" s="58" t="s">
        <v>496</v>
      </c>
      <c r="K404" s="7" t="str">
        <f t="shared" si="93"/>
        <v/>
      </c>
    </row>
    <row r="405" spans="1:11" x14ac:dyDescent="0.3">
      <c r="A405" s="8" t="s">
        <v>497</v>
      </c>
      <c r="B405" s="9" t="s">
        <v>64</v>
      </c>
      <c r="C405" s="4" t="s">
        <v>297</v>
      </c>
      <c r="D405" s="4" t="s">
        <v>298</v>
      </c>
      <c r="E405" s="6" t="s">
        <v>141</v>
      </c>
      <c r="F405" s="20">
        <v>3</v>
      </c>
      <c r="G405" s="20"/>
      <c r="H405" s="15">
        <f t="shared" ref="H405:H410" si="96">SUM(F405:G405)</f>
        <v>3</v>
      </c>
      <c r="I405" s="106">
        <f>'2 - Section Count Projection'!$O$113</f>
        <v>0</v>
      </c>
      <c r="J405" s="16">
        <f t="shared" ref="J405:J410" si="97">I405*H405</f>
        <v>0</v>
      </c>
      <c r="K405" s="7" t="str">
        <f t="shared" si="93"/>
        <v/>
      </c>
    </row>
    <row r="406" spans="1:11" x14ac:dyDescent="0.3">
      <c r="A406" s="8" t="s">
        <v>497</v>
      </c>
      <c r="B406" s="9" t="s">
        <v>64</v>
      </c>
      <c r="C406" s="6" t="s">
        <v>132</v>
      </c>
      <c r="D406" s="6" t="s">
        <v>133</v>
      </c>
      <c r="E406" s="101"/>
      <c r="F406" s="20">
        <v>3</v>
      </c>
      <c r="G406" s="20"/>
      <c r="H406" s="15">
        <f t="shared" si="96"/>
        <v>3</v>
      </c>
      <c r="I406" s="106">
        <f>'2 - Section Count Projection'!$O$113</f>
        <v>0</v>
      </c>
      <c r="J406" s="16">
        <f t="shared" si="97"/>
        <v>0</v>
      </c>
      <c r="K406" s="7" t="str">
        <f t="shared" si="93"/>
        <v/>
      </c>
    </row>
    <row r="407" spans="1:11" x14ac:dyDescent="0.3">
      <c r="A407" s="8" t="s">
        <v>497</v>
      </c>
      <c r="B407" s="9" t="s">
        <v>64</v>
      </c>
      <c r="C407" s="4" t="s">
        <v>678</v>
      </c>
      <c r="D407" s="4" t="s">
        <v>703</v>
      </c>
      <c r="E407" s="6" t="s">
        <v>38</v>
      </c>
      <c r="F407" s="20">
        <v>2</v>
      </c>
      <c r="G407" s="20"/>
      <c r="H407" s="15">
        <f t="shared" si="96"/>
        <v>2</v>
      </c>
      <c r="I407" s="106">
        <f>'2 - Section Count Projection'!$O$113</f>
        <v>0</v>
      </c>
      <c r="J407" s="16">
        <f t="shared" si="97"/>
        <v>0</v>
      </c>
      <c r="K407" s="7" t="str">
        <f t="shared" si="93"/>
        <v/>
      </c>
    </row>
    <row r="408" spans="1:11" x14ac:dyDescent="0.3">
      <c r="A408" s="8" t="s">
        <v>497</v>
      </c>
      <c r="B408" s="9" t="s">
        <v>64</v>
      </c>
      <c r="C408" s="4" t="s">
        <v>925</v>
      </c>
      <c r="D408" s="4" t="s">
        <v>926</v>
      </c>
      <c r="E408" s="6" t="s">
        <v>920</v>
      </c>
      <c r="F408" s="20">
        <v>2</v>
      </c>
      <c r="G408" s="20">
        <v>1.5</v>
      </c>
      <c r="H408" s="15">
        <f t="shared" si="96"/>
        <v>3.5</v>
      </c>
      <c r="I408" s="106">
        <f>'2 - Section Count Projection'!$O$113</f>
        <v>0</v>
      </c>
      <c r="J408" s="16">
        <f t="shared" si="97"/>
        <v>0</v>
      </c>
      <c r="K408" s="7" t="str">
        <f t="shared" si="93"/>
        <v/>
      </c>
    </row>
    <row r="409" spans="1:11" x14ac:dyDescent="0.3">
      <c r="A409" s="8" t="s">
        <v>497</v>
      </c>
      <c r="B409" s="9" t="s">
        <v>64</v>
      </c>
      <c r="C409" s="4"/>
      <c r="D409" s="4" t="s">
        <v>927</v>
      </c>
      <c r="E409" s="6" t="s">
        <v>920</v>
      </c>
      <c r="F409" s="20">
        <v>2</v>
      </c>
      <c r="G409" s="20">
        <v>1.5</v>
      </c>
      <c r="H409" s="15">
        <f t="shared" si="96"/>
        <v>3.5</v>
      </c>
      <c r="I409" s="106">
        <f>'2 - Section Count Projection'!$O$113</f>
        <v>0</v>
      </c>
      <c r="J409" s="16">
        <f t="shared" si="97"/>
        <v>0</v>
      </c>
      <c r="K409" s="7" t="str">
        <f t="shared" si="93"/>
        <v/>
      </c>
    </row>
    <row r="410" spans="1:11" x14ac:dyDescent="0.3">
      <c r="A410" s="8" t="s">
        <v>497</v>
      </c>
      <c r="B410" s="9" t="s">
        <v>64</v>
      </c>
      <c r="C410" s="4" t="s">
        <v>906</v>
      </c>
      <c r="D410" s="4" t="s">
        <v>907</v>
      </c>
      <c r="E410" s="6" t="s">
        <v>920</v>
      </c>
      <c r="F410" s="20">
        <v>3</v>
      </c>
      <c r="G410" s="20"/>
      <c r="H410" s="15">
        <f t="shared" si="96"/>
        <v>3</v>
      </c>
      <c r="I410" s="106">
        <f>'2 - Section Count Projection'!$O$113</f>
        <v>0</v>
      </c>
      <c r="J410" s="16">
        <f t="shared" si="97"/>
        <v>0</v>
      </c>
      <c r="K410" s="7" t="str">
        <f t="shared" si="93"/>
        <v/>
      </c>
    </row>
    <row r="411" spans="1:11" x14ac:dyDescent="0.3">
      <c r="K411" s="7" t="str">
        <f t="shared" si="93"/>
        <v/>
      </c>
    </row>
    <row r="412" spans="1:11" x14ac:dyDescent="0.3">
      <c r="A412" s="58" t="s">
        <v>496</v>
      </c>
      <c r="K412" s="7" t="str">
        <f t="shared" si="93"/>
        <v/>
      </c>
    </row>
    <row r="413" spans="1:11" x14ac:dyDescent="0.3">
      <c r="A413" s="8" t="s">
        <v>497</v>
      </c>
      <c r="B413" s="9" t="s">
        <v>69</v>
      </c>
      <c r="C413" s="4" t="s">
        <v>904</v>
      </c>
      <c r="D413" s="4" t="s">
        <v>905</v>
      </c>
      <c r="E413" s="6" t="s">
        <v>30</v>
      </c>
      <c r="F413" s="20">
        <v>3</v>
      </c>
      <c r="G413" s="20"/>
      <c r="H413" s="15">
        <v>3</v>
      </c>
      <c r="I413" s="106">
        <f>'2 - Section Count Projection'!$O$115</f>
        <v>0</v>
      </c>
      <c r="J413" s="16">
        <f t="shared" ref="J413:J418" si="98">I413*H413</f>
        <v>0</v>
      </c>
      <c r="K413" s="7" t="str">
        <f t="shared" si="93"/>
        <v/>
      </c>
    </row>
    <row r="414" spans="1:11" ht="17.25" customHeight="1" x14ac:dyDescent="0.3">
      <c r="A414" s="8" t="s">
        <v>497</v>
      </c>
      <c r="B414" s="9" t="s">
        <v>69</v>
      </c>
      <c r="C414" s="4" t="s">
        <v>167</v>
      </c>
      <c r="D414" s="4" t="s">
        <v>168</v>
      </c>
      <c r="E414" s="101"/>
      <c r="F414" s="20">
        <v>1</v>
      </c>
      <c r="G414" s="20"/>
      <c r="H414" s="15">
        <v>1</v>
      </c>
      <c r="I414" s="106">
        <f>'2 - Section Count Projection'!$O$115</f>
        <v>0</v>
      </c>
      <c r="J414" s="16">
        <f t="shared" si="98"/>
        <v>0</v>
      </c>
      <c r="K414" s="7" t="str">
        <f t="shared" si="93"/>
        <v/>
      </c>
    </row>
    <row r="415" spans="1:11" x14ac:dyDescent="0.3">
      <c r="A415" s="8" t="s">
        <v>497</v>
      </c>
      <c r="B415" s="9" t="s">
        <v>69</v>
      </c>
      <c r="C415" s="4"/>
      <c r="D415" s="4" t="s">
        <v>928</v>
      </c>
      <c r="E415" s="6" t="s">
        <v>920</v>
      </c>
      <c r="F415" s="20">
        <v>2</v>
      </c>
      <c r="G415" s="20">
        <v>1.5</v>
      </c>
      <c r="H415" s="15">
        <f>SUM(F415:G415)</f>
        <v>3.5</v>
      </c>
      <c r="I415" s="106">
        <f>'2 - Section Count Projection'!$O$115</f>
        <v>0</v>
      </c>
      <c r="J415" s="16">
        <f t="shared" si="98"/>
        <v>0</v>
      </c>
      <c r="K415" s="7" t="str">
        <f t="shared" si="93"/>
        <v/>
      </c>
    </row>
    <row r="416" spans="1:11" x14ac:dyDescent="0.3">
      <c r="A416" s="8" t="s">
        <v>497</v>
      </c>
      <c r="B416" s="9" t="s">
        <v>69</v>
      </c>
      <c r="C416" s="4"/>
      <c r="D416" s="4" t="s">
        <v>929</v>
      </c>
      <c r="E416" s="6" t="s">
        <v>920</v>
      </c>
      <c r="F416" s="20">
        <v>2</v>
      </c>
      <c r="G416" s="20">
        <v>1.5</v>
      </c>
      <c r="H416" s="15">
        <f>SUM(F416:G416)</f>
        <v>3.5</v>
      </c>
      <c r="I416" s="106">
        <f>'2 - Section Count Projection'!$O$115</f>
        <v>0</v>
      </c>
      <c r="J416" s="16">
        <f t="shared" si="98"/>
        <v>0</v>
      </c>
      <c r="K416" s="7" t="str">
        <f t="shared" si="93"/>
        <v/>
      </c>
    </row>
    <row r="417" spans="1:11" x14ac:dyDescent="0.3">
      <c r="A417" s="8" t="s">
        <v>497</v>
      </c>
      <c r="B417" s="9" t="s">
        <v>69</v>
      </c>
      <c r="C417" s="4" t="s">
        <v>930</v>
      </c>
      <c r="D417" s="4" t="s">
        <v>931</v>
      </c>
      <c r="E417" s="6" t="s">
        <v>920</v>
      </c>
      <c r="F417" s="20">
        <v>2</v>
      </c>
      <c r="G417" s="20">
        <v>1.5</v>
      </c>
      <c r="H417" s="15">
        <f>SUM(F417:G417)</f>
        <v>3.5</v>
      </c>
      <c r="I417" s="106">
        <f>'2 - Section Count Projection'!$O$115</f>
        <v>0</v>
      </c>
      <c r="J417" s="16">
        <f t="shared" si="98"/>
        <v>0</v>
      </c>
      <c r="K417" s="7" t="str">
        <f t="shared" si="93"/>
        <v/>
      </c>
    </row>
    <row r="418" spans="1:11" x14ac:dyDescent="0.3">
      <c r="A418" s="8" t="s">
        <v>497</v>
      </c>
      <c r="B418" s="9" t="s">
        <v>69</v>
      </c>
      <c r="C418" s="4" t="s">
        <v>932</v>
      </c>
      <c r="D418" s="4" t="s">
        <v>933</v>
      </c>
      <c r="E418" s="6" t="s">
        <v>920</v>
      </c>
      <c r="F418" s="20">
        <v>2</v>
      </c>
      <c r="G418" s="20">
        <v>1.5</v>
      </c>
      <c r="H418" s="15">
        <f>SUM(F418:G418)</f>
        <v>3.5</v>
      </c>
      <c r="I418" s="106">
        <f>'2 - Section Count Projection'!$O$115</f>
        <v>0</v>
      </c>
      <c r="J418" s="16">
        <f t="shared" si="98"/>
        <v>0</v>
      </c>
      <c r="K418" s="7" t="str">
        <f t="shared" si="93"/>
        <v/>
      </c>
    </row>
    <row r="419" spans="1:11" x14ac:dyDescent="0.3">
      <c r="A419" s="8" t="s">
        <v>497</v>
      </c>
      <c r="B419" s="9" t="s">
        <v>69</v>
      </c>
      <c r="C419" s="4" t="s">
        <v>934</v>
      </c>
      <c r="D419" s="4" t="s">
        <v>201</v>
      </c>
      <c r="E419" s="6" t="s">
        <v>920</v>
      </c>
      <c r="F419" s="20">
        <v>3</v>
      </c>
      <c r="G419" s="20"/>
      <c r="H419" s="15">
        <v>3</v>
      </c>
      <c r="I419" s="106">
        <f>'2 - Section Count Projection'!$O$115</f>
        <v>0</v>
      </c>
      <c r="J419" s="16">
        <f t="shared" ref="J419" si="99">I419*H419</f>
        <v>0</v>
      </c>
      <c r="K419" s="7" t="str">
        <f t="shared" si="93"/>
        <v/>
      </c>
    </row>
    <row r="420" spans="1:11" x14ac:dyDescent="0.3">
      <c r="A420" s="7"/>
      <c r="K420" s="7" t="str">
        <f t="shared" si="93"/>
        <v/>
      </c>
    </row>
    <row r="421" spans="1:11" x14ac:dyDescent="0.3">
      <c r="A421" s="58" t="s">
        <v>518</v>
      </c>
      <c r="K421" s="7" t="str">
        <f t="shared" si="93"/>
        <v/>
      </c>
    </row>
    <row r="422" spans="1:11" x14ac:dyDescent="0.3">
      <c r="A422" s="8" t="s">
        <v>497</v>
      </c>
      <c r="B422" s="9" t="s">
        <v>73</v>
      </c>
      <c r="C422" s="19" t="s">
        <v>935</v>
      </c>
      <c r="D422" s="18" t="s">
        <v>936</v>
      </c>
      <c r="E422" s="6" t="s">
        <v>920</v>
      </c>
      <c r="F422" s="20"/>
      <c r="G422" s="20">
        <v>2</v>
      </c>
      <c r="H422" s="15">
        <v>2</v>
      </c>
      <c r="I422" s="106">
        <f>'2 - Section Count Projection'!$O$117</f>
        <v>0</v>
      </c>
      <c r="J422" s="16">
        <f>I422*H422</f>
        <v>0</v>
      </c>
      <c r="K422" s="7" t="str">
        <f t="shared" si="93"/>
        <v/>
      </c>
    </row>
    <row r="423" spans="1:11" x14ac:dyDescent="0.3">
      <c r="A423" s="8" t="s">
        <v>497</v>
      </c>
      <c r="B423" s="9" t="s">
        <v>73</v>
      </c>
      <c r="C423" s="19" t="s">
        <v>937</v>
      </c>
      <c r="D423" s="18" t="s">
        <v>938</v>
      </c>
      <c r="E423" s="6" t="s">
        <v>920</v>
      </c>
      <c r="F423" s="20">
        <v>1</v>
      </c>
      <c r="G423" s="20">
        <v>3</v>
      </c>
      <c r="H423" s="15">
        <f t="shared" ref="H423:H424" si="100">SUM(F423:G423)</f>
        <v>4</v>
      </c>
      <c r="I423" s="106">
        <f>'2 - Section Count Projection'!$O$117</f>
        <v>0</v>
      </c>
      <c r="J423" s="16">
        <f>I423*H423</f>
        <v>0</v>
      </c>
      <c r="K423" s="7" t="str">
        <f t="shared" si="93"/>
        <v/>
      </c>
    </row>
    <row r="424" spans="1:11" x14ac:dyDescent="0.3">
      <c r="A424" s="8" t="s">
        <v>497</v>
      </c>
      <c r="B424" s="9" t="s">
        <v>73</v>
      </c>
      <c r="C424" s="19" t="s">
        <v>939</v>
      </c>
      <c r="D424" s="18" t="s">
        <v>940</v>
      </c>
      <c r="E424" s="6" t="s">
        <v>920</v>
      </c>
      <c r="F424" s="20">
        <v>2</v>
      </c>
      <c r="G424" s="20">
        <v>1.5</v>
      </c>
      <c r="H424" s="15">
        <f t="shared" si="100"/>
        <v>3.5</v>
      </c>
      <c r="I424" s="106">
        <f>'2 - Section Count Projection'!$O$117</f>
        <v>0</v>
      </c>
      <c r="J424" s="16">
        <f>I424*H424</f>
        <v>0</v>
      </c>
      <c r="K424" s="7" t="str">
        <f t="shared" si="93"/>
        <v/>
      </c>
    </row>
    <row r="425" spans="1:11" x14ac:dyDescent="0.3">
      <c r="K425" s="7" t="str">
        <f t="shared" si="93"/>
        <v/>
      </c>
    </row>
    <row r="426" spans="1:11" x14ac:dyDescent="0.3">
      <c r="A426" s="58" t="s">
        <v>527</v>
      </c>
      <c r="K426" s="7" t="str">
        <f t="shared" si="93"/>
        <v/>
      </c>
    </row>
    <row r="427" spans="1:11" x14ac:dyDescent="0.3">
      <c r="A427" s="8" t="s">
        <v>528</v>
      </c>
      <c r="B427" s="9" t="s">
        <v>61</v>
      </c>
      <c r="C427" s="19" t="s">
        <v>217</v>
      </c>
      <c r="D427" s="18" t="s">
        <v>218</v>
      </c>
      <c r="E427" s="6" t="s">
        <v>36</v>
      </c>
      <c r="F427" s="20">
        <v>3</v>
      </c>
      <c r="G427" s="20"/>
      <c r="H427" s="15">
        <f>SUM(F427:G427)</f>
        <v>3</v>
      </c>
      <c r="I427" s="106">
        <f>'2 - Section Count Projection'!$O$129</f>
        <v>0</v>
      </c>
      <c r="J427" s="16">
        <f>I427*H427</f>
        <v>0</v>
      </c>
      <c r="K427" s="7" t="str">
        <f t="shared" si="93"/>
        <v/>
      </c>
    </row>
    <row r="428" spans="1:11" ht="17.25" customHeight="1" x14ac:dyDescent="0.3">
      <c r="A428" s="8" t="s">
        <v>528</v>
      </c>
      <c r="B428" s="9" t="s">
        <v>61</v>
      </c>
      <c r="C428" s="19" t="s">
        <v>673</v>
      </c>
      <c r="D428" s="18" t="s">
        <v>674</v>
      </c>
      <c r="E428" s="6" t="s">
        <v>141</v>
      </c>
      <c r="F428" s="20">
        <v>3</v>
      </c>
      <c r="G428" s="20"/>
      <c r="H428" s="15">
        <f t="shared" ref="H428:H433" si="101">SUM(F428:G428)</f>
        <v>3</v>
      </c>
      <c r="I428" s="106">
        <f>'2 - Section Count Projection'!$O$129</f>
        <v>0</v>
      </c>
      <c r="J428" s="16">
        <f t="shared" ref="J428:J433" si="102">I428*H428</f>
        <v>0</v>
      </c>
      <c r="K428" s="7" t="str">
        <f t="shared" si="93"/>
        <v/>
      </c>
    </row>
    <row r="429" spans="1:11" x14ac:dyDescent="0.3">
      <c r="A429" s="8" t="s">
        <v>528</v>
      </c>
      <c r="B429" s="9" t="s">
        <v>61</v>
      </c>
      <c r="C429" s="19" t="s">
        <v>941</v>
      </c>
      <c r="D429" s="18" t="s">
        <v>942</v>
      </c>
      <c r="E429" s="6" t="s">
        <v>20</v>
      </c>
      <c r="F429" s="20">
        <v>3</v>
      </c>
      <c r="G429" s="20"/>
      <c r="H429" s="15">
        <f t="shared" si="101"/>
        <v>3</v>
      </c>
      <c r="I429" s="106">
        <f>'2 - Section Count Projection'!$O$129</f>
        <v>0</v>
      </c>
      <c r="J429" s="16">
        <f t="shared" si="102"/>
        <v>0</v>
      </c>
      <c r="K429" s="7" t="str">
        <f t="shared" si="93"/>
        <v/>
      </c>
    </row>
    <row r="430" spans="1:11" x14ac:dyDescent="0.3">
      <c r="A430" s="8" t="s">
        <v>528</v>
      </c>
      <c r="B430" s="9" t="s">
        <v>61</v>
      </c>
      <c r="C430" s="19" t="s">
        <v>943</v>
      </c>
      <c r="D430" s="18" t="s">
        <v>944</v>
      </c>
      <c r="E430" s="6" t="s">
        <v>34</v>
      </c>
      <c r="F430" s="20">
        <v>2</v>
      </c>
      <c r="G430" s="20">
        <v>1.5</v>
      </c>
      <c r="H430" s="15">
        <f t="shared" si="101"/>
        <v>3.5</v>
      </c>
      <c r="I430" s="106">
        <f>'2 - Section Count Projection'!$O$129</f>
        <v>0</v>
      </c>
      <c r="J430" s="16">
        <f t="shared" si="102"/>
        <v>0</v>
      </c>
      <c r="K430" s="7" t="str">
        <f t="shared" si="93"/>
        <v/>
      </c>
    </row>
    <row r="431" spans="1:11" x14ac:dyDescent="0.3">
      <c r="A431" s="8" t="s">
        <v>528</v>
      </c>
      <c r="B431" s="9" t="s">
        <v>61</v>
      </c>
      <c r="C431" s="19" t="s">
        <v>945</v>
      </c>
      <c r="D431" s="18" t="s">
        <v>946</v>
      </c>
      <c r="E431" s="6" t="s">
        <v>20</v>
      </c>
      <c r="F431" s="20">
        <v>3</v>
      </c>
      <c r="G431" s="20"/>
      <c r="H431" s="15">
        <f t="shared" si="101"/>
        <v>3</v>
      </c>
      <c r="I431" s="106">
        <f>'2 - Section Count Projection'!$O$129</f>
        <v>0</v>
      </c>
      <c r="J431" s="16">
        <f t="shared" si="102"/>
        <v>0</v>
      </c>
      <c r="K431" s="7" t="str">
        <f t="shared" si="93"/>
        <v/>
      </c>
    </row>
    <row r="432" spans="1:11" x14ac:dyDescent="0.3">
      <c r="A432" s="8" t="s">
        <v>528</v>
      </c>
      <c r="B432" s="9" t="s">
        <v>61</v>
      </c>
      <c r="C432" s="19" t="s">
        <v>670</v>
      </c>
      <c r="D432" s="18" t="s">
        <v>698</v>
      </c>
      <c r="E432" s="6" t="s">
        <v>38</v>
      </c>
      <c r="F432" s="20">
        <v>2</v>
      </c>
      <c r="G432" s="20"/>
      <c r="H432" s="15">
        <f t="shared" si="101"/>
        <v>2</v>
      </c>
      <c r="I432" s="106">
        <f>'2 - Section Count Projection'!$O$129</f>
        <v>0</v>
      </c>
      <c r="J432" s="16">
        <f t="shared" si="102"/>
        <v>0</v>
      </c>
      <c r="K432" s="7" t="str">
        <f t="shared" si="93"/>
        <v/>
      </c>
    </row>
    <row r="433" spans="1:11" x14ac:dyDescent="0.3">
      <c r="A433" s="8" t="s">
        <v>528</v>
      </c>
      <c r="B433" s="9" t="s">
        <v>61</v>
      </c>
      <c r="C433" s="19" t="s">
        <v>668</v>
      </c>
      <c r="D433" s="18" t="s">
        <v>669</v>
      </c>
      <c r="E433" s="101"/>
      <c r="F433" s="20">
        <v>3</v>
      </c>
      <c r="G433" s="20"/>
      <c r="H433" s="15">
        <f t="shared" si="101"/>
        <v>3</v>
      </c>
      <c r="I433" s="106">
        <f>'2 - Section Count Projection'!$O$129</f>
        <v>0</v>
      </c>
      <c r="J433" s="16">
        <f t="shared" si="102"/>
        <v>0</v>
      </c>
      <c r="K433" s="7" t="str">
        <f t="shared" si="93"/>
        <v/>
      </c>
    </row>
    <row r="434" spans="1:11" x14ac:dyDescent="0.3">
      <c r="K434" s="7" t="str">
        <f t="shared" si="93"/>
        <v/>
      </c>
    </row>
    <row r="435" spans="1:11" x14ac:dyDescent="0.3">
      <c r="A435" s="58" t="s">
        <v>535</v>
      </c>
      <c r="K435" s="7" t="str">
        <f t="shared" si="93"/>
        <v/>
      </c>
    </row>
    <row r="436" spans="1:11" x14ac:dyDescent="0.3">
      <c r="A436" s="8" t="s">
        <v>528</v>
      </c>
      <c r="B436" s="9" t="s">
        <v>64</v>
      </c>
      <c r="C436" s="19" t="s">
        <v>132</v>
      </c>
      <c r="D436" s="18" t="s">
        <v>133</v>
      </c>
      <c r="E436" s="227"/>
      <c r="F436" s="20">
        <v>3</v>
      </c>
      <c r="G436" s="20"/>
      <c r="H436" s="15">
        <f>SUM(F436:G436)</f>
        <v>3</v>
      </c>
      <c r="I436" s="106">
        <f>'2 - Section Count Projection'!$O$131</f>
        <v>0</v>
      </c>
      <c r="J436" s="16">
        <f t="shared" ref="J436:J443" si="103">I436*H436</f>
        <v>0</v>
      </c>
      <c r="K436" s="7" t="str">
        <f t="shared" si="93"/>
        <v/>
      </c>
    </row>
    <row r="437" spans="1:11" x14ac:dyDescent="0.3">
      <c r="A437" s="8" t="s">
        <v>528</v>
      </c>
      <c r="B437" s="9" t="s">
        <v>64</v>
      </c>
      <c r="C437" s="19" t="s">
        <v>297</v>
      </c>
      <c r="D437" s="18" t="s">
        <v>298</v>
      </c>
      <c r="E437" s="6" t="s">
        <v>141</v>
      </c>
      <c r="F437" s="20">
        <v>3</v>
      </c>
      <c r="G437" s="20"/>
      <c r="H437" s="15">
        <f t="shared" ref="H437:H443" si="104">SUM(F437:G437)</f>
        <v>3</v>
      </c>
      <c r="I437" s="106">
        <f>'2 - Section Count Projection'!$O$131</f>
        <v>0</v>
      </c>
      <c r="J437" s="16">
        <f t="shared" si="103"/>
        <v>0</v>
      </c>
      <c r="K437" s="7" t="str">
        <f t="shared" si="93"/>
        <v/>
      </c>
    </row>
    <row r="438" spans="1:11" x14ac:dyDescent="0.3">
      <c r="A438" s="8" t="s">
        <v>528</v>
      </c>
      <c r="B438" s="9" t="s">
        <v>64</v>
      </c>
      <c r="C438" s="19" t="s">
        <v>393</v>
      </c>
      <c r="D438" s="18" t="s">
        <v>672</v>
      </c>
      <c r="E438" s="101"/>
      <c r="F438" s="20">
        <v>3</v>
      </c>
      <c r="G438" s="20"/>
      <c r="H438" s="15">
        <f t="shared" si="104"/>
        <v>3</v>
      </c>
      <c r="I438" s="106">
        <f>'2 - Section Count Projection'!$O$131</f>
        <v>0</v>
      </c>
      <c r="J438" s="16">
        <f t="shared" si="103"/>
        <v>0</v>
      </c>
      <c r="K438" s="7" t="str">
        <f t="shared" si="93"/>
        <v/>
      </c>
    </row>
    <row r="439" spans="1:11" x14ac:dyDescent="0.3">
      <c r="A439" s="8" t="s">
        <v>528</v>
      </c>
      <c r="B439" s="9" t="s">
        <v>64</v>
      </c>
      <c r="C439" s="19" t="s">
        <v>947</v>
      </c>
      <c r="D439" s="18" t="s">
        <v>948</v>
      </c>
      <c r="E439" s="6" t="s">
        <v>20</v>
      </c>
      <c r="F439" s="20">
        <v>3</v>
      </c>
      <c r="G439" s="20"/>
      <c r="H439" s="15">
        <f t="shared" si="104"/>
        <v>3</v>
      </c>
      <c r="I439" s="106">
        <f>'2 - Section Count Projection'!$O$131</f>
        <v>0</v>
      </c>
      <c r="J439" s="16">
        <f t="shared" si="103"/>
        <v>0</v>
      </c>
      <c r="K439" s="7" t="str">
        <f t="shared" si="93"/>
        <v/>
      </c>
    </row>
    <row r="440" spans="1:11" x14ac:dyDescent="0.3">
      <c r="A440" s="8" t="s">
        <v>528</v>
      </c>
      <c r="B440" s="9" t="s">
        <v>64</v>
      </c>
      <c r="C440" s="19" t="s">
        <v>949</v>
      </c>
      <c r="D440" s="18" t="s">
        <v>950</v>
      </c>
      <c r="E440" s="6" t="s">
        <v>34</v>
      </c>
      <c r="F440" s="20">
        <v>2</v>
      </c>
      <c r="G440" s="20">
        <v>1.5</v>
      </c>
      <c r="H440" s="15">
        <f t="shared" si="104"/>
        <v>3.5</v>
      </c>
      <c r="I440" s="106">
        <f>'2 - Section Count Projection'!$O$131</f>
        <v>0</v>
      </c>
      <c r="J440" s="16">
        <f t="shared" si="103"/>
        <v>0</v>
      </c>
      <c r="K440" s="7" t="str">
        <f t="shared" si="93"/>
        <v/>
      </c>
    </row>
    <row r="441" spans="1:11" x14ac:dyDescent="0.3">
      <c r="A441" s="8" t="s">
        <v>528</v>
      </c>
      <c r="B441" s="9" t="s">
        <v>64</v>
      </c>
      <c r="C441" s="19" t="s">
        <v>951</v>
      </c>
      <c r="D441" s="18" t="s">
        <v>952</v>
      </c>
      <c r="E441" s="6" t="s">
        <v>20</v>
      </c>
      <c r="F441" s="20">
        <v>2</v>
      </c>
      <c r="G441" s="20">
        <v>1.5</v>
      </c>
      <c r="H441" s="15">
        <f t="shared" si="104"/>
        <v>3.5</v>
      </c>
      <c r="I441" s="106">
        <f>'2 - Section Count Projection'!$O$131</f>
        <v>0</v>
      </c>
      <c r="J441" s="16">
        <f t="shared" si="103"/>
        <v>0</v>
      </c>
      <c r="K441" s="7" t="str">
        <f t="shared" si="93"/>
        <v/>
      </c>
    </row>
    <row r="442" spans="1:11" x14ac:dyDescent="0.3">
      <c r="A442" s="8" t="s">
        <v>528</v>
      </c>
      <c r="B442" s="9" t="s">
        <v>64</v>
      </c>
      <c r="C442" s="19" t="s">
        <v>167</v>
      </c>
      <c r="D442" s="18" t="s">
        <v>168</v>
      </c>
      <c r="E442" s="101"/>
      <c r="F442" s="20">
        <v>1</v>
      </c>
      <c r="G442" s="20"/>
      <c r="H442" s="15">
        <f t="shared" si="104"/>
        <v>1</v>
      </c>
      <c r="I442" s="106">
        <f>'2 - Section Count Projection'!$O$131</f>
        <v>0</v>
      </c>
      <c r="J442" s="16">
        <f t="shared" ref="J442" si="105">I442*H442</f>
        <v>0</v>
      </c>
      <c r="K442" s="7" t="str">
        <f t="shared" si="93"/>
        <v/>
      </c>
    </row>
    <row r="443" spans="1:11" x14ac:dyDescent="0.3">
      <c r="A443" s="8" t="s">
        <v>528</v>
      </c>
      <c r="B443" s="9" t="s">
        <v>64</v>
      </c>
      <c r="C443" s="19" t="s">
        <v>678</v>
      </c>
      <c r="D443" s="18" t="s">
        <v>703</v>
      </c>
      <c r="E443" s="6" t="s">
        <v>38</v>
      </c>
      <c r="F443" s="20">
        <v>2</v>
      </c>
      <c r="G443" s="20"/>
      <c r="H443" s="15">
        <f t="shared" si="104"/>
        <v>2</v>
      </c>
      <c r="I443" s="106">
        <f>'2 - Section Count Projection'!$O$131</f>
        <v>0</v>
      </c>
      <c r="J443" s="16">
        <f t="shared" si="103"/>
        <v>0</v>
      </c>
      <c r="K443" s="7" t="str">
        <f t="shared" si="93"/>
        <v/>
      </c>
    </row>
    <row r="444" spans="1:11" x14ac:dyDescent="0.3">
      <c r="K444" s="7" t="str">
        <f t="shared" si="93"/>
        <v/>
      </c>
    </row>
    <row r="445" spans="1:11" x14ac:dyDescent="0.3">
      <c r="A445" s="58" t="s">
        <v>535</v>
      </c>
      <c r="K445" s="7" t="str">
        <f t="shared" si="93"/>
        <v/>
      </c>
    </row>
    <row r="446" spans="1:11" x14ac:dyDescent="0.3">
      <c r="A446" s="8" t="s">
        <v>528</v>
      </c>
      <c r="B446" s="9" t="s">
        <v>69</v>
      </c>
      <c r="C446" s="19" t="s">
        <v>274</v>
      </c>
      <c r="D446" s="18" t="s">
        <v>275</v>
      </c>
      <c r="E446" s="6" t="s">
        <v>127</v>
      </c>
      <c r="F446" s="20">
        <v>3</v>
      </c>
      <c r="G446" s="20"/>
      <c r="H446" s="15">
        <f t="shared" ref="H446:H451" si="106">SUM(F446:G446)</f>
        <v>3</v>
      </c>
      <c r="I446" s="106">
        <f>'2 - Section Count Projection'!$O$133</f>
        <v>0</v>
      </c>
      <c r="J446" s="16">
        <f t="shared" ref="J446:J451" si="107">I446*H446</f>
        <v>0</v>
      </c>
      <c r="K446" s="7" t="str">
        <f t="shared" si="93"/>
        <v/>
      </c>
    </row>
    <row r="447" spans="1:11" x14ac:dyDescent="0.3">
      <c r="A447" s="8" t="s">
        <v>528</v>
      </c>
      <c r="B447" s="9" t="s">
        <v>69</v>
      </c>
      <c r="C447" s="19" t="s">
        <v>953</v>
      </c>
      <c r="D447" s="18" t="s">
        <v>954</v>
      </c>
      <c r="E447" s="6" t="s">
        <v>34</v>
      </c>
      <c r="F447" s="20">
        <v>3</v>
      </c>
      <c r="G447" s="20"/>
      <c r="H447" s="15">
        <f t="shared" si="106"/>
        <v>3</v>
      </c>
      <c r="I447" s="106">
        <f>'2 - Section Count Projection'!$O$133</f>
        <v>0</v>
      </c>
      <c r="J447" s="16">
        <f t="shared" si="107"/>
        <v>0</v>
      </c>
      <c r="K447" s="7" t="str">
        <f t="shared" si="93"/>
        <v/>
      </c>
    </row>
    <row r="448" spans="1:11" x14ac:dyDescent="0.3">
      <c r="A448" s="8" t="s">
        <v>528</v>
      </c>
      <c r="B448" s="9" t="s">
        <v>69</v>
      </c>
      <c r="C448" s="19" t="s">
        <v>955</v>
      </c>
      <c r="D448" s="18" t="s">
        <v>956</v>
      </c>
      <c r="E448" s="6" t="s">
        <v>34</v>
      </c>
      <c r="F448" s="20">
        <v>2</v>
      </c>
      <c r="G448" s="20">
        <v>1.5</v>
      </c>
      <c r="H448" s="15">
        <f t="shared" si="106"/>
        <v>3.5</v>
      </c>
      <c r="I448" s="106">
        <f>'2 - Section Count Projection'!$O$133</f>
        <v>0</v>
      </c>
      <c r="J448" s="16">
        <f t="shared" si="107"/>
        <v>0</v>
      </c>
      <c r="K448" s="7" t="str">
        <f t="shared" si="93"/>
        <v/>
      </c>
    </row>
    <row r="449" spans="1:11" x14ac:dyDescent="0.3">
      <c r="A449" s="8" t="s">
        <v>528</v>
      </c>
      <c r="B449" s="9" t="s">
        <v>69</v>
      </c>
      <c r="C449" s="19" t="s">
        <v>957</v>
      </c>
      <c r="D449" s="18" t="s">
        <v>958</v>
      </c>
      <c r="E449" s="6" t="s">
        <v>34</v>
      </c>
      <c r="F449" s="20">
        <v>2</v>
      </c>
      <c r="G449" s="20">
        <v>1.5</v>
      </c>
      <c r="H449" s="15">
        <f t="shared" si="106"/>
        <v>3.5</v>
      </c>
      <c r="I449" s="106">
        <f>'2 - Section Count Projection'!$O$133</f>
        <v>0</v>
      </c>
      <c r="J449" s="16">
        <f t="shared" si="107"/>
        <v>0</v>
      </c>
      <c r="K449" s="7" t="str">
        <f t="shared" si="93"/>
        <v/>
      </c>
    </row>
    <row r="450" spans="1:11" x14ac:dyDescent="0.3">
      <c r="A450" s="8" t="s">
        <v>528</v>
      </c>
      <c r="B450" s="9" t="s">
        <v>69</v>
      </c>
      <c r="C450" s="19" t="s">
        <v>959</v>
      </c>
      <c r="D450" s="18" t="s">
        <v>960</v>
      </c>
      <c r="E450" s="6" t="s">
        <v>20</v>
      </c>
      <c r="F450" s="20">
        <v>2</v>
      </c>
      <c r="G450" s="20">
        <v>1.5</v>
      </c>
      <c r="H450" s="15">
        <f t="shared" si="106"/>
        <v>3.5</v>
      </c>
      <c r="I450" s="106">
        <f>'2 - Section Count Projection'!$O$133</f>
        <v>0</v>
      </c>
      <c r="J450" s="16">
        <f t="shared" si="107"/>
        <v>0</v>
      </c>
      <c r="K450" s="7" t="str">
        <f t="shared" si="93"/>
        <v/>
      </c>
    </row>
    <row r="451" spans="1:11" x14ac:dyDescent="0.3">
      <c r="A451" s="8" t="s">
        <v>528</v>
      </c>
      <c r="B451" s="9" t="s">
        <v>69</v>
      </c>
      <c r="C451" s="19"/>
      <c r="D451" s="18" t="s">
        <v>961</v>
      </c>
      <c r="E451" s="6" t="s">
        <v>20</v>
      </c>
      <c r="F451" s="20">
        <v>3</v>
      </c>
      <c r="G451" s="20"/>
      <c r="H451" s="15">
        <f t="shared" si="106"/>
        <v>3</v>
      </c>
      <c r="I451" s="106">
        <f>'2 - Section Count Projection'!$O$133</f>
        <v>0</v>
      </c>
      <c r="J451" s="16">
        <f t="shared" si="107"/>
        <v>0</v>
      </c>
      <c r="K451" s="7" t="str">
        <f t="shared" si="93"/>
        <v/>
      </c>
    </row>
    <row r="452" spans="1:11" x14ac:dyDescent="0.3">
      <c r="K452" s="7" t="str">
        <f t="shared" ref="K452:K515" si="108">IF(I452&gt;0,F452,"")</f>
        <v/>
      </c>
    </row>
    <row r="453" spans="1:11" x14ac:dyDescent="0.3">
      <c r="A453" s="58" t="s">
        <v>552</v>
      </c>
      <c r="K453" s="7" t="str">
        <f t="shared" si="108"/>
        <v/>
      </c>
    </row>
    <row r="454" spans="1:11" ht="19.5" customHeight="1" x14ac:dyDescent="0.3">
      <c r="A454" s="8" t="s">
        <v>528</v>
      </c>
      <c r="B454" s="9" t="s">
        <v>73</v>
      </c>
      <c r="C454" s="19" t="s">
        <v>962</v>
      </c>
      <c r="D454" s="18" t="s">
        <v>963</v>
      </c>
      <c r="E454" s="6" t="s">
        <v>20</v>
      </c>
      <c r="F454" s="20"/>
      <c r="G454" s="191">
        <v>3</v>
      </c>
      <c r="H454" s="15">
        <v>3</v>
      </c>
      <c r="I454" s="106">
        <f>'2 - Section Count Projection'!$O$133</f>
        <v>0</v>
      </c>
      <c r="J454" s="16">
        <f t="shared" ref="J454:J455" si="109">I454*H454</f>
        <v>0</v>
      </c>
      <c r="K454" s="7" t="str">
        <f t="shared" si="108"/>
        <v/>
      </c>
    </row>
    <row r="455" spans="1:11" x14ac:dyDescent="0.3">
      <c r="A455" s="8" t="s">
        <v>528</v>
      </c>
      <c r="B455" s="9" t="s">
        <v>71</v>
      </c>
      <c r="C455" s="19" t="s">
        <v>964</v>
      </c>
      <c r="D455" s="18" t="s">
        <v>936</v>
      </c>
      <c r="E455" s="6" t="s">
        <v>20</v>
      </c>
      <c r="F455" s="20">
        <v>2</v>
      </c>
      <c r="G455" s="191"/>
      <c r="H455" s="15">
        <v>2</v>
      </c>
      <c r="I455" s="106">
        <f>'2 - Section Count Projection'!$O$133</f>
        <v>0</v>
      </c>
      <c r="J455" s="16">
        <f t="shared" si="109"/>
        <v>0</v>
      </c>
      <c r="K455" s="7" t="str">
        <f t="shared" si="108"/>
        <v/>
      </c>
    </row>
    <row r="456" spans="1:11" x14ac:dyDescent="0.3">
      <c r="K456" s="7" t="str">
        <f t="shared" si="108"/>
        <v/>
      </c>
    </row>
    <row r="457" spans="1:11" x14ac:dyDescent="0.3">
      <c r="A457" s="58" t="s">
        <v>562</v>
      </c>
      <c r="K457" s="7" t="str">
        <f t="shared" si="108"/>
        <v/>
      </c>
    </row>
    <row r="458" spans="1:11" x14ac:dyDescent="0.3">
      <c r="A458" s="8" t="s">
        <v>563</v>
      </c>
      <c r="B458" s="9" t="s">
        <v>61</v>
      </c>
      <c r="C458" s="19" t="s">
        <v>965</v>
      </c>
      <c r="D458" s="18" t="s">
        <v>669</v>
      </c>
      <c r="E458" s="101"/>
      <c r="F458" s="20">
        <v>3</v>
      </c>
      <c r="G458" s="20"/>
      <c r="H458" s="15">
        <f>SUM(F458:G458)</f>
        <v>3</v>
      </c>
      <c r="I458" s="106">
        <f>'2 - Section Count Projection'!$G$83</f>
        <v>0</v>
      </c>
      <c r="J458" s="16">
        <f>I458*H458</f>
        <v>0</v>
      </c>
      <c r="K458" s="7" t="str">
        <f t="shared" si="108"/>
        <v/>
      </c>
    </row>
    <row r="459" spans="1:11" x14ac:dyDescent="0.3">
      <c r="A459" s="8" t="s">
        <v>563</v>
      </c>
      <c r="B459" s="9" t="s">
        <v>61</v>
      </c>
      <c r="C459" s="19" t="s">
        <v>966</v>
      </c>
      <c r="D459" s="18" t="s">
        <v>967</v>
      </c>
      <c r="E459" s="6" t="s">
        <v>32</v>
      </c>
      <c r="F459" s="20">
        <v>1</v>
      </c>
      <c r="G459" s="20">
        <v>3</v>
      </c>
      <c r="H459" s="15">
        <f>SUM(F459:G459)</f>
        <v>4</v>
      </c>
      <c r="I459" s="106">
        <f>'2 - Section Count Projection'!$G$83</f>
        <v>0</v>
      </c>
      <c r="J459" s="16">
        <f>I459*H459</f>
        <v>0</v>
      </c>
      <c r="K459" s="7" t="str">
        <f t="shared" si="108"/>
        <v/>
      </c>
    </row>
    <row r="460" spans="1:11" x14ac:dyDescent="0.3">
      <c r="A460" s="8" t="s">
        <v>563</v>
      </c>
      <c r="B460" s="9" t="s">
        <v>61</v>
      </c>
      <c r="C460" s="19" t="s">
        <v>968</v>
      </c>
      <c r="D460" s="18" t="s">
        <v>969</v>
      </c>
      <c r="E460" s="6" t="s">
        <v>34</v>
      </c>
      <c r="F460" s="20"/>
      <c r="G460" s="20">
        <v>1.5</v>
      </c>
      <c r="H460" s="15">
        <f>SUM(F460:G460)</f>
        <v>1.5</v>
      </c>
      <c r="I460" s="106">
        <f>'2 - Section Count Projection'!$G$83</f>
        <v>0</v>
      </c>
      <c r="J460" s="16">
        <f>I460*H460</f>
        <v>0</v>
      </c>
      <c r="K460" s="7" t="str">
        <f t="shared" si="108"/>
        <v/>
      </c>
    </row>
    <row r="461" spans="1:11" x14ac:dyDescent="0.3">
      <c r="A461" s="8" t="s">
        <v>563</v>
      </c>
      <c r="B461" s="9" t="s">
        <v>61</v>
      </c>
      <c r="C461" s="19" t="s">
        <v>970</v>
      </c>
      <c r="D461" s="18" t="s">
        <v>971</v>
      </c>
      <c r="E461" s="101"/>
      <c r="F461" s="20">
        <v>3</v>
      </c>
      <c r="G461" s="20"/>
      <c r="H461" s="15">
        <f>SUM(F461:G461)</f>
        <v>3</v>
      </c>
      <c r="I461" s="106">
        <f>'2 - Section Count Projection'!$G$83</f>
        <v>0</v>
      </c>
      <c r="J461" s="16">
        <f>I461*H461</f>
        <v>0</v>
      </c>
      <c r="K461" s="7" t="str">
        <f t="shared" si="108"/>
        <v/>
      </c>
    </row>
    <row r="462" spans="1:11" x14ac:dyDescent="0.3">
      <c r="K462" s="7" t="str">
        <f t="shared" si="108"/>
        <v/>
      </c>
    </row>
    <row r="463" spans="1:11" x14ac:dyDescent="0.3">
      <c r="A463" s="58" t="s">
        <v>562</v>
      </c>
      <c r="K463" s="7" t="str">
        <f t="shared" si="108"/>
        <v/>
      </c>
    </row>
    <row r="464" spans="1:11" x14ac:dyDescent="0.3">
      <c r="A464" s="8" t="s">
        <v>563</v>
      </c>
      <c r="B464" s="9" t="s">
        <v>64</v>
      </c>
      <c r="C464" s="19" t="s">
        <v>606</v>
      </c>
      <c r="D464" s="18" t="s">
        <v>168</v>
      </c>
      <c r="E464" s="101"/>
      <c r="F464" s="20">
        <v>1</v>
      </c>
      <c r="G464" s="20"/>
      <c r="H464" s="15">
        <f>SUM(F464:G464)</f>
        <v>1</v>
      </c>
      <c r="I464" s="106">
        <f>'2 - Section Count Projection'!$G$85</f>
        <v>0</v>
      </c>
      <c r="J464" s="16">
        <f>I464*H464</f>
        <v>0</v>
      </c>
      <c r="K464" s="7" t="str">
        <f t="shared" si="108"/>
        <v/>
      </c>
    </row>
    <row r="465" spans="1:11" x14ac:dyDescent="0.3">
      <c r="A465" s="8" t="s">
        <v>563</v>
      </c>
      <c r="B465" s="9" t="s">
        <v>64</v>
      </c>
      <c r="C465" s="19" t="s">
        <v>972</v>
      </c>
      <c r="D465" s="18" t="s">
        <v>973</v>
      </c>
      <c r="E465" s="6" t="s">
        <v>32</v>
      </c>
      <c r="F465" s="20">
        <v>2</v>
      </c>
      <c r="G465" s="20">
        <v>1.5</v>
      </c>
      <c r="H465" s="15">
        <f>SUM(F465:G465)</f>
        <v>3.5</v>
      </c>
      <c r="I465" s="106">
        <f>'2 - Section Count Projection'!$G$85</f>
        <v>0</v>
      </c>
      <c r="J465" s="16">
        <f>I465*H465</f>
        <v>0</v>
      </c>
      <c r="K465" s="7" t="str">
        <f t="shared" si="108"/>
        <v/>
      </c>
    </row>
    <row r="466" spans="1:11" x14ac:dyDescent="0.3">
      <c r="A466" s="8" t="s">
        <v>563</v>
      </c>
      <c r="B466" s="9" t="s">
        <v>64</v>
      </c>
      <c r="C466" s="19" t="s">
        <v>974</v>
      </c>
      <c r="D466" s="18" t="s">
        <v>975</v>
      </c>
      <c r="E466" s="6" t="s">
        <v>32</v>
      </c>
      <c r="F466" s="20">
        <v>2</v>
      </c>
      <c r="G466" s="20">
        <v>1.5</v>
      </c>
      <c r="H466" s="15">
        <f>SUM(F466:G466)</f>
        <v>3.5</v>
      </c>
      <c r="I466" s="106">
        <f>'2 - Section Count Projection'!$G$85</f>
        <v>0</v>
      </c>
      <c r="J466" s="16">
        <f>I466*H466</f>
        <v>0</v>
      </c>
      <c r="K466" s="7" t="str">
        <f t="shared" si="108"/>
        <v/>
      </c>
    </row>
    <row r="467" spans="1:11" x14ac:dyDescent="0.3">
      <c r="A467" s="8" t="s">
        <v>563</v>
      </c>
      <c r="B467" s="9" t="s">
        <v>64</v>
      </c>
      <c r="C467" s="19" t="s">
        <v>976</v>
      </c>
      <c r="D467" s="18" t="s">
        <v>977</v>
      </c>
      <c r="E467" s="6" t="s">
        <v>32</v>
      </c>
      <c r="F467" s="20">
        <v>2</v>
      </c>
      <c r="G467" s="20">
        <v>1.5</v>
      </c>
      <c r="H467" s="15">
        <f>SUM(F467:G467)</f>
        <v>3.5</v>
      </c>
      <c r="I467" s="106">
        <f>'2 - Section Count Projection'!$G$85</f>
        <v>0</v>
      </c>
      <c r="J467" s="16">
        <f>I467*H467</f>
        <v>0</v>
      </c>
      <c r="K467" s="7" t="str">
        <f t="shared" si="108"/>
        <v/>
      </c>
    </row>
    <row r="468" spans="1:11" x14ac:dyDescent="0.3">
      <c r="K468" s="7" t="str">
        <f t="shared" si="108"/>
        <v/>
      </c>
    </row>
    <row r="469" spans="1:11" x14ac:dyDescent="0.3">
      <c r="A469" s="58" t="s">
        <v>588</v>
      </c>
      <c r="K469" s="7" t="str">
        <f t="shared" si="108"/>
        <v/>
      </c>
    </row>
    <row r="470" spans="1:11" x14ac:dyDescent="0.3">
      <c r="A470" s="8" t="s">
        <v>589</v>
      </c>
      <c r="B470" s="9" t="s">
        <v>61</v>
      </c>
      <c r="C470" s="19" t="s">
        <v>965</v>
      </c>
      <c r="D470" s="18" t="s">
        <v>669</v>
      </c>
      <c r="E470" s="101"/>
      <c r="F470" s="20">
        <v>3</v>
      </c>
      <c r="G470" s="20"/>
      <c r="H470" s="15">
        <f>SUM(F470:G470)</f>
        <v>3</v>
      </c>
      <c r="I470" s="106">
        <f>'2 - Section Count Projection'!$G$88</f>
        <v>0</v>
      </c>
      <c r="J470" s="16">
        <f>I470*H470</f>
        <v>0</v>
      </c>
      <c r="K470" s="7" t="str">
        <f t="shared" si="108"/>
        <v/>
      </c>
    </row>
    <row r="471" spans="1:11" x14ac:dyDescent="0.3">
      <c r="A471" s="8" t="s">
        <v>589</v>
      </c>
      <c r="B471" s="9" t="s">
        <v>61</v>
      </c>
      <c r="C471" s="19" t="s">
        <v>968</v>
      </c>
      <c r="D471" s="18" t="s">
        <v>978</v>
      </c>
      <c r="E471" s="6" t="s">
        <v>34</v>
      </c>
      <c r="F471" s="20"/>
      <c r="G471" s="20">
        <v>1.5</v>
      </c>
      <c r="H471" s="15">
        <f>SUM(F471:G471)</f>
        <v>1.5</v>
      </c>
      <c r="I471" s="106">
        <f>'2 - Section Count Projection'!$G$88</f>
        <v>0</v>
      </c>
      <c r="J471" s="16">
        <f>I471*H471</f>
        <v>0</v>
      </c>
      <c r="K471" s="7" t="str">
        <f t="shared" si="108"/>
        <v/>
      </c>
    </row>
    <row r="472" spans="1:11" x14ac:dyDescent="0.3">
      <c r="A472" s="8" t="s">
        <v>589</v>
      </c>
      <c r="B472" s="9" t="s">
        <v>61</v>
      </c>
      <c r="C472" s="19" t="s">
        <v>979</v>
      </c>
      <c r="D472" s="18" t="s">
        <v>980</v>
      </c>
      <c r="E472" s="101"/>
      <c r="F472" s="20">
        <v>3</v>
      </c>
      <c r="G472" s="20"/>
      <c r="H472" s="15">
        <f>SUM(F472:G472)</f>
        <v>3</v>
      </c>
      <c r="I472" s="106">
        <f>'2 - Section Count Projection'!$G$88</f>
        <v>0</v>
      </c>
      <c r="J472" s="16">
        <f>I472*H472</f>
        <v>0</v>
      </c>
      <c r="K472" s="7" t="str">
        <f t="shared" si="108"/>
        <v/>
      </c>
    </row>
    <row r="473" spans="1:11" x14ac:dyDescent="0.3">
      <c r="A473" s="8" t="s">
        <v>589</v>
      </c>
      <c r="B473" s="9" t="s">
        <v>61</v>
      </c>
      <c r="C473" s="19" t="s">
        <v>981</v>
      </c>
      <c r="D473" s="18" t="s">
        <v>982</v>
      </c>
      <c r="E473" s="101"/>
      <c r="F473" s="20">
        <v>3</v>
      </c>
      <c r="G473" s="20"/>
      <c r="H473" s="15">
        <f>SUM(F473:G473)</f>
        <v>3</v>
      </c>
      <c r="I473" s="106">
        <f>'2 - Section Count Projection'!$G$88</f>
        <v>0</v>
      </c>
      <c r="J473" s="16">
        <f>I473*H473</f>
        <v>0</v>
      </c>
      <c r="K473" s="7" t="str">
        <f t="shared" si="108"/>
        <v/>
      </c>
    </row>
    <row r="474" spans="1:11" x14ac:dyDescent="0.3">
      <c r="A474" s="8" t="s">
        <v>589</v>
      </c>
      <c r="B474" s="9" t="s">
        <v>61</v>
      </c>
      <c r="C474" s="19" t="s">
        <v>970</v>
      </c>
      <c r="D474" s="18" t="s">
        <v>971</v>
      </c>
      <c r="E474" s="101"/>
      <c r="F474" s="20">
        <v>3</v>
      </c>
      <c r="G474" s="20"/>
      <c r="H474" s="15">
        <f>SUM(F474:G474)</f>
        <v>3</v>
      </c>
      <c r="I474" s="106">
        <f>'2 - Section Count Projection'!$G$88</f>
        <v>0</v>
      </c>
      <c r="J474" s="16">
        <f>I474*H474</f>
        <v>0</v>
      </c>
      <c r="K474" s="7" t="str">
        <f t="shared" si="108"/>
        <v/>
      </c>
    </row>
    <row r="475" spans="1:11" x14ac:dyDescent="0.3">
      <c r="K475" s="7" t="str">
        <f t="shared" si="108"/>
        <v/>
      </c>
    </row>
    <row r="476" spans="1:11" x14ac:dyDescent="0.3">
      <c r="A476" s="58" t="s">
        <v>588</v>
      </c>
      <c r="K476" s="7" t="str">
        <f t="shared" si="108"/>
        <v/>
      </c>
    </row>
    <row r="477" spans="1:11" x14ac:dyDescent="0.3">
      <c r="A477" s="8" t="s">
        <v>589</v>
      </c>
      <c r="B477" s="9" t="s">
        <v>64</v>
      </c>
      <c r="C477" s="19" t="s">
        <v>606</v>
      </c>
      <c r="D477" s="18" t="s">
        <v>168</v>
      </c>
      <c r="E477" s="101"/>
      <c r="F477" s="20">
        <v>1</v>
      </c>
      <c r="G477" s="20"/>
      <c r="H477" s="15">
        <f>SUM(F477:G477)</f>
        <v>1</v>
      </c>
      <c r="I477" s="106">
        <f>'2 - Section Count Projection'!$G$90</f>
        <v>0</v>
      </c>
      <c r="J477" s="16">
        <f>I477*H477</f>
        <v>0</v>
      </c>
      <c r="K477" s="7" t="str">
        <f t="shared" si="108"/>
        <v/>
      </c>
    </row>
    <row r="478" spans="1:11" x14ac:dyDescent="0.3">
      <c r="A478" s="8" t="s">
        <v>589</v>
      </c>
      <c r="B478" s="9" t="s">
        <v>64</v>
      </c>
      <c r="C478" s="19" t="s">
        <v>983</v>
      </c>
      <c r="D478" s="18" t="s">
        <v>984</v>
      </c>
      <c r="E478" s="6" t="s">
        <v>43</v>
      </c>
      <c r="F478" s="20">
        <v>2</v>
      </c>
      <c r="G478" s="20">
        <v>1.5</v>
      </c>
      <c r="H478" s="15">
        <f t="shared" ref="H478:H479" si="110">SUM(F478:G478)</f>
        <v>3.5</v>
      </c>
      <c r="I478" s="106">
        <f>'2 - Section Count Projection'!$G$90</f>
        <v>0</v>
      </c>
      <c r="J478" s="16">
        <f t="shared" ref="J478:J479" si="111">I478*H478</f>
        <v>0</v>
      </c>
      <c r="K478" s="7" t="str">
        <f t="shared" si="108"/>
        <v/>
      </c>
    </row>
    <row r="479" spans="1:11" x14ac:dyDescent="0.3">
      <c r="A479" s="8" t="s">
        <v>589</v>
      </c>
      <c r="B479" s="9" t="s">
        <v>64</v>
      </c>
      <c r="C479" s="19" t="s">
        <v>985</v>
      </c>
      <c r="D479" s="18" t="s">
        <v>986</v>
      </c>
      <c r="E479" s="6" t="s">
        <v>43</v>
      </c>
      <c r="F479" s="20">
        <v>3</v>
      </c>
      <c r="G479" s="20"/>
      <c r="H479" s="15">
        <f t="shared" si="110"/>
        <v>3</v>
      </c>
      <c r="I479" s="106">
        <f>'2 - Section Count Projection'!$G$90</f>
        <v>0</v>
      </c>
      <c r="J479" s="16">
        <f t="shared" si="111"/>
        <v>0</v>
      </c>
      <c r="K479" s="7" t="str">
        <f t="shared" si="108"/>
        <v/>
      </c>
    </row>
    <row r="480" spans="1:11" x14ac:dyDescent="0.3">
      <c r="A480" s="8" t="s">
        <v>589</v>
      </c>
      <c r="B480" s="9" t="s">
        <v>64</v>
      </c>
      <c r="C480" s="19" t="s">
        <v>987</v>
      </c>
      <c r="D480" s="18" t="s">
        <v>988</v>
      </c>
      <c r="E480" s="6" t="s">
        <v>43</v>
      </c>
      <c r="F480" s="20">
        <v>2</v>
      </c>
      <c r="G480" s="20">
        <v>1.5</v>
      </c>
      <c r="H480" s="15">
        <f>SUM(F480:G480)</f>
        <v>3.5</v>
      </c>
      <c r="I480" s="106">
        <f>'2 - Section Count Projection'!$G$90</f>
        <v>0</v>
      </c>
      <c r="J480" s="16">
        <f>I480*H480</f>
        <v>0</v>
      </c>
      <c r="K480" s="7" t="str">
        <f t="shared" si="108"/>
        <v/>
      </c>
    </row>
    <row r="481" spans="1:11" x14ac:dyDescent="0.3">
      <c r="A481" s="8" t="s">
        <v>589</v>
      </c>
      <c r="B481" s="9" t="s">
        <v>64</v>
      </c>
      <c r="C481" s="19" t="s">
        <v>989</v>
      </c>
      <c r="D481" s="18" t="s">
        <v>990</v>
      </c>
      <c r="E481" s="227"/>
      <c r="F481" s="20">
        <v>2</v>
      </c>
      <c r="G481" s="20">
        <v>1.5</v>
      </c>
      <c r="H481" s="15">
        <f>SUM(F481:G481)</f>
        <v>3.5</v>
      </c>
      <c r="I481" s="106">
        <f>'2 - Section Count Projection'!$G$90</f>
        <v>0</v>
      </c>
      <c r="J481" s="16">
        <f>I481*H481</f>
        <v>0</v>
      </c>
      <c r="K481" s="7" t="str">
        <f t="shared" si="108"/>
        <v/>
      </c>
    </row>
    <row r="482" spans="1:11" x14ac:dyDescent="0.3">
      <c r="K482" s="7" t="str">
        <f t="shared" si="108"/>
        <v/>
      </c>
    </row>
    <row r="483" spans="1:11" x14ac:dyDescent="0.3">
      <c r="A483" s="58" t="s">
        <v>596</v>
      </c>
      <c r="K483" s="7" t="str">
        <f t="shared" si="108"/>
        <v/>
      </c>
    </row>
    <row r="484" spans="1:11" x14ac:dyDescent="0.3">
      <c r="A484" s="8" t="s">
        <v>597</v>
      </c>
      <c r="B484" s="9" t="s">
        <v>61</v>
      </c>
      <c r="C484" s="19" t="s">
        <v>991</v>
      </c>
      <c r="D484" s="18" t="s">
        <v>992</v>
      </c>
      <c r="E484" s="6" t="s">
        <v>34</v>
      </c>
      <c r="F484" s="20">
        <v>2</v>
      </c>
      <c r="G484" s="20">
        <v>1.5</v>
      </c>
      <c r="H484" s="15">
        <f>SUM(F484:G484)</f>
        <v>3.5</v>
      </c>
      <c r="I484" s="106">
        <f>'2 - Section Count Projection'!$G$93</f>
        <v>0</v>
      </c>
      <c r="J484" s="16">
        <f>I484*H484</f>
        <v>0</v>
      </c>
      <c r="K484" s="7" t="str">
        <f t="shared" si="108"/>
        <v/>
      </c>
    </row>
    <row r="485" spans="1:11" x14ac:dyDescent="0.3">
      <c r="A485" s="8" t="s">
        <v>597</v>
      </c>
      <c r="B485" s="9" t="s">
        <v>61</v>
      </c>
      <c r="C485" s="19" t="s">
        <v>993</v>
      </c>
      <c r="D485" s="18" t="s">
        <v>994</v>
      </c>
      <c r="E485" s="6" t="s">
        <v>34</v>
      </c>
      <c r="F485" s="20">
        <v>3</v>
      </c>
      <c r="G485" s="20"/>
      <c r="H485" s="15">
        <f>SUM(F485:G485)</f>
        <v>3</v>
      </c>
      <c r="I485" s="106">
        <f>'2 - Section Count Projection'!$G$93</f>
        <v>0</v>
      </c>
      <c r="J485" s="16">
        <f>I485*H485</f>
        <v>0</v>
      </c>
      <c r="K485" s="7" t="str">
        <f t="shared" si="108"/>
        <v/>
      </c>
    </row>
    <row r="486" spans="1:11" x14ac:dyDescent="0.3">
      <c r="A486" s="8" t="s">
        <v>597</v>
      </c>
      <c r="B486" s="9" t="s">
        <v>61</v>
      </c>
      <c r="C486" s="19" t="s">
        <v>995</v>
      </c>
      <c r="D486" s="18" t="s">
        <v>996</v>
      </c>
      <c r="E486" s="101"/>
      <c r="F486" s="20">
        <v>3</v>
      </c>
      <c r="G486" s="20"/>
      <c r="H486" s="15">
        <f t="shared" ref="H486:H488" si="112">SUM(F486:G486)</f>
        <v>3</v>
      </c>
      <c r="I486" s="106">
        <f>'2 - Section Count Projection'!$G$93</f>
        <v>0</v>
      </c>
      <c r="J486" s="16">
        <f t="shared" ref="J486:J488" si="113">I486*H486</f>
        <v>0</v>
      </c>
      <c r="K486" s="7" t="str">
        <f t="shared" si="108"/>
        <v/>
      </c>
    </row>
    <row r="487" spans="1:11" x14ac:dyDescent="0.3">
      <c r="A487" s="8" t="s">
        <v>597</v>
      </c>
      <c r="B487" s="9" t="s">
        <v>61</v>
      </c>
      <c r="C487" s="19" t="s">
        <v>997</v>
      </c>
      <c r="D487" s="18" t="s">
        <v>998</v>
      </c>
      <c r="E487" s="6" t="s">
        <v>34</v>
      </c>
      <c r="F487" s="20">
        <v>3</v>
      </c>
      <c r="G487" s="20"/>
      <c r="H487" s="15">
        <f t="shared" si="112"/>
        <v>3</v>
      </c>
      <c r="I487" s="106">
        <f>'2 - Section Count Projection'!$G$93</f>
        <v>0</v>
      </c>
      <c r="J487" s="16">
        <f t="shared" si="113"/>
        <v>0</v>
      </c>
      <c r="K487" s="7" t="str">
        <f t="shared" si="108"/>
        <v/>
      </c>
    </row>
    <row r="488" spans="1:11" x14ac:dyDescent="0.3">
      <c r="A488" s="8" t="s">
        <v>597</v>
      </c>
      <c r="B488" s="9" t="s">
        <v>61</v>
      </c>
      <c r="C488" s="19" t="s">
        <v>999</v>
      </c>
      <c r="D488" s="18" t="s">
        <v>1000</v>
      </c>
      <c r="E488" s="6" t="s">
        <v>34</v>
      </c>
      <c r="F488" s="20">
        <v>2</v>
      </c>
      <c r="G488" s="20">
        <v>1.5</v>
      </c>
      <c r="H488" s="15">
        <f t="shared" si="112"/>
        <v>3.5</v>
      </c>
      <c r="I488" s="106">
        <f>'2 - Section Count Projection'!$G$93</f>
        <v>0</v>
      </c>
      <c r="J488" s="16">
        <f t="shared" si="113"/>
        <v>0</v>
      </c>
      <c r="K488" s="7" t="str">
        <f t="shared" si="108"/>
        <v/>
      </c>
    </row>
    <row r="489" spans="1:11" x14ac:dyDescent="0.3">
      <c r="K489" s="7" t="str">
        <f t="shared" si="108"/>
        <v/>
      </c>
    </row>
    <row r="490" spans="1:11" x14ac:dyDescent="0.3">
      <c r="A490" s="58" t="s">
        <v>596</v>
      </c>
      <c r="K490" s="7" t="str">
        <f t="shared" si="108"/>
        <v/>
      </c>
    </row>
    <row r="491" spans="1:11" x14ac:dyDescent="0.3">
      <c r="A491" s="8" t="s">
        <v>597</v>
      </c>
      <c r="B491" s="9" t="s">
        <v>64</v>
      </c>
      <c r="C491" s="19" t="s">
        <v>1001</v>
      </c>
      <c r="D491" s="18" t="s">
        <v>1002</v>
      </c>
      <c r="E491" s="6" t="s">
        <v>34</v>
      </c>
      <c r="F491" s="20">
        <v>2</v>
      </c>
      <c r="G491" s="20">
        <v>1.5</v>
      </c>
      <c r="H491" s="15">
        <f>SUM(F491:G491)</f>
        <v>3.5</v>
      </c>
      <c r="I491" s="106">
        <f>'2 - Section Count Projection'!$G$95</f>
        <v>0</v>
      </c>
      <c r="J491" s="16">
        <f>I491*H491</f>
        <v>0</v>
      </c>
      <c r="K491" s="7" t="str">
        <f t="shared" si="108"/>
        <v/>
      </c>
    </row>
    <row r="492" spans="1:11" x14ac:dyDescent="0.3">
      <c r="A492" s="8" t="s">
        <v>597</v>
      </c>
      <c r="B492" s="9" t="s">
        <v>64</v>
      </c>
      <c r="C492" s="19" t="s">
        <v>1003</v>
      </c>
      <c r="D492" s="18" t="s">
        <v>1004</v>
      </c>
      <c r="E492" s="6" t="s">
        <v>34</v>
      </c>
      <c r="F492" s="20"/>
      <c r="G492" s="20">
        <v>3</v>
      </c>
      <c r="H492" s="15">
        <f>SUM(F492:G492)</f>
        <v>3</v>
      </c>
      <c r="I492" s="106">
        <f>'2 - Section Count Projection'!$G$95</f>
        <v>0</v>
      </c>
      <c r="J492" s="16">
        <f>I492*H492</f>
        <v>0</v>
      </c>
      <c r="K492" s="7" t="str">
        <f t="shared" si="108"/>
        <v/>
      </c>
    </row>
    <row r="493" spans="1:11" x14ac:dyDescent="0.3">
      <c r="A493" s="8" t="s">
        <v>597</v>
      </c>
      <c r="B493" s="9" t="s">
        <v>64</v>
      </c>
      <c r="C493" s="19" t="s">
        <v>1005</v>
      </c>
      <c r="D493" s="18" t="s">
        <v>1006</v>
      </c>
      <c r="E493" s="6" t="s">
        <v>34</v>
      </c>
      <c r="F493" s="20">
        <v>2</v>
      </c>
      <c r="G493" s="20">
        <v>1.5</v>
      </c>
      <c r="H493" s="15">
        <f>SUM(F493:G493)</f>
        <v>3.5</v>
      </c>
      <c r="I493" s="106">
        <f>'2 - Section Count Projection'!$G$95</f>
        <v>0</v>
      </c>
      <c r="J493" s="16">
        <f>I493*H493</f>
        <v>0</v>
      </c>
      <c r="K493" s="7" t="str">
        <f t="shared" si="108"/>
        <v/>
      </c>
    </row>
    <row r="494" spans="1:11" ht="27.75" customHeight="1" x14ac:dyDescent="0.3">
      <c r="A494" s="8" t="s">
        <v>597</v>
      </c>
      <c r="B494" s="27" t="s">
        <v>64</v>
      </c>
      <c r="C494" s="19" t="s">
        <v>1007</v>
      </c>
      <c r="D494" s="18" t="s">
        <v>1008</v>
      </c>
      <c r="E494" s="6" t="s">
        <v>34</v>
      </c>
      <c r="F494" s="20">
        <v>2</v>
      </c>
      <c r="G494" s="20">
        <v>1.5</v>
      </c>
      <c r="H494" s="52">
        <f>SUM(F494:G494)</f>
        <v>3.5</v>
      </c>
      <c r="I494" s="106">
        <f>'2 - Section Count Projection'!$G$95</f>
        <v>0</v>
      </c>
      <c r="J494" s="16">
        <f>I494*H494</f>
        <v>0</v>
      </c>
      <c r="K494" s="7" t="str">
        <f t="shared" si="108"/>
        <v/>
      </c>
    </row>
    <row r="495" spans="1:11" x14ac:dyDescent="0.3">
      <c r="K495" s="7" t="str">
        <f t="shared" si="108"/>
        <v/>
      </c>
    </row>
    <row r="496" spans="1:11" x14ac:dyDescent="0.3">
      <c r="A496" s="58" t="s">
        <v>611</v>
      </c>
      <c r="K496" s="7" t="str">
        <f t="shared" si="108"/>
        <v/>
      </c>
    </row>
    <row r="497" spans="1:11" x14ac:dyDescent="0.3">
      <c r="A497" s="8" t="s">
        <v>612</v>
      </c>
      <c r="B497" s="9" t="s">
        <v>61</v>
      </c>
      <c r="C497" s="19" t="s">
        <v>664</v>
      </c>
      <c r="D497" s="18" t="s">
        <v>665</v>
      </c>
      <c r="E497" s="6" t="s">
        <v>34</v>
      </c>
      <c r="F497" s="20">
        <v>2</v>
      </c>
      <c r="G497" s="20">
        <v>1.5</v>
      </c>
      <c r="H497" s="15">
        <f>SUM(F497:G497)</f>
        <v>3.5</v>
      </c>
      <c r="I497" s="106">
        <f>'2 - Section Count Projection'!$G$98</f>
        <v>0</v>
      </c>
      <c r="J497" s="16">
        <f>I497*H497</f>
        <v>0</v>
      </c>
      <c r="K497" s="7" t="str">
        <f t="shared" si="108"/>
        <v/>
      </c>
    </row>
    <row r="498" spans="1:11" x14ac:dyDescent="0.3">
      <c r="A498" s="8" t="s">
        <v>612</v>
      </c>
      <c r="B498" s="9" t="s">
        <v>61</v>
      </c>
      <c r="C498" s="19" t="s">
        <v>666</v>
      </c>
      <c r="D498" s="18" t="s">
        <v>667</v>
      </c>
      <c r="E498" s="101"/>
      <c r="F498" s="20">
        <v>3</v>
      </c>
      <c r="G498" s="20"/>
      <c r="H498" s="15">
        <f t="shared" ref="H498:H520" si="114">SUM(F498:G498)</f>
        <v>3</v>
      </c>
      <c r="I498" s="106">
        <f>'2 - Section Count Projection'!$G$98</f>
        <v>0</v>
      </c>
      <c r="J498" s="16">
        <f t="shared" ref="J498:J505" si="115">I498*H498</f>
        <v>0</v>
      </c>
      <c r="K498" s="7" t="str">
        <f t="shared" si="108"/>
        <v/>
      </c>
    </row>
    <row r="499" spans="1:11" x14ac:dyDescent="0.3">
      <c r="A499" s="8" t="s">
        <v>612</v>
      </c>
      <c r="B499" s="9" t="s">
        <v>61</v>
      </c>
      <c r="C499" s="19" t="s">
        <v>668</v>
      </c>
      <c r="D499" s="18" t="s">
        <v>669</v>
      </c>
      <c r="E499" s="101"/>
      <c r="F499" s="20">
        <v>3</v>
      </c>
      <c r="G499" s="20"/>
      <c r="H499" s="15">
        <f t="shared" si="114"/>
        <v>3</v>
      </c>
      <c r="I499" s="106">
        <f>'2 - Section Count Projection'!$G$98</f>
        <v>0</v>
      </c>
      <c r="J499" s="16">
        <f t="shared" si="115"/>
        <v>0</v>
      </c>
      <c r="K499" s="7" t="str">
        <f t="shared" si="108"/>
        <v/>
      </c>
    </row>
    <row r="500" spans="1:11" x14ac:dyDescent="0.3">
      <c r="A500" s="8" t="s">
        <v>612</v>
      </c>
      <c r="B500" s="9" t="s">
        <v>61</v>
      </c>
      <c r="C500" s="19" t="s">
        <v>670</v>
      </c>
      <c r="D500" s="18" t="s">
        <v>671</v>
      </c>
      <c r="E500" s="6" t="s">
        <v>38</v>
      </c>
      <c r="F500" s="20">
        <v>2</v>
      </c>
      <c r="G500" s="20"/>
      <c r="H500" s="15">
        <f t="shared" si="114"/>
        <v>2</v>
      </c>
      <c r="I500" s="106">
        <f>'2 - Section Count Projection'!$G$98</f>
        <v>0</v>
      </c>
      <c r="J500" s="16">
        <f t="shared" si="115"/>
        <v>0</v>
      </c>
      <c r="K500" s="7" t="str">
        <f t="shared" si="108"/>
        <v/>
      </c>
    </row>
    <row r="501" spans="1:11" x14ac:dyDescent="0.3">
      <c r="A501" s="8" t="s">
        <v>612</v>
      </c>
      <c r="B501" s="9" t="s">
        <v>61</v>
      </c>
      <c r="C501" s="19" t="s">
        <v>125</v>
      </c>
      <c r="D501" s="18" t="s">
        <v>1009</v>
      </c>
      <c r="E501" s="6" t="s">
        <v>38</v>
      </c>
      <c r="F501" s="20">
        <v>3</v>
      </c>
      <c r="G501" s="20"/>
      <c r="H501" s="15">
        <f t="shared" si="114"/>
        <v>3</v>
      </c>
      <c r="I501" s="106">
        <f>'2 - Section Count Projection'!$G$98</f>
        <v>0</v>
      </c>
      <c r="J501" s="16">
        <f t="shared" si="115"/>
        <v>0</v>
      </c>
      <c r="K501" s="7" t="str">
        <f t="shared" si="108"/>
        <v/>
      </c>
    </row>
    <row r="502" spans="1:11" x14ac:dyDescent="0.3">
      <c r="A502" s="8" t="s">
        <v>612</v>
      </c>
      <c r="B502" s="9" t="s">
        <v>61</v>
      </c>
      <c r="C502" s="19" t="s">
        <v>393</v>
      </c>
      <c r="D502" s="18" t="s">
        <v>672</v>
      </c>
      <c r="E502" s="101"/>
      <c r="F502" s="20">
        <v>3</v>
      </c>
      <c r="G502" s="20"/>
      <c r="H502" s="15">
        <f t="shared" si="114"/>
        <v>3</v>
      </c>
      <c r="I502" s="106">
        <f>'2 - Section Count Projection'!$G$98</f>
        <v>0</v>
      </c>
      <c r="J502" s="16">
        <f t="shared" si="115"/>
        <v>0</v>
      </c>
      <c r="K502" s="7" t="str">
        <f t="shared" si="108"/>
        <v/>
      </c>
    </row>
    <row r="503" spans="1:11" x14ac:dyDescent="0.3">
      <c r="A503" s="8" t="s">
        <v>612</v>
      </c>
      <c r="B503" s="9" t="s">
        <v>61</v>
      </c>
      <c r="C503" s="19" t="s">
        <v>673</v>
      </c>
      <c r="D503" s="18" t="s">
        <v>674</v>
      </c>
      <c r="E503" s="6" t="s">
        <v>141</v>
      </c>
      <c r="F503" s="20">
        <v>3</v>
      </c>
      <c r="G503" s="20"/>
      <c r="H503" s="15">
        <f t="shared" si="114"/>
        <v>3</v>
      </c>
      <c r="I503" s="106">
        <f>'2 - Section Count Projection'!$G$98</f>
        <v>0</v>
      </c>
      <c r="J503" s="16">
        <f t="shared" si="115"/>
        <v>0</v>
      </c>
      <c r="K503" s="7" t="str">
        <f t="shared" si="108"/>
        <v/>
      </c>
    </row>
    <row r="504" spans="1:11" x14ac:dyDescent="0.3">
      <c r="A504" s="8" t="s">
        <v>612</v>
      </c>
      <c r="B504" s="9" t="s">
        <v>61</v>
      </c>
      <c r="C504" s="19"/>
      <c r="D504" s="18" t="s">
        <v>1010</v>
      </c>
      <c r="E504" s="6" t="s">
        <v>34</v>
      </c>
      <c r="F504" s="20">
        <v>2</v>
      </c>
      <c r="G504" s="20">
        <v>1.5</v>
      </c>
      <c r="H504" s="15">
        <f t="shared" si="114"/>
        <v>3.5</v>
      </c>
      <c r="I504" s="106">
        <f>'2 - Section Count Projection'!$G$98</f>
        <v>0</v>
      </c>
      <c r="J504" s="16">
        <f t="shared" si="115"/>
        <v>0</v>
      </c>
      <c r="K504" s="7" t="str">
        <f t="shared" si="108"/>
        <v/>
      </c>
    </row>
    <row r="505" spans="1:11" x14ac:dyDescent="0.3">
      <c r="A505" s="8" t="s">
        <v>612</v>
      </c>
      <c r="B505" s="9" t="s">
        <v>61</v>
      </c>
      <c r="C505" s="19"/>
      <c r="D505" s="18" t="s">
        <v>1011</v>
      </c>
      <c r="E505" s="6" t="s">
        <v>34</v>
      </c>
      <c r="F505" s="20">
        <v>2</v>
      </c>
      <c r="G505" s="20">
        <v>1.5</v>
      </c>
      <c r="H505" s="15">
        <f t="shared" si="114"/>
        <v>3.5</v>
      </c>
      <c r="I505" s="106">
        <f>'2 - Section Count Projection'!$G$98</f>
        <v>0</v>
      </c>
      <c r="J505" s="16">
        <f t="shared" si="115"/>
        <v>0</v>
      </c>
      <c r="K505" s="7" t="str">
        <f t="shared" si="108"/>
        <v/>
      </c>
    </row>
    <row r="506" spans="1:11" x14ac:dyDescent="0.3">
      <c r="K506" s="7" t="str">
        <f t="shared" si="108"/>
        <v/>
      </c>
    </row>
    <row r="507" spans="1:11" x14ac:dyDescent="0.3">
      <c r="A507" s="58" t="s">
        <v>611</v>
      </c>
      <c r="K507" s="7" t="str">
        <f t="shared" si="108"/>
        <v/>
      </c>
    </row>
    <row r="508" spans="1:11" x14ac:dyDescent="0.3">
      <c r="A508" s="182" t="s">
        <v>612</v>
      </c>
      <c r="B508" s="173" t="s">
        <v>64</v>
      </c>
      <c r="C508" s="178" t="s">
        <v>1012</v>
      </c>
      <c r="D508" s="178" t="s">
        <v>1013</v>
      </c>
      <c r="E508" s="6" t="s">
        <v>34</v>
      </c>
      <c r="F508" s="20"/>
      <c r="G508" s="191">
        <v>3</v>
      </c>
      <c r="H508" s="15">
        <v>3</v>
      </c>
      <c r="I508" s="106">
        <f>'2 - Section Count Projection'!$G$100</f>
        <v>0</v>
      </c>
      <c r="J508" s="16">
        <f>I508*H508</f>
        <v>0</v>
      </c>
      <c r="K508" s="7" t="str">
        <f t="shared" si="108"/>
        <v/>
      </c>
    </row>
    <row r="509" spans="1:11" x14ac:dyDescent="0.3">
      <c r="A509" s="182" t="s">
        <v>612</v>
      </c>
      <c r="B509" s="173" t="s">
        <v>64</v>
      </c>
      <c r="C509" s="178"/>
      <c r="D509" s="178" t="s">
        <v>1014</v>
      </c>
      <c r="E509" s="6" t="s">
        <v>34</v>
      </c>
      <c r="F509" s="20">
        <v>2</v>
      </c>
      <c r="G509" s="20">
        <v>1.5</v>
      </c>
      <c r="H509" s="15">
        <f t="shared" si="114"/>
        <v>3.5</v>
      </c>
      <c r="I509" s="106">
        <f>'2 - Section Count Projection'!$G$100</f>
        <v>0</v>
      </c>
      <c r="J509" s="16">
        <f t="shared" ref="J509:J511" si="116">I509*H509</f>
        <v>0</v>
      </c>
      <c r="K509" s="7" t="str">
        <f t="shared" si="108"/>
        <v/>
      </c>
    </row>
    <row r="510" spans="1:11" x14ac:dyDescent="0.3">
      <c r="A510" s="182" t="s">
        <v>612</v>
      </c>
      <c r="B510" s="173" t="s">
        <v>64</v>
      </c>
      <c r="C510" s="178"/>
      <c r="D510" s="178" t="s">
        <v>1015</v>
      </c>
      <c r="E510" s="6" t="s">
        <v>34</v>
      </c>
      <c r="F510" s="20">
        <v>2</v>
      </c>
      <c r="G510" s="20">
        <v>1.5</v>
      </c>
      <c r="H510" s="15">
        <f t="shared" si="114"/>
        <v>3.5</v>
      </c>
      <c r="I510" s="106">
        <f>'2 - Section Count Projection'!$G$100</f>
        <v>0</v>
      </c>
      <c r="J510" s="16">
        <f t="shared" si="116"/>
        <v>0</v>
      </c>
      <c r="K510" s="7" t="str">
        <f t="shared" si="108"/>
        <v/>
      </c>
    </row>
    <row r="511" spans="1:11" x14ac:dyDescent="0.3">
      <c r="A511" s="182" t="s">
        <v>612</v>
      </c>
      <c r="B511" s="173" t="s">
        <v>64</v>
      </c>
      <c r="C511" s="178" t="s">
        <v>678</v>
      </c>
      <c r="D511" s="178" t="s">
        <v>703</v>
      </c>
      <c r="E511" s="6" t="s">
        <v>38</v>
      </c>
      <c r="F511" s="20">
        <v>2</v>
      </c>
      <c r="G511" s="20"/>
      <c r="H511" s="15">
        <f t="shared" si="114"/>
        <v>2</v>
      </c>
      <c r="I511" s="106">
        <f>'2 - Section Count Projection'!$G$100</f>
        <v>0</v>
      </c>
      <c r="J511" s="16">
        <f t="shared" si="116"/>
        <v>0</v>
      </c>
      <c r="K511" s="7" t="str">
        <f t="shared" si="108"/>
        <v/>
      </c>
    </row>
    <row r="512" spans="1:11" x14ac:dyDescent="0.3">
      <c r="B512" s="96"/>
      <c r="C512" s="97"/>
      <c r="D512" s="98"/>
      <c r="E512" s="98"/>
      <c r="F512" s="98"/>
      <c r="G512" s="98"/>
      <c r="H512" s="99"/>
      <c r="I512" s="11"/>
      <c r="J512" s="100"/>
      <c r="K512" s="7" t="str">
        <f t="shared" si="108"/>
        <v/>
      </c>
    </row>
    <row r="513" spans="1:11" x14ac:dyDescent="0.3">
      <c r="A513" s="58" t="s">
        <v>620</v>
      </c>
      <c r="K513" s="7" t="str">
        <f t="shared" si="108"/>
        <v/>
      </c>
    </row>
    <row r="514" spans="1:11" x14ac:dyDescent="0.3">
      <c r="A514" s="8" t="s">
        <v>621</v>
      </c>
      <c r="B514" s="9" t="s">
        <v>61</v>
      </c>
      <c r="C514" s="19" t="s">
        <v>125</v>
      </c>
      <c r="D514" s="18" t="s">
        <v>126</v>
      </c>
      <c r="E514" s="6" t="s">
        <v>127</v>
      </c>
      <c r="F514" s="20">
        <v>3</v>
      </c>
      <c r="G514" s="20"/>
      <c r="H514" s="15">
        <f t="shared" si="114"/>
        <v>3</v>
      </c>
      <c r="I514" s="106">
        <f>'2 - Section Count Projection'!$G$103</f>
        <v>0</v>
      </c>
      <c r="J514" s="16">
        <f>I514*H514</f>
        <v>0</v>
      </c>
      <c r="K514" s="7" t="str">
        <f t="shared" si="108"/>
        <v/>
      </c>
    </row>
    <row r="515" spans="1:11" x14ac:dyDescent="0.3">
      <c r="A515" s="8" t="s">
        <v>621</v>
      </c>
      <c r="B515" s="9" t="s">
        <v>61</v>
      </c>
      <c r="C515" s="19" t="s">
        <v>673</v>
      </c>
      <c r="D515" s="18" t="s">
        <v>674</v>
      </c>
      <c r="E515" s="6" t="s">
        <v>141</v>
      </c>
      <c r="F515" s="20">
        <v>3</v>
      </c>
      <c r="G515" s="20"/>
      <c r="H515" s="15">
        <f t="shared" si="114"/>
        <v>3</v>
      </c>
      <c r="I515" s="106">
        <f>'2 - Section Count Projection'!$G$103</f>
        <v>0</v>
      </c>
      <c r="J515" s="16">
        <f t="shared" ref="J515:J520" si="117">I515*H515</f>
        <v>0</v>
      </c>
      <c r="K515" s="7" t="str">
        <f t="shared" si="108"/>
        <v/>
      </c>
    </row>
    <row r="516" spans="1:11" x14ac:dyDescent="0.3">
      <c r="A516" s="8" t="s">
        <v>621</v>
      </c>
      <c r="B516" s="9" t="s">
        <v>61</v>
      </c>
      <c r="C516" s="19" t="s">
        <v>941</v>
      </c>
      <c r="D516" s="18" t="s">
        <v>942</v>
      </c>
      <c r="E516" s="6" t="s">
        <v>20</v>
      </c>
      <c r="F516" s="20">
        <v>3</v>
      </c>
      <c r="G516" s="20"/>
      <c r="H516" s="15">
        <f t="shared" si="114"/>
        <v>3</v>
      </c>
      <c r="I516" s="106">
        <f>'2 - Section Count Projection'!$G$103</f>
        <v>0</v>
      </c>
      <c r="J516" s="16">
        <f t="shared" si="117"/>
        <v>0</v>
      </c>
      <c r="K516" s="7" t="str">
        <f t="shared" ref="K516:K588" si="118">IF(I516&gt;0,F516,"")</f>
        <v/>
      </c>
    </row>
    <row r="517" spans="1:11" x14ac:dyDescent="0.3">
      <c r="A517" s="8" t="s">
        <v>621</v>
      </c>
      <c r="B517" s="9" t="s">
        <v>61</v>
      </c>
      <c r="C517" s="19" t="s">
        <v>943</v>
      </c>
      <c r="D517" s="18" t="s">
        <v>944</v>
      </c>
      <c r="E517" s="6" t="s">
        <v>34</v>
      </c>
      <c r="F517" s="20">
        <v>2</v>
      </c>
      <c r="G517" s="20">
        <v>1.5</v>
      </c>
      <c r="H517" s="15">
        <f t="shared" si="114"/>
        <v>3.5</v>
      </c>
      <c r="I517" s="106">
        <f>'2 - Section Count Projection'!$G$103</f>
        <v>0</v>
      </c>
      <c r="J517" s="16">
        <f t="shared" si="117"/>
        <v>0</v>
      </c>
      <c r="K517" s="7" t="str">
        <f t="shared" si="118"/>
        <v/>
      </c>
    </row>
    <row r="518" spans="1:11" x14ac:dyDescent="0.3">
      <c r="A518" s="8" t="s">
        <v>621</v>
      </c>
      <c r="B518" s="9" t="s">
        <v>61</v>
      </c>
      <c r="C518" s="19" t="s">
        <v>945</v>
      </c>
      <c r="D518" s="18" t="s">
        <v>946</v>
      </c>
      <c r="E518" s="6" t="s">
        <v>20</v>
      </c>
      <c r="F518" s="20">
        <v>3</v>
      </c>
      <c r="G518" s="20"/>
      <c r="H518" s="15">
        <f t="shared" si="114"/>
        <v>3</v>
      </c>
      <c r="I518" s="106">
        <f>'2 - Section Count Projection'!$G$103</f>
        <v>0</v>
      </c>
      <c r="J518" s="16">
        <f t="shared" si="117"/>
        <v>0</v>
      </c>
      <c r="K518" s="7" t="str">
        <f t="shared" si="118"/>
        <v/>
      </c>
    </row>
    <row r="519" spans="1:11" x14ac:dyDescent="0.3">
      <c r="A519" s="8" t="s">
        <v>621</v>
      </c>
      <c r="B519" s="9" t="s">
        <v>61</v>
      </c>
      <c r="C519" s="19" t="s">
        <v>670</v>
      </c>
      <c r="D519" s="18" t="s">
        <v>698</v>
      </c>
      <c r="E519" s="6" t="s">
        <v>38</v>
      </c>
      <c r="F519" s="20">
        <v>2</v>
      </c>
      <c r="G519" s="20"/>
      <c r="H519" s="15">
        <f t="shared" si="114"/>
        <v>2</v>
      </c>
      <c r="I519" s="106">
        <f>'2 - Section Count Projection'!$G$103</f>
        <v>0</v>
      </c>
      <c r="J519" s="16">
        <f t="shared" si="117"/>
        <v>0</v>
      </c>
      <c r="K519" s="7" t="str">
        <f t="shared" si="118"/>
        <v/>
      </c>
    </row>
    <row r="520" spans="1:11" x14ac:dyDescent="0.3">
      <c r="A520" s="8" t="s">
        <v>621</v>
      </c>
      <c r="B520" s="9" t="s">
        <v>61</v>
      </c>
      <c r="C520" s="19" t="s">
        <v>668</v>
      </c>
      <c r="D520" s="18" t="s">
        <v>669</v>
      </c>
      <c r="E520" s="101"/>
      <c r="F520" s="20">
        <v>3</v>
      </c>
      <c r="G520" s="20"/>
      <c r="H520" s="15">
        <f t="shared" si="114"/>
        <v>3</v>
      </c>
      <c r="I520" s="106">
        <f>'2 - Section Count Projection'!$G$103</f>
        <v>0</v>
      </c>
      <c r="J520" s="16">
        <f t="shared" si="117"/>
        <v>0</v>
      </c>
      <c r="K520" s="7" t="str">
        <f t="shared" si="118"/>
        <v/>
      </c>
    </row>
    <row r="521" spans="1:11" x14ac:dyDescent="0.3">
      <c r="K521" s="7" t="str">
        <f t="shared" si="118"/>
        <v/>
      </c>
    </row>
    <row r="522" spans="1:11" x14ac:dyDescent="0.3">
      <c r="A522" s="58" t="s">
        <v>620</v>
      </c>
      <c r="K522" s="7" t="str">
        <f t="shared" si="118"/>
        <v/>
      </c>
    </row>
    <row r="523" spans="1:11" x14ac:dyDescent="0.3">
      <c r="A523" s="8" t="s">
        <v>621</v>
      </c>
      <c r="B523" s="9" t="s">
        <v>64</v>
      </c>
      <c r="C523" s="19" t="s">
        <v>297</v>
      </c>
      <c r="D523" s="18" t="s">
        <v>298</v>
      </c>
      <c r="E523" s="6" t="s">
        <v>141</v>
      </c>
      <c r="F523" s="20">
        <v>3</v>
      </c>
      <c r="G523" s="20"/>
      <c r="H523" s="15">
        <f t="shared" ref="H523:H528" si="119">SUM(F523:G523)</f>
        <v>3</v>
      </c>
      <c r="I523" s="106">
        <f>'2 - Section Count Projection'!$G$105</f>
        <v>0</v>
      </c>
      <c r="J523" s="16">
        <f t="shared" ref="J523:J528" si="120">I523*H523</f>
        <v>0</v>
      </c>
      <c r="K523" s="7" t="str">
        <f t="shared" si="118"/>
        <v/>
      </c>
    </row>
    <row r="524" spans="1:11" x14ac:dyDescent="0.3">
      <c r="A524" s="8" t="s">
        <v>621</v>
      </c>
      <c r="B524" s="9" t="s">
        <v>64</v>
      </c>
      <c r="C524" s="19" t="s">
        <v>132</v>
      </c>
      <c r="D524" s="18" t="s">
        <v>133</v>
      </c>
      <c r="E524" s="101"/>
      <c r="F524" s="20">
        <v>3</v>
      </c>
      <c r="G524" s="20"/>
      <c r="H524" s="15">
        <f t="shared" si="119"/>
        <v>3</v>
      </c>
      <c r="I524" s="106">
        <f>'2 - Section Count Projection'!$G$105</f>
        <v>0</v>
      </c>
      <c r="J524" s="16">
        <f t="shared" si="120"/>
        <v>0</v>
      </c>
      <c r="K524" s="7" t="str">
        <f t="shared" si="118"/>
        <v/>
      </c>
    </row>
    <row r="525" spans="1:11" x14ac:dyDescent="0.3">
      <c r="A525" s="8" t="s">
        <v>621</v>
      </c>
      <c r="B525" s="9" t="s">
        <v>64</v>
      </c>
      <c r="C525" s="19" t="s">
        <v>947</v>
      </c>
      <c r="D525" s="18" t="s">
        <v>948</v>
      </c>
      <c r="E525" s="6" t="s">
        <v>20</v>
      </c>
      <c r="F525" s="20">
        <v>3</v>
      </c>
      <c r="G525" s="20"/>
      <c r="H525" s="15">
        <f t="shared" si="119"/>
        <v>3</v>
      </c>
      <c r="I525" s="106">
        <f>'2 - Section Count Projection'!$G$105</f>
        <v>0</v>
      </c>
      <c r="J525" s="16">
        <f t="shared" si="120"/>
        <v>0</v>
      </c>
      <c r="K525" s="7" t="str">
        <f t="shared" si="118"/>
        <v/>
      </c>
    </row>
    <row r="526" spans="1:11" x14ac:dyDescent="0.3">
      <c r="A526" s="8" t="s">
        <v>621</v>
      </c>
      <c r="B526" s="9" t="s">
        <v>64</v>
      </c>
      <c r="C526" s="19" t="s">
        <v>949</v>
      </c>
      <c r="D526" s="18" t="s">
        <v>950</v>
      </c>
      <c r="E526" s="6" t="s">
        <v>34</v>
      </c>
      <c r="F526" s="20">
        <v>2</v>
      </c>
      <c r="G526" s="20">
        <v>1.5</v>
      </c>
      <c r="H526" s="15">
        <f t="shared" si="119"/>
        <v>3.5</v>
      </c>
      <c r="I526" s="106">
        <f>'2 - Section Count Projection'!$G$105</f>
        <v>0</v>
      </c>
      <c r="J526" s="16">
        <f t="shared" si="120"/>
        <v>0</v>
      </c>
      <c r="K526" s="7" t="str">
        <f t="shared" si="118"/>
        <v/>
      </c>
    </row>
    <row r="527" spans="1:11" x14ac:dyDescent="0.3">
      <c r="A527" s="8" t="s">
        <v>621</v>
      </c>
      <c r="B527" s="9" t="s">
        <v>64</v>
      </c>
      <c r="C527" s="19" t="s">
        <v>951</v>
      </c>
      <c r="D527" s="18" t="s">
        <v>1016</v>
      </c>
      <c r="E527" s="6" t="s">
        <v>20</v>
      </c>
      <c r="F527" s="20">
        <v>2</v>
      </c>
      <c r="G527" s="20">
        <v>1.5</v>
      </c>
      <c r="H527" s="15">
        <f t="shared" si="119"/>
        <v>3.5</v>
      </c>
      <c r="I527" s="106">
        <f>'2 - Section Count Projection'!$G$105</f>
        <v>0</v>
      </c>
      <c r="J527" s="16">
        <f t="shared" si="120"/>
        <v>0</v>
      </c>
      <c r="K527" s="7" t="str">
        <f t="shared" si="118"/>
        <v/>
      </c>
    </row>
    <row r="528" spans="1:11" x14ac:dyDescent="0.3">
      <c r="A528" s="8" t="s">
        <v>621</v>
      </c>
      <c r="B528" s="9" t="s">
        <v>64</v>
      </c>
      <c r="C528" s="19" t="s">
        <v>167</v>
      </c>
      <c r="D528" s="18" t="s">
        <v>168</v>
      </c>
      <c r="E528" s="101"/>
      <c r="F528" s="20">
        <v>1</v>
      </c>
      <c r="G528" s="20"/>
      <c r="H528" s="15">
        <f t="shared" si="119"/>
        <v>1</v>
      </c>
      <c r="I528" s="106">
        <f>'2 - Section Count Projection'!$G$105</f>
        <v>0</v>
      </c>
      <c r="J528" s="16">
        <f t="shared" si="120"/>
        <v>0</v>
      </c>
      <c r="K528" s="7" t="str">
        <f t="shared" si="118"/>
        <v/>
      </c>
    </row>
    <row r="529" spans="1:11" x14ac:dyDescent="0.3">
      <c r="K529" s="7" t="str">
        <f t="shared" si="118"/>
        <v/>
      </c>
    </row>
    <row r="530" spans="1:11" x14ac:dyDescent="0.3">
      <c r="A530" s="58" t="s">
        <v>1017</v>
      </c>
      <c r="K530" s="7" t="str">
        <f t="shared" si="118"/>
        <v/>
      </c>
    </row>
    <row r="531" spans="1:11" x14ac:dyDescent="0.3">
      <c r="A531" s="8" t="s">
        <v>1018</v>
      </c>
      <c r="B531" s="9" t="s">
        <v>61</v>
      </c>
      <c r="C531" s="19" t="s">
        <v>673</v>
      </c>
      <c r="D531" s="18" t="s">
        <v>674</v>
      </c>
      <c r="E531" s="6" t="s">
        <v>141</v>
      </c>
      <c r="F531" s="20">
        <v>3</v>
      </c>
      <c r="G531" s="20"/>
      <c r="H531" s="15">
        <f>SUM(F531:G531)</f>
        <v>3</v>
      </c>
      <c r="I531" s="106">
        <f>'2 - Section Count Projection'!$O$138</f>
        <v>0</v>
      </c>
      <c r="J531" s="16">
        <f>I531*H531</f>
        <v>0</v>
      </c>
      <c r="K531" s="7" t="str">
        <f t="shared" si="118"/>
        <v/>
      </c>
    </row>
    <row r="532" spans="1:11" x14ac:dyDescent="0.3">
      <c r="A532" s="8" t="s">
        <v>1018</v>
      </c>
      <c r="B532" s="9" t="s">
        <v>61</v>
      </c>
      <c r="C532" s="19" t="s">
        <v>393</v>
      </c>
      <c r="D532" s="18" t="s">
        <v>672</v>
      </c>
      <c r="E532" s="101"/>
      <c r="F532" s="20">
        <v>3</v>
      </c>
      <c r="G532" s="20"/>
      <c r="H532" s="15">
        <f t="shared" ref="H532:H536" si="121">SUM(F532:G532)</f>
        <v>3</v>
      </c>
      <c r="I532" s="106">
        <f>'2 - Section Count Projection'!$O$138</f>
        <v>0</v>
      </c>
      <c r="J532" s="16">
        <f t="shared" ref="J532:J536" si="122">I532*H532</f>
        <v>0</v>
      </c>
      <c r="K532" s="7" t="str">
        <f t="shared" si="118"/>
        <v/>
      </c>
    </row>
    <row r="533" spans="1:11" x14ac:dyDescent="0.3">
      <c r="A533" s="8" t="s">
        <v>1018</v>
      </c>
      <c r="B533" s="9" t="s">
        <v>61</v>
      </c>
      <c r="C533" s="19" t="s">
        <v>125</v>
      </c>
      <c r="D533" s="18" t="s">
        <v>126</v>
      </c>
      <c r="E533" s="6" t="s">
        <v>127</v>
      </c>
      <c r="F533" s="20">
        <v>3</v>
      </c>
      <c r="G533" s="20"/>
      <c r="H533" s="15">
        <f t="shared" si="121"/>
        <v>3</v>
      </c>
      <c r="I533" s="106">
        <f>'2 - Section Count Projection'!$O$138</f>
        <v>0</v>
      </c>
      <c r="J533" s="16">
        <f t="shared" si="122"/>
        <v>0</v>
      </c>
      <c r="K533" s="7" t="str">
        <f t="shared" si="118"/>
        <v/>
      </c>
    </row>
    <row r="534" spans="1:11" x14ac:dyDescent="0.3">
      <c r="A534" s="8" t="s">
        <v>1018</v>
      </c>
      <c r="B534" s="9" t="s">
        <v>61</v>
      </c>
      <c r="C534" s="19" t="s">
        <v>668</v>
      </c>
      <c r="D534" s="18" t="s">
        <v>669</v>
      </c>
      <c r="E534" s="101"/>
      <c r="F534" s="20">
        <v>3</v>
      </c>
      <c r="G534" s="20"/>
      <c r="H534" s="15">
        <f t="shared" si="121"/>
        <v>3</v>
      </c>
      <c r="I534" s="106">
        <f>'2 - Section Count Projection'!$O$138</f>
        <v>0</v>
      </c>
      <c r="J534" s="16">
        <f t="shared" si="122"/>
        <v>0</v>
      </c>
      <c r="K534" s="7" t="str">
        <f t="shared" si="118"/>
        <v/>
      </c>
    </row>
    <row r="535" spans="1:11" x14ac:dyDescent="0.3">
      <c r="A535" s="8" t="s">
        <v>1018</v>
      </c>
      <c r="B535" s="9" t="s">
        <v>61</v>
      </c>
      <c r="C535" s="19" t="s">
        <v>670</v>
      </c>
      <c r="D535" s="18" t="s">
        <v>1019</v>
      </c>
      <c r="E535" s="6" t="s">
        <v>38</v>
      </c>
      <c r="F535" s="20">
        <v>2</v>
      </c>
      <c r="G535" s="20"/>
      <c r="H535" s="15">
        <f t="shared" si="121"/>
        <v>2</v>
      </c>
      <c r="I535" s="106">
        <f>'2 - Section Count Projection'!$O$138</f>
        <v>0</v>
      </c>
      <c r="J535" s="16">
        <f t="shared" si="122"/>
        <v>0</v>
      </c>
      <c r="K535" s="7" t="str">
        <f t="shared" si="118"/>
        <v/>
      </c>
    </row>
    <row r="536" spans="1:11" x14ac:dyDescent="0.3">
      <c r="A536" s="8" t="s">
        <v>1018</v>
      </c>
      <c r="B536" s="9" t="s">
        <v>61</v>
      </c>
      <c r="C536" s="19" t="s">
        <v>1020</v>
      </c>
      <c r="D536" s="18" t="s">
        <v>1021</v>
      </c>
      <c r="E536" s="6" t="s">
        <v>632</v>
      </c>
      <c r="F536" s="20">
        <v>3</v>
      </c>
      <c r="G536" s="20">
        <v>3</v>
      </c>
      <c r="H536" s="15">
        <f t="shared" si="121"/>
        <v>6</v>
      </c>
      <c r="I536" s="106">
        <f>'2 - Section Count Projection'!$O$138</f>
        <v>0</v>
      </c>
      <c r="J536" s="16">
        <f t="shared" si="122"/>
        <v>0</v>
      </c>
      <c r="K536" s="7" t="str">
        <f t="shared" si="118"/>
        <v/>
      </c>
    </row>
    <row r="537" spans="1:11" x14ac:dyDescent="0.3">
      <c r="K537" s="7" t="str">
        <f t="shared" si="118"/>
        <v/>
      </c>
    </row>
    <row r="538" spans="1:11" x14ac:dyDescent="0.3">
      <c r="A538" s="58" t="s">
        <v>1017</v>
      </c>
      <c r="K538" s="7" t="str">
        <f t="shared" si="118"/>
        <v/>
      </c>
    </row>
    <row r="539" spans="1:11" ht="19.5" customHeight="1" x14ac:dyDescent="0.3">
      <c r="A539" s="8" t="s">
        <v>1018</v>
      </c>
      <c r="B539" s="9" t="s">
        <v>64</v>
      </c>
      <c r="C539" s="19" t="s">
        <v>297</v>
      </c>
      <c r="D539" s="18" t="s">
        <v>298</v>
      </c>
      <c r="E539" s="6" t="s">
        <v>141</v>
      </c>
      <c r="F539" s="20">
        <v>3</v>
      </c>
      <c r="G539" s="20"/>
      <c r="H539" s="15">
        <f>SUM(F539:G539)</f>
        <v>3</v>
      </c>
      <c r="I539" s="106">
        <f>'2 - Section Count Projection'!$O$138</f>
        <v>0</v>
      </c>
      <c r="J539" s="16">
        <f>I539*H539</f>
        <v>0</v>
      </c>
      <c r="K539" s="7" t="str">
        <f t="shared" si="118"/>
        <v/>
      </c>
    </row>
    <row r="540" spans="1:11" x14ac:dyDescent="0.3">
      <c r="A540" s="8" t="s">
        <v>1018</v>
      </c>
      <c r="B540" s="9" t="s">
        <v>64</v>
      </c>
      <c r="C540" s="19" t="s">
        <v>132</v>
      </c>
      <c r="D540" s="18" t="s">
        <v>133</v>
      </c>
      <c r="E540" s="101"/>
      <c r="F540" s="20">
        <v>3</v>
      </c>
      <c r="G540" s="20"/>
      <c r="H540" s="15">
        <f t="shared" ref="H540:H544" si="123">SUM(F540:G540)</f>
        <v>3</v>
      </c>
      <c r="I540" s="106">
        <f>'2 - Section Count Projection'!$O$138</f>
        <v>0</v>
      </c>
      <c r="J540" s="16">
        <f t="shared" ref="J540:J544" si="124">I540*H540</f>
        <v>0</v>
      </c>
      <c r="K540" s="7" t="str">
        <f t="shared" si="118"/>
        <v/>
      </c>
    </row>
    <row r="541" spans="1:11" x14ac:dyDescent="0.3">
      <c r="A541" s="8" t="s">
        <v>1018</v>
      </c>
      <c r="B541" s="9" t="s">
        <v>64</v>
      </c>
      <c r="C541" s="19" t="s">
        <v>678</v>
      </c>
      <c r="D541" s="18" t="s">
        <v>703</v>
      </c>
      <c r="E541" s="6" t="s">
        <v>38</v>
      </c>
      <c r="F541" s="20">
        <v>2</v>
      </c>
      <c r="G541" s="20"/>
      <c r="H541" s="15">
        <f t="shared" si="123"/>
        <v>2</v>
      </c>
      <c r="I541" s="106">
        <f>'2 - Section Count Projection'!$O$138</f>
        <v>0</v>
      </c>
      <c r="J541" s="16">
        <f t="shared" si="124"/>
        <v>0</v>
      </c>
      <c r="K541" s="7" t="str">
        <f t="shared" si="118"/>
        <v/>
      </c>
    </row>
    <row r="542" spans="1:11" x14ac:dyDescent="0.3">
      <c r="A542" s="8" t="s">
        <v>1018</v>
      </c>
      <c r="B542" s="9" t="s">
        <v>64</v>
      </c>
      <c r="C542" s="19" t="s">
        <v>1022</v>
      </c>
      <c r="D542" s="18" t="s">
        <v>1023</v>
      </c>
      <c r="E542" s="186" t="s">
        <v>632</v>
      </c>
      <c r="F542" s="20">
        <v>3</v>
      </c>
      <c r="G542" s="20"/>
      <c r="H542" s="15">
        <f t="shared" si="123"/>
        <v>3</v>
      </c>
      <c r="I542" s="106">
        <f>'2 - Section Count Projection'!$O$138</f>
        <v>0</v>
      </c>
      <c r="J542" s="16">
        <f t="shared" si="124"/>
        <v>0</v>
      </c>
      <c r="K542" s="7" t="str">
        <f t="shared" si="118"/>
        <v/>
      </c>
    </row>
    <row r="543" spans="1:11" x14ac:dyDescent="0.3">
      <c r="A543" s="8" t="s">
        <v>1018</v>
      </c>
      <c r="B543" s="9" t="s">
        <v>64</v>
      </c>
      <c r="C543" s="19" t="s">
        <v>1024</v>
      </c>
      <c r="D543" s="18" t="s">
        <v>1025</v>
      </c>
      <c r="E543" s="6" t="s">
        <v>632</v>
      </c>
      <c r="F543" s="20">
        <v>3</v>
      </c>
      <c r="G543" s="20">
        <v>3</v>
      </c>
      <c r="H543" s="15">
        <f t="shared" si="123"/>
        <v>6</v>
      </c>
      <c r="I543" s="106">
        <f>'2 - Section Count Projection'!$O$138</f>
        <v>0</v>
      </c>
      <c r="J543" s="16">
        <f t="shared" si="124"/>
        <v>0</v>
      </c>
      <c r="K543" s="7" t="str">
        <f t="shared" si="118"/>
        <v/>
      </c>
    </row>
    <row r="544" spans="1:11" x14ac:dyDescent="0.3">
      <c r="A544" s="8" t="s">
        <v>1018</v>
      </c>
      <c r="B544" s="9" t="s">
        <v>64</v>
      </c>
      <c r="C544" s="19" t="s">
        <v>1026</v>
      </c>
      <c r="D544" s="18" t="s">
        <v>1027</v>
      </c>
      <c r="E544" s="6" t="s">
        <v>632</v>
      </c>
      <c r="F544" s="20">
        <v>3</v>
      </c>
      <c r="G544" s="20"/>
      <c r="H544" s="15">
        <f t="shared" si="123"/>
        <v>3</v>
      </c>
      <c r="I544" s="106">
        <f>'2 - Section Count Projection'!$O$138</f>
        <v>0</v>
      </c>
      <c r="J544" s="16">
        <f t="shared" si="124"/>
        <v>0</v>
      </c>
      <c r="K544" s="7" t="str">
        <f t="shared" si="118"/>
        <v/>
      </c>
    </row>
    <row r="545" spans="1:11" x14ac:dyDescent="0.3">
      <c r="K545" s="7" t="str">
        <f t="shared" si="118"/>
        <v/>
      </c>
    </row>
    <row r="546" spans="1:11" x14ac:dyDescent="0.3">
      <c r="A546" s="58" t="s">
        <v>1017</v>
      </c>
    </row>
    <row r="547" spans="1:11" x14ac:dyDescent="0.3">
      <c r="A547" s="8" t="s">
        <v>1018</v>
      </c>
      <c r="B547" s="9" t="s">
        <v>69</v>
      </c>
      <c r="C547" s="19" t="s">
        <v>1028</v>
      </c>
      <c r="D547" s="18" t="s">
        <v>1029</v>
      </c>
      <c r="E547" s="6" t="s">
        <v>632</v>
      </c>
      <c r="F547" s="20">
        <v>3</v>
      </c>
      <c r="G547" s="20"/>
      <c r="H547" s="15">
        <f>SUM(F547:G547)</f>
        <v>3</v>
      </c>
      <c r="I547" s="106">
        <f>'2 - Section Count Projection'!$O$138</f>
        <v>0</v>
      </c>
      <c r="J547" s="16">
        <f>I547*H547</f>
        <v>0</v>
      </c>
    </row>
    <row r="548" spans="1:11" x14ac:dyDescent="0.3">
      <c r="A548" s="8" t="s">
        <v>1018</v>
      </c>
      <c r="B548" s="9" t="s">
        <v>69</v>
      </c>
      <c r="C548" s="19" t="s">
        <v>1030</v>
      </c>
      <c r="D548" s="18" t="s">
        <v>1031</v>
      </c>
      <c r="E548" s="324" t="s">
        <v>632</v>
      </c>
      <c r="F548" s="20">
        <v>3</v>
      </c>
      <c r="G548" s="20"/>
      <c r="H548" s="15">
        <f t="shared" ref="H548:H551" si="125">SUM(F548:G548)</f>
        <v>3</v>
      </c>
      <c r="I548" s="106">
        <f>'2 - Section Count Projection'!$O$138</f>
        <v>0</v>
      </c>
      <c r="J548" s="16">
        <f t="shared" ref="J548:J551" si="126">I548*H548</f>
        <v>0</v>
      </c>
    </row>
    <row r="549" spans="1:11" x14ac:dyDescent="0.3">
      <c r="A549" s="8" t="s">
        <v>1018</v>
      </c>
      <c r="B549" s="9" t="s">
        <v>69</v>
      </c>
      <c r="C549" s="19" t="s">
        <v>1032</v>
      </c>
      <c r="D549" s="18" t="s">
        <v>1033</v>
      </c>
      <c r="E549" s="6" t="s">
        <v>632</v>
      </c>
      <c r="F549" s="20">
        <v>3</v>
      </c>
      <c r="G549" s="20">
        <v>3</v>
      </c>
      <c r="H549" s="15">
        <f t="shared" si="125"/>
        <v>6</v>
      </c>
      <c r="I549" s="106">
        <f>'2 - Section Count Projection'!$O$138</f>
        <v>0</v>
      </c>
      <c r="J549" s="16">
        <f t="shared" si="126"/>
        <v>0</v>
      </c>
    </row>
    <row r="550" spans="1:11" x14ac:dyDescent="0.3">
      <c r="A550" s="8" t="s">
        <v>1018</v>
      </c>
      <c r="B550" s="9" t="s">
        <v>69</v>
      </c>
      <c r="C550" s="19"/>
      <c r="D550" s="18" t="s">
        <v>1034</v>
      </c>
      <c r="E550" s="186" t="s">
        <v>632</v>
      </c>
      <c r="F550" s="20">
        <v>3</v>
      </c>
      <c r="G550" s="20"/>
      <c r="H550" s="15">
        <f t="shared" si="125"/>
        <v>3</v>
      </c>
      <c r="I550" s="106">
        <f>'2 - Section Count Projection'!$O$138</f>
        <v>0</v>
      </c>
      <c r="J550" s="16">
        <f t="shared" si="126"/>
        <v>0</v>
      </c>
    </row>
    <row r="551" spans="1:11" x14ac:dyDescent="0.3">
      <c r="A551" s="8" t="s">
        <v>1018</v>
      </c>
      <c r="B551" s="9" t="s">
        <v>69</v>
      </c>
      <c r="C551" s="19" t="s">
        <v>1035</v>
      </c>
      <c r="D551" s="18" t="s">
        <v>1036</v>
      </c>
      <c r="E551" s="6" t="s">
        <v>632</v>
      </c>
      <c r="F551" s="20">
        <v>3</v>
      </c>
      <c r="G551" s="20"/>
      <c r="H551" s="15">
        <f t="shared" si="125"/>
        <v>3</v>
      </c>
      <c r="I551" s="106">
        <f>'2 - Section Count Projection'!$O$138</f>
        <v>0</v>
      </c>
      <c r="J551" s="16">
        <f t="shared" si="126"/>
        <v>0</v>
      </c>
    </row>
    <row r="553" spans="1:11" x14ac:dyDescent="0.3">
      <c r="A553" s="58" t="s">
        <v>1037</v>
      </c>
      <c r="K553" s="7" t="str">
        <f t="shared" si="118"/>
        <v/>
      </c>
    </row>
    <row r="554" spans="1:11" x14ac:dyDescent="0.3">
      <c r="A554" s="8" t="s">
        <v>1038</v>
      </c>
      <c r="B554" s="9" t="s">
        <v>61</v>
      </c>
      <c r="C554" s="19" t="s">
        <v>673</v>
      </c>
      <c r="D554" s="18" t="s">
        <v>674</v>
      </c>
      <c r="E554" s="6" t="s">
        <v>141</v>
      </c>
      <c r="F554" s="20">
        <v>3</v>
      </c>
      <c r="G554" s="20"/>
      <c r="H554" s="15">
        <f>SUM(F554:G554)</f>
        <v>3</v>
      </c>
      <c r="I554" s="106">
        <f>'2 - Section Count Projection'!$O$147</f>
        <v>0</v>
      </c>
      <c r="J554" s="16">
        <f t="shared" ref="J554:J560" si="127">I554*H554</f>
        <v>0</v>
      </c>
      <c r="K554" s="7" t="str">
        <f t="shared" si="118"/>
        <v/>
      </c>
    </row>
    <row r="555" spans="1:11" x14ac:dyDescent="0.3">
      <c r="A555" s="8" t="s">
        <v>1038</v>
      </c>
      <c r="B555" s="9" t="s">
        <v>61</v>
      </c>
      <c r="C555" s="19" t="s">
        <v>393</v>
      </c>
      <c r="D555" s="18" t="s">
        <v>672</v>
      </c>
      <c r="E555" s="101"/>
      <c r="F555" s="20">
        <v>3</v>
      </c>
      <c r="G555" s="20"/>
      <c r="H555" s="15">
        <f t="shared" ref="H555:H561" si="128">SUM(F555:G555)</f>
        <v>3</v>
      </c>
      <c r="I555" s="106">
        <f>'2 - Section Count Projection'!$O$147</f>
        <v>0</v>
      </c>
      <c r="J555" s="16">
        <f t="shared" si="127"/>
        <v>0</v>
      </c>
      <c r="K555" s="7" t="str">
        <f t="shared" si="118"/>
        <v/>
      </c>
    </row>
    <row r="556" spans="1:11" x14ac:dyDescent="0.3">
      <c r="A556" s="8" t="s">
        <v>1038</v>
      </c>
      <c r="B556" s="9" t="s">
        <v>61</v>
      </c>
      <c r="C556" s="19" t="s">
        <v>125</v>
      </c>
      <c r="D556" s="18" t="s">
        <v>126</v>
      </c>
      <c r="E556" s="6" t="s">
        <v>127</v>
      </c>
      <c r="F556" s="20">
        <v>3</v>
      </c>
      <c r="G556" s="20"/>
      <c r="H556" s="15">
        <f t="shared" si="128"/>
        <v>3</v>
      </c>
      <c r="I556" s="106">
        <f>'2 - Section Count Projection'!$O$147</f>
        <v>0</v>
      </c>
      <c r="J556" s="16">
        <f t="shared" si="127"/>
        <v>0</v>
      </c>
      <c r="K556" s="7" t="str">
        <f t="shared" si="118"/>
        <v/>
      </c>
    </row>
    <row r="557" spans="1:11" x14ac:dyDescent="0.3">
      <c r="A557" s="8" t="s">
        <v>1038</v>
      </c>
      <c r="B557" s="9" t="s">
        <v>61</v>
      </c>
      <c r="C557" s="19" t="s">
        <v>297</v>
      </c>
      <c r="D557" s="18" t="s">
        <v>298</v>
      </c>
      <c r="E557" s="6" t="s">
        <v>141</v>
      </c>
      <c r="F557" s="20">
        <v>3</v>
      </c>
      <c r="G557" s="20"/>
      <c r="H557" s="15">
        <f t="shared" si="128"/>
        <v>3</v>
      </c>
      <c r="I557" s="106">
        <f>'2 - Section Count Projection'!$O$147</f>
        <v>0</v>
      </c>
      <c r="J557" s="16">
        <f t="shared" si="127"/>
        <v>0</v>
      </c>
      <c r="K557" s="7" t="str">
        <f t="shared" si="118"/>
        <v/>
      </c>
    </row>
    <row r="558" spans="1:11" x14ac:dyDescent="0.3">
      <c r="A558" s="8" t="s">
        <v>1038</v>
      </c>
      <c r="B558" s="9" t="s">
        <v>61</v>
      </c>
      <c r="C558" s="19" t="s">
        <v>274</v>
      </c>
      <c r="D558" s="18" t="s">
        <v>275</v>
      </c>
      <c r="E558" s="6" t="s">
        <v>127</v>
      </c>
      <c r="F558" s="20">
        <v>3</v>
      </c>
      <c r="G558" s="20"/>
      <c r="H558" s="15">
        <f t="shared" si="128"/>
        <v>3</v>
      </c>
      <c r="I558" s="106">
        <f>'2 - Section Count Projection'!$O$147</f>
        <v>0</v>
      </c>
      <c r="J558" s="16">
        <f t="shared" si="127"/>
        <v>0</v>
      </c>
      <c r="K558" s="7" t="str">
        <f t="shared" si="118"/>
        <v/>
      </c>
    </row>
    <row r="559" spans="1:11" x14ac:dyDescent="0.3">
      <c r="A559" s="8" t="s">
        <v>1038</v>
      </c>
      <c r="B559" s="9" t="s">
        <v>61</v>
      </c>
      <c r="C559" s="19" t="s">
        <v>132</v>
      </c>
      <c r="D559" s="18" t="s">
        <v>133</v>
      </c>
      <c r="E559" s="101"/>
      <c r="F559" s="20">
        <v>3</v>
      </c>
      <c r="G559" s="20"/>
      <c r="H559" s="15">
        <f t="shared" si="128"/>
        <v>3</v>
      </c>
      <c r="I559" s="106">
        <f>'2 - Section Count Projection'!$O$147</f>
        <v>0</v>
      </c>
      <c r="J559" s="16">
        <f t="shared" si="127"/>
        <v>0</v>
      </c>
      <c r="K559" s="7" t="str">
        <f t="shared" si="118"/>
        <v/>
      </c>
    </row>
    <row r="560" spans="1:11" x14ac:dyDescent="0.3">
      <c r="A560" s="8" t="s">
        <v>1038</v>
      </c>
      <c r="B560" s="9" t="s">
        <v>61</v>
      </c>
      <c r="C560" s="19" t="s">
        <v>1039</v>
      </c>
      <c r="D560" s="18" t="s">
        <v>1040</v>
      </c>
      <c r="E560" s="6" t="s">
        <v>648</v>
      </c>
      <c r="F560" s="20">
        <v>3</v>
      </c>
      <c r="G560" s="20"/>
      <c r="H560" s="15">
        <f t="shared" si="128"/>
        <v>3</v>
      </c>
      <c r="I560" s="106">
        <f>'2 - Section Count Projection'!$O$147</f>
        <v>0</v>
      </c>
      <c r="J560" s="16">
        <f t="shared" si="127"/>
        <v>0</v>
      </c>
      <c r="K560" s="7" t="str">
        <f t="shared" si="118"/>
        <v/>
      </c>
    </row>
    <row r="561" spans="1:11" x14ac:dyDescent="0.3">
      <c r="A561" s="8" t="s">
        <v>1038</v>
      </c>
      <c r="B561" s="9" t="s">
        <v>61</v>
      </c>
      <c r="C561" s="19" t="s">
        <v>1041</v>
      </c>
      <c r="D561" s="18" t="s">
        <v>698</v>
      </c>
      <c r="E561" s="6" t="s">
        <v>38</v>
      </c>
      <c r="F561" s="20">
        <v>2</v>
      </c>
      <c r="G561" s="20"/>
      <c r="H561" s="15">
        <f t="shared" si="128"/>
        <v>2</v>
      </c>
      <c r="I561" s="106">
        <f>'2 - Section Count Projection'!$O$147</f>
        <v>0</v>
      </c>
      <c r="J561" s="16">
        <f>I561*H561</f>
        <v>0</v>
      </c>
      <c r="K561" s="7" t="str">
        <f t="shared" si="118"/>
        <v/>
      </c>
    </row>
    <row r="562" spans="1:11" x14ac:dyDescent="0.3">
      <c r="A562" s="8" t="s">
        <v>1038</v>
      </c>
      <c r="B562" s="9" t="s">
        <v>61</v>
      </c>
      <c r="C562" s="19" t="s">
        <v>1042</v>
      </c>
      <c r="D562" s="18" t="s">
        <v>1043</v>
      </c>
      <c r="E562" s="101"/>
      <c r="F562" s="20">
        <v>3</v>
      </c>
      <c r="G562" s="20"/>
      <c r="H562" s="15">
        <f t="shared" ref="H562" si="129">SUM(F562:G562)</f>
        <v>3</v>
      </c>
      <c r="I562" s="106">
        <f>'2 - Section Count Projection'!$O$147</f>
        <v>0</v>
      </c>
      <c r="J562" s="16">
        <f>I562*H562</f>
        <v>0</v>
      </c>
      <c r="K562" s="7" t="str">
        <f t="shared" si="118"/>
        <v/>
      </c>
    </row>
    <row r="563" spans="1:11" x14ac:dyDescent="0.3">
      <c r="K563" s="7" t="str">
        <f t="shared" si="118"/>
        <v/>
      </c>
    </row>
    <row r="564" spans="1:11" x14ac:dyDescent="0.3">
      <c r="A564" s="58" t="s">
        <v>1037</v>
      </c>
    </row>
    <row r="565" spans="1:11" x14ac:dyDescent="0.3">
      <c r="A565" s="8" t="s">
        <v>1038</v>
      </c>
      <c r="B565" s="9" t="s">
        <v>64</v>
      </c>
      <c r="C565" s="19" t="s">
        <v>1044</v>
      </c>
      <c r="D565" s="18" t="s">
        <v>1045</v>
      </c>
      <c r="E565" s="6" t="s">
        <v>648</v>
      </c>
      <c r="F565" s="20">
        <v>3</v>
      </c>
      <c r="G565" s="20"/>
      <c r="H565" s="15">
        <f>SUM(F565:G565)</f>
        <v>3</v>
      </c>
      <c r="I565" s="106">
        <f>'2 - Section Count Projection'!$O$147</f>
        <v>0</v>
      </c>
      <c r="J565" s="16">
        <f t="shared" ref="J565:J571" si="130">I565*H565</f>
        <v>0</v>
      </c>
    </row>
    <row r="566" spans="1:11" x14ac:dyDescent="0.3">
      <c r="A566" s="8" t="s">
        <v>1038</v>
      </c>
      <c r="B566" s="9" t="s">
        <v>64</v>
      </c>
      <c r="C566" s="19" t="s">
        <v>1046</v>
      </c>
      <c r="D566" s="18" t="s">
        <v>1047</v>
      </c>
      <c r="E566" s="324" t="s">
        <v>648</v>
      </c>
      <c r="F566" s="20">
        <v>2</v>
      </c>
      <c r="G566" s="20">
        <v>1.5</v>
      </c>
      <c r="H566" s="15">
        <f t="shared" ref="H566:H573" si="131">SUM(F566:G566)</f>
        <v>3.5</v>
      </c>
      <c r="I566" s="106">
        <f>'2 - Section Count Projection'!$O$147</f>
        <v>0</v>
      </c>
      <c r="J566" s="16">
        <f t="shared" si="130"/>
        <v>0</v>
      </c>
    </row>
    <row r="567" spans="1:11" x14ac:dyDescent="0.3">
      <c r="A567" s="8" t="s">
        <v>1038</v>
      </c>
      <c r="B567" s="9" t="s">
        <v>64</v>
      </c>
      <c r="C567" s="19" t="s">
        <v>1048</v>
      </c>
      <c r="D567" s="18" t="s">
        <v>1049</v>
      </c>
      <c r="E567" s="6" t="s">
        <v>648</v>
      </c>
      <c r="F567" s="20">
        <v>3</v>
      </c>
      <c r="G567" s="20"/>
      <c r="H567" s="15">
        <f t="shared" si="131"/>
        <v>3</v>
      </c>
      <c r="I567" s="106">
        <f>'2 - Section Count Projection'!$O$147</f>
        <v>0</v>
      </c>
      <c r="J567" s="16">
        <f t="shared" si="130"/>
        <v>0</v>
      </c>
    </row>
    <row r="568" spans="1:11" x14ac:dyDescent="0.3">
      <c r="A568" s="8" t="s">
        <v>1038</v>
      </c>
      <c r="B568" s="9" t="s">
        <v>64</v>
      </c>
      <c r="C568" s="19" t="s">
        <v>1050</v>
      </c>
      <c r="D568" s="18" t="s">
        <v>1051</v>
      </c>
      <c r="E568" s="6" t="s">
        <v>648</v>
      </c>
      <c r="F568" s="20">
        <v>3</v>
      </c>
      <c r="G568" s="20"/>
      <c r="H568" s="15">
        <f t="shared" si="131"/>
        <v>3</v>
      </c>
      <c r="I568" s="106">
        <f>'2 - Section Count Projection'!$O$147</f>
        <v>0</v>
      </c>
      <c r="J568" s="16">
        <f t="shared" si="130"/>
        <v>0</v>
      </c>
    </row>
    <row r="569" spans="1:11" x14ac:dyDescent="0.3">
      <c r="A569" s="8" t="s">
        <v>1038</v>
      </c>
      <c r="B569" s="9" t="s">
        <v>64</v>
      </c>
      <c r="C569" s="19" t="s">
        <v>1052</v>
      </c>
      <c r="D569" s="18" t="s">
        <v>1053</v>
      </c>
      <c r="E569" s="6" t="s">
        <v>648</v>
      </c>
      <c r="F569" s="20">
        <v>2</v>
      </c>
      <c r="G569" s="20">
        <v>1.5</v>
      </c>
      <c r="H569" s="15">
        <f t="shared" si="131"/>
        <v>3.5</v>
      </c>
      <c r="I569" s="106">
        <f>'2 - Section Count Projection'!$O$147</f>
        <v>0</v>
      </c>
      <c r="J569" s="16">
        <f t="shared" si="130"/>
        <v>0</v>
      </c>
    </row>
    <row r="570" spans="1:11" x14ac:dyDescent="0.3">
      <c r="A570" s="8" t="s">
        <v>1038</v>
      </c>
      <c r="B570" s="9" t="s">
        <v>64</v>
      </c>
      <c r="C570" s="19" t="s">
        <v>1054</v>
      </c>
      <c r="D570" s="18" t="s">
        <v>1055</v>
      </c>
      <c r="E570" s="324" t="s">
        <v>1056</v>
      </c>
      <c r="F570" s="20">
        <v>2</v>
      </c>
      <c r="G570" s="20">
        <v>1.5</v>
      </c>
      <c r="H570" s="15">
        <f t="shared" si="131"/>
        <v>3.5</v>
      </c>
      <c r="I570" s="106">
        <f>'2 - Section Count Projection'!$O$147</f>
        <v>0</v>
      </c>
      <c r="J570" s="16">
        <f t="shared" si="130"/>
        <v>0</v>
      </c>
    </row>
    <row r="571" spans="1:11" x14ac:dyDescent="0.3">
      <c r="A571" s="8" t="s">
        <v>1038</v>
      </c>
      <c r="B571" s="9" t="s">
        <v>64</v>
      </c>
      <c r="C571" s="19" t="s">
        <v>1057</v>
      </c>
      <c r="D571" s="18" t="s">
        <v>1058</v>
      </c>
      <c r="E571" s="6" t="s">
        <v>648</v>
      </c>
      <c r="F571" s="20">
        <v>3</v>
      </c>
      <c r="G571" s="20"/>
      <c r="H571" s="15">
        <f t="shared" si="131"/>
        <v>3</v>
      </c>
      <c r="I571" s="106">
        <f>'2 - Section Count Projection'!$O$147</f>
        <v>0</v>
      </c>
      <c r="J571" s="16">
        <f t="shared" si="130"/>
        <v>0</v>
      </c>
    </row>
    <row r="572" spans="1:11" x14ac:dyDescent="0.3">
      <c r="A572" s="8" t="s">
        <v>1038</v>
      </c>
      <c r="B572" s="9" t="s">
        <v>64</v>
      </c>
      <c r="C572" s="19" t="s">
        <v>1059</v>
      </c>
      <c r="D572" s="18" t="s">
        <v>1060</v>
      </c>
      <c r="E572" s="6" t="s">
        <v>648</v>
      </c>
      <c r="F572" s="20">
        <v>3</v>
      </c>
      <c r="G572" s="20"/>
      <c r="H572" s="15">
        <f t="shared" si="131"/>
        <v>3</v>
      </c>
      <c r="I572" s="106">
        <f>'2 - Section Count Projection'!$O$147</f>
        <v>0</v>
      </c>
      <c r="J572" s="16">
        <f>I572*H572</f>
        <v>0</v>
      </c>
    </row>
    <row r="573" spans="1:11" x14ac:dyDescent="0.3">
      <c r="A573" s="8" t="s">
        <v>1038</v>
      </c>
      <c r="B573" s="9" t="s">
        <v>64</v>
      </c>
      <c r="C573" s="19" t="s">
        <v>1061</v>
      </c>
      <c r="D573" s="18" t="s">
        <v>1062</v>
      </c>
      <c r="E573" s="324" t="s">
        <v>38</v>
      </c>
      <c r="F573" s="20">
        <v>2</v>
      </c>
      <c r="G573" s="20"/>
      <c r="H573" s="15">
        <f t="shared" si="131"/>
        <v>2</v>
      </c>
      <c r="I573" s="106">
        <f>'2 - Section Count Projection'!$O$147</f>
        <v>0</v>
      </c>
      <c r="J573" s="16">
        <f>I573*H573</f>
        <v>0</v>
      </c>
    </row>
    <row r="575" spans="1:11" x14ac:dyDescent="0.3">
      <c r="A575" s="58" t="s">
        <v>578</v>
      </c>
      <c r="K575" s="7" t="str">
        <f t="shared" si="118"/>
        <v/>
      </c>
    </row>
    <row r="576" spans="1:11" x14ac:dyDescent="0.3">
      <c r="A576" s="8" t="s">
        <v>579</v>
      </c>
      <c r="B576" s="9" t="s">
        <v>61</v>
      </c>
      <c r="C576" s="19" t="s">
        <v>965</v>
      </c>
      <c r="D576" s="18" t="s">
        <v>669</v>
      </c>
      <c r="E576" s="101"/>
      <c r="F576" s="20">
        <v>3</v>
      </c>
      <c r="G576" s="20"/>
      <c r="H576" s="15">
        <f>SUM(F576:G576)</f>
        <v>3</v>
      </c>
      <c r="I576" s="106">
        <f>'2 - Section Count Projection'!$O$156</f>
        <v>0</v>
      </c>
      <c r="J576" s="16">
        <f t="shared" ref="J576:J579" si="132">I576*H576</f>
        <v>0</v>
      </c>
      <c r="K576" s="7" t="str">
        <f t="shared" si="118"/>
        <v/>
      </c>
    </row>
    <row r="577" spans="1:11" x14ac:dyDescent="0.3">
      <c r="A577" s="8" t="s">
        <v>579</v>
      </c>
      <c r="B577" s="9" t="s">
        <v>61</v>
      </c>
      <c r="C577" s="19" t="s">
        <v>966</v>
      </c>
      <c r="D577" s="18" t="s">
        <v>967</v>
      </c>
      <c r="E577" s="6" t="s">
        <v>32</v>
      </c>
      <c r="F577" s="20">
        <v>1</v>
      </c>
      <c r="G577" s="20">
        <v>3</v>
      </c>
      <c r="H577" s="15">
        <f t="shared" ref="H577:H579" si="133">SUM(F577:G577)</f>
        <v>4</v>
      </c>
      <c r="I577" s="106">
        <f>'2 - Section Count Projection'!$O$156</f>
        <v>0</v>
      </c>
      <c r="J577" s="16">
        <f t="shared" si="132"/>
        <v>0</v>
      </c>
      <c r="K577" s="7" t="str">
        <f t="shared" si="118"/>
        <v/>
      </c>
    </row>
    <row r="578" spans="1:11" x14ac:dyDescent="0.3">
      <c r="A578" s="8" t="s">
        <v>579</v>
      </c>
      <c r="B578" s="9" t="s">
        <v>61</v>
      </c>
      <c r="C578" s="19" t="s">
        <v>968</v>
      </c>
      <c r="D578" s="18" t="s">
        <v>969</v>
      </c>
      <c r="E578" s="6" t="s">
        <v>34</v>
      </c>
      <c r="F578" s="20"/>
      <c r="G578" s="20">
        <v>1.5</v>
      </c>
      <c r="H578" s="15">
        <f t="shared" si="133"/>
        <v>1.5</v>
      </c>
      <c r="I578" s="106">
        <f>'2 - Section Count Projection'!$O$156</f>
        <v>0</v>
      </c>
      <c r="J578" s="16">
        <f t="shared" si="132"/>
        <v>0</v>
      </c>
      <c r="K578" s="7" t="str">
        <f t="shared" si="118"/>
        <v/>
      </c>
    </row>
    <row r="579" spans="1:11" x14ac:dyDescent="0.3">
      <c r="A579" s="8" t="s">
        <v>579</v>
      </c>
      <c r="B579" s="9" t="s">
        <v>61</v>
      </c>
      <c r="C579" s="19" t="s">
        <v>970</v>
      </c>
      <c r="D579" s="18" t="s">
        <v>971</v>
      </c>
      <c r="E579" s="6" t="s">
        <v>32</v>
      </c>
      <c r="F579" s="20">
        <v>3</v>
      </c>
      <c r="G579" s="20"/>
      <c r="H579" s="15">
        <f t="shared" si="133"/>
        <v>3</v>
      </c>
      <c r="I579" s="106">
        <f>'2 - Section Count Projection'!$O$156</f>
        <v>0</v>
      </c>
      <c r="J579" s="16">
        <f t="shared" si="132"/>
        <v>0</v>
      </c>
      <c r="K579" s="7" t="str">
        <f t="shared" si="118"/>
        <v/>
      </c>
    </row>
    <row r="580" spans="1:11" x14ac:dyDescent="0.3">
      <c r="K580" s="7" t="str">
        <f t="shared" si="118"/>
        <v/>
      </c>
    </row>
    <row r="581" spans="1:11" x14ac:dyDescent="0.3">
      <c r="A581" s="58" t="s">
        <v>578</v>
      </c>
      <c r="K581" s="7" t="str">
        <f t="shared" si="118"/>
        <v/>
      </c>
    </row>
    <row r="582" spans="1:11" x14ac:dyDescent="0.3">
      <c r="A582" s="8" t="s">
        <v>579</v>
      </c>
      <c r="B582" s="9" t="s">
        <v>64</v>
      </c>
      <c r="C582" s="19" t="s">
        <v>606</v>
      </c>
      <c r="D582" s="18" t="s">
        <v>168</v>
      </c>
      <c r="E582" s="101"/>
      <c r="F582" s="20">
        <v>1</v>
      </c>
      <c r="G582" s="20"/>
      <c r="H582" s="15">
        <f>SUM(F582:G582)</f>
        <v>1</v>
      </c>
      <c r="I582" s="106">
        <f>'2 - Section Count Projection'!$O$158</f>
        <v>0</v>
      </c>
      <c r="J582" s="16">
        <f t="shared" ref="J582:J585" si="134">I582*H582</f>
        <v>0</v>
      </c>
      <c r="K582" s="7" t="str">
        <f t="shared" si="118"/>
        <v/>
      </c>
    </row>
    <row r="583" spans="1:11" x14ac:dyDescent="0.3">
      <c r="A583" s="8" t="s">
        <v>579</v>
      </c>
      <c r="B583" s="9" t="s">
        <v>64</v>
      </c>
      <c r="C583" s="19" t="s">
        <v>972</v>
      </c>
      <c r="D583" s="18" t="s">
        <v>973</v>
      </c>
      <c r="E583" s="6" t="s">
        <v>32</v>
      </c>
      <c r="F583" s="20">
        <v>2</v>
      </c>
      <c r="G583" s="20">
        <v>1.5</v>
      </c>
      <c r="H583" s="15">
        <f t="shared" ref="H583:H585" si="135">SUM(F583:G583)</f>
        <v>3.5</v>
      </c>
      <c r="I583" s="106">
        <f>'2 - Section Count Projection'!$O$158</f>
        <v>0</v>
      </c>
      <c r="J583" s="16">
        <f t="shared" si="134"/>
        <v>0</v>
      </c>
      <c r="K583" s="7" t="str">
        <f t="shared" si="118"/>
        <v/>
      </c>
    </row>
    <row r="584" spans="1:11" x14ac:dyDescent="0.3">
      <c r="A584" s="8" t="s">
        <v>579</v>
      </c>
      <c r="B584" s="9" t="s">
        <v>64</v>
      </c>
      <c r="C584" s="19" t="s">
        <v>974</v>
      </c>
      <c r="D584" s="18" t="s">
        <v>975</v>
      </c>
      <c r="E584" s="6" t="s">
        <v>32</v>
      </c>
      <c r="F584" s="20">
        <v>2</v>
      </c>
      <c r="G584" s="20">
        <v>1.5</v>
      </c>
      <c r="H584" s="15">
        <f t="shared" si="135"/>
        <v>3.5</v>
      </c>
      <c r="I584" s="106">
        <f>'2 - Section Count Projection'!$O$158</f>
        <v>0</v>
      </c>
      <c r="J584" s="16">
        <f t="shared" si="134"/>
        <v>0</v>
      </c>
      <c r="K584" s="7" t="str">
        <f t="shared" si="118"/>
        <v/>
      </c>
    </row>
    <row r="585" spans="1:11" x14ac:dyDescent="0.3">
      <c r="A585" s="8" t="s">
        <v>579</v>
      </c>
      <c r="B585" s="9" t="s">
        <v>64</v>
      </c>
      <c r="C585" s="19" t="s">
        <v>976</v>
      </c>
      <c r="D585" s="18" t="s">
        <v>977</v>
      </c>
      <c r="E585" s="6" t="s">
        <v>32</v>
      </c>
      <c r="F585" s="20">
        <v>2</v>
      </c>
      <c r="G585" s="20">
        <v>1.5</v>
      </c>
      <c r="H585" s="15">
        <f t="shared" si="135"/>
        <v>3.5</v>
      </c>
      <c r="I585" s="106">
        <f>'2 - Section Count Projection'!$O$158</f>
        <v>0</v>
      </c>
      <c r="J585" s="16">
        <f t="shared" si="134"/>
        <v>0</v>
      </c>
      <c r="K585" s="7" t="str">
        <f t="shared" si="118"/>
        <v/>
      </c>
    </row>
    <row r="586" spans="1:11" x14ac:dyDescent="0.3">
      <c r="K586" s="7" t="str">
        <f t="shared" si="118"/>
        <v/>
      </c>
    </row>
    <row r="587" spans="1:11" x14ac:dyDescent="0.3">
      <c r="A587" s="58" t="s">
        <v>578</v>
      </c>
      <c r="K587" s="7" t="str">
        <f t="shared" si="118"/>
        <v/>
      </c>
    </row>
    <row r="588" spans="1:11" x14ac:dyDescent="0.3">
      <c r="A588" s="8" t="s">
        <v>579</v>
      </c>
      <c r="B588" s="9" t="s">
        <v>69</v>
      </c>
      <c r="C588" s="19" t="s">
        <v>1063</v>
      </c>
      <c r="D588" s="18" t="s">
        <v>1064</v>
      </c>
      <c r="E588" s="6" t="s">
        <v>32</v>
      </c>
      <c r="F588" s="20"/>
      <c r="G588" s="191">
        <v>3</v>
      </c>
      <c r="H588" s="15">
        <v>3</v>
      </c>
      <c r="I588" s="106">
        <f>'2 - Section Count Projection'!$O$160</f>
        <v>0</v>
      </c>
      <c r="J588" s="16">
        <f t="shared" ref="J588" si="136">I588*H588</f>
        <v>0</v>
      </c>
      <c r="K588" s="7" t="str">
        <f t="shared" si="118"/>
        <v/>
      </c>
    </row>
    <row r="589" spans="1:11" x14ac:dyDescent="0.3">
      <c r="K589" s="7">
        <f>SUM(K4:K588)</f>
        <v>0</v>
      </c>
    </row>
  </sheetData>
  <phoneticPr fontId="1" type="noConversion"/>
  <pageMargins left="0.7" right="0.7" top="0.75" bottom="0.75" header="0.3" footer="0.3"/>
  <pageSetup orientation="portrait" horizontalDpi="0" verticalDpi="0" r:id="rId1"/>
  <ignoredErrors>
    <ignoredError sqref="I3 I4:I11" unlocked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'Field Source'!$B$2:$B$22</xm:f>
          </x14:formula1>
          <xm:sqref>E523:E528 E508:E511 E588 E163 E193 E224 E252 E244:E249 E287:E288 E278:E284 E314:E320 E323:E324 E359:E360 E350:E356 E389:E391 E380:E386 E422:E424 E446:E451 E436:E443 E491:E494 E454:E455 E458:E461 E470:E474 E144:E151 E154:E160 E175:E181 E166:E172 E196:E202 E205:E212 E227:E233 E236:E241 E255:E264 E267:E275 E291:E300 E303:E311 E327:E336 E339:E347 E363:E369 E372:E377 E135:E141 E394:E402 E405:E410 E427:E433 E413:E419 E484:E488 E497:E505 E514:E520 E477:E481 E554:E562 E539:E544 E531:E536 E184:E190 E215:E221 E576:E579 E464:E467 E3:E11 E14:E21 E24:E30 E33 E36:E43 E46:E54 E57:E63 E66 E69:E77 E80:E88 E91:E96 E99 E102:E109 E112:E119 E122:E129 E132 E582:E585 E547:E551 E565:E573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8"/>
  <dimension ref="A2:K255"/>
  <sheetViews>
    <sheetView topLeftCell="D1" zoomScale="80" zoomScaleNormal="80" workbookViewId="0">
      <selection activeCell="L10" sqref="L10"/>
    </sheetView>
  </sheetViews>
  <sheetFormatPr defaultColWidth="12.5546875" defaultRowHeight="14.4" x14ac:dyDescent="0.3"/>
  <cols>
    <col min="1" max="1" width="12.5546875" style="11"/>
    <col min="2" max="2" width="12" style="7" customWidth="1"/>
    <col min="3" max="3" width="13.5546875" style="7" customWidth="1"/>
    <col min="4" max="4" width="67.44140625" style="7" customWidth="1"/>
    <col min="5" max="5" width="27.88671875" style="7" customWidth="1"/>
    <col min="6" max="10" width="12.5546875" style="7"/>
    <col min="11" max="11" width="0" style="7" hidden="1" customWidth="1"/>
    <col min="12" max="16384" width="12.5546875" style="7"/>
  </cols>
  <sheetData>
    <row r="2" spans="1:11" ht="28.8" x14ac:dyDescent="0.3">
      <c r="A2" s="52" t="s">
        <v>1065</v>
      </c>
      <c r="B2" s="52" t="s">
        <v>1066</v>
      </c>
      <c r="C2" s="52" t="s">
        <v>1067</v>
      </c>
      <c r="D2" s="52" t="s">
        <v>1068</v>
      </c>
      <c r="E2" s="52" t="s">
        <v>110</v>
      </c>
      <c r="F2" s="52" t="s">
        <v>111</v>
      </c>
      <c r="G2" s="52" t="s">
        <v>113</v>
      </c>
      <c r="H2" s="53" t="s">
        <v>14</v>
      </c>
      <c r="I2" s="53" t="s">
        <v>114</v>
      </c>
    </row>
    <row r="3" spans="1:11" x14ac:dyDescent="0.3">
      <c r="A3" s="8" t="s">
        <v>76</v>
      </c>
      <c r="B3" s="9" t="s">
        <v>68</v>
      </c>
      <c r="C3" s="103" t="s">
        <v>1069</v>
      </c>
      <c r="D3" s="103" t="s">
        <v>1070</v>
      </c>
      <c r="E3" s="6" t="s">
        <v>27</v>
      </c>
      <c r="F3" s="52">
        <v>3</v>
      </c>
      <c r="G3" s="52">
        <f t="shared" ref="G3" si="0">SUM(F3:F3)</f>
        <v>3</v>
      </c>
      <c r="H3" s="106">
        <v>3</v>
      </c>
      <c r="I3" s="52">
        <f>H3*G3</f>
        <v>9</v>
      </c>
      <c r="K3" s="7">
        <f>IF(I3&gt;0,F3,"")</f>
        <v>3</v>
      </c>
    </row>
    <row r="4" spans="1:11" x14ac:dyDescent="0.3">
      <c r="A4" s="8" t="s">
        <v>76</v>
      </c>
      <c r="B4" s="9" t="s">
        <v>68</v>
      </c>
      <c r="C4" s="103" t="s">
        <v>1069</v>
      </c>
      <c r="D4" s="103" t="s">
        <v>1071</v>
      </c>
      <c r="E4" s="6" t="s">
        <v>36</v>
      </c>
      <c r="F4" s="52">
        <v>3</v>
      </c>
      <c r="G4" s="52">
        <f t="shared" ref="G4:G10" si="1">SUM(F4:F4)</f>
        <v>3</v>
      </c>
      <c r="H4" s="106">
        <v>3</v>
      </c>
      <c r="I4" s="52">
        <f>H4*G4</f>
        <v>9</v>
      </c>
      <c r="K4" s="7">
        <f t="shared" ref="K4:K67" si="2">IF(I4&gt;0,F4,"")</f>
        <v>3</v>
      </c>
    </row>
    <row r="5" spans="1:11" x14ac:dyDescent="0.3">
      <c r="A5" s="8" t="s">
        <v>76</v>
      </c>
      <c r="B5" s="9" t="s">
        <v>68</v>
      </c>
      <c r="C5" s="103" t="s">
        <v>1069</v>
      </c>
      <c r="D5" s="103" t="s">
        <v>1072</v>
      </c>
      <c r="E5" s="6" t="s">
        <v>27</v>
      </c>
      <c r="F5" s="52">
        <v>3</v>
      </c>
      <c r="G5" s="52">
        <f t="shared" si="1"/>
        <v>3</v>
      </c>
      <c r="H5" s="106">
        <v>3</v>
      </c>
      <c r="I5" s="52">
        <f t="shared" ref="I5:I10" si="3">H5*G5</f>
        <v>9</v>
      </c>
      <c r="K5" s="7">
        <f t="shared" si="2"/>
        <v>3</v>
      </c>
    </row>
    <row r="6" spans="1:11" x14ac:dyDescent="0.3">
      <c r="A6" s="8" t="s">
        <v>76</v>
      </c>
      <c r="B6" s="9" t="s">
        <v>68</v>
      </c>
      <c r="C6" s="103" t="s">
        <v>1069</v>
      </c>
      <c r="D6" s="103" t="s">
        <v>1073</v>
      </c>
      <c r="E6" s="101"/>
      <c r="F6" s="52">
        <v>3</v>
      </c>
      <c r="G6" s="52">
        <f t="shared" si="1"/>
        <v>3</v>
      </c>
      <c r="H6" s="106">
        <v>3</v>
      </c>
      <c r="I6" s="52">
        <f t="shared" si="3"/>
        <v>9</v>
      </c>
      <c r="K6" s="7">
        <f t="shared" si="2"/>
        <v>3</v>
      </c>
    </row>
    <row r="7" spans="1:11" x14ac:dyDescent="0.3">
      <c r="A7" s="8" t="s">
        <v>76</v>
      </c>
      <c r="B7" s="9" t="s">
        <v>68</v>
      </c>
      <c r="C7" s="103" t="s">
        <v>1069</v>
      </c>
      <c r="D7" s="103" t="s">
        <v>1074</v>
      </c>
      <c r="E7" s="6" t="s">
        <v>41</v>
      </c>
      <c r="F7" s="52">
        <v>3</v>
      </c>
      <c r="G7" s="52">
        <f t="shared" si="1"/>
        <v>3</v>
      </c>
      <c r="H7" s="106">
        <v>3</v>
      </c>
      <c r="I7" s="52">
        <f t="shared" si="3"/>
        <v>9</v>
      </c>
      <c r="K7" s="7">
        <f t="shared" si="2"/>
        <v>3</v>
      </c>
    </row>
    <row r="8" spans="1:11" x14ac:dyDescent="0.3">
      <c r="A8" s="8" t="s">
        <v>76</v>
      </c>
      <c r="B8" s="9" t="s">
        <v>68</v>
      </c>
      <c r="C8" s="103" t="s">
        <v>1069</v>
      </c>
      <c r="D8" s="103" t="s">
        <v>1075</v>
      </c>
      <c r="E8" s="6" t="s">
        <v>38</v>
      </c>
      <c r="F8" s="52">
        <v>3</v>
      </c>
      <c r="G8" s="52">
        <f t="shared" si="1"/>
        <v>3</v>
      </c>
      <c r="H8" s="106">
        <v>3</v>
      </c>
      <c r="I8" s="52">
        <f t="shared" si="3"/>
        <v>9</v>
      </c>
      <c r="K8" s="7">
        <f t="shared" si="2"/>
        <v>3</v>
      </c>
    </row>
    <row r="9" spans="1:11" x14ac:dyDescent="0.3">
      <c r="A9" s="8" t="s">
        <v>76</v>
      </c>
      <c r="B9" s="9" t="s">
        <v>68</v>
      </c>
      <c r="C9" s="103" t="s">
        <v>1076</v>
      </c>
      <c r="D9" s="103" t="s">
        <v>1077</v>
      </c>
      <c r="E9" s="6" t="s">
        <v>20</v>
      </c>
      <c r="F9" s="52">
        <v>3</v>
      </c>
      <c r="G9" s="52">
        <f t="shared" si="1"/>
        <v>3</v>
      </c>
      <c r="H9" s="106">
        <v>3</v>
      </c>
      <c r="I9" s="52">
        <f t="shared" si="3"/>
        <v>9</v>
      </c>
      <c r="K9" s="7">
        <f t="shared" si="2"/>
        <v>3</v>
      </c>
    </row>
    <row r="10" spans="1:11" x14ac:dyDescent="0.3">
      <c r="A10" s="8" t="s">
        <v>76</v>
      </c>
      <c r="B10" s="9" t="s">
        <v>68</v>
      </c>
      <c r="C10" s="103" t="s">
        <v>1076</v>
      </c>
      <c r="D10" s="103" t="s">
        <v>1078</v>
      </c>
      <c r="E10" s="6" t="s">
        <v>20</v>
      </c>
      <c r="F10" s="52">
        <v>3</v>
      </c>
      <c r="G10" s="52">
        <f t="shared" si="1"/>
        <v>3</v>
      </c>
      <c r="H10" s="106">
        <v>3</v>
      </c>
      <c r="I10" s="52">
        <f t="shared" si="3"/>
        <v>9</v>
      </c>
      <c r="K10" s="7">
        <f t="shared" si="2"/>
        <v>3</v>
      </c>
    </row>
    <row r="11" spans="1:11" x14ac:dyDescent="0.3">
      <c r="A11" s="8" t="s">
        <v>76</v>
      </c>
      <c r="B11" s="9" t="s">
        <v>68</v>
      </c>
      <c r="C11" s="192"/>
      <c r="D11" s="103" t="s">
        <v>1079</v>
      </c>
      <c r="E11" s="101"/>
      <c r="F11" s="52">
        <v>1</v>
      </c>
      <c r="G11" s="52">
        <f t="shared" ref="G11:G12" si="4">SUM(F11:F11)</f>
        <v>1</v>
      </c>
      <c r="H11" s="106">
        <v>3</v>
      </c>
      <c r="I11" s="52">
        <f t="shared" ref="I11:I12" si="5">H11*G11</f>
        <v>3</v>
      </c>
      <c r="K11" s="7">
        <f t="shared" si="2"/>
        <v>1</v>
      </c>
    </row>
    <row r="12" spans="1:11" x14ac:dyDescent="0.3">
      <c r="A12" s="8" t="s">
        <v>76</v>
      </c>
      <c r="B12" s="9" t="s">
        <v>68</v>
      </c>
      <c r="C12" s="192"/>
      <c r="D12" s="103" t="s">
        <v>1080</v>
      </c>
      <c r="E12" s="101"/>
      <c r="F12" s="52">
        <v>1</v>
      </c>
      <c r="G12" s="52">
        <f t="shared" si="4"/>
        <v>1</v>
      </c>
      <c r="H12" s="106">
        <v>3</v>
      </c>
      <c r="I12" s="52">
        <f t="shared" si="5"/>
        <v>3</v>
      </c>
      <c r="K12" s="7">
        <f t="shared" si="2"/>
        <v>1</v>
      </c>
    </row>
    <row r="13" spans="1:11" x14ac:dyDescent="0.3">
      <c r="K13" s="7" t="str">
        <f t="shared" si="2"/>
        <v/>
      </c>
    </row>
    <row r="14" spans="1:11" x14ac:dyDescent="0.3">
      <c r="A14" s="8" t="s">
        <v>76</v>
      </c>
      <c r="B14" s="9" t="s">
        <v>72</v>
      </c>
      <c r="C14" s="103" t="s">
        <v>1069</v>
      </c>
      <c r="D14" s="103" t="s">
        <v>1081</v>
      </c>
      <c r="E14" s="6" t="s">
        <v>41</v>
      </c>
      <c r="F14" s="52">
        <v>3</v>
      </c>
      <c r="G14" s="52">
        <f t="shared" ref="G14:G21" si="6">SUM(F14:F14)</f>
        <v>3</v>
      </c>
      <c r="H14" s="106">
        <v>3</v>
      </c>
      <c r="I14" s="52">
        <f>H14*G14</f>
        <v>9</v>
      </c>
      <c r="K14" s="7">
        <f t="shared" si="2"/>
        <v>3</v>
      </c>
    </row>
    <row r="15" spans="1:11" x14ac:dyDescent="0.3">
      <c r="A15" s="8" t="s">
        <v>76</v>
      </c>
      <c r="B15" s="9" t="s">
        <v>72</v>
      </c>
      <c r="C15" s="103" t="s">
        <v>1069</v>
      </c>
      <c r="D15" s="103" t="s">
        <v>1082</v>
      </c>
      <c r="E15" s="6" t="s">
        <v>30</v>
      </c>
      <c r="F15" s="52">
        <v>3</v>
      </c>
      <c r="G15" s="52">
        <f t="shared" si="6"/>
        <v>3</v>
      </c>
      <c r="H15" s="106">
        <v>3</v>
      </c>
      <c r="I15" s="52">
        <f t="shared" ref="I15:I21" si="7">H15*G15</f>
        <v>9</v>
      </c>
      <c r="K15" s="7">
        <f t="shared" si="2"/>
        <v>3</v>
      </c>
    </row>
    <row r="16" spans="1:11" x14ac:dyDescent="0.3">
      <c r="A16" s="8" t="s">
        <v>76</v>
      </c>
      <c r="B16" s="9" t="s">
        <v>72</v>
      </c>
      <c r="C16" s="103" t="s">
        <v>1069</v>
      </c>
      <c r="D16" s="103" t="s">
        <v>1083</v>
      </c>
      <c r="E16" s="6" t="s">
        <v>40</v>
      </c>
      <c r="F16" s="52">
        <v>3</v>
      </c>
      <c r="G16" s="52">
        <f t="shared" si="6"/>
        <v>3</v>
      </c>
      <c r="H16" s="106">
        <v>3</v>
      </c>
      <c r="I16" s="52">
        <f t="shared" si="7"/>
        <v>9</v>
      </c>
      <c r="K16" s="7">
        <f t="shared" si="2"/>
        <v>3</v>
      </c>
    </row>
    <row r="17" spans="1:11" x14ac:dyDescent="0.3">
      <c r="A17" s="8" t="s">
        <v>76</v>
      </c>
      <c r="B17" s="9" t="s">
        <v>72</v>
      </c>
      <c r="C17" s="103" t="s">
        <v>1069</v>
      </c>
      <c r="D17" s="103" t="s">
        <v>1084</v>
      </c>
      <c r="E17" s="6" t="s">
        <v>38</v>
      </c>
      <c r="F17" s="52">
        <v>3</v>
      </c>
      <c r="G17" s="52">
        <f t="shared" si="6"/>
        <v>3</v>
      </c>
      <c r="H17" s="106">
        <v>3</v>
      </c>
      <c r="I17" s="52">
        <f t="shared" si="7"/>
        <v>9</v>
      </c>
      <c r="K17" s="7">
        <f t="shared" si="2"/>
        <v>3</v>
      </c>
    </row>
    <row r="18" spans="1:11" x14ac:dyDescent="0.3">
      <c r="A18" s="8" t="s">
        <v>76</v>
      </c>
      <c r="B18" s="9" t="s">
        <v>72</v>
      </c>
      <c r="C18" s="103" t="s">
        <v>1085</v>
      </c>
      <c r="D18" s="103" t="s">
        <v>1086</v>
      </c>
      <c r="E18" s="101"/>
      <c r="F18" s="52">
        <v>3</v>
      </c>
      <c r="G18" s="52">
        <f t="shared" si="6"/>
        <v>3</v>
      </c>
      <c r="H18" s="106">
        <v>3</v>
      </c>
      <c r="I18" s="52">
        <f t="shared" si="7"/>
        <v>9</v>
      </c>
      <c r="K18" s="7">
        <f t="shared" si="2"/>
        <v>3</v>
      </c>
    </row>
    <row r="19" spans="1:11" x14ac:dyDescent="0.3">
      <c r="A19" s="8" t="s">
        <v>76</v>
      </c>
      <c r="B19" s="9" t="s">
        <v>72</v>
      </c>
      <c r="C19" s="103" t="s">
        <v>1085</v>
      </c>
      <c r="D19" s="103" t="s">
        <v>1087</v>
      </c>
      <c r="E19" s="6" t="s">
        <v>30</v>
      </c>
      <c r="F19" s="52">
        <v>3</v>
      </c>
      <c r="G19" s="52">
        <f t="shared" si="6"/>
        <v>3</v>
      </c>
      <c r="H19" s="106">
        <v>3</v>
      </c>
      <c r="I19" s="52">
        <f t="shared" si="7"/>
        <v>9</v>
      </c>
      <c r="J19" s="102"/>
      <c r="K19" s="7">
        <f t="shared" si="2"/>
        <v>3</v>
      </c>
    </row>
    <row r="20" spans="1:11" x14ac:dyDescent="0.3">
      <c r="A20" s="8" t="s">
        <v>76</v>
      </c>
      <c r="B20" s="9" t="s">
        <v>72</v>
      </c>
      <c r="C20" s="103" t="s">
        <v>1085</v>
      </c>
      <c r="D20" s="103" t="s">
        <v>1088</v>
      </c>
      <c r="E20" s="6" t="s">
        <v>27</v>
      </c>
      <c r="F20" s="52">
        <v>3</v>
      </c>
      <c r="G20" s="52">
        <f t="shared" si="6"/>
        <v>3</v>
      </c>
      <c r="H20" s="106">
        <v>3</v>
      </c>
      <c r="I20" s="52">
        <f t="shared" si="7"/>
        <v>9</v>
      </c>
      <c r="K20" s="7">
        <f t="shared" si="2"/>
        <v>3</v>
      </c>
    </row>
    <row r="21" spans="1:11" x14ac:dyDescent="0.3">
      <c r="A21" s="8" t="s">
        <v>76</v>
      </c>
      <c r="B21" s="9" t="s">
        <v>72</v>
      </c>
      <c r="C21" s="103" t="s">
        <v>1076</v>
      </c>
      <c r="D21" s="103" t="s">
        <v>1089</v>
      </c>
      <c r="E21" s="6" t="s">
        <v>20</v>
      </c>
      <c r="F21" s="52">
        <v>3</v>
      </c>
      <c r="G21" s="52">
        <f t="shared" si="6"/>
        <v>3</v>
      </c>
      <c r="H21" s="106">
        <v>3</v>
      </c>
      <c r="I21" s="52">
        <f t="shared" si="7"/>
        <v>9</v>
      </c>
      <c r="K21" s="7">
        <f t="shared" si="2"/>
        <v>3</v>
      </c>
    </row>
    <row r="22" spans="1:11" x14ac:dyDescent="0.3">
      <c r="A22" s="8" t="s">
        <v>76</v>
      </c>
      <c r="B22" s="9" t="s">
        <v>72</v>
      </c>
      <c r="C22" s="103" t="s">
        <v>1076</v>
      </c>
      <c r="D22" s="103" t="s">
        <v>1090</v>
      </c>
      <c r="E22" s="6" t="s">
        <v>20</v>
      </c>
      <c r="F22" s="52">
        <v>3</v>
      </c>
      <c r="G22" s="52">
        <f t="shared" ref="G22:G24" si="8">SUM(F22:F22)</f>
        <v>3</v>
      </c>
      <c r="H22" s="106">
        <v>3</v>
      </c>
      <c r="I22" s="52">
        <f t="shared" ref="I22:I24" si="9">H22*G22</f>
        <v>9</v>
      </c>
      <c r="K22" s="7">
        <f t="shared" si="2"/>
        <v>3</v>
      </c>
    </row>
    <row r="23" spans="1:11" x14ac:dyDescent="0.3">
      <c r="A23" s="8" t="s">
        <v>76</v>
      </c>
      <c r="B23" s="9" t="s">
        <v>72</v>
      </c>
      <c r="C23" s="192"/>
      <c r="D23" s="103" t="s">
        <v>1079</v>
      </c>
      <c r="E23" s="101"/>
      <c r="F23" s="52">
        <v>1</v>
      </c>
      <c r="G23" s="52">
        <f t="shared" si="8"/>
        <v>1</v>
      </c>
      <c r="H23" s="106">
        <v>3</v>
      </c>
      <c r="I23" s="52">
        <f t="shared" si="9"/>
        <v>3</v>
      </c>
      <c r="K23" s="7">
        <f t="shared" si="2"/>
        <v>1</v>
      </c>
    </row>
    <row r="24" spans="1:11" x14ac:dyDescent="0.3">
      <c r="A24" s="8" t="s">
        <v>76</v>
      </c>
      <c r="B24" s="9" t="s">
        <v>72</v>
      </c>
      <c r="C24" s="192"/>
      <c r="D24" s="103" t="s">
        <v>1080</v>
      </c>
      <c r="E24" s="101"/>
      <c r="F24" s="52">
        <v>1</v>
      </c>
      <c r="G24" s="52">
        <f t="shared" si="8"/>
        <v>1</v>
      </c>
      <c r="H24" s="106">
        <v>3</v>
      </c>
      <c r="I24" s="52">
        <f t="shared" si="9"/>
        <v>3</v>
      </c>
      <c r="K24" s="7">
        <f t="shared" si="2"/>
        <v>1</v>
      </c>
    </row>
    <row r="25" spans="1:11" x14ac:dyDescent="0.3">
      <c r="B25" s="11"/>
      <c r="C25" s="11"/>
      <c r="D25" s="11"/>
      <c r="E25" s="11"/>
      <c r="F25" s="11"/>
      <c r="G25" s="11"/>
      <c r="H25" s="11"/>
      <c r="I25" s="11"/>
      <c r="J25" s="11"/>
      <c r="K25" s="7" t="str">
        <f t="shared" si="2"/>
        <v/>
      </c>
    </row>
    <row r="26" spans="1:11" x14ac:dyDescent="0.3">
      <c r="A26" s="8" t="s">
        <v>67</v>
      </c>
      <c r="B26" s="9" t="s">
        <v>68</v>
      </c>
      <c r="C26" s="103" t="s">
        <v>1069</v>
      </c>
      <c r="D26" s="103" t="s">
        <v>1070</v>
      </c>
      <c r="E26" s="6" t="s">
        <v>27</v>
      </c>
      <c r="F26" s="52">
        <v>3</v>
      </c>
      <c r="G26" s="52">
        <f t="shared" ref="G26:G35" si="10">SUM(F26:F26)</f>
        <v>3</v>
      </c>
      <c r="H26" s="106">
        <v>9</v>
      </c>
      <c r="I26" s="52">
        <f t="shared" ref="I26:I35" si="11">H26*G26</f>
        <v>27</v>
      </c>
      <c r="K26" s="7">
        <f t="shared" si="2"/>
        <v>3</v>
      </c>
    </row>
    <row r="27" spans="1:11" x14ac:dyDescent="0.3">
      <c r="A27" s="8" t="s">
        <v>67</v>
      </c>
      <c r="B27" s="9" t="s">
        <v>68</v>
      </c>
      <c r="C27" s="103" t="s">
        <v>1069</v>
      </c>
      <c r="D27" s="103" t="s">
        <v>1071</v>
      </c>
      <c r="E27" s="6" t="s">
        <v>36</v>
      </c>
      <c r="F27" s="52">
        <v>3</v>
      </c>
      <c r="G27" s="52">
        <f t="shared" si="10"/>
        <v>3</v>
      </c>
      <c r="H27" s="106">
        <v>9</v>
      </c>
      <c r="I27" s="52">
        <f t="shared" si="11"/>
        <v>27</v>
      </c>
      <c r="K27" s="7">
        <f t="shared" si="2"/>
        <v>3</v>
      </c>
    </row>
    <row r="28" spans="1:11" x14ac:dyDescent="0.3">
      <c r="A28" s="8" t="s">
        <v>67</v>
      </c>
      <c r="B28" s="9" t="s">
        <v>68</v>
      </c>
      <c r="C28" s="103" t="s">
        <v>1069</v>
      </c>
      <c r="D28" s="103" t="s">
        <v>1091</v>
      </c>
      <c r="E28" s="6" t="s">
        <v>41</v>
      </c>
      <c r="F28" s="52">
        <v>3</v>
      </c>
      <c r="G28" s="52">
        <f t="shared" si="10"/>
        <v>3</v>
      </c>
      <c r="H28" s="106">
        <v>9</v>
      </c>
      <c r="I28" s="52">
        <f t="shared" si="11"/>
        <v>27</v>
      </c>
      <c r="K28" s="7">
        <f t="shared" si="2"/>
        <v>3</v>
      </c>
    </row>
    <row r="29" spans="1:11" x14ac:dyDescent="0.3">
      <c r="A29" s="8" t="s">
        <v>67</v>
      </c>
      <c r="B29" s="9" t="s">
        <v>68</v>
      </c>
      <c r="C29" s="103" t="s">
        <v>1069</v>
      </c>
      <c r="D29" s="103" t="s">
        <v>1073</v>
      </c>
      <c r="E29" s="101"/>
      <c r="F29" s="52">
        <v>3</v>
      </c>
      <c r="G29" s="52">
        <f t="shared" si="10"/>
        <v>3</v>
      </c>
      <c r="H29" s="106">
        <v>9</v>
      </c>
      <c r="I29" s="52">
        <f t="shared" si="11"/>
        <v>27</v>
      </c>
      <c r="K29" s="7">
        <f t="shared" si="2"/>
        <v>3</v>
      </c>
    </row>
    <row r="30" spans="1:11" x14ac:dyDescent="0.3">
      <c r="A30" s="8" t="s">
        <v>67</v>
      </c>
      <c r="B30" s="9" t="s">
        <v>68</v>
      </c>
      <c r="C30" s="103" t="s">
        <v>1069</v>
      </c>
      <c r="D30" s="103" t="s">
        <v>1074</v>
      </c>
      <c r="E30" s="6" t="s">
        <v>41</v>
      </c>
      <c r="F30" s="52">
        <v>3</v>
      </c>
      <c r="G30" s="52">
        <f t="shared" si="10"/>
        <v>3</v>
      </c>
      <c r="H30" s="106">
        <v>9</v>
      </c>
      <c r="I30" s="52">
        <f t="shared" si="11"/>
        <v>27</v>
      </c>
      <c r="K30" s="7">
        <f t="shared" si="2"/>
        <v>3</v>
      </c>
    </row>
    <row r="31" spans="1:11" x14ac:dyDescent="0.3">
      <c r="A31" s="8" t="s">
        <v>67</v>
      </c>
      <c r="B31" s="9" t="s">
        <v>68</v>
      </c>
      <c r="C31" s="103" t="s">
        <v>1069</v>
      </c>
      <c r="D31" s="103" t="s">
        <v>1075</v>
      </c>
      <c r="E31" s="6" t="s">
        <v>38</v>
      </c>
      <c r="F31" s="52">
        <v>3</v>
      </c>
      <c r="G31" s="52">
        <f t="shared" si="10"/>
        <v>3</v>
      </c>
      <c r="H31" s="106">
        <v>9</v>
      </c>
      <c r="I31" s="52">
        <f t="shared" si="11"/>
        <v>27</v>
      </c>
      <c r="K31" s="7">
        <f t="shared" si="2"/>
        <v>3</v>
      </c>
    </row>
    <row r="32" spans="1:11" x14ac:dyDescent="0.3">
      <c r="A32" s="8" t="s">
        <v>67</v>
      </c>
      <c r="B32" s="9" t="s">
        <v>68</v>
      </c>
      <c r="C32" s="103" t="s">
        <v>1076</v>
      </c>
      <c r="D32" s="103" t="s">
        <v>1092</v>
      </c>
      <c r="E32" s="6" t="s">
        <v>36</v>
      </c>
      <c r="F32" s="52">
        <v>3</v>
      </c>
      <c r="G32" s="52">
        <f t="shared" si="10"/>
        <v>3</v>
      </c>
      <c r="H32" s="106">
        <v>9</v>
      </c>
      <c r="I32" s="52">
        <f t="shared" si="11"/>
        <v>27</v>
      </c>
      <c r="K32" s="7">
        <f t="shared" si="2"/>
        <v>3</v>
      </c>
    </row>
    <row r="33" spans="1:11" x14ac:dyDescent="0.3">
      <c r="A33" s="8" t="s">
        <v>67</v>
      </c>
      <c r="B33" s="9" t="s">
        <v>68</v>
      </c>
      <c r="C33" s="103" t="s">
        <v>1076</v>
      </c>
      <c r="D33" s="103" t="s">
        <v>1093</v>
      </c>
      <c r="E33" s="6" t="s">
        <v>40</v>
      </c>
      <c r="F33" s="52">
        <v>3</v>
      </c>
      <c r="G33" s="52">
        <f t="shared" si="10"/>
        <v>3</v>
      </c>
      <c r="H33" s="106">
        <v>9</v>
      </c>
      <c r="I33" s="52">
        <f t="shared" si="11"/>
        <v>27</v>
      </c>
      <c r="K33" s="7">
        <f t="shared" si="2"/>
        <v>3</v>
      </c>
    </row>
    <row r="34" spans="1:11" x14ac:dyDescent="0.3">
      <c r="A34" s="8" t="s">
        <v>67</v>
      </c>
      <c r="B34" s="9" t="s">
        <v>68</v>
      </c>
      <c r="C34" s="192"/>
      <c r="D34" s="103" t="s">
        <v>1079</v>
      </c>
      <c r="E34" s="101"/>
      <c r="F34" s="52">
        <v>1</v>
      </c>
      <c r="G34" s="52">
        <f t="shared" si="10"/>
        <v>1</v>
      </c>
      <c r="H34" s="106">
        <v>9</v>
      </c>
      <c r="I34" s="52">
        <f t="shared" si="11"/>
        <v>9</v>
      </c>
      <c r="K34" s="7">
        <f t="shared" si="2"/>
        <v>1</v>
      </c>
    </row>
    <row r="35" spans="1:11" x14ac:dyDescent="0.3">
      <c r="A35" s="8" t="s">
        <v>67</v>
      </c>
      <c r="B35" s="9" t="s">
        <v>68</v>
      </c>
      <c r="C35" s="192"/>
      <c r="D35" s="103" t="s">
        <v>1080</v>
      </c>
      <c r="E35" s="101"/>
      <c r="F35" s="52">
        <v>1</v>
      </c>
      <c r="G35" s="52">
        <f t="shared" si="10"/>
        <v>1</v>
      </c>
      <c r="H35" s="106">
        <v>9</v>
      </c>
      <c r="I35" s="52">
        <f t="shared" si="11"/>
        <v>9</v>
      </c>
      <c r="K35" s="7">
        <f t="shared" si="2"/>
        <v>1</v>
      </c>
    </row>
    <row r="36" spans="1:11" x14ac:dyDescent="0.3">
      <c r="B36" s="96"/>
      <c r="C36" s="183"/>
      <c r="D36" s="183"/>
      <c r="E36" s="109"/>
      <c r="F36" s="91"/>
      <c r="G36" s="91"/>
      <c r="H36" s="184"/>
      <c r="I36" s="91"/>
      <c r="K36" s="7" t="str">
        <f t="shared" si="2"/>
        <v/>
      </c>
    </row>
    <row r="37" spans="1:11" x14ac:dyDescent="0.3">
      <c r="A37" s="8" t="s">
        <v>67</v>
      </c>
      <c r="B37" s="9" t="s">
        <v>72</v>
      </c>
      <c r="C37" s="103" t="s">
        <v>1069</v>
      </c>
      <c r="D37" s="103" t="s">
        <v>1081</v>
      </c>
      <c r="E37" s="6" t="s">
        <v>41</v>
      </c>
      <c r="F37" s="52">
        <v>3</v>
      </c>
      <c r="G37" s="52">
        <f t="shared" ref="G37:G44" si="12">SUM(F37:F37)</f>
        <v>3</v>
      </c>
      <c r="H37" s="106">
        <v>8</v>
      </c>
      <c r="I37" s="52">
        <f t="shared" ref="I37:I44" si="13">H37*G37</f>
        <v>24</v>
      </c>
      <c r="K37" s="7">
        <f t="shared" si="2"/>
        <v>3</v>
      </c>
    </row>
    <row r="38" spans="1:11" x14ac:dyDescent="0.3">
      <c r="A38" s="8" t="s">
        <v>67</v>
      </c>
      <c r="B38" s="9" t="s">
        <v>72</v>
      </c>
      <c r="C38" s="103" t="s">
        <v>1069</v>
      </c>
      <c r="D38" s="103" t="s">
        <v>1082</v>
      </c>
      <c r="E38" s="6" t="s">
        <v>30</v>
      </c>
      <c r="F38" s="52">
        <v>3</v>
      </c>
      <c r="G38" s="52">
        <f t="shared" si="12"/>
        <v>3</v>
      </c>
      <c r="H38" s="106">
        <f>'2 - Section Count Projection'!$G$18</f>
        <v>0</v>
      </c>
      <c r="I38" s="52">
        <f t="shared" si="13"/>
        <v>0</v>
      </c>
      <c r="K38" s="7" t="str">
        <f t="shared" si="2"/>
        <v/>
      </c>
    </row>
    <row r="39" spans="1:11" x14ac:dyDescent="0.3">
      <c r="A39" s="8" t="s">
        <v>67</v>
      </c>
      <c r="B39" s="9" t="s">
        <v>72</v>
      </c>
      <c r="C39" s="103" t="s">
        <v>1069</v>
      </c>
      <c r="D39" s="103" t="s">
        <v>1094</v>
      </c>
      <c r="E39" s="6" t="s">
        <v>41</v>
      </c>
      <c r="F39" s="52">
        <v>3</v>
      </c>
      <c r="G39" s="52">
        <f t="shared" si="12"/>
        <v>3</v>
      </c>
      <c r="H39" s="106">
        <v>8</v>
      </c>
      <c r="I39" s="52">
        <f t="shared" si="13"/>
        <v>24</v>
      </c>
      <c r="K39" s="7">
        <f t="shared" si="2"/>
        <v>3</v>
      </c>
    </row>
    <row r="40" spans="1:11" x14ac:dyDescent="0.3">
      <c r="A40" s="8" t="s">
        <v>67</v>
      </c>
      <c r="B40" s="9" t="s">
        <v>72</v>
      </c>
      <c r="C40" s="103" t="s">
        <v>1069</v>
      </c>
      <c r="D40" s="103" t="s">
        <v>1084</v>
      </c>
      <c r="E40" s="6" t="s">
        <v>38</v>
      </c>
      <c r="F40" s="52">
        <v>3</v>
      </c>
      <c r="G40" s="52">
        <f t="shared" si="12"/>
        <v>3</v>
      </c>
      <c r="H40" s="106">
        <v>8</v>
      </c>
      <c r="I40" s="52">
        <f t="shared" si="13"/>
        <v>24</v>
      </c>
      <c r="K40" s="7">
        <f t="shared" si="2"/>
        <v>3</v>
      </c>
    </row>
    <row r="41" spans="1:11" x14ac:dyDescent="0.3">
      <c r="A41" s="8" t="s">
        <v>67</v>
      </c>
      <c r="B41" s="9" t="s">
        <v>72</v>
      </c>
      <c r="C41" s="103" t="s">
        <v>1085</v>
      </c>
      <c r="D41" s="103" t="s">
        <v>1086</v>
      </c>
      <c r="E41" s="101"/>
      <c r="F41" s="52">
        <v>3</v>
      </c>
      <c r="G41" s="52">
        <f t="shared" si="12"/>
        <v>3</v>
      </c>
      <c r="H41" s="106">
        <v>8</v>
      </c>
      <c r="I41" s="52">
        <f t="shared" si="13"/>
        <v>24</v>
      </c>
      <c r="K41" s="7">
        <f t="shared" si="2"/>
        <v>3</v>
      </c>
    </row>
    <row r="42" spans="1:11" x14ac:dyDescent="0.3">
      <c r="A42" s="8" t="s">
        <v>67</v>
      </c>
      <c r="B42" s="9" t="s">
        <v>72</v>
      </c>
      <c r="C42" s="103" t="s">
        <v>1085</v>
      </c>
      <c r="D42" s="103" t="s">
        <v>1087</v>
      </c>
      <c r="E42" s="6" t="s">
        <v>30</v>
      </c>
      <c r="F42" s="52">
        <v>3</v>
      </c>
      <c r="G42" s="52">
        <f t="shared" si="12"/>
        <v>3</v>
      </c>
      <c r="H42" s="106">
        <v>8</v>
      </c>
      <c r="I42" s="52">
        <f t="shared" si="13"/>
        <v>24</v>
      </c>
      <c r="K42" s="7">
        <f t="shared" si="2"/>
        <v>3</v>
      </c>
    </row>
    <row r="43" spans="1:11" ht="15" customHeight="1" x14ac:dyDescent="0.3">
      <c r="A43" s="8" t="s">
        <v>67</v>
      </c>
      <c r="B43" s="9" t="s">
        <v>72</v>
      </c>
      <c r="C43" s="103" t="s">
        <v>1085</v>
      </c>
      <c r="D43" s="103" t="s">
        <v>1088</v>
      </c>
      <c r="E43" s="6" t="s">
        <v>27</v>
      </c>
      <c r="F43" s="52">
        <v>3</v>
      </c>
      <c r="G43" s="52">
        <f t="shared" si="12"/>
        <v>3</v>
      </c>
      <c r="H43" s="106">
        <v>8</v>
      </c>
      <c r="I43" s="52">
        <f t="shared" si="13"/>
        <v>24</v>
      </c>
      <c r="K43" s="7">
        <f t="shared" si="2"/>
        <v>3</v>
      </c>
    </row>
    <row r="44" spans="1:11" ht="15" customHeight="1" x14ac:dyDescent="0.3">
      <c r="A44" s="8" t="s">
        <v>67</v>
      </c>
      <c r="B44" s="9" t="s">
        <v>72</v>
      </c>
      <c r="C44" s="103" t="s">
        <v>1076</v>
      </c>
      <c r="D44" s="103" t="s">
        <v>1095</v>
      </c>
      <c r="E44" s="6" t="s">
        <v>40</v>
      </c>
      <c r="F44" s="52">
        <v>3</v>
      </c>
      <c r="G44" s="52">
        <f t="shared" si="12"/>
        <v>3</v>
      </c>
      <c r="H44" s="106">
        <v>8</v>
      </c>
      <c r="I44" s="52">
        <f t="shared" si="13"/>
        <v>24</v>
      </c>
      <c r="K44" s="7">
        <f t="shared" si="2"/>
        <v>3</v>
      </c>
    </row>
    <row r="45" spans="1:11" ht="15" customHeight="1" x14ac:dyDescent="0.3">
      <c r="A45" s="8" t="s">
        <v>67</v>
      </c>
      <c r="B45" s="9" t="s">
        <v>72</v>
      </c>
      <c r="C45" s="103" t="s">
        <v>1076</v>
      </c>
      <c r="D45" s="103" t="s">
        <v>1096</v>
      </c>
      <c r="E45" s="6" t="s">
        <v>40</v>
      </c>
      <c r="F45" s="52">
        <v>3</v>
      </c>
      <c r="G45" s="52">
        <f t="shared" ref="G45:G47" si="14">SUM(F45:F45)</f>
        <v>3</v>
      </c>
      <c r="H45" s="106">
        <v>8</v>
      </c>
      <c r="I45" s="52">
        <f t="shared" ref="I45:I47" si="15">H45*G45</f>
        <v>24</v>
      </c>
      <c r="K45" s="7">
        <f t="shared" si="2"/>
        <v>3</v>
      </c>
    </row>
    <row r="46" spans="1:11" x14ac:dyDescent="0.3">
      <c r="A46" s="8" t="s">
        <v>67</v>
      </c>
      <c r="B46" s="9" t="s">
        <v>72</v>
      </c>
      <c r="C46" s="192"/>
      <c r="D46" s="103" t="s">
        <v>1079</v>
      </c>
      <c r="E46" s="101"/>
      <c r="F46" s="52">
        <v>1</v>
      </c>
      <c r="G46" s="52">
        <f t="shared" si="14"/>
        <v>1</v>
      </c>
      <c r="H46" s="106">
        <v>8</v>
      </c>
      <c r="I46" s="52">
        <f t="shared" si="15"/>
        <v>8</v>
      </c>
      <c r="K46" s="7">
        <f t="shared" si="2"/>
        <v>1</v>
      </c>
    </row>
    <row r="47" spans="1:11" x14ac:dyDescent="0.3">
      <c r="A47" s="8" t="s">
        <v>67</v>
      </c>
      <c r="B47" s="9" t="s">
        <v>72</v>
      </c>
      <c r="C47" s="192"/>
      <c r="D47" s="103" t="s">
        <v>1080</v>
      </c>
      <c r="E47" s="101"/>
      <c r="F47" s="52">
        <v>1</v>
      </c>
      <c r="G47" s="52">
        <f t="shared" si="14"/>
        <v>1</v>
      </c>
      <c r="H47" s="106">
        <v>8</v>
      </c>
      <c r="I47" s="52">
        <f t="shared" si="15"/>
        <v>8</v>
      </c>
      <c r="K47" s="7">
        <f t="shared" si="2"/>
        <v>1</v>
      </c>
    </row>
    <row r="48" spans="1:11" ht="15" customHeight="1" x14ac:dyDescent="0.3">
      <c r="B48" s="96"/>
      <c r="C48" s="183"/>
      <c r="D48" s="183"/>
      <c r="E48" s="109"/>
      <c r="F48" s="91"/>
      <c r="G48" s="91"/>
      <c r="H48" s="185"/>
      <c r="I48" s="91"/>
      <c r="K48" s="7" t="str">
        <f t="shared" si="2"/>
        <v/>
      </c>
    </row>
    <row r="49" spans="1:11" ht="15" customHeight="1" x14ac:dyDescent="0.3">
      <c r="A49" s="9" t="s">
        <v>1097</v>
      </c>
      <c r="B49" s="9" t="s">
        <v>68</v>
      </c>
      <c r="C49" s="103" t="s">
        <v>1069</v>
      </c>
      <c r="D49" s="103" t="s">
        <v>1070</v>
      </c>
      <c r="E49" s="6" t="s">
        <v>27</v>
      </c>
      <c r="F49" s="52">
        <v>3</v>
      </c>
      <c r="G49" s="52">
        <f t="shared" ref="G49:G58" si="16">SUM(F49:F49)</f>
        <v>3</v>
      </c>
      <c r="H49" s="107">
        <v>1</v>
      </c>
      <c r="I49" s="10">
        <f t="shared" ref="I49:I58" si="17">H49*G49</f>
        <v>3</v>
      </c>
      <c r="K49" s="7">
        <f t="shared" si="2"/>
        <v>3</v>
      </c>
    </row>
    <row r="50" spans="1:11" ht="15" customHeight="1" x14ac:dyDescent="0.3">
      <c r="A50" s="9" t="s">
        <v>1097</v>
      </c>
      <c r="B50" s="9" t="s">
        <v>68</v>
      </c>
      <c r="C50" s="103" t="s">
        <v>1069</v>
      </c>
      <c r="D50" s="103" t="s">
        <v>1071</v>
      </c>
      <c r="E50" s="6" t="s">
        <v>36</v>
      </c>
      <c r="F50" s="52">
        <v>3</v>
      </c>
      <c r="G50" s="52">
        <f t="shared" si="16"/>
        <v>3</v>
      </c>
      <c r="H50" s="107">
        <v>1</v>
      </c>
      <c r="I50" s="10">
        <f t="shared" si="17"/>
        <v>3</v>
      </c>
      <c r="K50" s="7">
        <f t="shared" si="2"/>
        <v>3</v>
      </c>
    </row>
    <row r="51" spans="1:11" ht="15" customHeight="1" x14ac:dyDescent="0.3">
      <c r="A51" s="9" t="s">
        <v>1097</v>
      </c>
      <c r="B51" s="9" t="s">
        <v>68</v>
      </c>
      <c r="C51" s="103" t="s">
        <v>1069</v>
      </c>
      <c r="D51" s="103" t="s">
        <v>1072</v>
      </c>
      <c r="E51" s="6" t="s">
        <v>27</v>
      </c>
      <c r="F51" s="52">
        <v>3</v>
      </c>
      <c r="G51" s="52">
        <f t="shared" si="16"/>
        <v>3</v>
      </c>
      <c r="H51" s="107">
        <v>1</v>
      </c>
      <c r="I51" s="10">
        <f t="shared" si="17"/>
        <v>3</v>
      </c>
      <c r="K51" s="7">
        <f t="shared" si="2"/>
        <v>3</v>
      </c>
    </row>
    <row r="52" spans="1:11" x14ac:dyDescent="0.3">
      <c r="A52" s="9" t="s">
        <v>1097</v>
      </c>
      <c r="B52" s="9" t="s">
        <v>68</v>
      </c>
      <c r="C52" s="103" t="s">
        <v>1069</v>
      </c>
      <c r="D52" s="103" t="s">
        <v>1073</v>
      </c>
      <c r="E52" s="101"/>
      <c r="F52" s="52">
        <v>3</v>
      </c>
      <c r="G52" s="52">
        <f t="shared" si="16"/>
        <v>3</v>
      </c>
      <c r="H52" s="107">
        <v>1</v>
      </c>
      <c r="I52" s="10">
        <f t="shared" si="17"/>
        <v>3</v>
      </c>
      <c r="K52" s="7">
        <f t="shared" si="2"/>
        <v>3</v>
      </c>
    </row>
    <row r="53" spans="1:11" x14ac:dyDescent="0.3">
      <c r="A53" s="9" t="s">
        <v>1097</v>
      </c>
      <c r="B53" s="9" t="s">
        <v>68</v>
      </c>
      <c r="C53" s="103" t="s">
        <v>1069</v>
      </c>
      <c r="D53" s="103" t="s">
        <v>1074</v>
      </c>
      <c r="E53" s="6" t="s">
        <v>41</v>
      </c>
      <c r="F53" s="52">
        <v>3</v>
      </c>
      <c r="G53" s="52">
        <f t="shared" si="16"/>
        <v>3</v>
      </c>
      <c r="H53" s="107">
        <v>1</v>
      </c>
      <c r="I53" s="10">
        <f t="shared" si="17"/>
        <v>3</v>
      </c>
      <c r="K53" s="7">
        <f t="shared" si="2"/>
        <v>3</v>
      </c>
    </row>
    <row r="54" spans="1:11" x14ac:dyDescent="0.3">
      <c r="A54" s="9" t="s">
        <v>1097</v>
      </c>
      <c r="B54" s="9" t="s">
        <v>68</v>
      </c>
      <c r="C54" s="103" t="s">
        <v>1069</v>
      </c>
      <c r="D54" s="103" t="s">
        <v>1075</v>
      </c>
      <c r="E54" s="6" t="s">
        <v>38</v>
      </c>
      <c r="F54" s="52">
        <v>3</v>
      </c>
      <c r="G54" s="52">
        <f t="shared" si="16"/>
        <v>3</v>
      </c>
      <c r="H54" s="107">
        <v>1</v>
      </c>
      <c r="I54" s="10">
        <f t="shared" si="17"/>
        <v>3</v>
      </c>
      <c r="K54" s="7">
        <f t="shared" si="2"/>
        <v>3</v>
      </c>
    </row>
    <row r="55" spans="1:11" x14ac:dyDescent="0.3">
      <c r="A55" s="9" t="s">
        <v>1097</v>
      </c>
      <c r="B55" s="9" t="s">
        <v>68</v>
      </c>
      <c r="C55" s="103" t="s">
        <v>1076</v>
      </c>
      <c r="D55" s="103" t="s">
        <v>1078</v>
      </c>
      <c r="E55" s="6" t="s">
        <v>20</v>
      </c>
      <c r="F55" s="52">
        <v>3</v>
      </c>
      <c r="G55" s="52">
        <f t="shared" si="16"/>
        <v>3</v>
      </c>
      <c r="H55" s="107">
        <v>1</v>
      </c>
      <c r="I55" s="10">
        <f t="shared" si="17"/>
        <v>3</v>
      </c>
      <c r="K55" s="7">
        <f t="shared" si="2"/>
        <v>3</v>
      </c>
    </row>
    <row r="56" spans="1:11" x14ac:dyDescent="0.3">
      <c r="A56" s="9" t="s">
        <v>1097</v>
      </c>
      <c r="B56" s="9" t="s">
        <v>68</v>
      </c>
      <c r="C56" s="103" t="s">
        <v>1076</v>
      </c>
      <c r="D56" s="103" t="s">
        <v>1098</v>
      </c>
      <c r="E56" s="101"/>
      <c r="F56" s="52">
        <v>3</v>
      </c>
      <c r="G56" s="52">
        <f t="shared" si="16"/>
        <v>3</v>
      </c>
      <c r="H56" s="107">
        <v>1</v>
      </c>
      <c r="I56" s="10">
        <f t="shared" si="17"/>
        <v>3</v>
      </c>
      <c r="K56" s="7">
        <f t="shared" si="2"/>
        <v>3</v>
      </c>
    </row>
    <row r="57" spans="1:11" x14ac:dyDescent="0.3">
      <c r="A57" s="8" t="s">
        <v>1097</v>
      </c>
      <c r="B57" s="9" t="s">
        <v>68</v>
      </c>
      <c r="C57" s="192"/>
      <c r="D57" s="103" t="s">
        <v>1079</v>
      </c>
      <c r="E57" s="101"/>
      <c r="F57" s="52">
        <v>1</v>
      </c>
      <c r="G57" s="52">
        <f t="shared" si="16"/>
        <v>1</v>
      </c>
      <c r="H57" s="106">
        <v>1</v>
      </c>
      <c r="I57" s="52">
        <f t="shared" si="17"/>
        <v>1</v>
      </c>
      <c r="K57" s="7">
        <f t="shared" si="2"/>
        <v>1</v>
      </c>
    </row>
    <row r="58" spans="1:11" x14ac:dyDescent="0.3">
      <c r="A58" s="8" t="s">
        <v>1097</v>
      </c>
      <c r="B58" s="9" t="s">
        <v>68</v>
      </c>
      <c r="C58" s="192"/>
      <c r="D58" s="103" t="s">
        <v>1080</v>
      </c>
      <c r="E58" s="101"/>
      <c r="F58" s="52">
        <v>1</v>
      </c>
      <c r="G58" s="52">
        <f t="shared" si="16"/>
        <v>1</v>
      </c>
      <c r="H58" s="106">
        <v>1</v>
      </c>
      <c r="I58" s="52">
        <f t="shared" si="17"/>
        <v>1</v>
      </c>
      <c r="K58" s="7">
        <f t="shared" si="2"/>
        <v>1</v>
      </c>
    </row>
    <row r="59" spans="1:11" x14ac:dyDescent="0.3">
      <c r="A59" s="7"/>
      <c r="K59" s="7" t="str">
        <f t="shared" si="2"/>
        <v/>
      </c>
    </row>
    <row r="60" spans="1:11" x14ac:dyDescent="0.3">
      <c r="A60" s="9" t="s">
        <v>1097</v>
      </c>
      <c r="B60" s="9" t="s">
        <v>72</v>
      </c>
      <c r="C60" s="103" t="s">
        <v>1069</v>
      </c>
      <c r="D60" s="103" t="s">
        <v>1081</v>
      </c>
      <c r="E60" s="6" t="s">
        <v>41</v>
      </c>
      <c r="F60" s="52">
        <v>3</v>
      </c>
      <c r="G60" s="52">
        <f t="shared" ref="G60:G70" si="18">SUM(F60:F60)</f>
        <v>3</v>
      </c>
      <c r="H60" s="107">
        <v>1</v>
      </c>
      <c r="I60" s="10">
        <f>H60*G60</f>
        <v>3</v>
      </c>
      <c r="K60" s="7">
        <f t="shared" si="2"/>
        <v>3</v>
      </c>
    </row>
    <row r="61" spans="1:11" x14ac:dyDescent="0.3">
      <c r="A61" s="27" t="s">
        <v>1097</v>
      </c>
      <c r="B61" s="9" t="s">
        <v>72</v>
      </c>
      <c r="C61" s="103" t="s">
        <v>1069</v>
      </c>
      <c r="D61" s="103" t="s">
        <v>1082</v>
      </c>
      <c r="E61" s="6" t="s">
        <v>30</v>
      </c>
      <c r="F61" s="52">
        <v>3</v>
      </c>
      <c r="G61" s="52">
        <f t="shared" si="18"/>
        <v>3</v>
      </c>
      <c r="H61" s="107">
        <v>1</v>
      </c>
      <c r="I61" s="10">
        <f t="shared" ref="I61:I70" si="19">H61*G61</f>
        <v>3</v>
      </c>
      <c r="K61" s="7">
        <f t="shared" si="2"/>
        <v>3</v>
      </c>
    </row>
    <row r="62" spans="1:11" x14ac:dyDescent="0.3">
      <c r="A62" s="27" t="s">
        <v>1097</v>
      </c>
      <c r="B62" s="9" t="s">
        <v>72</v>
      </c>
      <c r="C62" s="103" t="s">
        <v>1069</v>
      </c>
      <c r="D62" s="103" t="s">
        <v>1083</v>
      </c>
      <c r="E62" s="6" t="s">
        <v>40</v>
      </c>
      <c r="F62" s="27">
        <v>3</v>
      </c>
      <c r="G62" s="9">
        <v>3</v>
      </c>
      <c r="H62" s="107">
        <v>1</v>
      </c>
      <c r="I62" s="10">
        <f t="shared" si="19"/>
        <v>3</v>
      </c>
      <c r="K62" s="7">
        <f t="shared" si="2"/>
        <v>3</v>
      </c>
    </row>
    <row r="63" spans="1:11" x14ac:dyDescent="0.3">
      <c r="A63" s="9" t="s">
        <v>1097</v>
      </c>
      <c r="B63" s="9" t="s">
        <v>72</v>
      </c>
      <c r="C63" s="103" t="s">
        <v>1069</v>
      </c>
      <c r="D63" s="103" t="s">
        <v>1084</v>
      </c>
      <c r="E63" s="6" t="s">
        <v>38</v>
      </c>
      <c r="F63" s="52">
        <v>3</v>
      </c>
      <c r="G63" s="52">
        <f t="shared" si="18"/>
        <v>3</v>
      </c>
      <c r="H63" s="107">
        <v>1</v>
      </c>
      <c r="I63" s="10">
        <f t="shared" si="19"/>
        <v>3</v>
      </c>
      <c r="K63" s="7">
        <f t="shared" si="2"/>
        <v>3</v>
      </c>
    </row>
    <row r="64" spans="1:11" x14ac:dyDescent="0.3">
      <c r="A64" s="9" t="s">
        <v>1097</v>
      </c>
      <c r="B64" s="9" t="s">
        <v>72</v>
      </c>
      <c r="C64" s="103" t="s">
        <v>1085</v>
      </c>
      <c r="D64" s="103" t="s">
        <v>1086</v>
      </c>
      <c r="E64" s="101"/>
      <c r="F64" s="52">
        <v>3</v>
      </c>
      <c r="G64" s="52">
        <f t="shared" si="18"/>
        <v>3</v>
      </c>
      <c r="H64" s="107">
        <v>1</v>
      </c>
      <c r="I64" s="10">
        <f t="shared" si="19"/>
        <v>3</v>
      </c>
      <c r="K64" s="7">
        <f t="shared" si="2"/>
        <v>3</v>
      </c>
    </row>
    <row r="65" spans="1:11" x14ac:dyDescent="0.3">
      <c r="A65" s="9" t="s">
        <v>1097</v>
      </c>
      <c r="B65" s="9" t="s">
        <v>72</v>
      </c>
      <c r="C65" s="103" t="s">
        <v>1085</v>
      </c>
      <c r="D65" s="103" t="s">
        <v>1087</v>
      </c>
      <c r="E65" s="6" t="s">
        <v>30</v>
      </c>
      <c r="F65" s="52">
        <v>3</v>
      </c>
      <c r="G65" s="52">
        <f t="shared" si="18"/>
        <v>3</v>
      </c>
      <c r="H65" s="107">
        <v>1</v>
      </c>
      <c r="I65" s="10">
        <f t="shared" si="19"/>
        <v>3</v>
      </c>
      <c r="K65" s="7">
        <f t="shared" si="2"/>
        <v>3</v>
      </c>
    </row>
    <row r="66" spans="1:11" x14ac:dyDescent="0.3">
      <c r="A66" s="9" t="s">
        <v>1097</v>
      </c>
      <c r="B66" s="9" t="s">
        <v>72</v>
      </c>
      <c r="C66" s="103" t="s">
        <v>1085</v>
      </c>
      <c r="D66" s="103" t="s">
        <v>1088</v>
      </c>
      <c r="E66" s="6" t="s">
        <v>27</v>
      </c>
      <c r="F66" s="52">
        <v>3</v>
      </c>
      <c r="G66" s="52">
        <f t="shared" si="18"/>
        <v>3</v>
      </c>
      <c r="H66" s="107">
        <v>1</v>
      </c>
      <c r="I66" s="10">
        <f t="shared" si="19"/>
        <v>3</v>
      </c>
      <c r="K66" s="7">
        <f t="shared" si="2"/>
        <v>3</v>
      </c>
    </row>
    <row r="67" spans="1:11" x14ac:dyDescent="0.3">
      <c r="A67" s="9" t="s">
        <v>1097</v>
      </c>
      <c r="B67" s="9" t="s">
        <v>72</v>
      </c>
      <c r="C67" s="103" t="s">
        <v>1076</v>
      </c>
      <c r="D67" s="103" t="s">
        <v>1094</v>
      </c>
      <c r="E67" s="6" t="s">
        <v>41</v>
      </c>
      <c r="F67" s="52">
        <v>3</v>
      </c>
      <c r="G67" s="52">
        <f t="shared" ref="G67" si="20">SUM(F67:F67)</f>
        <v>3</v>
      </c>
      <c r="H67" s="107">
        <v>1</v>
      </c>
      <c r="I67" s="10">
        <f t="shared" ref="I67" si="21">H67*G67</f>
        <v>3</v>
      </c>
      <c r="K67" s="7">
        <f t="shared" si="2"/>
        <v>3</v>
      </c>
    </row>
    <row r="68" spans="1:11" x14ac:dyDescent="0.3">
      <c r="A68" s="9" t="s">
        <v>1097</v>
      </c>
      <c r="B68" s="9" t="s">
        <v>72</v>
      </c>
      <c r="C68" s="103" t="s">
        <v>1076</v>
      </c>
      <c r="D68" s="103" t="s">
        <v>1099</v>
      </c>
      <c r="E68" s="101"/>
      <c r="F68" s="52">
        <v>3</v>
      </c>
      <c r="G68" s="52">
        <f t="shared" si="18"/>
        <v>3</v>
      </c>
      <c r="H68" s="107">
        <v>1</v>
      </c>
      <c r="I68" s="10">
        <f t="shared" si="19"/>
        <v>3</v>
      </c>
      <c r="K68" s="7">
        <f t="shared" ref="K68:K131" si="22">IF(I68&gt;0,F68,"")</f>
        <v>3</v>
      </c>
    </row>
    <row r="69" spans="1:11" x14ac:dyDescent="0.3">
      <c r="A69" s="8" t="s">
        <v>1097</v>
      </c>
      <c r="B69" s="9" t="s">
        <v>72</v>
      </c>
      <c r="C69" s="192"/>
      <c r="D69" s="103" t="s">
        <v>1079</v>
      </c>
      <c r="E69" s="101"/>
      <c r="F69" s="52">
        <v>1</v>
      </c>
      <c r="G69" s="52">
        <f t="shared" si="18"/>
        <v>1</v>
      </c>
      <c r="H69" s="106">
        <v>1</v>
      </c>
      <c r="I69" s="52">
        <f t="shared" si="19"/>
        <v>1</v>
      </c>
      <c r="K69" s="7">
        <f t="shared" si="22"/>
        <v>1</v>
      </c>
    </row>
    <row r="70" spans="1:11" x14ac:dyDescent="0.3">
      <c r="A70" s="8" t="s">
        <v>1097</v>
      </c>
      <c r="B70" s="9" t="s">
        <v>72</v>
      </c>
      <c r="C70" s="192"/>
      <c r="D70" s="103" t="s">
        <v>1080</v>
      </c>
      <c r="E70" s="101"/>
      <c r="F70" s="52">
        <v>1</v>
      </c>
      <c r="G70" s="52">
        <f t="shared" si="18"/>
        <v>1</v>
      </c>
      <c r="H70" s="106">
        <v>1</v>
      </c>
      <c r="I70" s="52">
        <f t="shared" si="19"/>
        <v>1</v>
      </c>
      <c r="K70" s="7">
        <f t="shared" si="22"/>
        <v>1</v>
      </c>
    </row>
    <row r="71" spans="1:11" x14ac:dyDescent="0.3">
      <c r="A71" s="7"/>
      <c r="K71" s="7" t="str">
        <f t="shared" si="22"/>
        <v/>
      </c>
    </row>
    <row r="72" spans="1:11" x14ac:dyDescent="0.3">
      <c r="A72" s="9" t="s">
        <v>79</v>
      </c>
      <c r="B72" s="9" t="s">
        <v>68</v>
      </c>
      <c r="C72" s="103" t="s">
        <v>1069</v>
      </c>
      <c r="D72" s="103" t="s">
        <v>1070</v>
      </c>
      <c r="E72" s="6" t="s">
        <v>27</v>
      </c>
      <c r="F72" s="52">
        <v>3</v>
      </c>
      <c r="G72" s="52">
        <f t="shared" ref="G72:G81" si="23">SUM(F72:F72)</f>
        <v>3</v>
      </c>
      <c r="H72" s="107">
        <v>2</v>
      </c>
      <c r="I72" s="10">
        <f>H72*G72</f>
        <v>6</v>
      </c>
      <c r="K72" s="7">
        <f t="shared" si="22"/>
        <v>3</v>
      </c>
    </row>
    <row r="73" spans="1:11" x14ac:dyDescent="0.3">
      <c r="A73" s="9" t="s">
        <v>79</v>
      </c>
      <c r="B73" s="9" t="s">
        <v>68</v>
      </c>
      <c r="C73" s="103" t="s">
        <v>1069</v>
      </c>
      <c r="D73" s="103" t="s">
        <v>1071</v>
      </c>
      <c r="E73" s="6" t="s">
        <v>36</v>
      </c>
      <c r="F73" s="52">
        <v>3</v>
      </c>
      <c r="G73" s="52">
        <f t="shared" si="23"/>
        <v>3</v>
      </c>
      <c r="H73" s="107">
        <v>2</v>
      </c>
      <c r="I73" s="10">
        <f>H73*G73</f>
        <v>6</v>
      </c>
      <c r="K73" s="7">
        <f t="shared" si="22"/>
        <v>3</v>
      </c>
    </row>
    <row r="74" spans="1:11" x14ac:dyDescent="0.3">
      <c r="A74" s="9" t="s">
        <v>79</v>
      </c>
      <c r="B74" s="9" t="s">
        <v>68</v>
      </c>
      <c r="C74" s="103" t="s">
        <v>1069</v>
      </c>
      <c r="D74" s="103" t="s">
        <v>1072</v>
      </c>
      <c r="E74" s="6" t="s">
        <v>27</v>
      </c>
      <c r="F74" s="105">
        <v>3</v>
      </c>
      <c r="G74" s="52">
        <f t="shared" si="23"/>
        <v>3</v>
      </c>
      <c r="H74" s="107">
        <v>2</v>
      </c>
      <c r="I74" s="10">
        <f>H74*G74</f>
        <v>6</v>
      </c>
      <c r="K74" s="7">
        <f t="shared" si="22"/>
        <v>3</v>
      </c>
    </row>
    <row r="75" spans="1:11" x14ac:dyDescent="0.3">
      <c r="A75" s="9" t="s">
        <v>79</v>
      </c>
      <c r="B75" s="9" t="s">
        <v>68</v>
      </c>
      <c r="C75" s="103" t="s">
        <v>1069</v>
      </c>
      <c r="D75" s="103" t="s">
        <v>1073</v>
      </c>
      <c r="E75" s="101"/>
      <c r="F75" s="105">
        <v>3</v>
      </c>
      <c r="G75" s="52">
        <f t="shared" si="23"/>
        <v>3</v>
      </c>
      <c r="H75" s="107">
        <v>2</v>
      </c>
      <c r="I75" s="10">
        <f t="shared" ref="I75:I91" si="24">H75*G75</f>
        <v>6</v>
      </c>
      <c r="K75" s="7">
        <f t="shared" si="22"/>
        <v>3</v>
      </c>
    </row>
    <row r="76" spans="1:11" x14ac:dyDescent="0.3">
      <c r="A76" s="9" t="s">
        <v>79</v>
      </c>
      <c r="B76" s="9" t="s">
        <v>68</v>
      </c>
      <c r="C76" s="103" t="s">
        <v>1069</v>
      </c>
      <c r="D76" s="103" t="s">
        <v>1074</v>
      </c>
      <c r="E76" s="6" t="s">
        <v>41</v>
      </c>
      <c r="F76" s="105">
        <v>3</v>
      </c>
      <c r="G76" s="52">
        <f t="shared" si="23"/>
        <v>3</v>
      </c>
      <c r="H76" s="107">
        <v>2</v>
      </c>
      <c r="I76" s="10">
        <f t="shared" si="24"/>
        <v>6</v>
      </c>
      <c r="K76" s="7">
        <f t="shared" si="22"/>
        <v>3</v>
      </c>
    </row>
    <row r="77" spans="1:11" x14ac:dyDescent="0.3">
      <c r="A77" s="9" t="s">
        <v>79</v>
      </c>
      <c r="B77" s="9" t="s">
        <v>68</v>
      </c>
      <c r="C77" s="103" t="s">
        <v>1069</v>
      </c>
      <c r="D77" s="103" t="s">
        <v>1075</v>
      </c>
      <c r="E77" s="6" t="s">
        <v>38</v>
      </c>
      <c r="F77" s="105">
        <v>3</v>
      </c>
      <c r="G77" s="52">
        <f t="shared" si="23"/>
        <v>3</v>
      </c>
      <c r="H77" s="107">
        <v>2</v>
      </c>
      <c r="I77" s="10">
        <f t="shared" si="24"/>
        <v>6</v>
      </c>
      <c r="K77" s="7">
        <f t="shared" si="22"/>
        <v>3</v>
      </c>
    </row>
    <row r="78" spans="1:11" x14ac:dyDescent="0.3">
      <c r="A78" s="9" t="s">
        <v>79</v>
      </c>
      <c r="B78" s="9" t="s">
        <v>68</v>
      </c>
      <c r="C78" s="103" t="s">
        <v>1076</v>
      </c>
      <c r="D78" s="103" t="s">
        <v>1100</v>
      </c>
      <c r="E78" s="6" t="s">
        <v>41</v>
      </c>
      <c r="F78" s="105">
        <v>3</v>
      </c>
      <c r="G78" s="52">
        <f t="shared" si="23"/>
        <v>3</v>
      </c>
      <c r="H78" s="107">
        <v>2</v>
      </c>
      <c r="I78" s="10">
        <f t="shared" si="24"/>
        <v>6</v>
      </c>
      <c r="K78" s="7">
        <f t="shared" si="22"/>
        <v>3</v>
      </c>
    </row>
    <row r="79" spans="1:11" x14ac:dyDescent="0.3">
      <c r="A79" s="9" t="s">
        <v>79</v>
      </c>
      <c r="B79" s="9" t="s">
        <v>68</v>
      </c>
      <c r="C79" s="103" t="s">
        <v>1076</v>
      </c>
      <c r="D79" s="103" t="s">
        <v>1101</v>
      </c>
      <c r="E79" s="6" t="s">
        <v>41</v>
      </c>
      <c r="F79" s="105">
        <v>3</v>
      </c>
      <c r="G79" s="52">
        <f t="shared" si="23"/>
        <v>3</v>
      </c>
      <c r="H79" s="107">
        <v>2</v>
      </c>
      <c r="I79" s="10">
        <f t="shared" si="24"/>
        <v>6</v>
      </c>
      <c r="K79" s="7">
        <f t="shared" si="22"/>
        <v>3</v>
      </c>
    </row>
    <row r="80" spans="1:11" x14ac:dyDescent="0.3">
      <c r="A80" s="8" t="s">
        <v>79</v>
      </c>
      <c r="B80" s="9" t="s">
        <v>68</v>
      </c>
      <c r="C80" s="192"/>
      <c r="D80" s="103" t="s">
        <v>1079</v>
      </c>
      <c r="E80" s="101"/>
      <c r="F80" s="52">
        <v>1</v>
      </c>
      <c r="G80" s="52">
        <f t="shared" si="23"/>
        <v>1</v>
      </c>
      <c r="H80" s="106">
        <v>2</v>
      </c>
      <c r="I80" s="52">
        <f t="shared" si="24"/>
        <v>2</v>
      </c>
      <c r="K80" s="7">
        <f t="shared" si="22"/>
        <v>1</v>
      </c>
    </row>
    <row r="81" spans="1:11" x14ac:dyDescent="0.3">
      <c r="A81" s="8" t="s">
        <v>79</v>
      </c>
      <c r="B81" s="9" t="s">
        <v>68</v>
      </c>
      <c r="C81" s="192"/>
      <c r="D81" s="103" t="s">
        <v>1080</v>
      </c>
      <c r="E81" s="101"/>
      <c r="F81" s="52">
        <v>1</v>
      </c>
      <c r="G81" s="52">
        <f t="shared" si="23"/>
        <v>1</v>
      </c>
      <c r="H81" s="106">
        <v>2</v>
      </c>
      <c r="I81" s="52">
        <f t="shared" si="24"/>
        <v>2</v>
      </c>
      <c r="K81" s="7">
        <f t="shared" si="22"/>
        <v>1</v>
      </c>
    </row>
    <row r="82" spans="1:11" x14ac:dyDescent="0.3">
      <c r="A82" s="7"/>
      <c r="K82" s="7" t="str">
        <f t="shared" si="22"/>
        <v/>
      </c>
    </row>
    <row r="83" spans="1:11" x14ac:dyDescent="0.3">
      <c r="A83" s="9" t="s">
        <v>79</v>
      </c>
      <c r="B83" s="9" t="s">
        <v>72</v>
      </c>
      <c r="C83" s="103" t="s">
        <v>1069</v>
      </c>
      <c r="D83" s="103" t="s">
        <v>1081</v>
      </c>
      <c r="E83" s="6" t="s">
        <v>41</v>
      </c>
      <c r="F83" s="105">
        <v>3</v>
      </c>
      <c r="G83" s="52">
        <f t="shared" ref="G83:G93" si="25">SUM(F83:F83)</f>
        <v>3</v>
      </c>
      <c r="H83" s="107">
        <v>2</v>
      </c>
      <c r="I83" s="10">
        <f t="shared" si="24"/>
        <v>6</v>
      </c>
      <c r="K83" s="7">
        <f t="shared" si="22"/>
        <v>3</v>
      </c>
    </row>
    <row r="84" spans="1:11" x14ac:dyDescent="0.3">
      <c r="A84" s="27" t="s">
        <v>79</v>
      </c>
      <c r="B84" s="9" t="s">
        <v>72</v>
      </c>
      <c r="C84" s="103" t="s">
        <v>1069</v>
      </c>
      <c r="D84" s="103" t="s">
        <v>1082</v>
      </c>
      <c r="E84" s="6" t="s">
        <v>30</v>
      </c>
      <c r="F84" s="105">
        <v>3</v>
      </c>
      <c r="G84" s="52">
        <f t="shared" si="25"/>
        <v>3</v>
      </c>
      <c r="H84" s="107">
        <v>2</v>
      </c>
      <c r="I84" s="10">
        <f t="shared" si="24"/>
        <v>6</v>
      </c>
      <c r="K84" s="7">
        <f t="shared" si="22"/>
        <v>3</v>
      </c>
    </row>
    <row r="85" spans="1:11" x14ac:dyDescent="0.3">
      <c r="A85" s="27" t="s">
        <v>79</v>
      </c>
      <c r="B85" s="9" t="s">
        <v>72</v>
      </c>
      <c r="C85" s="103" t="s">
        <v>1069</v>
      </c>
      <c r="D85" s="103" t="s">
        <v>1083</v>
      </c>
      <c r="E85" s="6" t="s">
        <v>40</v>
      </c>
      <c r="F85" s="105">
        <v>3</v>
      </c>
      <c r="G85" s="52">
        <v>3</v>
      </c>
      <c r="H85" s="107">
        <v>2</v>
      </c>
      <c r="I85" s="10">
        <f t="shared" si="24"/>
        <v>6</v>
      </c>
      <c r="K85" s="7">
        <f t="shared" si="22"/>
        <v>3</v>
      </c>
    </row>
    <row r="86" spans="1:11" x14ac:dyDescent="0.3">
      <c r="A86" s="9" t="s">
        <v>79</v>
      </c>
      <c r="B86" s="9" t="s">
        <v>72</v>
      </c>
      <c r="C86" s="103" t="s">
        <v>1069</v>
      </c>
      <c r="D86" s="103" t="s">
        <v>1084</v>
      </c>
      <c r="E86" s="6" t="s">
        <v>38</v>
      </c>
      <c r="F86" s="105">
        <v>3</v>
      </c>
      <c r="G86" s="52">
        <f t="shared" si="25"/>
        <v>3</v>
      </c>
      <c r="H86" s="107">
        <v>2</v>
      </c>
      <c r="I86" s="10">
        <f t="shared" si="24"/>
        <v>6</v>
      </c>
      <c r="K86" s="7">
        <f t="shared" si="22"/>
        <v>3</v>
      </c>
    </row>
    <row r="87" spans="1:11" x14ac:dyDescent="0.3">
      <c r="A87" s="9" t="s">
        <v>79</v>
      </c>
      <c r="B87" s="9" t="s">
        <v>72</v>
      </c>
      <c r="C87" s="103" t="s">
        <v>1085</v>
      </c>
      <c r="D87" s="103" t="s">
        <v>1086</v>
      </c>
      <c r="E87" s="101"/>
      <c r="F87" s="105">
        <v>3</v>
      </c>
      <c r="G87" s="52">
        <f t="shared" si="25"/>
        <v>3</v>
      </c>
      <c r="H87" s="107">
        <v>2</v>
      </c>
      <c r="I87" s="10">
        <f t="shared" si="24"/>
        <v>6</v>
      </c>
      <c r="K87" s="7">
        <f t="shared" si="22"/>
        <v>3</v>
      </c>
    </row>
    <row r="88" spans="1:11" x14ac:dyDescent="0.3">
      <c r="A88" s="9" t="s">
        <v>79</v>
      </c>
      <c r="B88" s="9" t="s">
        <v>72</v>
      </c>
      <c r="C88" s="103" t="s">
        <v>1085</v>
      </c>
      <c r="D88" s="103" t="s">
        <v>1087</v>
      </c>
      <c r="E88" s="6" t="s">
        <v>30</v>
      </c>
      <c r="F88" s="105">
        <v>3</v>
      </c>
      <c r="G88" s="52">
        <f t="shared" si="25"/>
        <v>3</v>
      </c>
      <c r="H88" s="107">
        <v>2</v>
      </c>
      <c r="I88" s="10">
        <f t="shared" si="24"/>
        <v>6</v>
      </c>
      <c r="K88" s="7">
        <f t="shared" si="22"/>
        <v>3</v>
      </c>
    </row>
    <row r="89" spans="1:11" x14ac:dyDescent="0.3">
      <c r="A89" s="9" t="s">
        <v>79</v>
      </c>
      <c r="B89" s="9" t="s">
        <v>72</v>
      </c>
      <c r="C89" s="103" t="s">
        <v>1085</v>
      </c>
      <c r="D89" s="103" t="s">
        <v>1088</v>
      </c>
      <c r="E89" s="6" t="s">
        <v>27</v>
      </c>
      <c r="F89" s="105">
        <v>3</v>
      </c>
      <c r="G89" s="52">
        <f t="shared" si="25"/>
        <v>3</v>
      </c>
      <c r="H89" s="107">
        <v>2</v>
      </c>
      <c r="I89" s="10">
        <f t="shared" si="24"/>
        <v>6</v>
      </c>
      <c r="K89" s="7">
        <f t="shared" si="22"/>
        <v>3</v>
      </c>
    </row>
    <row r="90" spans="1:11" x14ac:dyDescent="0.3">
      <c r="A90" s="9" t="s">
        <v>79</v>
      </c>
      <c r="B90" s="9" t="s">
        <v>72</v>
      </c>
      <c r="C90" s="103" t="s">
        <v>1076</v>
      </c>
      <c r="D90" s="103" t="s">
        <v>1102</v>
      </c>
      <c r="E90" s="6" t="s">
        <v>41</v>
      </c>
      <c r="F90" s="105">
        <v>3</v>
      </c>
      <c r="G90" s="52">
        <f t="shared" ref="G90" si="26">SUM(F90:F90)</f>
        <v>3</v>
      </c>
      <c r="H90" s="107">
        <v>2</v>
      </c>
      <c r="I90" s="10">
        <f t="shared" ref="I90" si="27">H90*G90</f>
        <v>6</v>
      </c>
      <c r="K90" s="7">
        <f t="shared" si="22"/>
        <v>3</v>
      </c>
    </row>
    <row r="91" spans="1:11" x14ac:dyDescent="0.3">
      <c r="A91" s="9" t="s">
        <v>79</v>
      </c>
      <c r="B91" s="9" t="s">
        <v>72</v>
      </c>
      <c r="C91" s="103" t="s">
        <v>1076</v>
      </c>
      <c r="D91" s="103" t="s">
        <v>1103</v>
      </c>
      <c r="E91" s="6" t="s">
        <v>41</v>
      </c>
      <c r="F91" s="105">
        <v>3</v>
      </c>
      <c r="G91" s="52">
        <f t="shared" si="25"/>
        <v>3</v>
      </c>
      <c r="H91" s="107">
        <v>2</v>
      </c>
      <c r="I91" s="10">
        <f t="shared" si="24"/>
        <v>6</v>
      </c>
      <c r="K91" s="7">
        <f t="shared" si="22"/>
        <v>3</v>
      </c>
    </row>
    <row r="92" spans="1:11" x14ac:dyDescent="0.3">
      <c r="A92" s="8" t="s">
        <v>79</v>
      </c>
      <c r="B92" s="9" t="s">
        <v>72</v>
      </c>
      <c r="C92" s="192"/>
      <c r="D92" s="103" t="s">
        <v>1079</v>
      </c>
      <c r="E92" s="101"/>
      <c r="F92" s="52">
        <v>1</v>
      </c>
      <c r="G92" s="52">
        <f t="shared" si="25"/>
        <v>1</v>
      </c>
      <c r="H92" s="106">
        <v>2</v>
      </c>
      <c r="I92" s="52">
        <f t="shared" ref="I92:I93" si="28">H92*G92</f>
        <v>2</v>
      </c>
      <c r="K92" s="7">
        <f t="shared" si="22"/>
        <v>1</v>
      </c>
    </row>
    <row r="93" spans="1:11" x14ac:dyDescent="0.3">
      <c r="A93" s="8" t="s">
        <v>79</v>
      </c>
      <c r="B93" s="9" t="s">
        <v>72</v>
      </c>
      <c r="C93" s="192"/>
      <c r="D93" s="103" t="s">
        <v>1080</v>
      </c>
      <c r="E93" s="101"/>
      <c r="F93" s="52">
        <v>1</v>
      </c>
      <c r="G93" s="52">
        <f t="shared" si="25"/>
        <v>1</v>
      </c>
      <c r="H93" s="106">
        <v>2</v>
      </c>
      <c r="I93" s="52">
        <f t="shared" si="28"/>
        <v>2</v>
      </c>
      <c r="K93" s="7">
        <f t="shared" si="22"/>
        <v>1</v>
      </c>
    </row>
    <row r="94" spans="1:11" x14ac:dyDescent="0.3">
      <c r="A94" s="7"/>
      <c r="K94" s="7" t="str">
        <f t="shared" si="22"/>
        <v/>
      </c>
    </row>
    <row r="95" spans="1:11" x14ac:dyDescent="0.3">
      <c r="A95" s="27" t="s">
        <v>80</v>
      </c>
      <c r="B95" s="27" t="s">
        <v>68</v>
      </c>
      <c r="C95" s="103" t="s">
        <v>1069</v>
      </c>
      <c r="D95" s="103" t="s">
        <v>1070</v>
      </c>
      <c r="E95" s="6" t="s">
        <v>27</v>
      </c>
      <c r="F95" s="52">
        <v>3</v>
      </c>
      <c r="G95" s="52">
        <f t="shared" ref="G95:G104" si="29">SUM(F95:F95)</f>
        <v>3</v>
      </c>
      <c r="H95" s="108">
        <v>3</v>
      </c>
      <c r="I95" s="8">
        <f>H95*G95</f>
        <v>9</v>
      </c>
      <c r="K95" s="7">
        <f t="shared" si="22"/>
        <v>3</v>
      </c>
    </row>
    <row r="96" spans="1:11" x14ac:dyDescent="0.3">
      <c r="A96" s="27" t="s">
        <v>80</v>
      </c>
      <c r="B96" s="27" t="s">
        <v>68</v>
      </c>
      <c r="C96" s="103" t="s">
        <v>1069</v>
      </c>
      <c r="D96" s="103" t="s">
        <v>1071</v>
      </c>
      <c r="E96" s="6" t="s">
        <v>36</v>
      </c>
      <c r="F96" s="52">
        <v>3</v>
      </c>
      <c r="G96" s="52">
        <f t="shared" si="29"/>
        <v>3</v>
      </c>
      <c r="H96" s="108">
        <v>3</v>
      </c>
      <c r="I96" s="8">
        <f t="shared" ref="I96:I104" si="30">H96*G96</f>
        <v>9</v>
      </c>
      <c r="K96" s="7">
        <f t="shared" si="22"/>
        <v>3</v>
      </c>
    </row>
    <row r="97" spans="1:11" x14ac:dyDescent="0.3">
      <c r="A97" s="27" t="s">
        <v>80</v>
      </c>
      <c r="B97" s="27" t="s">
        <v>68</v>
      </c>
      <c r="C97" s="103" t="s">
        <v>1069</v>
      </c>
      <c r="D97" s="103" t="s">
        <v>1072</v>
      </c>
      <c r="E97" s="6" t="s">
        <v>27</v>
      </c>
      <c r="F97" s="52">
        <v>3</v>
      </c>
      <c r="G97" s="52">
        <f t="shared" si="29"/>
        <v>3</v>
      </c>
      <c r="H97" s="108">
        <v>3</v>
      </c>
      <c r="I97" s="8">
        <f t="shared" si="30"/>
        <v>9</v>
      </c>
      <c r="K97" s="7">
        <f t="shared" si="22"/>
        <v>3</v>
      </c>
    </row>
    <row r="98" spans="1:11" x14ac:dyDescent="0.3">
      <c r="A98" s="27" t="s">
        <v>80</v>
      </c>
      <c r="B98" s="27" t="s">
        <v>68</v>
      </c>
      <c r="C98" s="103" t="s">
        <v>1069</v>
      </c>
      <c r="D98" s="103" t="s">
        <v>1073</v>
      </c>
      <c r="E98" s="101"/>
      <c r="F98" s="52">
        <v>3</v>
      </c>
      <c r="G98" s="52">
        <f t="shared" si="29"/>
        <v>3</v>
      </c>
      <c r="H98" s="108">
        <v>3</v>
      </c>
      <c r="I98" s="8">
        <f t="shared" si="30"/>
        <v>9</v>
      </c>
      <c r="K98" s="7">
        <f t="shared" si="22"/>
        <v>3</v>
      </c>
    </row>
    <row r="99" spans="1:11" x14ac:dyDescent="0.3">
      <c r="A99" s="27" t="s">
        <v>80</v>
      </c>
      <c r="B99" s="27" t="s">
        <v>68</v>
      </c>
      <c r="C99" s="103" t="s">
        <v>1069</v>
      </c>
      <c r="D99" s="103" t="s">
        <v>1074</v>
      </c>
      <c r="E99" s="6" t="s">
        <v>41</v>
      </c>
      <c r="F99" s="52">
        <v>3</v>
      </c>
      <c r="G99" s="52">
        <f t="shared" si="29"/>
        <v>3</v>
      </c>
      <c r="H99" s="108">
        <v>3</v>
      </c>
      <c r="I99" s="8">
        <f t="shared" si="30"/>
        <v>9</v>
      </c>
      <c r="K99" s="7">
        <f t="shared" si="22"/>
        <v>3</v>
      </c>
    </row>
    <row r="100" spans="1:11" x14ac:dyDescent="0.3">
      <c r="A100" s="27" t="s">
        <v>80</v>
      </c>
      <c r="B100" s="27" t="s">
        <v>68</v>
      </c>
      <c r="C100" s="103" t="s">
        <v>1069</v>
      </c>
      <c r="D100" s="103" t="s">
        <v>1075</v>
      </c>
      <c r="E100" s="6" t="s">
        <v>38</v>
      </c>
      <c r="F100" s="52">
        <v>3</v>
      </c>
      <c r="G100" s="52">
        <f t="shared" si="29"/>
        <v>3</v>
      </c>
      <c r="H100" s="108">
        <v>3</v>
      </c>
      <c r="I100" s="8">
        <f t="shared" si="30"/>
        <v>9</v>
      </c>
      <c r="K100" s="7">
        <f t="shared" si="22"/>
        <v>3</v>
      </c>
    </row>
    <row r="101" spans="1:11" x14ac:dyDescent="0.3">
      <c r="A101" s="27" t="s">
        <v>80</v>
      </c>
      <c r="B101" s="27" t="s">
        <v>68</v>
      </c>
      <c r="C101" s="103" t="s">
        <v>1076</v>
      </c>
      <c r="D101" s="103" t="s">
        <v>1104</v>
      </c>
      <c r="E101" s="6" t="s">
        <v>34</v>
      </c>
      <c r="F101" s="52">
        <v>3</v>
      </c>
      <c r="G101" s="52">
        <f t="shared" si="29"/>
        <v>3</v>
      </c>
      <c r="H101" s="108">
        <v>3</v>
      </c>
      <c r="I101" s="8">
        <f t="shared" si="30"/>
        <v>9</v>
      </c>
      <c r="K101" s="7">
        <f t="shared" si="22"/>
        <v>3</v>
      </c>
    </row>
    <row r="102" spans="1:11" x14ac:dyDescent="0.3">
      <c r="A102" s="27" t="s">
        <v>80</v>
      </c>
      <c r="B102" s="27" t="s">
        <v>68</v>
      </c>
      <c r="C102" s="103" t="s">
        <v>1076</v>
      </c>
      <c r="D102" s="103" t="s">
        <v>1105</v>
      </c>
      <c r="E102" s="6" t="s">
        <v>34</v>
      </c>
      <c r="F102" s="52">
        <v>3</v>
      </c>
      <c r="G102" s="52">
        <f t="shared" si="29"/>
        <v>3</v>
      </c>
      <c r="H102" s="108">
        <v>3</v>
      </c>
      <c r="I102" s="8">
        <f t="shared" si="30"/>
        <v>9</v>
      </c>
      <c r="K102" s="7">
        <f t="shared" si="22"/>
        <v>3</v>
      </c>
    </row>
    <row r="103" spans="1:11" x14ac:dyDescent="0.3">
      <c r="A103" s="8" t="s">
        <v>80</v>
      </c>
      <c r="B103" s="9" t="s">
        <v>68</v>
      </c>
      <c r="C103" s="192"/>
      <c r="D103" s="103" t="s">
        <v>1079</v>
      </c>
      <c r="E103" s="101"/>
      <c r="F103" s="52">
        <v>1</v>
      </c>
      <c r="G103" s="52">
        <f t="shared" si="29"/>
        <v>1</v>
      </c>
      <c r="H103" s="106">
        <v>3</v>
      </c>
      <c r="I103" s="52">
        <f t="shared" si="30"/>
        <v>3</v>
      </c>
      <c r="K103" s="7">
        <f t="shared" si="22"/>
        <v>1</v>
      </c>
    </row>
    <row r="104" spans="1:11" x14ac:dyDescent="0.3">
      <c r="A104" s="8" t="s">
        <v>80</v>
      </c>
      <c r="B104" s="9" t="s">
        <v>68</v>
      </c>
      <c r="C104" s="192"/>
      <c r="D104" s="103" t="s">
        <v>1080</v>
      </c>
      <c r="E104" s="101"/>
      <c r="F104" s="52">
        <v>1</v>
      </c>
      <c r="G104" s="52">
        <f t="shared" si="29"/>
        <v>1</v>
      </c>
      <c r="H104" s="106">
        <v>3</v>
      </c>
      <c r="I104" s="52">
        <f t="shared" si="30"/>
        <v>3</v>
      </c>
      <c r="K104" s="7">
        <f t="shared" si="22"/>
        <v>1</v>
      </c>
    </row>
    <row r="105" spans="1:11" x14ac:dyDescent="0.3">
      <c r="K105" s="7" t="str">
        <f t="shared" si="22"/>
        <v/>
      </c>
    </row>
    <row r="106" spans="1:11" x14ac:dyDescent="0.3">
      <c r="A106" s="27" t="s">
        <v>80</v>
      </c>
      <c r="B106" s="27" t="s">
        <v>72</v>
      </c>
      <c r="C106" s="103" t="s">
        <v>1069</v>
      </c>
      <c r="D106" s="103" t="s">
        <v>1081</v>
      </c>
      <c r="E106" s="6" t="s">
        <v>41</v>
      </c>
      <c r="F106" s="52">
        <v>3</v>
      </c>
      <c r="G106" s="52">
        <f t="shared" ref="G106:G112" si="31">SUM(F106:F106)</f>
        <v>3</v>
      </c>
      <c r="H106" s="108">
        <v>3</v>
      </c>
      <c r="I106" s="8">
        <f t="shared" ref="I106:I112" si="32">H106*G106</f>
        <v>9</v>
      </c>
      <c r="K106" s="7">
        <f t="shared" si="22"/>
        <v>3</v>
      </c>
    </row>
    <row r="107" spans="1:11" x14ac:dyDescent="0.3">
      <c r="A107" s="27" t="s">
        <v>80</v>
      </c>
      <c r="B107" s="27" t="s">
        <v>72</v>
      </c>
      <c r="C107" s="103" t="s">
        <v>1069</v>
      </c>
      <c r="D107" s="103" t="s">
        <v>1082</v>
      </c>
      <c r="E107" s="6" t="s">
        <v>30</v>
      </c>
      <c r="F107" s="52">
        <v>3</v>
      </c>
      <c r="G107" s="52">
        <f t="shared" si="31"/>
        <v>3</v>
      </c>
      <c r="H107" s="108">
        <v>3</v>
      </c>
      <c r="I107" s="8">
        <f t="shared" si="32"/>
        <v>9</v>
      </c>
      <c r="K107" s="7">
        <f t="shared" si="22"/>
        <v>3</v>
      </c>
    </row>
    <row r="108" spans="1:11" x14ac:dyDescent="0.3">
      <c r="A108" s="27" t="s">
        <v>80</v>
      </c>
      <c r="B108" s="27" t="s">
        <v>72</v>
      </c>
      <c r="C108" s="103" t="s">
        <v>1069</v>
      </c>
      <c r="D108" s="103" t="s">
        <v>1083</v>
      </c>
      <c r="E108" s="6" t="s">
        <v>40</v>
      </c>
      <c r="F108" s="52">
        <v>3</v>
      </c>
      <c r="G108" s="52">
        <v>3</v>
      </c>
      <c r="H108" s="108">
        <v>3</v>
      </c>
      <c r="I108" s="8">
        <f t="shared" si="32"/>
        <v>9</v>
      </c>
      <c r="K108" s="7">
        <f t="shared" si="22"/>
        <v>3</v>
      </c>
    </row>
    <row r="109" spans="1:11" x14ac:dyDescent="0.3">
      <c r="A109" s="27" t="s">
        <v>80</v>
      </c>
      <c r="B109" s="27" t="s">
        <v>72</v>
      </c>
      <c r="C109" s="103" t="s">
        <v>1069</v>
      </c>
      <c r="D109" s="103" t="s">
        <v>1084</v>
      </c>
      <c r="E109" s="6" t="s">
        <v>38</v>
      </c>
      <c r="F109" s="52">
        <v>3</v>
      </c>
      <c r="G109" s="52">
        <f t="shared" si="31"/>
        <v>3</v>
      </c>
      <c r="H109" s="108">
        <v>3</v>
      </c>
      <c r="I109" s="8">
        <f t="shared" si="32"/>
        <v>9</v>
      </c>
      <c r="K109" s="7">
        <f t="shared" si="22"/>
        <v>3</v>
      </c>
    </row>
    <row r="110" spans="1:11" x14ac:dyDescent="0.3">
      <c r="A110" s="27" t="s">
        <v>80</v>
      </c>
      <c r="B110" s="27" t="s">
        <v>72</v>
      </c>
      <c r="C110" s="103" t="s">
        <v>1085</v>
      </c>
      <c r="D110" s="103" t="s">
        <v>1086</v>
      </c>
      <c r="E110" s="101"/>
      <c r="F110" s="52">
        <v>3</v>
      </c>
      <c r="G110" s="52">
        <f t="shared" si="31"/>
        <v>3</v>
      </c>
      <c r="H110" s="108">
        <v>3</v>
      </c>
      <c r="I110" s="8">
        <f t="shared" si="32"/>
        <v>9</v>
      </c>
      <c r="K110" s="7">
        <f t="shared" si="22"/>
        <v>3</v>
      </c>
    </row>
    <row r="111" spans="1:11" x14ac:dyDescent="0.3">
      <c r="A111" s="27" t="s">
        <v>80</v>
      </c>
      <c r="B111" s="27" t="s">
        <v>72</v>
      </c>
      <c r="C111" s="103" t="s">
        <v>1085</v>
      </c>
      <c r="D111" s="103" t="s">
        <v>1087</v>
      </c>
      <c r="E111" s="6" t="s">
        <v>30</v>
      </c>
      <c r="F111" s="52">
        <v>3</v>
      </c>
      <c r="G111" s="52">
        <f t="shared" si="31"/>
        <v>3</v>
      </c>
      <c r="H111" s="108">
        <v>3</v>
      </c>
      <c r="I111" s="8">
        <f t="shared" si="32"/>
        <v>9</v>
      </c>
      <c r="K111" s="7">
        <f t="shared" si="22"/>
        <v>3</v>
      </c>
    </row>
    <row r="112" spans="1:11" x14ac:dyDescent="0.3">
      <c r="A112" s="27" t="s">
        <v>80</v>
      </c>
      <c r="B112" s="27" t="s">
        <v>72</v>
      </c>
      <c r="C112" s="103" t="s">
        <v>1085</v>
      </c>
      <c r="D112" s="103" t="s">
        <v>1088</v>
      </c>
      <c r="E112" s="6" t="s">
        <v>27</v>
      </c>
      <c r="F112" s="52">
        <v>3</v>
      </c>
      <c r="G112" s="52">
        <f t="shared" si="31"/>
        <v>3</v>
      </c>
      <c r="H112" s="108">
        <v>3</v>
      </c>
      <c r="I112" s="8">
        <f t="shared" si="32"/>
        <v>9</v>
      </c>
      <c r="K112" s="7">
        <f t="shared" si="22"/>
        <v>3</v>
      </c>
    </row>
    <row r="113" spans="1:11" x14ac:dyDescent="0.3">
      <c r="A113" s="27" t="s">
        <v>80</v>
      </c>
      <c r="B113" s="27" t="s">
        <v>72</v>
      </c>
      <c r="C113" s="103" t="s">
        <v>1076</v>
      </c>
      <c r="D113" s="103" t="s">
        <v>1106</v>
      </c>
      <c r="E113" s="6" t="s">
        <v>34</v>
      </c>
      <c r="F113" s="52">
        <v>3</v>
      </c>
      <c r="G113" s="52">
        <f t="shared" ref="G113:G116" si="33">SUM(F113:F113)</f>
        <v>3</v>
      </c>
      <c r="H113" s="108">
        <v>3</v>
      </c>
      <c r="I113" s="8">
        <f t="shared" ref="I113:I116" si="34">H113*G113</f>
        <v>9</v>
      </c>
      <c r="K113" s="7">
        <f t="shared" si="22"/>
        <v>3</v>
      </c>
    </row>
    <row r="114" spans="1:11" x14ac:dyDescent="0.3">
      <c r="A114" s="27" t="s">
        <v>80</v>
      </c>
      <c r="B114" s="27" t="s">
        <v>72</v>
      </c>
      <c r="C114" s="103" t="s">
        <v>1076</v>
      </c>
      <c r="D114" s="103" t="s">
        <v>1107</v>
      </c>
      <c r="E114" s="6" t="s">
        <v>34</v>
      </c>
      <c r="F114" s="52">
        <v>3</v>
      </c>
      <c r="G114" s="52">
        <f t="shared" si="33"/>
        <v>3</v>
      </c>
      <c r="H114" s="108">
        <v>3</v>
      </c>
      <c r="I114" s="8">
        <f t="shared" si="34"/>
        <v>9</v>
      </c>
      <c r="K114" s="7">
        <f t="shared" si="22"/>
        <v>3</v>
      </c>
    </row>
    <row r="115" spans="1:11" x14ac:dyDescent="0.3">
      <c r="A115" s="8" t="s">
        <v>80</v>
      </c>
      <c r="B115" s="9" t="s">
        <v>72</v>
      </c>
      <c r="C115" s="192"/>
      <c r="D115" s="103" t="s">
        <v>1079</v>
      </c>
      <c r="E115" s="101"/>
      <c r="F115" s="52">
        <v>1</v>
      </c>
      <c r="G115" s="52">
        <f t="shared" si="33"/>
        <v>1</v>
      </c>
      <c r="H115" s="106">
        <v>3</v>
      </c>
      <c r="I115" s="52">
        <f t="shared" si="34"/>
        <v>3</v>
      </c>
      <c r="K115" s="7">
        <f t="shared" si="22"/>
        <v>1</v>
      </c>
    </row>
    <row r="116" spans="1:11" x14ac:dyDescent="0.3">
      <c r="A116" s="8" t="s">
        <v>80</v>
      </c>
      <c r="B116" s="9" t="s">
        <v>72</v>
      </c>
      <c r="C116" s="192"/>
      <c r="D116" s="103" t="s">
        <v>1080</v>
      </c>
      <c r="E116" s="101"/>
      <c r="F116" s="52">
        <v>1</v>
      </c>
      <c r="G116" s="52">
        <f t="shared" si="33"/>
        <v>1</v>
      </c>
      <c r="H116" s="106">
        <v>3</v>
      </c>
      <c r="I116" s="52">
        <f t="shared" si="34"/>
        <v>3</v>
      </c>
      <c r="K116" s="7">
        <f t="shared" si="22"/>
        <v>1</v>
      </c>
    </row>
    <row r="117" spans="1:11" x14ac:dyDescent="0.3">
      <c r="K117" s="7" t="str">
        <f t="shared" si="22"/>
        <v/>
      </c>
    </row>
    <row r="118" spans="1:11" x14ac:dyDescent="0.3">
      <c r="A118" s="9" t="s">
        <v>82</v>
      </c>
      <c r="B118" s="9" t="s">
        <v>68</v>
      </c>
      <c r="C118" s="103" t="s">
        <v>1069</v>
      </c>
      <c r="D118" s="103" t="s">
        <v>1070</v>
      </c>
      <c r="E118" s="6" t="s">
        <v>27</v>
      </c>
      <c r="F118" s="52">
        <v>3</v>
      </c>
      <c r="G118" s="52">
        <f t="shared" ref="G118:G127" si="35">SUM(F118:F118)</f>
        <v>3</v>
      </c>
      <c r="H118" s="108">
        <f>'2 - Section Count Projection'!$G$41</f>
        <v>0</v>
      </c>
      <c r="I118" s="8">
        <f t="shared" ref="I118:I123" si="36">H118*G118</f>
        <v>0</v>
      </c>
      <c r="K118" s="7" t="str">
        <f t="shared" si="22"/>
        <v/>
      </c>
    </row>
    <row r="119" spans="1:11" x14ac:dyDescent="0.3">
      <c r="A119" s="9" t="s">
        <v>82</v>
      </c>
      <c r="B119" s="9" t="s">
        <v>68</v>
      </c>
      <c r="C119" s="103" t="s">
        <v>1069</v>
      </c>
      <c r="D119" s="103" t="s">
        <v>1071</v>
      </c>
      <c r="E119" s="6" t="s">
        <v>36</v>
      </c>
      <c r="F119" s="52">
        <v>3</v>
      </c>
      <c r="G119" s="52">
        <f t="shared" si="35"/>
        <v>3</v>
      </c>
      <c r="H119" s="108">
        <f>'2 - Section Count Projection'!$G$41</f>
        <v>0</v>
      </c>
      <c r="I119" s="8">
        <f t="shared" si="36"/>
        <v>0</v>
      </c>
      <c r="K119" s="7" t="str">
        <f t="shared" si="22"/>
        <v/>
      </c>
    </row>
    <row r="120" spans="1:11" x14ac:dyDescent="0.3">
      <c r="A120" s="9" t="s">
        <v>82</v>
      </c>
      <c r="B120" s="9" t="s">
        <v>68</v>
      </c>
      <c r="C120" s="103" t="s">
        <v>1069</v>
      </c>
      <c r="D120" s="103" t="s">
        <v>1072</v>
      </c>
      <c r="E120" s="6" t="s">
        <v>27</v>
      </c>
      <c r="F120" s="52">
        <v>3</v>
      </c>
      <c r="G120" s="52">
        <f t="shared" si="35"/>
        <v>3</v>
      </c>
      <c r="H120" s="108">
        <f>'2 - Section Count Projection'!$G$41</f>
        <v>0</v>
      </c>
      <c r="I120" s="8">
        <f t="shared" si="36"/>
        <v>0</v>
      </c>
      <c r="K120" s="7" t="str">
        <f t="shared" si="22"/>
        <v/>
      </c>
    </row>
    <row r="121" spans="1:11" x14ac:dyDescent="0.3">
      <c r="A121" s="9" t="s">
        <v>82</v>
      </c>
      <c r="B121" s="9" t="s">
        <v>68</v>
      </c>
      <c r="C121" s="103" t="s">
        <v>1069</v>
      </c>
      <c r="D121" s="103" t="s">
        <v>1073</v>
      </c>
      <c r="E121" s="101"/>
      <c r="F121" s="52">
        <v>3</v>
      </c>
      <c r="G121" s="52">
        <f t="shared" si="35"/>
        <v>3</v>
      </c>
      <c r="H121" s="108">
        <f>'2 - Section Count Projection'!$G$41</f>
        <v>0</v>
      </c>
      <c r="I121" s="8">
        <f t="shared" si="36"/>
        <v>0</v>
      </c>
      <c r="K121" s="7" t="str">
        <f t="shared" si="22"/>
        <v/>
      </c>
    </row>
    <row r="122" spans="1:11" x14ac:dyDescent="0.3">
      <c r="A122" s="9" t="s">
        <v>82</v>
      </c>
      <c r="B122" s="9" t="s">
        <v>68</v>
      </c>
      <c r="C122" s="103" t="s">
        <v>1069</v>
      </c>
      <c r="D122" s="103" t="s">
        <v>1074</v>
      </c>
      <c r="E122" s="6" t="s">
        <v>41</v>
      </c>
      <c r="F122" s="52">
        <v>3</v>
      </c>
      <c r="G122" s="52">
        <f t="shared" si="35"/>
        <v>3</v>
      </c>
      <c r="H122" s="108">
        <f>'2 - Section Count Projection'!$G$41</f>
        <v>0</v>
      </c>
      <c r="I122" s="8">
        <f t="shared" si="36"/>
        <v>0</v>
      </c>
      <c r="K122" s="7" t="str">
        <f t="shared" si="22"/>
        <v/>
      </c>
    </row>
    <row r="123" spans="1:11" x14ac:dyDescent="0.3">
      <c r="A123" s="9" t="s">
        <v>82</v>
      </c>
      <c r="B123" s="9" t="s">
        <v>68</v>
      </c>
      <c r="C123" s="103" t="s">
        <v>1069</v>
      </c>
      <c r="D123" s="103" t="s">
        <v>1075</v>
      </c>
      <c r="E123" s="6" t="s">
        <v>38</v>
      </c>
      <c r="F123" s="52">
        <v>3</v>
      </c>
      <c r="G123" s="52">
        <f t="shared" si="35"/>
        <v>3</v>
      </c>
      <c r="H123" s="108">
        <f>'2 - Section Count Projection'!$G$41</f>
        <v>0</v>
      </c>
      <c r="I123" s="8">
        <f t="shared" si="36"/>
        <v>0</v>
      </c>
      <c r="K123" s="7" t="str">
        <f t="shared" si="22"/>
        <v/>
      </c>
    </row>
    <row r="124" spans="1:11" x14ac:dyDescent="0.3">
      <c r="A124" s="9" t="s">
        <v>82</v>
      </c>
      <c r="B124" s="9" t="s">
        <v>68</v>
      </c>
      <c r="C124" s="103" t="s">
        <v>1076</v>
      </c>
      <c r="D124" s="103" t="s">
        <v>1108</v>
      </c>
      <c r="E124" s="6" t="s">
        <v>34</v>
      </c>
      <c r="F124" s="52">
        <v>3</v>
      </c>
      <c r="G124" s="52">
        <f t="shared" si="35"/>
        <v>3</v>
      </c>
      <c r="H124" s="108">
        <f>'2 - Section Count Projection'!$G$41</f>
        <v>0</v>
      </c>
      <c r="I124" s="8">
        <f>H124*G124</f>
        <v>0</v>
      </c>
      <c r="K124" s="7" t="str">
        <f t="shared" si="22"/>
        <v/>
      </c>
    </row>
    <row r="125" spans="1:11" x14ac:dyDescent="0.3">
      <c r="A125" s="9" t="s">
        <v>82</v>
      </c>
      <c r="B125" s="9" t="s">
        <v>68</v>
      </c>
      <c r="C125" s="103" t="s">
        <v>1076</v>
      </c>
      <c r="D125" s="103" t="s">
        <v>1109</v>
      </c>
      <c r="E125" s="6" t="s">
        <v>34</v>
      </c>
      <c r="F125" s="52">
        <v>3</v>
      </c>
      <c r="G125" s="52">
        <f t="shared" si="35"/>
        <v>3</v>
      </c>
      <c r="H125" s="108">
        <f>'2 - Section Count Projection'!$G$41</f>
        <v>0</v>
      </c>
      <c r="I125" s="8">
        <f>H125*G125</f>
        <v>0</v>
      </c>
      <c r="K125" s="7" t="str">
        <f t="shared" si="22"/>
        <v/>
      </c>
    </row>
    <row r="126" spans="1:11" x14ac:dyDescent="0.3">
      <c r="A126" s="8" t="s">
        <v>82</v>
      </c>
      <c r="B126" s="9" t="s">
        <v>68</v>
      </c>
      <c r="C126" s="192"/>
      <c r="D126" s="103" t="s">
        <v>1079</v>
      </c>
      <c r="E126" s="101"/>
      <c r="F126" s="52">
        <v>1</v>
      </c>
      <c r="G126" s="52">
        <f t="shared" si="35"/>
        <v>1</v>
      </c>
      <c r="H126" s="106">
        <f>'2 - Section Count Projection'!$G$21</f>
        <v>0</v>
      </c>
      <c r="I126" s="52">
        <f t="shared" ref="I126:I127" si="37">H126*G126</f>
        <v>0</v>
      </c>
      <c r="K126" s="7" t="str">
        <f t="shared" si="22"/>
        <v/>
      </c>
    </row>
    <row r="127" spans="1:11" x14ac:dyDescent="0.3">
      <c r="A127" s="8" t="s">
        <v>82</v>
      </c>
      <c r="B127" s="9" t="s">
        <v>68</v>
      </c>
      <c r="C127" s="192"/>
      <c r="D127" s="103" t="s">
        <v>1080</v>
      </c>
      <c r="E127" s="101"/>
      <c r="F127" s="52">
        <v>1</v>
      </c>
      <c r="G127" s="52">
        <f t="shared" si="35"/>
        <v>1</v>
      </c>
      <c r="H127" s="106">
        <f>'2 - Section Count Projection'!$G$21</f>
        <v>0</v>
      </c>
      <c r="I127" s="52">
        <f t="shared" si="37"/>
        <v>0</v>
      </c>
      <c r="K127" s="7" t="str">
        <f t="shared" si="22"/>
        <v/>
      </c>
    </row>
    <row r="128" spans="1:11" x14ac:dyDescent="0.3">
      <c r="A128" s="7"/>
      <c r="K128" s="7" t="str">
        <f t="shared" si="22"/>
        <v/>
      </c>
    </row>
    <row r="129" spans="1:11" x14ac:dyDescent="0.3">
      <c r="A129" s="9" t="s">
        <v>82</v>
      </c>
      <c r="B129" s="9" t="s">
        <v>72</v>
      </c>
      <c r="C129" s="103" t="s">
        <v>1069</v>
      </c>
      <c r="D129" s="103" t="s">
        <v>1081</v>
      </c>
      <c r="E129" s="6" t="s">
        <v>41</v>
      </c>
      <c r="F129" s="52">
        <v>3</v>
      </c>
      <c r="G129" s="52">
        <f>SUM(F129:F129)</f>
        <v>3</v>
      </c>
      <c r="H129" s="108">
        <f>'2 - Section Count Projection'!$G$43</f>
        <v>0</v>
      </c>
      <c r="I129" s="8">
        <f>H129*G129</f>
        <v>0</v>
      </c>
      <c r="K129" s="7" t="str">
        <f t="shared" si="22"/>
        <v/>
      </c>
    </row>
    <row r="130" spans="1:11" x14ac:dyDescent="0.3">
      <c r="A130" s="9" t="s">
        <v>82</v>
      </c>
      <c r="B130" s="9" t="s">
        <v>72</v>
      </c>
      <c r="C130" s="103" t="s">
        <v>1069</v>
      </c>
      <c r="D130" s="103" t="s">
        <v>1082</v>
      </c>
      <c r="E130" s="6" t="s">
        <v>30</v>
      </c>
      <c r="F130" s="52">
        <v>3</v>
      </c>
      <c r="G130" s="52">
        <f t="shared" ref="G130:G139" si="38">SUM(F130:F130)</f>
        <v>3</v>
      </c>
      <c r="H130" s="108">
        <f>'2 - Section Count Projection'!$G$43</f>
        <v>0</v>
      </c>
      <c r="I130" s="8">
        <f t="shared" ref="I130:I139" si="39">H130*G130</f>
        <v>0</v>
      </c>
      <c r="K130" s="7" t="str">
        <f t="shared" si="22"/>
        <v/>
      </c>
    </row>
    <row r="131" spans="1:11" x14ac:dyDescent="0.3">
      <c r="A131" s="153" t="s">
        <v>82</v>
      </c>
      <c r="B131" s="153" t="s">
        <v>72</v>
      </c>
      <c r="C131" s="154" t="s">
        <v>1069</v>
      </c>
      <c r="D131" s="154" t="s">
        <v>1083</v>
      </c>
      <c r="E131" s="4" t="s">
        <v>40</v>
      </c>
      <c r="F131" s="52">
        <v>3</v>
      </c>
      <c r="G131" s="52">
        <v>3</v>
      </c>
      <c r="H131" s="108">
        <f>'2 - Section Count Projection'!$G$43</f>
        <v>0</v>
      </c>
      <c r="I131" s="8">
        <f t="shared" si="39"/>
        <v>0</v>
      </c>
      <c r="K131" s="7" t="str">
        <f t="shared" si="22"/>
        <v/>
      </c>
    </row>
    <row r="132" spans="1:11" x14ac:dyDescent="0.3">
      <c r="A132" s="9" t="s">
        <v>82</v>
      </c>
      <c r="B132" s="9" t="s">
        <v>72</v>
      </c>
      <c r="C132" s="103" t="s">
        <v>1069</v>
      </c>
      <c r="D132" s="103" t="s">
        <v>1084</v>
      </c>
      <c r="E132" s="6" t="s">
        <v>38</v>
      </c>
      <c r="F132" s="52">
        <v>3</v>
      </c>
      <c r="G132" s="52">
        <f t="shared" si="38"/>
        <v>3</v>
      </c>
      <c r="H132" s="108">
        <f>'2 - Section Count Projection'!$G$43</f>
        <v>0</v>
      </c>
      <c r="I132" s="8">
        <f t="shared" si="39"/>
        <v>0</v>
      </c>
      <c r="K132" s="7" t="str">
        <f t="shared" ref="K132:K195" si="40">IF(I132&gt;0,F132,"")</f>
        <v/>
      </c>
    </row>
    <row r="133" spans="1:11" x14ac:dyDescent="0.3">
      <c r="A133" s="9" t="s">
        <v>82</v>
      </c>
      <c r="B133" s="9" t="s">
        <v>72</v>
      </c>
      <c r="C133" s="103" t="s">
        <v>1085</v>
      </c>
      <c r="D133" s="103" t="s">
        <v>1086</v>
      </c>
      <c r="E133" s="101"/>
      <c r="F133" s="52">
        <v>3</v>
      </c>
      <c r="G133" s="52">
        <f t="shared" si="38"/>
        <v>3</v>
      </c>
      <c r="H133" s="108">
        <f>'2 - Section Count Projection'!$G$43</f>
        <v>0</v>
      </c>
      <c r="I133" s="8">
        <f t="shared" si="39"/>
        <v>0</v>
      </c>
      <c r="K133" s="7" t="str">
        <f t="shared" si="40"/>
        <v/>
      </c>
    </row>
    <row r="134" spans="1:11" x14ac:dyDescent="0.3">
      <c r="A134" s="9" t="s">
        <v>82</v>
      </c>
      <c r="B134" s="9" t="s">
        <v>72</v>
      </c>
      <c r="C134" s="103" t="s">
        <v>1085</v>
      </c>
      <c r="D134" s="103" t="s">
        <v>1087</v>
      </c>
      <c r="E134" s="6" t="s">
        <v>30</v>
      </c>
      <c r="F134" s="52">
        <v>3</v>
      </c>
      <c r="G134" s="52">
        <f t="shared" si="38"/>
        <v>3</v>
      </c>
      <c r="H134" s="108">
        <f>'2 - Section Count Projection'!$G$43</f>
        <v>0</v>
      </c>
      <c r="I134" s="8">
        <f t="shared" si="39"/>
        <v>0</v>
      </c>
      <c r="K134" s="7" t="str">
        <f t="shared" si="40"/>
        <v/>
      </c>
    </row>
    <row r="135" spans="1:11" x14ac:dyDescent="0.3">
      <c r="A135" s="9" t="s">
        <v>82</v>
      </c>
      <c r="B135" s="9" t="s">
        <v>72</v>
      </c>
      <c r="C135" s="103" t="s">
        <v>1085</v>
      </c>
      <c r="D135" s="103" t="s">
        <v>1088</v>
      </c>
      <c r="E135" s="6" t="s">
        <v>27</v>
      </c>
      <c r="F135" s="52">
        <v>3</v>
      </c>
      <c r="G135" s="52">
        <f t="shared" si="38"/>
        <v>3</v>
      </c>
      <c r="H135" s="108">
        <f>'2 - Section Count Projection'!$G$43</f>
        <v>0</v>
      </c>
      <c r="I135" s="8">
        <f t="shared" si="39"/>
        <v>0</v>
      </c>
      <c r="K135" s="7" t="str">
        <f t="shared" si="40"/>
        <v/>
      </c>
    </row>
    <row r="136" spans="1:11" x14ac:dyDescent="0.3">
      <c r="A136" s="9" t="s">
        <v>82</v>
      </c>
      <c r="B136" s="9" t="s">
        <v>72</v>
      </c>
      <c r="C136" s="103" t="s">
        <v>1076</v>
      </c>
      <c r="D136" s="103" t="s">
        <v>513</v>
      </c>
      <c r="E136" s="6" t="s">
        <v>34</v>
      </c>
      <c r="F136" s="52">
        <v>3</v>
      </c>
      <c r="G136" s="52">
        <f t="shared" ref="G136" si="41">SUM(F136:F136)</f>
        <v>3</v>
      </c>
      <c r="H136" s="108">
        <f>'2 - Section Count Projection'!$G$43</f>
        <v>0</v>
      </c>
      <c r="I136" s="8">
        <f t="shared" ref="I136" si="42">H136*G136</f>
        <v>0</v>
      </c>
      <c r="K136" s="7" t="str">
        <f t="shared" si="40"/>
        <v/>
      </c>
    </row>
    <row r="137" spans="1:11" x14ac:dyDescent="0.3">
      <c r="A137" s="9" t="s">
        <v>82</v>
      </c>
      <c r="B137" s="9" t="s">
        <v>72</v>
      </c>
      <c r="C137" s="103" t="s">
        <v>1076</v>
      </c>
      <c r="D137" s="103" t="s">
        <v>1110</v>
      </c>
      <c r="E137" s="6" t="s">
        <v>34</v>
      </c>
      <c r="F137" s="52">
        <v>3</v>
      </c>
      <c r="G137" s="52">
        <f t="shared" si="38"/>
        <v>3</v>
      </c>
      <c r="H137" s="108">
        <f>'2 - Section Count Projection'!$G$43</f>
        <v>0</v>
      </c>
      <c r="I137" s="8">
        <f t="shared" si="39"/>
        <v>0</v>
      </c>
      <c r="K137" s="7" t="str">
        <f t="shared" si="40"/>
        <v/>
      </c>
    </row>
    <row r="138" spans="1:11" x14ac:dyDescent="0.3">
      <c r="A138" s="8" t="s">
        <v>82</v>
      </c>
      <c r="B138" s="9" t="s">
        <v>72</v>
      </c>
      <c r="C138" s="192"/>
      <c r="D138" s="103" t="s">
        <v>1079</v>
      </c>
      <c r="E138" s="101"/>
      <c r="F138" s="52">
        <v>1</v>
      </c>
      <c r="G138" s="52">
        <f t="shared" si="38"/>
        <v>1</v>
      </c>
      <c r="H138" s="106">
        <f>'2 - Section Count Projection'!$G$21</f>
        <v>0</v>
      </c>
      <c r="I138" s="52">
        <f t="shared" si="39"/>
        <v>0</v>
      </c>
      <c r="K138" s="7" t="str">
        <f t="shared" si="40"/>
        <v/>
      </c>
    </row>
    <row r="139" spans="1:11" x14ac:dyDescent="0.3">
      <c r="A139" s="8" t="s">
        <v>82</v>
      </c>
      <c r="B139" s="9" t="s">
        <v>72</v>
      </c>
      <c r="C139" s="192"/>
      <c r="D139" s="103" t="s">
        <v>1080</v>
      </c>
      <c r="E139" s="101"/>
      <c r="F139" s="52">
        <v>1</v>
      </c>
      <c r="G139" s="52">
        <f t="shared" si="38"/>
        <v>1</v>
      </c>
      <c r="H139" s="106">
        <f>'2 - Section Count Projection'!$G$21</f>
        <v>0</v>
      </c>
      <c r="I139" s="52">
        <f t="shared" si="39"/>
        <v>0</v>
      </c>
      <c r="K139" s="7" t="str">
        <f t="shared" si="40"/>
        <v/>
      </c>
    </row>
    <row r="140" spans="1:11" x14ac:dyDescent="0.3">
      <c r="K140" s="7" t="str">
        <f t="shared" si="40"/>
        <v/>
      </c>
    </row>
    <row r="141" spans="1:11" x14ac:dyDescent="0.3">
      <c r="A141" s="9" t="s">
        <v>1111</v>
      </c>
      <c r="B141" s="9" t="s">
        <v>68</v>
      </c>
      <c r="C141" s="103" t="s">
        <v>1069</v>
      </c>
      <c r="D141" s="103" t="s">
        <v>1070</v>
      </c>
      <c r="E141" s="6" t="s">
        <v>27</v>
      </c>
      <c r="F141" s="52">
        <v>3</v>
      </c>
      <c r="G141" s="52">
        <f t="shared" ref="G141:G150" si="43">SUM(F141:F141)</f>
        <v>3</v>
      </c>
      <c r="H141" s="108">
        <f>'2 - Section Count Projection'!$G$46</f>
        <v>0</v>
      </c>
      <c r="I141" s="8">
        <f t="shared" ref="I141:I160" si="44">H141*G141</f>
        <v>0</v>
      </c>
      <c r="K141" s="7" t="str">
        <f t="shared" si="40"/>
        <v/>
      </c>
    </row>
    <row r="142" spans="1:11" x14ac:dyDescent="0.3">
      <c r="A142" s="9" t="s">
        <v>1111</v>
      </c>
      <c r="B142" s="9" t="s">
        <v>68</v>
      </c>
      <c r="C142" s="103" t="s">
        <v>1069</v>
      </c>
      <c r="D142" s="103" t="s">
        <v>1071</v>
      </c>
      <c r="E142" s="6" t="s">
        <v>36</v>
      </c>
      <c r="F142" s="52">
        <v>3</v>
      </c>
      <c r="G142" s="52">
        <f t="shared" si="43"/>
        <v>3</v>
      </c>
      <c r="H142" s="108">
        <f>'2 - Section Count Projection'!$G$46</f>
        <v>0</v>
      </c>
      <c r="I142" s="8">
        <f t="shared" si="44"/>
        <v>0</v>
      </c>
      <c r="K142" s="7" t="str">
        <f t="shared" si="40"/>
        <v/>
      </c>
    </row>
    <row r="143" spans="1:11" x14ac:dyDescent="0.3">
      <c r="A143" s="9" t="s">
        <v>1111</v>
      </c>
      <c r="B143" s="9" t="s">
        <v>68</v>
      </c>
      <c r="C143" s="103" t="s">
        <v>1069</v>
      </c>
      <c r="D143" s="103" t="s">
        <v>1072</v>
      </c>
      <c r="E143" s="6" t="s">
        <v>27</v>
      </c>
      <c r="F143" s="52">
        <v>3</v>
      </c>
      <c r="G143" s="52">
        <f t="shared" si="43"/>
        <v>3</v>
      </c>
      <c r="H143" s="108">
        <f>'2 - Section Count Projection'!$G$46</f>
        <v>0</v>
      </c>
      <c r="I143" s="8">
        <f t="shared" si="44"/>
        <v>0</v>
      </c>
      <c r="K143" s="7" t="str">
        <f t="shared" si="40"/>
        <v/>
      </c>
    </row>
    <row r="144" spans="1:11" x14ac:dyDescent="0.3">
      <c r="A144" s="9" t="s">
        <v>1111</v>
      </c>
      <c r="B144" s="9" t="s">
        <v>68</v>
      </c>
      <c r="C144" s="103" t="s">
        <v>1069</v>
      </c>
      <c r="D144" s="103" t="s">
        <v>1073</v>
      </c>
      <c r="E144" s="101"/>
      <c r="F144" s="52">
        <v>3</v>
      </c>
      <c r="G144" s="52">
        <f t="shared" si="43"/>
        <v>3</v>
      </c>
      <c r="H144" s="108">
        <f>'2 - Section Count Projection'!$G$46</f>
        <v>0</v>
      </c>
      <c r="I144" s="8">
        <f t="shared" si="44"/>
        <v>0</v>
      </c>
      <c r="K144" s="7" t="str">
        <f t="shared" si="40"/>
        <v/>
      </c>
    </row>
    <row r="145" spans="1:11" x14ac:dyDescent="0.3">
      <c r="A145" s="9" t="s">
        <v>1111</v>
      </c>
      <c r="B145" s="9" t="s">
        <v>68</v>
      </c>
      <c r="C145" s="103" t="s">
        <v>1069</v>
      </c>
      <c r="D145" s="103" t="s">
        <v>1074</v>
      </c>
      <c r="E145" s="6" t="s">
        <v>41</v>
      </c>
      <c r="F145" s="52">
        <v>3</v>
      </c>
      <c r="G145" s="52">
        <f t="shared" si="43"/>
        <v>3</v>
      </c>
      <c r="H145" s="108">
        <f>'2 - Section Count Projection'!$G$46</f>
        <v>0</v>
      </c>
      <c r="I145" s="8">
        <f t="shared" si="44"/>
        <v>0</v>
      </c>
      <c r="K145" s="7" t="str">
        <f t="shared" si="40"/>
        <v/>
      </c>
    </row>
    <row r="146" spans="1:11" x14ac:dyDescent="0.3">
      <c r="A146" s="9" t="s">
        <v>1111</v>
      </c>
      <c r="B146" s="9" t="s">
        <v>68</v>
      </c>
      <c r="C146" s="103" t="s">
        <v>1069</v>
      </c>
      <c r="D146" s="103" t="s">
        <v>1075</v>
      </c>
      <c r="E146" s="6" t="s">
        <v>38</v>
      </c>
      <c r="F146" s="52">
        <v>3</v>
      </c>
      <c r="G146" s="52">
        <f t="shared" si="43"/>
        <v>3</v>
      </c>
      <c r="H146" s="108">
        <f>'2 - Section Count Projection'!$G$46</f>
        <v>0</v>
      </c>
      <c r="I146" s="8">
        <f t="shared" si="44"/>
        <v>0</v>
      </c>
      <c r="K146" s="7" t="str">
        <f t="shared" si="40"/>
        <v/>
      </c>
    </row>
    <row r="147" spans="1:11" x14ac:dyDescent="0.3">
      <c r="A147" s="27" t="s">
        <v>1111</v>
      </c>
      <c r="B147" s="9" t="s">
        <v>68</v>
      </c>
      <c r="C147" s="103" t="s">
        <v>1076</v>
      </c>
      <c r="D147" s="103" t="s">
        <v>244</v>
      </c>
      <c r="E147" s="6" t="s">
        <v>34</v>
      </c>
      <c r="F147" s="52">
        <v>3</v>
      </c>
      <c r="G147" s="52">
        <f t="shared" si="43"/>
        <v>3</v>
      </c>
      <c r="H147" s="108">
        <f>'2 - Section Count Projection'!$G$46</f>
        <v>0</v>
      </c>
      <c r="I147" s="8">
        <f t="shared" si="44"/>
        <v>0</v>
      </c>
      <c r="K147" s="7" t="str">
        <f t="shared" si="40"/>
        <v/>
      </c>
    </row>
    <row r="148" spans="1:11" x14ac:dyDescent="0.3">
      <c r="A148" s="27" t="s">
        <v>1111</v>
      </c>
      <c r="B148" s="9" t="s">
        <v>68</v>
      </c>
      <c r="C148" s="103" t="s">
        <v>1076</v>
      </c>
      <c r="D148" s="103" t="s">
        <v>1112</v>
      </c>
      <c r="E148" s="6" t="s">
        <v>23</v>
      </c>
      <c r="F148" s="52">
        <v>3</v>
      </c>
      <c r="G148" s="52">
        <f t="shared" si="43"/>
        <v>3</v>
      </c>
      <c r="H148" s="108">
        <f>'2 - Section Count Projection'!$G$46</f>
        <v>0</v>
      </c>
      <c r="I148" s="8">
        <f t="shared" si="44"/>
        <v>0</v>
      </c>
      <c r="K148" s="7" t="str">
        <f t="shared" si="40"/>
        <v/>
      </c>
    </row>
    <row r="149" spans="1:11" x14ac:dyDescent="0.3">
      <c r="A149" s="8" t="s">
        <v>1111</v>
      </c>
      <c r="B149" s="9" t="s">
        <v>68</v>
      </c>
      <c r="C149" s="192"/>
      <c r="D149" s="103" t="s">
        <v>1079</v>
      </c>
      <c r="E149" s="101"/>
      <c r="F149" s="52">
        <v>1</v>
      </c>
      <c r="G149" s="52">
        <f t="shared" si="43"/>
        <v>1</v>
      </c>
      <c r="H149" s="106">
        <f>'2 - Section Count Projection'!$G$21</f>
        <v>0</v>
      </c>
      <c r="I149" s="52">
        <f t="shared" si="44"/>
        <v>0</v>
      </c>
      <c r="K149" s="7" t="str">
        <f t="shared" si="40"/>
        <v/>
      </c>
    </row>
    <row r="150" spans="1:11" x14ac:dyDescent="0.3">
      <c r="A150" s="8" t="s">
        <v>1111</v>
      </c>
      <c r="B150" s="9" t="s">
        <v>68</v>
      </c>
      <c r="C150" s="192"/>
      <c r="D150" s="103" t="s">
        <v>1080</v>
      </c>
      <c r="E150" s="101"/>
      <c r="F150" s="52">
        <v>1</v>
      </c>
      <c r="G150" s="52">
        <f t="shared" si="43"/>
        <v>1</v>
      </c>
      <c r="H150" s="106">
        <f>'2 - Section Count Projection'!$G$21</f>
        <v>0</v>
      </c>
      <c r="I150" s="52">
        <f t="shared" si="44"/>
        <v>0</v>
      </c>
      <c r="K150" s="7" t="str">
        <f t="shared" si="40"/>
        <v/>
      </c>
    </row>
    <row r="151" spans="1:11" x14ac:dyDescent="0.3">
      <c r="K151" s="7" t="str">
        <f t="shared" si="40"/>
        <v/>
      </c>
    </row>
    <row r="152" spans="1:11" x14ac:dyDescent="0.3">
      <c r="A152" s="27" t="s">
        <v>1111</v>
      </c>
      <c r="B152" s="27" t="s">
        <v>72</v>
      </c>
      <c r="C152" s="103" t="s">
        <v>1069</v>
      </c>
      <c r="D152" s="103" t="s">
        <v>1081</v>
      </c>
      <c r="E152" s="6" t="s">
        <v>41</v>
      </c>
      <c r="F152" s="52">
        <v>3</v>
      </c>
      <c r="G152" s="52">
        <f>SUM(F152:F152)</f>
        <v>3</v>
      </c>
      <c r="H152" s="108">
        <f>'2 - Section Count Projection'!$G$48</f>
        <v>0</v>
      </c>
      <c r="I152" s="8">
        <f t="shared" si="44"/>
        <v>0</v>
      </c>
      <c r="K152" s="7" t="str">
        <f t="shared" si="40"/>
        <v/>
      </c>
    </row>
    <row r="153" spans="1:11" x14ac:dyDescent="0.3">
      <c r="A153" s="27" t="s">
        <v>1111</v>
      </c>
      <c r="B153" s="27" t="s">
        <v>72</v>
      </c>
      <c r="C153" s="103" t="s">
        <v>1069</v>
      </c>
      <c r="D153" s="103" t="s">
        <v>1082</v>
      </c>
      <c r="E153" s="6" t="s">
        <v>30</v>
      </c>
      <c r="F153" s="52">
        <v>3</v>
      </c>
      <c r="G153" s="52">
        <f t="shared" ref="G153:G192" si="45">SUM(F153:F153)</f>
        <v>3</v>
      </c>
      <c r="H153" s="108">
        <f>'2 - Section Count Projection'!$G$48</f>
        <v>0</v>
      </c>
      <c r="I153" s="8">
        <f t="shared" si="44"/>
        <v>0</v>
      </c>
      <c r="K153" s="7" t="str">
        <f t="shared" si="40"/>
        <v/>
      </c>
    </row>
    <row r="154" spans="1:11" x14ac:dyDescent="0.3">
      <c r="A154" s="27" t="s">
        <v>1111</v>
      </c>
      <c r="B154" s="27" t="s">
        <v>72</v>
      </c>
      <c r="C154" s="103" t="s">
        <v>1069</v>
      </c>
      <c r="D154" s="103" t="s">
        <v>1083</v>
      </c>
      <c r="E154" s="4" t="s">
        <v>40</v>
      </c>
      <c r="F154" s="52">
        <v>3</v>
      </c>
      <c r="G154" s="52">
        <v>3</v>
      </c>
      <c r="H154" s="108">
        <f>'2 - Section Count Projection'!$G$48</f>
        <v>0</v>
      </c>
      <c r="I154" s="8">
        <f t="shared" si="44"/>
        <v>0</v>
      </c>
      <c r="K154" s="7" t="str">
        <f t="shared" si="40"/>
        <v/>
      </c>
    </row>
    <row r="155" spans="1:11" x14ac:dyDescent="0.3">
      <c r="A155" s="27" t="s">
        <v>1111</v>
      </c>
      <c r="B155" s="27" t="s">
        <v>72</v>
      </c>
      <c r="C155" s="103" t="s">
        <v>1069</v>
      </c>
      <c r="D155" s="103" t="s">
        <v>1084</v>
      </c>
      <c r="E155" s="6" t="s">
        <v>38</v>
      </c>
      <c r="F155" s="52">
        <v>3</v>
      </c>
      <c r="G155" s="52">
        <f t="shared" si="45"/>
        <v>3</v>
      </c>
      <c r="H155" s="108">
        <f>'2 - Section Count Projection'!$G$48</f>
        <v>0</v>
      </c>
      <c r="I155" s="8">
        <f t="shared" si="44"/>
        <v>0</v>
      </c>
      <c r="K155" s="7" t="str">
        <f t="shared" si="40"/>
        <v/>
      </c>
    </row>
    <row r="156" spans="1:11" x14ac:dyDescent="0.3">
      <c r="A156" s="27" t="s">
        <v>1111</v>
      </c>
      <c r="B156" s="27" t="s">
        <v>72</v>
      </c>
      <c r="C156" s="103" t="s">
        <v>1085</v>
      </c>
      <c r="D156" s="103" t="s">
        <v>1086</v>
      </c>
      <c r="E156" s="101"/>
      <c r="F156" s="52">
        <v>3</v>
      </c>
      <c r="G156" s="52">
        <f t="shared" si="45"/>
        <v>3</v>
      </c>
      <c r="H156" s="108">
        <f>'2 - Section Count Projection'!$G$48</f>
        <v>0</v>
      </c>
      <c r="I156" s="8">
        <f t="shared" si="44"/>
        <v>0</v>
      </c>
      <c r="K156" s="7" t="str">
        <f t="shared" si="40"/>
        <v/>
      </c>
    </row>
    <row r="157" spans="1:11" x14ac:dyDescent="0.3">
      <c r="A157" s="27" t="s">
        <v>1111</v>
      </c>
      <c r="B157" s="27" t="s">
        <v>72</v>
      </c>
      <c r="C157" s="103" t="s">
        <v>1085</v>
      </c>
      <c r="D157" s="103" t="s">
        <v>1087</v>
      </c>
      <c r="E157" s="6" t="s">
        <v>30</v>
      </c>
      <c r="F157" s="52">
        <v>3</v>
      </c>
      <c r="G157" s="52">
        <f t="shared" si="45"/>
        <v>3</v>
      </c>
      <c r="H157" s="108">
        <f>'2 - Section Count Projection'!$G$48</f>
        <v>0</v>
      </c>
      <c r="I157" s="8">
        <f t="shared" si="44"/>
        <v>0</v>
      </c>
      <c r="K157" s="7" t="str">
        <f t="shared" si="40"/>
        <v/>
      </c>
    </row>
    <row r="158" spans="1:11" x14ac:dyDescent="0.3">
      <c r="A158" s="27" t="s">
        <v>1111</v>
      </c>
      <c r="B158" s="27" t="s">
        <v>72</v>
      </c>
      <c r="C158" s="103" t="s">
        <v>1085</v>
      </c>
      <c r="D158" s="103" t="s">
        <v>1088</v>
      </c>
      <c r="E158" s="6" t="s">
        <v>27</v>
      </c>
      <c r="F158" s="52">
        <v>3</v>
      </c>
      <c r="G158" s="52">
        <f t="shared" si="45"/>
        <v>3</v>
      </c>
      <c r="H158" s="108">
        <f>'2 - Section Count Projection'!$G$48</f>
        <v>0</v>
      </c>
      <c r="I158" s="8">
        <f t="shared" si="44"/>
        <v>0</v>
      </c>
      <c r="K158" s="7" t="str">
        <f t="shared" si="40"/>
        <v/>
      </c>
    </row>
    <row r="159" spans="1:11" x14ac:dyDescent="0.3">
      <c r="A159" s="27" t="s">
        <v>1111</v>
      </c>
      <c r="B159" s="27" t="s">
        <v>72</v>
      </c>
      <c r="C159" s="103" t="s">
        <v>1076</v>
      </c>
      <c r="D159" s="103" t="s">
        <v>1113</v>
      </c>
      <c r="E159" s="6" t="s">
        <v>23</v>
      </c>
      <c r="F159" s="52">
        <v>3</v>
      </c>
      <c r="G159" s="52">
        <f t="shared" ref="G159" si="46">SUM(F159:F159)</f>
        <v>3</v>
      </c>
      <c r="H159" s="108">
        <f>'2 - Section Count Projection'!$G$48</f>
        <v>0</v>
      </c>
      <c r="I159" s="8">
        <f t="shared" ref="I159" si="47">H159*G159</f>
        <v>0</v>
      </c>
      <c r="K159" s="7" t="str">
        <f t="shared" si="40"/>
        <v/>
      </c>
    </row>
    <row r="160" spans="1:11" x14ac:dyDescent="0.3">
      <c r="A160" s="27" t="s">
        <v>1111</v>
      </c>
      <c r="B160" s="27" t="s">
        <v>72</v>
      </c>
      <c r="C160" s="103" t="s">
        <v>1076</v>
      </c>
      <c r="D160" s="103" t="s">
        <v>1114</v>
      </c>
      <c r="E160" s="6" t="s">
        <v>34</v>
      </c>
      <c r="F160" s="52">
        <v>3</v>
      </c>
      <c r="G160" s="52">
        <f t="shared" si="45"/>
        <v>3</v>
      </c>
      <c r="H160" s="108">
        <f>'2 - Section Count Projection'!$G$48</f>
        <v>0</v>
      </c>
      <c r="I160" s="8">
        <f t="shared" si="44"/>
        <v>0</v>
      </c>
      <c r="K160" s="7" t="str">
        <f t="shared" si="40"/>
        <v/>
      </c>
    </row>
    <row r="161" spans="1:11" x14ac:dyDescent="0.3">
      <c r="A161" s="8" t="s">
        <v>1111</v>
      </c>
      <c r="B161" s="9" t="s">
        <v>72</v>
      </c>
      <c r="C161" s="192"/>
      <c r="D161" s="103" t="s">
        <v>1079</v>
      </c>
      <c r="E161" s="101"/>
      <c r="F161" s="52">
        <v>1</v>
      </c>
      <c r="G161" s="52">
        <f t="shared" si="45"/>
        <v>1</v>
      </c>
      <c r="H161" s="106">
        <f>'2 - Section Count Projection'!$G$21</f>
        <v>0</v>
      </c>
      <c r="I161" s="52">
        <f t="shared" ref="I161:I162" si="48">H161*G161</f>
        <v>0</v>
      </c>
      <c r="K161" s="7" t="str">
        <f t="shared" si="40"/>
        <v/>
      </c>
    </row>
    <row r="162" spans="1:11" x14ac:dyDescent="0.3">
      <c r="A162" s="8" t="s">
        <v>1111</v>
      </c>
      <c r="B162" s="9" t="s">
        <v>72</v>
      </c>
      <c r="C162" s="192"/>
      <c r="D162" s="103" t="s">
        <v>1080</v>
      </c>
      <c r="E162" s="101"/>
      <c r="F162" s="52">
        <v>1</v>
      </c>
      <c r="G162" s="52">
        <f t="shared" si="45"/>
        <v>1</v>
      </c>
      <c r="H162" s="106">
        <f>'2 - Section Count Projection'!$G$21</f>
        <v>0</v>
      </c>
      <c r="I162" s="52">
        <f t="shared" si="48"/>
        <v>0</v>
      </c>
      <c r="K162" s="7" t="str">
        <f t="shared" si="40"/>
        <v/>
      </c>
    </row>
    <row r="163" spans="1:11" x14ac:dyDescent="0.3">
      <c r="K163" s="7" t="str">
        <f t="shared" si="40"/>
        <v/>
      </c>
    </row>
    <row r="164" spans="1:11" x14ac:dyDescent="0.3">
      <c r="A164" s="9" t="s">
        <v>1115</v>
      </c>
      <c r="B164" s="9" t="s">
        <v>68</v>
      </c>
      <c r="C164" s="103" t="s">
        <v>1069</v>
      </c>
      <c r="D164" s="103" t="s">
        <v>1070</v>
      </c>
      <c r="E164" s="6" t="s">
        <v>27</v>
      </c>
      <c r="F164" s="52">
        <v>3</v>
      </c>
      <c r="G164" s="52">
        <f t="shared" si="45"/>
        <v>3</v>
      </c>
      <c r="H164" s="108">
        <v>2</v>
      </c>
      <c r="I164" s="8">
        <f>H164*G164</f>
        <v>6</v>
      </c>
      <c r="K164" s="7">
        <f t="shared" si="40"/>
        <v>3</v>
      </c>
    </row>
    <row r="165" spans="1:11" x14ac:dyDescent="0.3">
      <c r="A165" s="9" t="s">
        <v>1115</v>
      </c>
      <c r="B165" s="9" t="s">
        <v>68</v>
      </c>
      <c r="C165" s="103" t="s">
        <v>1069</v>
      </c>
      <c r="D165" s="103" t="s">
        <v>1071</v>
      </c>
      <c r="E165" s="6" t="s">
        <v>36</v>
      </c>
      <c r="F165" s="52">
        <v>3</v>
      </c>
      <c r="G165" s="52">
        <f t="shared" si="45"/>
        <v>3</v>
      </c>
      <c r="H165" s="108">
        <v>2</v>
      </c>
      <c r="I165" s="8">
        <f t="shared" ref="I165:I196" si="49">H165*G165</f>
        <v>6</v>
      </c>
      <c r="K165" s="7">
        <f t="shared" si="40"/>
        <v>3</v>
      </c>
    </row>
    <row r="166" spans="1:11" x14ac:dyDescent="0.3">
      <c r="A166" s="9" t="s">
        <v>1115</v>
      </c>
      <c r="B166" s="9" t="s">
        <v>68</v>
      </c>
      <c r="C166" s="103" t="s">
        <v>1069</v>
      </c>
      <c r="D166" s="103" t="s">
        <v>1072</v>
      </c>
      <c r="E166" s="6" t="s">
        <v>27</v>
      </c>
      <c r="F166" s="52">
        <v>3</v>
      </c>
      <c r="G166" s="52">
        <f t="shared" si="45"/>
        <v>3</v>
      </c>
      <c r="H166" s="108">
        <v>2</v>
      </c>
      <c r="I166" s="8">
        <f t="shared" si="49"/>
        <v>6</v>
      </c>
      <c r="K166" s="7">
        <f t="shared" si="40"/>
        <v>3</v>
      </c>
    </row>
    <row r="167" spans="1:11" x14ac:dyDescent="0.3">
      <c r="A167" s="9" t="s">
        <v>1115</v>
      </c>
      <c r="B167" s="9" t="s">
        <v>68</v>
      </c>
      <c r="C167" s="103" t="s">
        <v>1069</v>
      </c>
      <c r="D167" s="103" t="s">
        <v>1073</v>
      </c>
      <c r="E167" s="101"/>
      <c r="F167" s="52">
        <v>3</v>
      </c>
      <c r="G167" s="52">
        <f t="shared" si="45"/>
        <v>3</v>
      </c>
      <c r="H167" s="108">
        <v>2</v>
      </c>
      <c r="I167" s="8">
        <f t="shared" si="49"/>
        <v>6</v>
      </c>
      <c r="K167" s="7">
        <f t="shared" si="40"/>
        <v>3</v>
      </c>
    </row>
    <row r="168" spans="1:11" x14ac:dyDescent="0.3">
      <c r="A168" s="9" t="s">
        <v>1115</v>
      </c>
      <c r="B168" s="9" t="s">
        <v>68</v>
      </c>
      <c r="C168" s="103" t="s">
        <v>1069</v>
      </c>
      <c r="D168" s="103" t="s">
        <v>1074</v>
      </c>
      <c r="E168" s="6" t="s">
        <v>41</v>
      </c>
      <c r="F168" s="52">
        <v>3</v>
      </c>
      <c r="G168" s="52">
        <f t="shared" si="45"/>
        <v>3</v>
      </c>
      <c r="H168" s="108">
        <v>2</v>
      </c>
      <c r="I168" s="8">
        <f t="shared" si="49"/>
        <v>6</v>
      </c>
      <c r="K168" s="7">
        <f t="shared" si="40"/>
        <v>3</v>
      </c>
    </row>
    <row r="169" spans="1:11" x14ac:dyDescent="0.3">
      <c r="A169" s="9" t="s">
        <v>1115</v>
      </c>
      <c r="B169" s="9" t="s">
        <v>68</v>
      </c>
      <c r="C169" s="103" t="s">
        <v>1069</v>
      </c>
      <c r="D169" s="103" t="s">
        <v>1075</v>
      </c>
      <c r="E169" s="6" t="s">
        <v>38</v>
      </c>
      <c r="F169" s="52">
        <v>3</v>
      </c>
      <c r="G169" s="52">
        <f t="shared" si="45"/>
        <v>3</v>
      </c>
      <c r="H169" s="108">
        <v>2</v>
      </c>
      <c r="I169" s="8">
        <f t="shared" si="49"/>
        <v>6</v>
      </c>
      <c r="K169" s="7">
        <f t="shared" si="40"/>
        <v>3</v>
      </c>
    </row>
    <row r="170" spans="1:11" x14ac:dyDescent="0.3">
      <c r="A170" s="9" t="s">
        <v>1115</v>
      </c>
      <c r="B170" s="9" t="s">
        <v>68</v>
      </c>
      <c r="C170" s="103" t="s">
        <v>1076</v>
      </c>
      <c r="D170" s="103" t="s">
        <v>1116</v>
      </c>
      <c r="E170" s="6" t="s">
        <v>32</v>
      </c>
      <c r="F170" s="52">
        <v>3</v>
      </c>
      <c r="G170" s="52">
        <f t="shared" si="45"/>
        <v>3</v>
      </c>
      <c r="H170" s="108">
        <v>2</v>
      </c>
      <c r="I170" s="8">
        <f t="shared" si="49"/>
        <v>6</v>
      </c>
      <c r="K170" s="7">
        <f t="shared" si="40"/>
        <v>3</v>
      </c>
    </row>
    <row r="171" spans="1:11" x14ac:dyDescent="0.3">
      <c r="A171" s="9" t="s">
        <v>1115</v>
      </c>
      <c r="B171" s="9" t="s">
        <v>68</v>
      </c>
      <c r="C171" s="103" t="s">
        <v>1076</v>
      </c>
      <c r="D171" s="103" t="s">
        <v>1117</v>
      </c>
      <c r="E171" s="6" t="s">
        <v>32</v>
      </c>
      <c r="F171" s="52">
        <v>3</v>
      </c>
      <c r="G171" s="52">
        <f t="shared" si="45"/>
        <v>3</v>
      </c>
      <c r="H171" s="108">
        <v>2</v>
      </c>
      <c r="I171" s="8">
        <f t="shared" si="49"/>
        <v>6</v>
      </c>
      <c r="K171" s="7">
        <f t="shared" si="40"/>
        <v>3</v>
      </c>
    </row>
    <row r="172" spans="1:11" x14ac:dyDescent="0.3">
      <c r="A172" s="9" t="s">
        <v>1115</v>
      </c>
      <c r="B172" s="9" t="s">
        <v>68</v>
      </c>
      <c r="C172" s="192"/>
      <c r="D172" s="103" t="s">
        <v>1079</v>
      </c>
      <c r="E172" s="101"/>
      <c r="F172" s="52">
        <v>1</v>
      </c>
      <c r="G172" s="52">
        <f t="shared" ref="G172:G173" si="50">SUM(F172:F172)</f>
        <v>1</v>
      </c>
      <c r="H172" s="106">
        <v>2</v>
      </c>
      <c r="I172" s="52">
        <f t="shared" si="49"/>
        <v>2</v>
      </c>
      <c r="K172" s="7">
        <f t="shared" si="40"/>
        <v>1</v>
      </c>
    </row>
    <row r="173" spans="1:11" x14ac:dyDescent="0.3">
      <c r="A173" s="9" t="s">
        <v>1115</v>
      </c>
      <c r="B173" s="9" t="s">
        <v>68</v>
      </c>
      <c r="C173" s="192"/>
      <c r="D173" s="103" t="s">
        <v>1080</v>
      </c>
      <c r="E173" s="101"/>
      <c r="F173" s="52">
        <v>1</v>
      </c>
      <c r="G173" s="52">
        <f t="shared" si="50"/>
        <v>1</v>
      </c>
      <c r="H173" s="106">
        <v>2</v>
      </c>
      <c r="I173" s="52">
        <f t="shared" si="49"/>
        <v>2</v>
      </c>
      <c r="K173" s="7">
        <f t="shared" si="40"/>
        <v>1</v>
      </c>
    </row>
    <row r="174" spans="1:11" x14ac:dyDescent="0.3">
      <c r="A174" s="7"/>
      <c r="K174" s="7" t="str">
        <f t="shared" si="40"/>
        <v/>
      </c>
    </row>
    <row r="175" spans="1:11" x14ac:dyDescent="0.3">
      <c r="A175" s="27" t="s">
        <v>1115</v>
      </c>
      <c r="B175" s="27" t="s">
        <v>72</v>
      </c>
      <c r="C175" s="103" t="s">
        <v>1069</v>
      </c>
      <c r="D175" s="103" t="s">
        <v>1081</v>
      </c>
      <c r="E175" s="6" t="s">
        <v>41</v>
      </c>
      <c r="F175" s="52">
        <v>3</v>
      </c>
      <c r="G175" s="52">
        <f t="shared" si="45"/>
        <v>3</v>
      </c>
      <c r="H175" s="108">
        <v>2</v>
      </c>
      <c r="I175" s="8">
        <f t="shared" si="49"/>
        <v>6</v>
      </c>
      <c r="K175" s="7">
        <f t="shared" si="40"/>
        <v>3</v>
      </c>
    </row>
    <row r="176" spans="1:11" x14ac:dyDescent="0.3">
      <c r="A176" s="27" t="s">
        <v>1115</v>
      </c>
      <c r="B176" s="27" t="s">
        <v>72</v>
      </c>
      <c r="C176" s="103" t="s">
        <v>1069</v>
      </c>
      <c r="D176" s="103" t="s">
        <v>1082</v>
      </c>
      <c r="E176" s="6" t="s">
        <v>30</v>
      </c>
      <c r="F176" s="52">
        <v>3</v>
      </c>
      <c r="G176" s="52">
        <f t="shared" si="45"/>
        <v>3</v>
      </c>
      <c r="H176" s="108">
        <v>2</v>
      </c>
      <c r="I176" s="8">
        <f t="shared" si="49"/>
        <v>6</v>
      </c>
      <c r="K176" s="7">
        <f t="shared" si="40"/>
        <v>3</v>
      </c>
    </row>
    <row r="177" spans="1:11" x14ac:dyDescent="0.3">
      <c r="A177" s="27" t="s">
        <v>1115</v>
      </c>
      <c r="B177" s="27" t="s">
        <v>72</v>
      </c>
      <c r="C177" s="103" t="s">
        <v>1069</v>
      </c>
      <c r="D177" s="103" t="s">
        <v>1083</v>
      </c>
      <c r="E177" s="4" t="s">
        <v>40</v>
      </c>
      <c r="F177" s="52">
        <v>3</v>
      </c>
      <c r="G177" s="52">
        <v>3</v>
      </c>
      <c r="H177" s="108">
        <v>2</v>
      </c>
      <c r="I177" s="8">
        <f t="shared" si="49"/>
        <v>6</v>
      </c>
      <c r="K177" s="7">
        <f t="shared" si="40"/>
        <v>3</v>
      </c>
    </row>
    <row r="178" spans="1:11" x14ac:dyDescent="0.3">
      <c r="A178" s="27" t="s">
        <v>1115</v>
      </c>
      <c r="B178" s="27" t="s">
        <v>72</v>
      </c>
      <c r="C178" s="103" t="s">
        <v>1069</v>
      </c>
      <c r="D178" s="103" t="s">
        <v>1084</v>
      </c>
      <c r="E178" s="6" t="s">
        <v>38</v>
      </c>
      <c r="F178" s="52">
        <v>3</v>
      </c>
      <c r="G178" s="52">
        <f t="shared" si="45"/>
        <v>3</v>
      </c>
      <c r="H178" s="108">
        <v>2</v>
      </c>
      <c r="I178" s="8">
        <f t="shared" si="49"/>
        <v>6</v>
      </c>
      <c r="K178" s="7">
        <f t="shared" si="40"/>
        <v>3</v>
      </c>
    </row>
    <row r="179" spans="1:11" x14ac:dyDescent="0.3">
      <c r="A179" s="27" t="s">
        <v>1115</v>
      </c>
      <c r="B179" s="27" t="s">
        <v>72</v>
      </c>
      <c r="C179" s="103" t="s">
        <v>1085</v>
      </c>
      <c r="D179" s="103" t="s">
        <v>1086</v>
      </c>
      <c r="E179" s="101"/>
      <c r="F179" s="52">
        <v>3</v>
      </c>
      <c r="G179" s="52">
        <f t="shared" si="45"/>
        <v>3</v>
      </c>
      <c r="H179" s="108">
        <v>2</v>
      </c>
      <c r="I179" s="8">
        <f t="shared" si="49"/>
        <v>6</v>
      </c>
      <c r="K179" s="7">
        <f t="shared" si="40"/>
        <v>3</v>
      </c>
    </row>
    <row r="180" spans="1:11" x14ac:dyDescent="0.3">
      <c r="A180" s="27" t="s">
        <v>1115</v>
      </c>
      <c r="B180" s="27" t="s">
        <v>72</v>
      </c>
      <c r="C180" s="103" t="s">
        <v>1085</v>
      </c>
      <c r="D180" s="103" t="s">
        <v>1087</v>
      </c>
      <c r="E180" s="6" t="s">
        <v>30</v>
      </c>
      <c r="F180" s="52">
        <v>3</v>
      </c>
      <c r="G180" s="52">
        <f t="shared" si="45"/>
        <v>3</v>
      </c>
      <c r="H180" s="108">
        <v>2</v>
      </c>
      <c r="I180" s="8">
        <f t="shared" si="49"/>
        <v>6</v>
      </c>
      <c r="K180" s="7">
        <f t="shared" si="40"/>
        <v>3</v>
      </c>
    </row>
    <row r="181" spans="1:11" x14ac:dyDescent="0.3">
      <c r="A181" s="27" t="s">
        <v>1115</v>
      </c>
      <c r="B181" s="27" t="s">
        <v>72</v>
      </c>
      <c r="C181" s="103" t="s">
        <v>1085</v>
      </c>
      <c r="D181" s="103" t="s">
        <v>1088</v>
      </c>
      <c r="E181" s="6" t="s">
        <v>27</v>
      </c>
      <c r="F181" s="52">
        <v>3</v>
      </c>
      <c r="G181" s="52">
        <f t="shared" ref="G181" si="51">SUM(F181:F181)</f>
        <v>3</v>
      </c>
      <c r="H181" s="108">
        <v>2</v>
      </c>
      <c r="I181" s="8">
        <f t="shared" ref="I181" si="52">H181*G181</f>
        <v>6</v>
      </c>
      <c r="K181" s="7">
        <f t="shared" si="40"/>
        <v>3</v>
      </c>
    </row>
    <row r="182" spans="1:11" x14ac:dyDescent="0.3">
      <c r="A182" s="27" t="s">
        <v>1115</v>
      </c>
      <c r="B182" s="27" t="s">
        <v>72</v>
      </c>
      <c r="C182" s="103" t="s">
        <v>1076</v>
      </c>
      <c r="D182" s="103" t="s">
        <v>1118</v>
      </c>
      <c r="E182" s="6" t="s">
        <v>32</v>
      </c>
      <c r="F182" s="52">
        <v>3</v>
      </c>
      <c r="G182" s="52">
        <f t="shared" si="45"/>
        <v>3</v>
      </c>
      <c r="H182" s="108">
        <v>2</v>
      </c>
      <c r="I182" s="8">
        <f t="shared" si="49"/>
        <v>6</v>
      </c>
      <c r="K182" s="7">
        <f t="shared" si="40"/>
        <v>3</v>
      </c>
    </row>
    <row r="183" spans="1:11" x14ac:dyDescent="0.3">
      <c r="A183" s="27" t="s">
        <v>1115</v>
      </c>
      <c r="B183" s="27" t="s">
        <v>72</v>
      </c>
      <c r="C183" s="103" t="s">
        <v>1076</v>
      </c>
      <c r="D183" s="103" t="s">
        <v>1119</v>
      </c>
      <c r="E183" s="6" t="s">
        <v>32</v>
      </c>
      <c r="F183" s="52">
        <v>3</v>
      </c>
      <c r="G183" s="52">
        <f t="shared" si="45"/>
        <v>3</v>
      </c>
      <c r="H183" s="108">
        <v>2</v>
      </c>
      <c r="I183" s="8">
        <f t="shared" si="49"/>
        <v>6</v>
      </c>
      <c r="K183" s="7">
        <f t="shared" si="40"/>
        <v>3</v>
      </c>
    </row>
    <row r="184" spans="1:11" x14ac:dyDescent="0.3">
      <c r="A184" s="9" t="s">
        <v>1115</v>
      </c>
      <c r="B184" s="9" t="s">
        <v>72</v>
      </c>
      <c r="C184" s="192"/>
      <c r="D184" s="103" t="s">
        <v>1079</v>
      </c>
      <c r="E184" s="101"/>
      <c r="F184" s="52">
        <v>1</v>
      </c>
      <c r="G184" s="52">
        <f t="shared" si="45"/>
        <v>1</v>
      </c>
      <c r="H184" s="106">
        <v>2</v>
      </c>
      <c r="I184" s="52">
        <f t="shared" ref="I184:I185" si="53">H184*G184</f>
        <v>2</v>
      </c>
      <c r="K184" s="7">
        <f t="shared" si="40"/>
        <v>1</v>
      </c>
    </row>
    <row r="185" spans="1:11" x14ac:dyDescent="0.3">
      <c r="A185" s="9" t="s">
        <v>1115</v>
      </c>
      <c r="B185" s="9" t="s">
        <v>72</v>
      </c>
      <c r="C185" s="192"/>
      <c r="D185" s="103" t="s">
        <v>1080</v>
      </c>
      <c r="E185" s="101"/>
      <c r="F185" s="52">
        <v>1</v>
      </c>
      <c r="G185" s="52">
        <f t="shared" si="45"/>
        <v>1</v>
      </c>
      <c r="H185" s="106">
        <v>2</v>
      </c>
      <c r="I185" s="52">
        <f t="shared" si="53"/>
        <v>2</v>
      </c>
      <c r="K185" s="7">
        <f t="shared" si="40"/>
        <v>1</v>
      </c>
    </row>
    <row r="186" spans="1:11" x14ac:dyDescent="0.3">
      <c r="K186" s="7" t="str">
        <f t="shared" si="40"/>
        <v/>
      </c>
    </row>
    <row r="187" spans="1:11" x14ac:dyDescent="0.3">
      <c r="A187" s="27" t="s">
        <v>1120</v>
      </c>
      <c r="B187" s="9" t="s">
        <v>68</v>
      </c>
      <c r="C187" s="103" t="s">
        <v>1069</v>
      </c>
      <c r="D187" s="103" t="s">
        <v>1070</v>
      </c>
      <c r="E187" s="6" t="s">
        <v>27</v>
      </c>
      <c r="F187" s="52">
        <v>3</v>
      </c>
      <c r="G187" s="52">
        <f t="shared" si="45"/>
        <v>3</v>
      </c>
      <c r="H187" s="108">
        <f>'2 - Section Count Projection'!$G$56</f>
        <v>0</v>
      </c>
      <c r="I187" s="8">
        <f t="shared" si="49"/>
        <v>0</v>
      </c>
      <c r="K187" s="7" t="str">
        <f t="shared" si="40"/>
        <v/>
      </c>
    </row>
    <row r="188" spans="1:11" x14ac:dyDescent="0.3">
      <c r="A188" s="27" t="s">
        <v>1120</v>
      </c>
      <c r="B188" s="9" t="s">
        <v>68</v>
      </c>
      <c r="C188" s="103" t="s">
        <v>1069</v>
      </c>
      <c r="D188" s="103" t="s">
        <v>1071</v>
      </c>
      <c r="E188" s="6" t="s">
        <v>36</v>
      </c>
      <c r="F188" s="52">
        <v>3</v>
      </c>
      <c r="G188" s="52">
        <f t="shared" si="45"/>
        <v>3</v>
      </c>
      <c r="H188" s="108">
        <f>'2 - Section Count Projection'!$G$56</f>
        <v>0</v>
      </c>
      <c r="I188" s="8">
        <f t="shared" si="49"/>
        <v>0</v>
      </c>
      <c r="K188" s="7" t="str">
        <f t="shared" si="40"/>
        <v/>
      </c>
    </row>
    <row r="189" spans="1:11" x14ac:dyDescent="0.3">
      <c r="A189" s="27" t="s">
        <v>1120</v>
      </c>
      <c r="B189" s="9" t="s">
        <v>68</v>
      </c>
      <c r="C189" s="103" t="s">
        <v>1069</v>
      </c>
      <c r="D189" s="103" t="s">
        <v>1072</v>
      </c>
      <c r="E189" s="6" t="s">
        <v>27</v>
      </c>
      <c r="F189" s="52">
        <v>3</v>
      </c>
      <c r="G189" s="52">
        <f t="shared" si="45"/>
        <v>3</v>
      </c>
      <c r="H189" s="108">
        <f>'2 - Section Count Projection'!$G$56</f>
        <v>0</v>
      </c>
      <c r="I189" s="8">
        <f t="shared" si="49"/>
        <v>0</v>
      </c>
      <c r="K189" s="7" t="str">
        <f t="shared" si="40"/>
        <v/>
      </c>
    </row>
    <row r="190" spans="1:11" x14ac:dyDescent="0.3">
      <c r="A190" s="27" t="s">
        <v>1120</v>
      </c>
      <c r="B190" s="9" t="s">
        <v>68</v>
      </c>
      <c r="C190" s="103" t="s">
        <v>1069</v>
      </c>
      <c r="D190" s="103" t="s">
        <v>1073</v>
      </c>
      <c r="E190" s="101"/>
      <c r="F190" s="52">
        <v>3</v>
      </c>
      <c r="G190" s="52">
        <f t="shared" si="45"/>
        <v>3</v>
      </c>
      <c r="H190" s="108">
        <f>'2 - Section Count Projection'!$G$56</f>
        <v>0</v>
      </c>
      <c r="I190" s="8">
        <f t="shared" si="49"/>
        <v>0</v>
      </c>
      <c r="K190" s="7" t="str">
        <f t="shared" si="40"/>
        <v/>
      </c>
    </row>
    <row r="191" spans="1:11" x14ac:dyDescent="0.3">
      <c r="A191" s="27" t="s">
        <v>1120</v>
      </c>
      <c r="B191" s="9" t="s">
        <v>68</v>
      </c>
      <c r="C191" s="103" t="s">
        <v>1069</v>
      </c>
      <c r="D191" s="103" t="s">
        <v>1074</v>
      </c>
      <c r="E191" s="6" t="s">
        <v>41</v>
      </c>
      <c r="F191" s="52">
        <v>3</v>
      </c>
      <c r="G191" s="52">
        <f t="shared" si="45"/>
        <v>3</v>
      </c>
      <c r="H191" s="108">
        <f>'2 - Section Count Projection'!$G$56</f>
        <v>0</v>
      </c>
      <c r="I191" s="8">
        <f t="shared" si="49"/>
        <v>0</v>
      </c>
      <c r="K191" s="7" t="str">
        <f t="shared" si="40"/>
        <v/>
      </c>
    </row>
    <row r="192" spans="1:11" x14ac:dyDescent="0.3">
      <c r="A192" s="27" t="s">
        <v>1120</v>
      </c>
      <c r="B192" s="9" t="s">
        <v>68</v>
      </c>
      <c r="C192" s="103" t="s">
        <v>1069</v>
      </c>
      <c r="D192" s="103" t="s">
        <v>1075</v>
      </c>
      <c r="E192" s="6" t="s">
        <v>38</v>
      </c>
      <c r="F192" s="52">
        <v>3</v>
      </c>
      <c r="G192" s="52">
        <f t="shared" si="45"/>
        <v>3</v>
      </c>
      <c r="H192" s="108">
        <f>'2 - Section Count Projection'!$G$56</f>
        <v>0</v>
      </c>
      <c r="I192" s="8">
        <f t="shared" si="49"/>
        <v>0</v>
      </c>
      <c r="K192" s="7" t="str">
        <f t="shared" si="40"/>
        <v/>
      </c>
    </row>
    <row r="193" spans="1:11" x14ac:dyDescent="0.3">
      <c r="A193" s="27" t="s">
        <v>1120</v>
      </c>
      <c r="B193" s="27" t="s">
        <v>68</v>
      </c>
      <c r="C193" s="103" t="s">
        <v>1076</v>
      </c>
      <c r="D193" s="103" t="s">
        <v>1121</v>
      </c>
      <c r="E193" s="6" t="s">
        <v>32</v>
      </c>
      <c r="F193" s="52">
        <v>3</v>
      </c>
      <c r="G193" s="52">
        <f>SUM(F193:F193)</f>
        <v>3</v>
      </c>
      <c r="H193" s="108">
        <f>'2 - Section Count Projection'!$G$56</f>
        <v>0</v>
      </c>
      <c r="I193" s="8">
        <f t="shared" si="49"/>
        <v>0</v>
      </c>
      <c r="K193" s="7" t="str">
        <f t="shared" si="40"/>
        <v/>
      </c>
    </row>
    <row r="194" spans="1:11" x14ac:dyDescent="0.3">
      <c r="A194" s="27" t="s">
        <v>1120</v>
      </c>
      <c r="B194" s="27" t="s">
        <v>68</v>
      </c>
      <c r="C194" s="103" t="s">
        <v>1076</v>
      </c>
      <c r="D194" s="103" t="s">
        <v>1122</v>
      </c>
      <c r="E194" s="6" t="s">
        <v>32</v>
      </c>
      <c r="F194" s="52">
        <v>3</v>
      </c>
      <c r="G194" s="52">
        <f>SUM(F194:F194)</f>
        <v>3</v>
      </c>
      <c r="H194" s="108">
        <f>'2 - Section Count Projection'!$G$56</f>
        <v>0</v>
      </c>
      <c r="I194" s="8">
        <f t="shared" si="49"/>
        <v>0</v>
      </c>
      <c r="K194" s="7" t="str">
        <f t="shared" si="40"/>
        <v/>
      </c>
    </row>
    <row r="195" spans="1:11" x14ac:dyDescent="0.3">
      <c r="A195" s="27" t="s">
        <v>1120</v>
      </c>
      <c r="B195" s="9" t="s">
        <v>68</v>
      </c>
      <c r="C195" s="192"/>
      <c r="D195" s="103" t="s">
        <v>1079</v>
      </c>
      <c r="E195" s="101"/>
      <c r="F195" s="52">
        <v>1</v>
      </c>
      <c r="G195" s="52">
        <f t="shared" ref="G195:G196" si="54">SUM(F195:F195)</f>
        <v>1</v>
      </c>
      <c r="H195" s="106">
        <f>'2 - Section Count Projection'!$G$21</f>
        <v>0</v>
      </c>
      <c r="I195" s="52">
        <f t="shared" si="49"/>
        <v>0</v>
      </c>
      <c r="K195" s="7" t="str">
        <f t="shared" si="40"/>
        <v/>
      </c>
    </row>
    <row r="196" spans="1:11" x14ac:dyDescent="0.3">
      <c r="A196" s="27" t="s">
        <v>1120</v>
      </c>
      <c r="B196" s="9" t="s">
        <v>68</v>
      </c>
      <c r="C196" s="192"/>
      <c r="D196" s="103" t="s">
        <v>1080</v>
      </c>
      <c r="E196" s="101"/>
      <c r="F196" s="52">
        <v>1</v>
      </c>
      <c r="G196" s="52">
        <f t="shared" si="54"/>
        <v>1</v>
      </c>
      <c r="H196" s="106">
        <f>'2 - Section Count Projection'!$G$21</f>
        <v>0</v>
      </c>
      <c r="I196" s="52">
        <f t="shared" si="49"/>
        <v>0</v>
      </c>
      <c r="K196" s="7" t="str">
        <f t="shared" ref="K196:K254" si="55">IF(I196&gt;0,F196,"")</f>
        <v/>
      </c>
    </row>
    <row r="197" spans="1:11" x14ac:dyDescent="0.3">
      <c r="K197" s="7" t="str">
        <f t="shared" si="55"/>
        <v/>
      </c>
    </row>
    <row r="198" spans="1:11" x14ac:dyDescent="0.3">
      <c r="A198" s="27" t="s">
        <v>1120</v>
      </c>
      <c r="B198" s="27" t="s">
        <v>72</v>
      </c>
      <c r="C198" s="103" t="s">
        <v>1069</v>
      </c>
      <c r="D198" s="103" t="s">
        <v>1081</v>
      </c>
      <c r="E198" s="6" t="s">
        <v>41</v>
      </c>
      <c r="F198" s="52">
        <v>3</v>
      </c>
      <c r="G198" s="52">
        <f>SUM(F198:F198)</f>
        <v>3</v>
      </c>
      <c r="H198" s="108">
        <f>'2 - Section Count Projection'!$G$58</f>
        <v>0</v>
      </c>
      <c r="I198" s="8">
        <f>H198*G198</f>
        <v>0</v>
      </c>
      <c r="K198" s="7" t="str">
        <f t="shared" si="55"/>
        <v/>
      </c>
    </row>
    <row r="199" spans="1:11" x14ac:dyDescent="0.3">
      <c r="A199" s="27" t="s">
        <v>1120</v>
      </c>
      <c r="B199" s="27" t="s">
        <v>72</v>
      </c>
      <c r="C199" s="103" t="s">
        <v>1069</v>
      </c>
      <c r="D199" s="103" t="s">
        <v>1082</v>
      </c>
      <c r="E199" s="6" t="s">
        <v>30</v>
      </c>
      <c r="F199" s="52">
        <v>3</v>
      </c>
      <c r="G199" s="52">
        <f t="shared" ref="G199:G208" si="56">SUM(F199:F199)</f>
        <v>3</v>
      </c>
      <c r="H199" s="108">
        <f>'2 - Section Count Projection'!$G$58</f>
        <v>0</v>
      </c>
      <c r="I199" s="8">
        <f>H199*G199</f>
        <v>0</v>
      </c>
      <c r="K199" s="7" t="str">
        <f t="shared" si="55"/>
        <v/>
      </c>
    </row>
    <row r="200" spans="1:11" x14ac:dyDescent="0.3">
      <c r="A200" s="27" t="s">
        <v>1120</v>
      </c>
      <c r="B200" s="27" t="s">
        <v>72</v>
      </c>
      <c r="C200" s="103" t="s">
        <v>1069</v>
      </c>
      <c r="D200" s="103" t="s">
        <v>1083</v>
      </c>
      <c r="E200" s="4" t="s">
        <v>40</v>
      </c>
      <c r="F200" s="52">
        <v>3</v>
      </c>
      <c r="G200" s="52">
        <v>3</v>
      </c>
      <c r="H200" s="108">
        <f>'2 - Section Count Projection'!$G$58</f>
        <v>0</v>
      </c>
      <c r="I200" s="8">
        <f t="shared" ref="I200:I202" si="57">H200*G200</f>
        <v>0</v>
      </c>
      <c r="K200" s="7" t="str">
        <f t="shared" si="55"/>
        <v/>
      </c>
    </row>
    <row r="201" spans="1:11" x14ac:dyDescent="0.3">
      <c r="A201" s="27" t="s">
        <v>1120</v>
      </c>
      <c r="B201" s="27" t="s">
        <v>72</v>
      </c>
      <c r="C201" s="103" t="s">
        <v>1069</v>
      </c>
      <c r="D201" s="103" t="s">
        <v>1084</v>
      </c>
      <c r="E201" s="6" t="s">
        <v>38</v>
      </c>
      <c r="F201" s="52">
        <v>3</v>
      </c>
      <c r="G201" s="52">
        <f t="shared" si="56"/>
        <v>3</v>
      </c>
      <c r="H201" s="108">
        <f>'2 - Section Count Projection'!$G$58</f>
        <v>0</v>
      </c>
      <c r="I201" s="8">
        <f t="shared" si="57"/>
        <v>0</v>
      </c>
      <c r="K201" s="7" t="str">
        <f t="shared" si="55"/>
        <v/>
      </c>
    </row>
    <row r="202" spans="1:11" x14ac:dyDescent="0.3">
      <c r="A202" s="27" t="s">
        <v>1120</v>
      </c>
      <c r="B202" s="27" t="s">
        <v>72</v>
      </c>
      <c r="C202" s="103" t="s">
        <v>1085</v>
      </c>
      <c r="D202" s="103" t="s">
        <v>1086</v>
      </c>
      <c r="E202" s="101"/>
      <c r="F202" s="52">
        <v>3</v>
      </c>
      <c r="G202" s="52">
        <f t="shared" si="56"/>
        <v>3</v>
      </c>
      <c r="H202" s="108">
        <f>'2 - Section Count Projection'!$G$58</f>
        <v>0</v>
      </c>
      <c r="I202" s="8">
        <f t="shared" si="57"/>
        <v>0</v>
      </c>
      <c r="K202" s="7" t="str">
        <f t="shared" si="55"/>
        <v/>
      </c>
    </row>
    <row r="203" spans="1:11" x14ac:dyDescent="0.3">
      <c r="A203" s="27" t="s">
        <v>1120</v>
      </c>
      <c r="B203" s="27" t="s">
        <v>72</v>
      </c>
      <c r="C203" s="103" t="s">
        <v>1085</v>
      </c>
      <c r="D203" s="103" t="s">
        <v>1087</v>
      </c>
      <c r="E203" s="6" t="s">
        <v>30</v>
      </c>
      <c r="F203" s="52">
        <v>3</v>
      </c>
      <c r="G203" s="52">
        <f t="shared" si="56"/>
        <v>3</v>
      </c>
      <c r="H203" s="108">
        <f>'2 - Section Count Projection'!$G$58</f>
        <v>0</v>
      </c>
      <c r="I203" s="8">
        <f t="shared" ref="I203:I208" si="58">H203*G203</f>
        <v>0</v>
      </c>
      <c r="K203" s="7" t="str">
        <f t="shared" si="55"/>
        <v/>
      </c>
    </row>
    <row r="204" spans="1:11" x14ac:dyDescent="0.3">
      <c r="A204" s="27" t="s">
        <v>1120</v>
      </c>
      <c r="B204" s="27" t="s">
        <v>72</v>
      </c>
      <c r="C204" s="103" t="s">
        <v>1085</v>
      </c>
      <c r="D204" s="103" t="s">
        <v>1088</v>
      </c>
      <c r="E204" s="6" t="s">
        <v>27</v>
      </c>
      <c r="F204" s="52">
        <v>3</v>
      </c>
      <c r="G204" s="52">
        <f t="shared" ref="G204" si="59">SUM(F204:F204)</f>
        <v>3</v>
      </c>
      <c r="H204" s="108">
        <f>'2 - Section Count Projection'!$G$58</f>
        <v>0</v>
      </c>
      <c r="I204" s="8">
        <f t="shared" ref="I204" si="60">H204*G204</f>
        <v>0</v>
      </c>
      <c r="K204" s="7" t="str">
        <f t="shared" si="55"/>
        <v/>
      </c>
    </row>
    <row r="205" spans="1:11" x14ac:dyDescent="0.3">
      <c r="A205" s="27" t="s">
        <v>1120</v>
      </c>
      <c r="B205" s="27" t="s">
        <v>72</v>
      </c>
      <c r="C205" s="103" t="s">
        <v>1076</v>
      </c>
      <c r="D205" s="103" t="s">
        <v>1123</v>
      </c>
      <c r="E205" s="6" t="s">
        <v>32</v>
      </c>
      <c r="F205" s="52">
        <v>3</v>
      </c>
      <c r="G205" s="52">
        <f t="shared" si="56"/>
        <v>3</v>
      </c>
      <c r="H205" s="108">
        <f>'2 - Section Count Projection'!$G$58</f>
        <v>0</v>
      </c>
      <c r="I205" s="8">
        <f t="shared" si="58"/>
        <v>0</v>
      </c>
      <c r="K205" s="7" t="str">
        <f t="shared" si="55"/>
        <v/>
      </c>
    </row>
    <row r="206" spans="1:11" x14ac:dyDescent="0.3">
      <c r="A206" s="27" t="s">
        <v>1120</v>
      </c>
      <c r="B206" s="27" t="s">
        <v>72</v>
      </c>
      <c r="C206" s="103" t="s">
        <v>1076</v>
      </c>
      <c r="D206" s="103" t="s">
        <v>1124</v>
      </c>
      <c r="E206" s="6" t="s">
        <v>32</v>
      </c>
      <c r="F206" s="52">
        <v>3</v>
      </c>
      <c r="G206" s="52">
        <f t="shared" si="56"/>
        <v>3</v>
      </c>
      <c r="H206" s="108">
        <f>'2 - Section Count Projection'!$G$58</f>
        <v>0</v>
      </c>
      <c r="I206" s="8">
        <f t="shared" si="58"/>
        <v>0</v>
      </c>
      <c r="K206" s="7" t="str">
        <f t="shared" si="55"/>
        <v/>
      </c>
    </row>
    <row r="207" spans="1:11" x14ac:dyDescent="0.3">
      <c r="A207" s="27" t="s">
        <v>1120</v>
      </c>
      <c r="B207" s="9" t="s">
        <v>72</v>
      </c>
      <c r="C207" s="192"/>
      <c r="D207" s="103" t="s">
        <v>1079</v>
      </c>
      <c r="E207" s="101"/>
      <c r="F207" s="52">
        <v>1</v>
      </c>
      <c r="G207" s="52">
        <f t="shared" si="56"/>
        <v>1</v>
      </c>
      <c r="H207" s="106">
        <f>'2 - Section Count Projection'!$G$21</f>
        <v>0</v>
      </c>
      <c r="I207" s="52">
        <f t="shared" si="58"/>
        <v>0</v>
      </c>
      <c r="K207" s="7" t="str">
        <f t="shared" si="55"/>
        <v/>
      </c>
    </row>
    <row r="208" spans="1:11" x14ac:dyDescent="0.3">
      <c r="A208" s="27" t="s">
        <v>1120</v>
      </c>
      <c r="B208" s="9" t="s">
        <v>72</v>
      </c>
      <c r="C208" s="192"/>
      <c r="D208" s="103" t="s">
        <v>1080</v>
      </c>
      <c r="E208" s="101"/>
      <c r="F208" s="52">
        <v>1</v>
      </c>
      <c r="G208" s="52">
        <f t="shared" si="56"/>
        <v>1</v>
      </c>
      <c r="H208" s="106">
        <f>'2 - Section Count Projection'!$G$21</f>
        <v>0</v>
      </c>
      <c r="I208" s="52">
        <f t="shared" si="58"/>
        <v>0</v>
      </c>
      <c r="K208" s="7" t="str">
        <f t="shared" si="55"/>
        <v/>
      </c>
    </row>
    <row r="209" spans="1:11" x14ac:dyDescent="0.3">
      <c r="K209" s="7" t="str">
        <f t="shared" si="55"/>
        <v/>
      </c>
    </row>
    <row r="210" spans="1:11" x14ac:dyDescent="0.3">
      <c r="A210" s="27" t="s">
        <v>1125</v>
      </c>
      <c r="B210" s="27" t="s">
        <v>68</v>
      </c>
      <c r="C210" s="103" t="s">
        <v>1069</v>
      </c>
      <c r="D210" s="103" t="s">
        <v>1070</v>
      </c>
      <c r="E210" s="6" t="s">
        <v>27</v>
      </c>
      <c r="F210" s="52">
        <v>3</v>
      </c>
      <c r="G210" s="52">
        <f>SUM(F210:F210)</f>
        <v>3</v>
      </c>
      <c r="H210" s="108">
        <v>2</v>
      </c>
      <c r="I210" s="8">
        <f>H210*G210</f>
        <v>6</v>
      </c>
      <c r="K210" s="7">
        <f t="shared" si="55"/>
        <v>3</v>
      </c>
    </row>
    <row r="211" spans="1:11" x14ac:dyDescent="0.3">
      <c r="A211" s="27" t="s">
        <v>1125</v>
      </c>
      <c r="B211" s="27" t="s">
        <v>68</v>
      </c>
      <c r="C211" s="103" t="s">
        <v>1069</v>
      </c>
      <c r="D211" s="103" t="s">
        <v>1071</v>
      </c>
      <c r="E211" s="6" t="s">
        <v>36</v>
      </c>
      <c r="F211" s="52">
        <v>3</v>
      </c>
      <c r="G211" s="52">
        <f t="shared" ref="G211:G219" si="61">SUM(F211:F211)</f>
        <v>3</v>
      </c>
      <c r="H211" s="108">
        <v>2</v>
      </c>
      <c r="I211" s="8">
        <f t="shared" ref="I211:I219" si="62">H211*G211</f>
        <v>6</v>
      </c>
      <c r="K211" s="7">
        <f t="shared" si="55"/>
        <v>3</v>
      </c>
    </row>
    <row r="212" spans="1:11" x14ac:dyDescent="0.3">
      <c r="A212" s="27" t="s">
        <v>1125</v>
      </c>
      <c r="B212" s="27" t="s">
        <v>68</v>
      </c>
      <c r="C212" s="103" t="s">
        <v>1069</v>
      </c>
      <c r="D212" s="103" t="s">
        <v>1072</v>
      </c>
      <c r="E212" s="6" t="s">
        <v>27</v>
      </c>
      <c r="F212" s="52">
        <v>3</v>
      </c>
      <c r="G212" s="52">
        <f t="shared" si="61"/>
        <v>3</v>
      </c>
      <c r="H212" s="108">
        <v>2</v>
      </c>
      <c r="I212" s="8">
        <f t="shared" si="62"/>
        <v>6</v>
      </c>
      <c r="K212" s="7">
        <f t="shared" si="55"/>
        <v>3</v>
      </c>
    </row>
    <row r="213" spans="1:11" x14ac:dyDescent="0.3">
      <c r="A213" s="27" t="s">
        <v>1125</v>
      </c>
      <c r="B213" s="27" t="s">
        <v>68</v>
      </c>
      <c r="C213" s="103" t="s">
        <v>1069</v>
      </c>
      <c r="D213" s="103" t="s">
        <v>1073</v>
      </c>
      <c r="E213" s="101"/>
      <c r="F213" s="52">
        <v>3</v>
      </c>
      <c r="G213" s="52">
        <f t="shared" si="61"/>
        <v>3</v>
      </c>
      <c r="H213" s="108">
        <v>2</v>
      </c>
      <c r="I213" s="8">
        <f t="shared" si="62"/>
        <v>6</v>
      </c>
      <c r="K213" s="7">
        <f t="shared" si="55"/>
        <v>3</v>
      </c>
    </row>
    <row r="214" spans="1:11" x14ac:dyDescent="0.3">
      <c r="A214" s="27" t="s">
        <v>1125</v>
      </c>
      <c r="B214" s="27" t="s">
        <v>68</v>
      </c>
      <c r="C214" s="103" t="s">
        <v>1069</v>
      </c>
      <c r="D214" s="103" t="s">
        <v>1074</v>
      </c>
      <c r="E214" s="6" t="s">
        <v>41</v>
      </c>
      <c r="F214" s="52">
        <v>3</v>
      </c>
      <c r="G214" s="52">
        <f t="shared" si="61"/>
        <v>3</v>
      </c>
      <c r="H214" s="108">
        <v>2</v>
      </c>
      <c r="I214" s="8">
        <f t="shared" si="62"/>
        <v>6</v>
      </c>
      <c r="K214" s="7">
        <f t="shared" si="55"/>
        <v>3</v>
      </c>
    </row>
    <row r="215" spans="1:11" x14ac:dyDescent="0.3">
      <c r="A215" s="27" t="s">
        <v>1125</v>
      </c>
      <c r="B215" s="27" t="s">
        <v>68</v>
      </c>
      <c r="C215" s="103" t="s">
        <v>1069</v>
      </c>
      <c r="D215" s="103" t="s">
        <v>1075</v>
      </c>
      <c r="E215" s="6" t="s">
        <v>38</v>
      </c>
      <c r="F215" s="52">
        <v>3</v>
      </c>
      <c r="G215" s="52">
        <f t="shared" si="61"/>
        <v>3</v>
      </c>
      <c r="H215" s="108">
        <v>2</v>
      </c>
      <c r="I215" s="8">
        <f t="shared" si="62"/>
        <v>6</v>
      </c>
      <c r="K215" s="7">
        <f t="shared" si="55"/>
        <v>3</v>
      </c>
    </row>
    <row r="216" spans="1:11" x14ac:dyDescent="0.3">
      <c r="A216" s="27" t="s">
        <v>1125</v>
      </c>
      <c r="B216" s="27" t="s">
        <v>68</v>
      </c>
      <c r="C216" s="103" t="s">
        <v>1076</v>
      </c>
      <c r="D216" s="103" t="s">
        <v>1126</v>
      </c>
      <c r="E216" s="6" t="s">
        <v>43</v>
      </c>
      <c r="F216" s="52">
        <v>3</v>
      </c>
      <c r="G216" s="52">
        <f t="shared" si="61"/>
        <v>3</v>
      </c>
      <c r="H216" s="108">
        <v>2</v>
      </c>
      <c r="I216" s="8">
        <f t="shared" si="62"/>
        <v>6</v>
      </c>
      <c r="K216" s="7">
        <f t="shared" si="55"/>
        <v>3</v>
      </c>
    </row>
    <row r="217" spans="1:11" x14ac:dyDescent="0.3">
      <c r="A217" s="27" t="s">
        <v>1125</v>
      </c>
      <c r="B217" s="27" t="s">
        <v>68</v>
      </c>
      <c r="C217" s="103" t="s">
        <v>1076</v>
      </c>
      <c r="D217" s="103" t="s">
        <v>1127</v>
      </c>
      <c r="E217" s="6" t="s">
        <v>43</v>
      </c>
      <c r="F217" s="52">
        <v>3</v>
      </c>
      <c r="G217" s="52">
        <f t="shared" si="61"/>
        <v>3</v>
      </c>
      <c r="H217" s="108">
        <v>2</v>
      </c>
      <c r="I217" s="8">
        <f t="shared" si="62"/>
        <v>6</v>
      </c>
      <c r="K217" s="7">
        <f t="shared" si="55"/>
        <v>3</v>
      </c>
    </row>
    <row r="218" spans="1:11" x14ac:dyDescent="0.3">
      <c r="A218" s="27" t="s">
        <v>1125</v>
      </c>
      <c r="B218" s="9" t="s">
        <v>68</v>
      </c>
      <c r="C218" s="192"/>
      <c r="D218" s="103" t="s">
        <v>1079</v>
      </c>
      <c r="E218" s="101"/>
      <c r="F218" s="52">
        <v>1</v>
      </c>
      <c r="G218" s="52">
        <f t="shared" si="61"/>
        <v>1</v>
      </c>
      <c r="H218" s="106">
        <v>2</v>
      </c>
      <c r="I218" s="52">
        <f t="shared" si="62"/>
        <v>2</v>
      </c>
      <c r="K218" s="7">
        <f t="shared" si="55"/>
        <v>1</v>
      </c>
    </row>
    <row r="219" spans="1:11" x14ac:dyDescent="0.3">
      <c r="A219" s="27" t="s">
        <v>1125</v>
      </c>
      <c r="B219" s="9" t="s">
        <v>68</v>
      </c>
      <c r="C219" s="192"/>
      <c r="D219" s="103" t="s">
        <v>1080</v>
      </c>
      <c r="E219" s="101"/>
      <c r="F219" s="52">
        <v>1</v>
      </c>
      <c r="G219" s="52">
        <f t="shared" si="61"/>
        <v>1</v>
      </c>
      <c r="H219" s="106">
        <v>2</v>
      </c>
      <c r="I219" s="52">
        <f t="shared" si="62"/>
        <v>2</v>
      </c>
      <c r="K219" s="7">
        <f t="shared" si="55"/>
        <v>1</v>
      </c>
    </row>
    <row r="220" spans="1:11" x14ac:dyDescent="0.3">
      <c r="K220" s="7" t="str">
        <f t="shared" si="55"/>
        <v/>
      </c>
    </row>
    <row r="221" spans="1:11" x14ac:dyDescent="0.3">
      <c r="A221" s="27" t="s">
        <v>1125</v>
      </c>
      <c r="B221" s="27" t="s">
        <v>72</v>
      </c>
      <c r="C221" s="103" t="s">
        <v>1069</v>
      </c>
      <c r="D221" s="103" t="s">
        <v>1081</v>
      </c>
      <c r="E221" s="6" t="s">
        <v>41</v>
      </c>
      <c r="F221" s="52">
        <v>3</v>
      </c>
      <c r="G221" s="52">
        <f>SUM(F221:F221)</f>
        <v>3</v>
      </c>
      <c r="H221" s="108">
        <v>2</v>
      </c>
      <c r="I221" s="8">
        <f>H221*G221</f>
        <v>6</v>
      </c>
      <c r="K221" s="7">
        <f t="shared" si="55"/>
        <v>3</v>
      </c>
    </row>
    <row r="222" spans="1:11" x14ac:dyDescent="0.3">
      <c r="A222" s="27" t="s">
        <v>1125</v>
      </c>
      <c r="B222" s="27" t="s">
        <v>72</v>
      </c>
      <c r="C222" s="103" t="s">
        <v>1069</v>
      </c>
      <c r="D222" s="103" t="s">
        <v>1082</v>
      </c>
      <c r="E222" s="6" t="s">
        <v>30</v>
      </c>
      <c r="F222" s="52">
        <v>3</v>
      </c>
      <c r="G222" s="52">
        <f t="shared" ref="G222:G231" si="63">SUM(F222:F222)</f>
        <v>3</v>
      </c>
      <c r="H222" s="108">
        <v>2</v>
      </c>
      <c r="I222" s="8">
        <f t="shared" ref="I222:I231" si="64">H222*G222</f>
        <v>6</v>
      </c>
      <c r="K222" s="7">
        <f t="shared" si="55"/>
        <v>3</v>
      </c>
    </row>
    <row r="223" spans="1:11" x14ac:dyDescent="0.3">
      <c r="A223" s="27" t="s">
        <v>1125</v>
      </c>
      <c r="B223" s="27" t="s">
        <v>72</v>
      </c>
      <c r="C223" s="103" t="s">
        <v>1069</v>
      </c>
      <c r="D223" s="103" t="s">
        <v>1083</v>
      </c>
      <c r="E223" s="4" t="s">
        <v>40</v>
      </c>
      <c r="F223" s="52">
        <v>3</v>
      </c>
      <c r="G223" s="52">
        <v>3</v>
      </c>
      <c r="H223" s="108">
        <v>2</v>
      </c>
      <c r="I223" s="8">
        <f t="shared" si="64"/>
        <v>6</v>
      </c>
      <c r="K223" s="7">
        <f t="shared" si="55"/>
        <v>3</v>
      </c>
    </row>
    <row r="224" spans="1:11" x14ac:dyDescent="0.3">
      <c r="A224" s="27" t="s">
        <v>1125</v>
      </c>
      <c r="B224" s="27" t="s">
        <v>72</v>
      </c>
      <c r="C224" s="103" t="s">
        <v>1069</v>
      </c>
      <c r="D224" s="103" t="s">
        <v>1084</v>
      </c>
      <c r="E224" s="6" t="s">
        <v>38</v>
      </c>
      <c r="F224" s="52">
        <v>3</v>
      </c>
      <c r="G224" s="52">
        <f t="shared" si="63"/>
        <v>3</v>
      </c>
      <c r="H224" s="108">
        <v>2</v>
      </c>
      <c r="I224" s="8">
        <f t="shared" si="64"/>
        <v>6</v>
      </c>
      <c r="K224" s="7">
        <f t="shared" si="55"/>
        <v>3</v>
      </c>
    </row>
    <row r="225" spans="1:11" x14ac:dyDescent="0.3">
      <c r="A225" s="27" t="s">
        <v>1125</v>
      </c>
      <c r="B225" s="27" t="s">
        <v>72</v>
      </c>
      <c r="C225" s="103" t="s">
        <v>1085</v>
      </c>
      <c r="D225" s="103" t="s">
        <v>1086</v>
      </c>
      <c r="E225" s="101"/>
      <c r="F225" s="52">
        <v>3</v>
      </c>
      <c r="G225" s="52">
        <f t="shared" si="63"/>
        <v>3</v>
      </c>
      <c r="H225" s="108">
        <v>2</v>
      </c>
      <c r="I225" s="8">
        <f t="shared" si="64"/>
        <v>6</v>
      </c>
      <c r="K225" s="7">
        <f t="shared" si="55"/>
        <v>3</v>
      </c>
    </row>
    <row r="226" spans="1:11" x14ac:dyDescent="0.3">
      <c r="A226" s="27" t="s">
        <v>1125</v>
      </c>
      <c r="B226" s="27" t="s">
        <v>72</v>
      </c>
      <c r="C226" s="103" t="s">
        <v>1085</v>
      </c>
      <c r="D226" s="103" t="s">
        <v>1087</v>
      </c>
      <c r="E226" s="6" t="s">
        <v>30</v>
      </c>
      <c r="F226" s="52">
        <v>3</v>
      </c>
      <c r="G226" s="52">
        <f t="shared" si="63"/>
        <v>3</v>
      </c>
      <c r="H226" s="108">
        <v>2</v>
      </c>
      <c r="I226" s="8">
        <f t="shared" si="64"/>
        <v>6</v>
      </c>
      <c r="K226" s="7">
        <f t="shared" si="55"/>
        <v>3</v>
      </c>
    </row>
    <row r="227" spans="1:11" x14ac:dyDescent="0.3">
      <c r="A227" s="27" t="s">
        <v>1125</v>
      </c>
      <c r="B227" s="27" t="s">
        <v>72</v>
      </c>
      <c r="C227" s="103" t="s">
        <v>1085</v>
      </c>
      <c r="D227" s="103" t="s">
        <v>1088</v>
      </c>
      <c r="E227" s="6" t="s">
        <v>27</v>
      </c>
      <c r="F227" s="52">
        <v>3</v>
      </c>
      <c r="G227" s="52">
        <f t="shared" si="63"/>
        <v>3</v>
      </c>
      <c r="H227" s="108">
        <v>2</v>
      </c>
      <c r="I227" s="8">
        <f t="shared" si="64"/>
        <v>6</v>
      </c>
      <c r="K227" s="7">
        <f t="shared" si="55"/>
        <v>3</v>
      </c>
    </row>
    <row r="228" spans="1:11" x14ac:dyDescent="0.3">
      <c r="A228" s="27" t="s">
        <v>1125</v>
      </c>
      <c r="B228" s="27" t="s">
        <v>72</v>
      </c>
      <c r="C228" s="103" t="s">
        <v>1076</v>
      </c>
      <c r="D228" s="103" t="s">
        <v>1128</v>
      </c>
      <c r="E228" s="6" t="s">
        <v>43</v>
      </c>
      <c r="F228" s="52">
        <v>3</v>
      </c>
      <c r="G228" s="52">
        <f t="shared" ref="G228" si="65">SUM(F228:F228)</f>
        <v>3</v>
      </c>
      <c r="H228" s="108">
        <v>2</v>
      </c>
      <c r="I228" s="8">
        <f t="shared" ref="I228" si="66">H228*G228</f>
        <v>6</v>
      </c>
      <c r="K228" s="7">
        <f t="shared" si="55"/>
        <v>3</v>
      </c>
    </row>
    <row r="229" spans="1:11" x14ac:dyDescent="0.3">
      <c r="A229" s="27" t="s">
        <v>1125</v>
      </c>
      <c r="B229" s="27" t="s">
        <v>72</v>
      </c>
      <c r="C229" s="103" t="s">
        <v>1076</v>
      </c>
      <c r="D229" s="103" t="s">
        <v>1129</v>
      </c>
      <c r="E229" s="6" t="s">
        <v>43</v>
      </c>
      <c r="F229" s="52">
        <v>3</v>
      </c>
      <c r="G229" s="52">
        <f t="shared" si="63"/>
        <v>3</v>
      </c>
      <c r="H229" s="108">
        <v>2</v>
      </c>
      <c r="I229" s="8">
        <f t="shared" si="64"/>
        <v>6</v>
      </c>
      <c r="K229" s="7">
        <f t="shared" si="55"/>
        <v>3</v>
      </c>
    </row>
    <row r="230" spans="1:11" x14ac:dyDescent="0.3">
      <c r="A230" s="27" t="s">
        <v>1125</v>
      </c>
      <c r="B230" s="9" t="s">
        <v>72</v>
      </c>
      <c r="C230" s="192"/>
      <c r="D230" s="103" t="s">
        <v>1079</v>
      </c>
      <c r="E230" s="101"/>
      <c r="F230" s="52">
        <v>1</v>
      </c>
      <c r="G230" s="52">
        <f t="shared" si="63"/>
        <v>1</v>
      </c>
      <c r="H230" s="106">
        <v>2</v>
      </c>
      <c r="I230" s="52">
        <f t="shared" si="64"/>
        <v>2</v>
      </c>
      <c r="K230" s="7">
        <f t="shared" si="55"/>
        <v>1</v>
      </c>
    </row>
    <row r="231" spans="1:11" x14ac:dyDescent="0.3">
      <c r="A231" s="27" t="s">
        <v>1125</v>
      </c>
      <c r="B231" s="9" t="s">
        <v>72</v>
      </c>
      <c r="C231" s="192"/>
      <c r="D231" s="103" t="s">
        <v>1080</v>
      </c>
      <c r="E231" s="101"/>
      <c r="F231" s="52">
        <v>1</v>
      </c>
      <c r="G231" s="52">
        <f t="shared" si="63"/>
        <v>1</v>
      </c>
      <c r="H231" s="106">
        <v>2</v>
      </c>
      <c r="I231" s="52">
        <f t="shared" si="64"/>
        <v>2</v>
      </c>
      <c r="K231" s="7">
        <f t="shared" si="55"/>
        <v>1</v>
      </c>
    </row>
    <row r="232" spans="1:11" x14ac:dyDescent="0.3">
      <c r="K232" s="7" t="str">
        <f t="shared" si="55"/>
        <v/>
      </c>
    </row>
    <row r="233" spans="1:11" x14ac:dyDescent="0.3">
      <c r="A233" s="27" t="s">
        <v>1130</v>
      </c>
      <c r="B233" s="27" t="s">
        <v>68</v>
      </c>
      <c r="C233" s="103" t="s">
        <v>1069</v>
      </c>
      <c r="D233" s="103" t="s">
        <v>1070</v>
      </c>
      <c r="E233" s="6" t="s">
        <v>27</v>
      </c>
      <c r="F233" s="52">
        <v>3</v>
      </c>
      <c r="G233" s="52">
        <f>SUM(F233:F233)</f>
        <v>3</v>
      </c>
      <c r="H233" s="108">
        <f>'2 - Section Count Projection'!$G$66</f>
        <v>0</v>
      </c>
      <c r="I233" s="8">
        <f>H233*G233</f>
        <v>0</v>
      </c>
      <c r="K233" s="7" t="str">
        <f t="shared" si="55"/>
        <v/>
      </c>
    </row>
    <row r="234" spans="1:11" x14ac:dyDescent="0.3">
      <c r="A234" s="27" t="s">
        <v>1130</v>
      </c>
      <c r="B234" s="27" t="s">
        <v>68</v>
      </c>
      <c r="C234" s="103" t="s">
        <v>1069</v>
      </c>
      <c r="D234" s="103" t="s">
        <v>1071</v>
      </c>
      <c r="E234" s="6" t="s">
        <v>36</v>
      </c>
      <c r="F234" s="52">
        <v>3</v>
      </c>
      <c r="G234" s="52">
        <f t="shared" ref="G234:G242" si="67">SUM(F234:F234)</f>
        <v>3</v>
      </c>
      <c r="H234" s="108">
        <f>'2 - Section Count Projection'!$G$66</f>
        <v>0</v>
      </c>
      <c r="I234" s="8">
        <f t="shared" ref="I234:I242" si="68">H234*G234</f>
        <v>0</v>
      </c>
      <c r="K234" s="7" t="str">
        <f t="shared" si="55"/>
        <v/>
      </c>
    </row>
    <row r="235" spans="1:11" x14ac:dyDescent="0.3">
      <c r="A235" s="27" t="s">
        <v>1130</v>
      </c>
      <c r="B235" s="27" t="s">
        <v>68</v>
      </c>
      <c r="C235" s="103" t="s">
        <v>1069</v>
      </c>
      <c r="D235" s="103" t="s">
        <v>1072</v>
      </c>
      <c r="E235" s="6" t="s">
        <v>27</v>
      </c>
      <c r="F235" s="52">
        <v>3</v>
      </c>
      <c r="G235" s="52">
        <f t="shared" si="67"/>
        <v>3</v>
      </c>
      <c r="H235" s="108">
        <f>'2 - Section Count Projection'!$G$66</f>
        <v>0</v>
      </c>
      <c r="I235" s="8">
        <f t="shared" si="68"/>
        <v>0</v>
      </c>
      <c r="K235" s="7" t="str">
        <f t="shared" si="55"/>
        <v/>
      </c>
    </row>
    <row r="236" spans="1:11" x14ac:dyDescent="0.3">
      <c r="A236" s="27" t="s">
        <v>1130</v>
      </c>
      <c r="B236" s="27" t="s">
        <v>68</v>
      </c>
      <c r="C236" s="103" t="s">
        <v>1069</v>
      </c>
      <c r="D236" s="103" t="s">
        <v>1073</v>
      </c>
      <c r="E236" s="101"/>
      <c r="F236" s="52">
        <v>3</v>
      </c>
      <c r="G236" s="52">
        <f t="shared" si="67"/>
        <v>3</v>
      </c>
      <c r="H236" s="108">
        <f>'2 - Section Count Projection'!$G$66</f>
        <v>0</v>
      </c>
      <c r="I236" s="8">
        <f t="shared" si="68"/>
        <v>0</v>
      </c>
      <c r="K236" s="7" t="str">
        <f t="shared" si="55"/>
        <v/>
      </c>
    </row>
    <row r="237" spans="1:11" x14ac:dyDescent="0.3">
      <c r="A237" s="27" t="s">
        <v>1130</v>
      </c>
      <c r="B237" s="27" t="s">
        <v>68</v>
      </c>
      <c r="C237" s="103" t="s">
        <v>1069</v>
      </c>
      <c r="D237" s="103" t="s">
        <v>1074</v>
      </c>
      <c r="E237" s="6" t="s">
        <v>41</v>
      </c>
      <c r="F237" s="52">
        <v>3</v>
      </c>
      <c r="G237" s="52">
        <f t="shared" si="67"/>
        <v>3</v>
      </c>
      <c r="H237" s="108">
        <f>'2 - Section Count Projection'!$G$66</f>
        <v>0</v>
      </c>
      <c r="I237" s="8">
        <f t="shared" si="68"/>
        <v>0</v>
      </c>
      <c r="K237" s="7" t="str">
        <f t="shared" si="55"/>
        <v/>
      </c>
    </row>
    <row r="238" spans="1:11" x14ac:dyDescent="0.3">
      <c r="A238" s="27" t="s">
        <v>1130</v>
      </c>
      <c r="B238" s="27" t="s">
        <v>68</v>
      </c>
      <c r="C238" s="103" t="s">
        <v>1069</v>
      </c>
      <c r="D238" s="103" t="s">
        <v>1075</v>
      </c>
      <c r="E238" s="6" t="s">
        <v>38</v>
      </c>
      <c r="F238" s="52">
        <v>3</v>
      </c>
      <c r="G238" s="52">
        <f t="shared" si="67"/>
        <v>3</v>
      </c>
      <c r="H238" s="108">
        <f>'2 - Section Count Projection'!$G$66</f>
        <v>0</v>
      </c>
      <c r="I238" s="8">
        <f t="shared" si="68"/>
        <v>0</v>
      </c>
      <c r="K238" s="7" t="str">
        <f t="shared" si="55"/>
        <v/>
      </c>
    </row>
    <row r="239" spans="1:11" x14ac:dyDescent="0.3">
      <c r="A239" s="27" t="s">
        <v>1130</v>
      </c>
      <c r="B239" s="27" t="s">
        <v>68</v>
      </c>
      <c r="C239" s="103" t="s">
        <v>1076</v>
      </c>
      <c r="D239" s="103" t="s">
        <v>244</v>
      </c>
      <c r="E239" s="6" t="s">
        <v>34</v>
      </c>
      <c r="F239" s="52">
        <v>3</v>
      </c>
      <c r="G239" s="52">
        <f t="shared" si="67"/>
        <v>3</v>
      </c>
      <c r="H239" s="108">
        <f>'2 - Section Count Projection'!$G$66</f>
        <v>0</v>
      </c>
      <c r="I239" s="8">
        <f t="shared" si="68"/>
        <v>0</v>
      </c>
      <c r="K239" s="7" t="str">
        <f t="shared" si="55"/>
        <v/>
      </c>
    </row>
    <row r="240" spans="1:11" x14ac:dyDescent="0.3">
      <c r="A240" s="27" t="s">
        <v>1130</v>
      </c>
      <c r="B240" s="27" t="s">
        <v>68</v>
      </c>
      <c r="C240" s="103" t="s">
        <v>1076</v>
      </c>
      <c r="D240" s="103" t="s">
        <v>1112</v>
      </c>
      <c r="E240" s="6" t="s">
        <v>23</v>
      </c>
      <c r="F240" s="52">
        <v>3</v>
      </c>
      <c r="G240" s="52">
        <f t="shared" si="67"/>
        <v>3</v>
      </c>
      <c r="H240" s="108">
        <f>'2 - Section Count Projection'!$G$66</f>
        <v>0</v>
      </c>
      <c r="I240" s="8">
        <f t="shared" si="68"/>
        <v>0</v>
      </c>
      <c r="K240" s="7" t="str">
        <f t="shared" si="55"/>
        <v/>
      </c>
    </row>
    <row r="241" spans="1:11" x14ac:dyDescent="0.3">
      <c r="A241" s="27" t="s">
        <v>1130</v>
      </c>
      <c r="B241" s="9" t="s">
        <v>68</v>
      </c>
      <c r="C241" s="192"/>
      <c r="D241" s="103" t="s">
        <v>1079</v>
      </c>
      <c r="E241" s="101"/>
      <c r="F241" s="52">
        <v>1</v>
      </c>
      <c r="G241" s="52">
        <f t="shared" si="67"/>
        <v>1</v>
      </c>
      <c r="H241" s="106">
        <f>'2 - Section Count Projection'!$G$21</f>
        <v>0</v>
      </c>
      <c r="I241" s="52">
        <f t="shared" si="68"/>
        <v>0</v>
      </c>
      <c r="K241" s="7" t="str">
        <f t="shared" si="55"/>
        <v/>
      </c>
    </row>
    <row r="242" spans="1:11" x14ac:dyDescent="0.3">
      <c r="A242" s="27" t="s">
        <v>1130</v>
      </c>
      <c r="B242" s="9" t="s">
        <v>68</v>
      </c>
      <c r="C242" s="192"/>
      <c r="D242" s="103" t="s">
        <v>1080</v>
      </c>
      <c r="E242" s="101"/>
      <c r="F242" s="52">
        <v>1</v>
      </c>
      <c r="G242" s="52">
        <f t="shared" si="67"/>
        <v>1</v>
      </c>
      <c r="H242" s="106">
        <f>'2 - Section Count Projection'!$G$21</f>
        <v>0</v>
      </c>
      <c r="I242" s="52">
        <f t="shared" si="68"/>
        <v>0</v>
      </c>
      <c r="K242" s="7" t="str">
        <f t="shared" si="55"/>
        <v/>
      </c>
    </row>
    <row r="243" spans="1:11" x14ac:dyDescent="0.3">
      <c r="A243" s="7"/>
      <c r="K243" s="7" t="str">
        <f t="shared" si="55"/>
        <v/>
      </c>
    </row>
    <row r="244" spans="1:11" x14ac:dyDescent="0.3">
      <c r="A244" s="27" t="s">
        <v>1130</v>
      </c>
      <c r="B244" s="27" t="s">
        <v>72</v>
      </c>
      <c r="C244" s="103" t="s">
        <v>1069</v>
      </c>
      <c r="D244" s="103" t="s">
        <v>1081</v>
      </c>
      <c r="E244" s="6" t="s">
        <v>41</v>
      </c>
      <c r="F244" s="52">
        <v>3</v>
      </c>
      <c r="G244" s="52">
        <f t="shared" ref="G244:G254" si="69">SUM(F244:F244)</f>
        <v>3</v>
      </c>
      <c r="H244" s="108">
        <f>'2 - Section Count Projection'!$G$68</f>
        <v>0</v>
      </c>
      <c r="I244" s="8">
        <f t="shared" ref="I244:I254" si="70">H244*G244</f>
        <v>0</v>
      </c>
      <c r="K244" s="7" t="str">
        <f t="shared" si="55"/>
        <v/>
      </c>
    </row>
    <row r="245" spans="1:11" x14ac:dyDescent="0.3">
      <c r="A245" s="27" t="s">
        <v>1130</v>
      </c>
      <c r="B245" s="27" t="s">
        <v>72</v>
      </c>
      <c r="C245" s="103" t="s">
        <v>1069</v>
      </c>
      <c r="D245" s="103" t="s">
        <v>1082</v>
      </c>
      <c r="E245" s="6" t="s">
        <v>30</v>
      </c>
      <c r="F245" s="52">
        <v>3</v>
      </c>
      <c r="G245" s="52">
        <f t="shared" si="69"/>
        <v>3</v>
      </c>
      <c r="H245" s="108">
        <f>'2 - Section Count Projection'!$G$68</f>
        <v>0</v>
      </c>
      <c r="I245" s="8">
        <f t="shared" si="70"/>
        <v>0</v>
      </c>
      <c r="K245" s="7" t="str">
        <f t="shared" si="55"/>
        <v/>
      </c>
    </row>
    <row r="246" spans="1:11" x14ac:dyDescent="0.3">
      <c r="A246" s="27" t="s">
        <v>1130</v>
      </c>
      <c r="B246" s="27" t="s">
        <v>72</v>
      </c>
      <c r="C246" s="103" t="s">
        <v>1069</v>
      </c>
      <c r="D246" s="103" t="s">
        <v>1083</v>
      </c>
      <c r="E246" s="4" t="s">
        <v>40</v>
      </c>
      <c r="F246" s="52">
        <v>3</v>
      </c>
      <c r="G246" s="52">
        <v>3</v>
      </c>
      <c r="H246" s="108">
        <f>'2 - Section Count Projection'!$G$68</f>
        <v>0</v>
      </c>
      <c r="I246" s="8">
        <f t="shared" si="70"/>
        <v>0</v>
      </c>
      <c r="K246" s="7" t="str">
        <f t="shared" si="55"/>
        <v/>
      </c>
    </row>
    <row r="247" spans="1:11" x14ac:dyDescent="0.3">
      <c r="A247" s="27" t="s">
        <v>1130</v>
      </c>
      <c r="B247" s="27" t="s">
        <v>72</v>
      </c>
      <c r="C247" s="103" t="s">
        <v>1069</v>
      </c>
      <c r="D247" s="103" t="s">
        <v>1084</v>
      </c>
      <c r="E247" s="6" t="s">
        <v>38</v>
      </c>
      <c r="F247" s="52">
        <v>3</v>
      </c>
      <c r="G247" s="52">
        <f t="shared" si="69"/>
        <v>3</v>
      </c>
      <c r="H247" s="108">
        <f>'2 - Section Count Projection'!$G$68</f>
        <v>0</v>
      </c>
      <c r="I247" s="8">
        <f t="shared" si="70"/>
        <v>0</v>
      </c>
      <c r="K247" s="7" t="str">
        <f t="shared" si="55"/>
        <v/>
      </c>
    </row>
    <row r="248" spans="1:11" x14ac:dyDescent="0.3">
      <c r="A248" s="27" t="s">
        <v>1130</v>
      </c>
      <c r="B248" s="27" t="s">
        <v>72</v>
      </c>
      <c r="C248" s="103" t="s">
        <v>1085</v>
      </c>
      <c r="D248" s="103" t="s">
        <v>1086</v>
      </c>
      <c r="E248" s="101"/>
      <c r="F248" s="52">
        <v>3</v>
      </c>
      <c r="G248" s="52">
        <f t="shared" si="69"/>
        <v>3</v>
      </c>
      <c r="H248" s="108">
        <f>'2 - Section Count Projection'!$G$68</f>
        <v>0</v>
      </c>
      <c r="I248" s="8">
        <f t="shared" si="70"/>
        <v>0</v>
      </c>
      <c r="K248" s="7" t="str">
        <f t="shared" si="55"/>
        <v/>
      </c>
    </row>
    <row r="249" spans="1:11" x14ac:dyDescent="0.3">
      <c r="A249" s="27" t="s">
        <v>1130</v>
      </c>
      <c r="B249" s="27" t="s">
        <v>72</v>
      </c>
      <c r="C249" s="103" t="s">
        <v>1085</v>
      </c>
      <c r="D249" s="103" t="s">
        <v>1087</v>
      </c>
      <c r="E249" s="6" t="s">
        <v>30</v>
      </c>
      <c r="F249" s="52">
        <v>3</v>
      </c>
      <c r="G249" s="52">
        <f t="shared" si="69"/>
        <v>3</v>
      </c>
      <c r="H249" s="108">
        <f>'2 - Section Count Projection'!$G$68</f>
        <v>0</v>
      </c>
      <c r="I249" s="8">
        <f t="shared" si="70"/>
        <v>0</v>
      </c>
      <c r="K249" s="7" t="str">
        <f t="shared" si="55"/>
        <v/>
      </c>
    </row>
    <row r="250" spans="1:11" x14ac:dyDescent="0.3">
      <c r="A250" s="27" t="s">
        <v>1130</v>
      </c>
      <c r="B250" s="27" t="s">
        <v>72</v>
      </c>
      <c r="C250" s="103" t="s">
        <v>1085</v>
      </c>
      <c r="D250" s="103" t="s">
        <v>1088</v>
      </c>
      <c r="E250" s="6" t="s">
        <v>27</v>
      </c>
      <c r="F250" s="52">
        <v>3</v>
      </c>
      <c r="G250" s="52">
        <f t="shared" si="69"/>
        <v>3</v>
      </c>
      <c r="H250" s="108">
        <f>'2 - Section Count Projection'!$G$68</f>
        <v>0</v>
      </c>
      <c r="I250" s="8">
        <f t="shared" si="70"/>
        <v>0</v>
      </c>
      <c r="K250" s="7" t="str">
        <f t="shared" si="55"/>
        <v/>
      </c>
    </row>
    <row r="251" spans="1:11" x14ac:dyDescent="0.3">
      <c r="A251" s="27" t="s">
        <v>1130</v>
      </c>
      <c r="B251" s="27" t="s">
        <v>72</v>
      </c>
      <c r="C251" s="103" t="s">
        <v>1076</v>
      </c>
      <c r="D251" s="103" t="s">
        <v>1131</v>
      </c>
      <c r="E251" s="6" t="s">
        <v>23</v>
      </c>
      <c r="F251" s="52">
        <v>3</v>
      </c>
      <c r="G251" s="52">
        <f t="shared" ref="G251" si="71">SUM(F251:F251)</f>
        <v>3</v>
      </c>
      <c r="H251" s="108">
        <f>'2 - Section Count Projection'!$G$68</f>
        <v>0</v>
      </c>
      <c r="I251" s="8">
        <f t="shared" ref="I251" si="72">H251*G251</f>
        <v>0</v>
      </c>
      <c r="K251" s="7" t="str">
        <f t="shared" si="55"/>
        <v/>
      </c>
    </row>
    <row r="252" spans="1:11" x14ac:dyDescent="0.3">
      <c r="A252" s="27" t="s">
        <v>1130</v>
      </c>
      <c r="B252" s="27" t="s">
        <v>72</v>
      </c>
      <c r="C252" s="103" t="s">
        <v>1076</v>
      </c>
      <c r="D252" s="103" t="s">
        <v>1132</v>
      </c>
      <c r="E252" s="6" t="s">
        <v>23</v>
      </c>
      <c r="F252" s="52">
        <v>3</v>
      </c>
      <c r="G252" s="52">
        <f t="shared" si="69"/>
        <v>3</v>
      </c>
      <c r="H252" s="108">
        <f>'2 - Section Count Projection'!$G$68</f>
        <v>0</v>
      </c>
      <c r="I252" s="8">
        <f t="shared" si="70"/>
        <v>0</v>
      </c>
      <c r="K252" s="7" t="str">
        <f t="shared" si="55"/>
        <v/>
      </c>
    </row>
    <row r="253" spans="1:11" x14ac:dyDescent="0.3">
      <c r="A253" s="27" t="s">
        <v>1130</v>
      </c>
      <c r="B253" s="9" t="s">
        <v>72</v>
      </c>
      <c r="C253" s="192"/>
      <c r="D253" s="103" t="s">
        <v>1079</v>
      </c>
      <c r="E253" s="101"/>
      <c r="F253" s="52">
        <v>1</v>
      </c>
      <c r="G253" s="52">
        <f t="shared" si="69"/>
        <v>1</v>
      </c>
      <c r="H253" s="106">
        <f>'2 - Section Count Projection'!$G$21</f>
        <v>0</v>
      </c>
      <c r="I253" s="52">
        <f t="shared" si="70"/>
        <v>0</v>
      </c>
      <c r="K253" s="7" t="str">
        <f t="shared" si="55"/>
        <v/>
      </c>
    </row>
    <row r="254" spans="1:11" x14ac:dyDescent="0.3">
      <c r="A254" s="27" t="s">
        <v>1130</v>
      </c>
      <c r="B254" s="9" t="s">
        <v>72</v>
      </c>
      <c r="C254" s="192"/>
      <c r="D254" s="103" t="s">
        <v>1080</v>
      </c>
      <c r="E254" s="101"/>
      <c r="F254" s="52">
        <v>1</v>
      </c>
      <c r="G254" s="52">
        <f t="shared" si="69"/>
        <v>1</v>
      </c>
      <c r="H254" s="106">
        <f>'2 - Section Count Projection'!$G$21</f>
        <v>0</v>
      </c>
      <c r="I254" s="52">
        <f t="shared" si="70"/>
        <v>0</v>
      </c>
      <c r="K254" s="7" t="str">
        <f t="shared" si="55"/>
        <v/>
      </c>
    </row>
    <row r="255" spans="1:11" x14ac:dyDescent="0.3">
      <c r="K255" s="7">
        <f>SUM(K3:K254)</f>
        <v>382</v>
      </c>
    </row>
  </sheetData>
  <sheetProtection algorithmName="SHA-512" hashValue="KCYc4geXxC7/y8t93oBuAenfdgjAYqLuaCt45ST95DTrz0yllJJRQHizlbkLU+aK3e5Y83uFpDaui0NOFRXaHA==" saltValue="CcIyO36s80RkGhTOwexyQg==" spinCount="100000" sheet="1" objects="1" scenarios="1"/>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'Field Source'!$C$2:$C$12</xm:f>
          </x14:formula1>
          <xm:sqref>E198:E208 E152:E162 E129:E139 E221:E231 E175:E185 E106:E116 E83:E93 E26:E58 E14:E24 E3:E12 E60:E70 E72:E81 E95:E104 E118:E127 E141:E150 E164:E173 E187:E196 E210:E219 E233:E242 E244:E254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K255"/>
  <sheetViews>
    <sheetView topLeftCell="D1" zoomScale="90" zoomScaleNormal="90" workbookViewId="0">
      <selection activeCell="E7" sqref="E7"/>
    </sheetView>
  </sheetViews>
  <sheetFormatPr defaultColWidth="12.5546875" defaultRowHeight="14.4" x14ac:dyDescent="0.3"/>
  <cols>
    <col min="1" max="1" width="12.5546875" style="11"/>
    <col min="2" max="2" width="12" style="7" customWidth="1"/>
    <col min="3" max="3" width="13.5546875" style="7" customWidth="1"/>
    <col min="4" max="4" width="67.44140625" style="7" customWidth="1"/>
    <col min="5" max="5" width="27.88671875" style="7" customWidth="1"/>
    <col min="6" max="10" width="12.5546875" style="7"/>
    <col min="11" max="11" width="0" style="7" hidden="1" customWidth="1"/>
    <col min="12" max="16384" width="12.5546875" style="7"/>
  </cols>
  <sheetData>
    <row r="2" spans="1:11" ht="28.8" x14ac:dyDescent="0.3">
      <c r="A2" s="52" t="s">
        <v>1065</v>
      </c>
      <c r="B2" s="52" t="s">
        <v>1066</v>
      </c>
      <c r="C2" s="52" t="s">
        <v>1067</v>
      </c>
      <c r="D2" s="52" t="s">
        <v>1068</v>
      </c>
      <c r="E2" s="52" t="s">
        <v>110</v>
      </c>
      <c r="F2" s="52" t="s">
        <v>111</v>
      </c>
      <c r="G2" s="52" t="s">
        <v>113</v>
      </c>
      <c r="H2" s="53" t="s">
        <v>14</v>
      </c>
      <c r="I2" s="53" t="s">
        <v>114</v>
      </c>
    </row>
    <row r="3" spans="1:11" x14ac:dyDescent="0.3">
      <c r="A3" s="8" t="s">
        <v>76</v>
      </c>
      <c r="B3" s="9" t="s">
        <v>70</v>
      </c>
      <c r="C3" s="103" t="s">
        <v>1069</v>
      </c>
      <c r="D3" s="103" t="s">
        <v>1133</v>
      </c>
      <c r="E3" s="6" t="s">
        <v>27</v>
      </c>
      <c r="F3" s="52">
        <v>3</v>
      </c>
      <c r="G3" s="52">
        <f t="shared" ref="G3:G10" si="0">SUM(F3:F3)</f>
        <v>3</v>
      </c>
      <c r="H3" s="106">
        <v>0</v>
      </c>
      <c r="I3" s="52">
        <f>H3*G3</f>
        <v>0</v>
      </c>
      <c r="K3" s="7" t="str">
        <f>IF(I3&gt;0,F3,"")</f>
        <v/>
      </c>
    </row>
    <row r="4" spans="1:11" x14ac:dyDescent="0.3">
      <c r="A4" s="8" t="s">
        <v>76</v>
      </c>
      <c r="B4" s="9" t="s">
        <v>70</v>
      </c>
      <c r="C4" s="103" t="s">
        <v>1069</v>
      </c>
      <c r="D4" s="103" t="s">
        <v>1134</v>
      </c>
      <c r="E4" s="6" t="s">
        <v>36</v>
      </c>
      <c r="F4" s="52">
        <v>3</v>
      </c>
      <c r="G4" s="52">
        <f t="shared" si="0"/>
        <v>3</v>
      </c>
      <c r="H4" s="106">
        <v>0</v>
      </c>
      <c r="I4" s="52">
        <f t="shared" ref="I4:I10" si="1">H4*G4</f>
        <v>0</v>
      </c>
      <c r="K4" s="7" t="str">
        <f t="shared" ref="K4:K67" si="2">IF(I4&gt;0,F4,"")</f>
        <v/>
      </c>
    </row>
    <row r="5" spans="1:11" x14ac:dyDescent="0.3">
      <c r="A5" s="8" t="s">
        <v>76</v>
      </c>
      <c r="B5" s="9" t="s">
        <v>70</v>
      </c>
      <c r="C5" s="103" t="s">
        <v>1069</v>
      </c>
      <c r="D5" s="103" t="s">
        <v>1135</v>
      </c>
      <c r="E5" s="6" t="s">
        <v>41</v>
      </c>
      <c r="F5" s="52">
        <v>3</v>
      </c>
      <c r="G5" s="52">
        <f t="shared" si="0"/>
        <v>3</v>
      </c>
      <c r="H5" s="106">
        <v>0</v>
      </c>
      <c r="I5" s="52">
        <f t="shared" si="1"/>
        <v>0</v>
      </c>
      <c r="K5" s="7" t="str">
        <f t="shared" si="2"/>
        <v/>
      </c>
    </row>
    <row r="6" spans="1:11" x14ac:dyDescent="0.3">
      <c r="A6" s="8" t="s">
        <v>76</v>
      </c>
      <c r="B6" s="9" t="s">
        <v>70</v>
      </c>
      <c r="C6" s="103" t="s">
        <v>1069</v>
      </c>
      <c r="D6" s="103" t="s">
        <v>1136</v>
      </c>
      <c r="E6" s="6" t="s">
        <v>40</v>
      </c>
      <c r="F6" s="52">
        <v>3</v>
      </c>
      <c r="G6" s="52">
        <f t="shared" si="0"/>
        <v>3</v>
      </c>
      <c r="H6" s="106">
        <v>0</v>
      </c>
      <c r="I6" s="52">
        <f t="shared" si="1"/>
        <v>0</v>
      </c>
      <c r="K6" s="7" t="str">
        <f t="shared" si="2"/>
        <v/>
      </c>
    </row>
    <row r="7" spans="1:11" x14ac:dyDescent="0.3">
      <c r="A7" s="8" t="s">
        <v>76</v>
      </c>
      <c r="B7" s="9" t="s">
        <v>70</v>
      </c>
      <c r="C7" s="103" t="s">
        <v>1069</v>
      </c>
      <c r="D7" s="103" t="s">
        <v>1137</v>
      </c>
      <c r="E7" s="6" t="s">
        <v>30</v>
      </c>
      <c r="F7" s="52">
        <v>3</v>
      </c>
      <c r="G7" s="52">
        <f t="shared" si="0"/>
        <v>3</v>
      </c>
      <c r="H7" s="106">
        <v>0</v>
      </c>
      <c r="I7" s="52">
        <f t="shared" si="1"/>
        <v>0</v>
      </c>
      <c r="K7" s="7" t="str">
        <f t="shared" si="2"/>
        <v/>
      </c>
    </row>
    <row r="8" spans="1:11" x14ac:dyDescent="0.3">
      <c r="A8" s="8" t="s">
        <v>76</v>
      </c>
      <c r="B8" s="9" t="s">
        <v>70</v>
      </c>
      <c r="C8" s="103" t="s">
        <v>1069</v>
      </c>
      <c r="D8" s="103" t="s">
        <v>1138</v>
      </c>
      <c r="E8" s="6" t="s">
        <v>38</v>
      </c>
      <c r="F8" s="52">
        <v>2</v>
      </c>
      <c r="G8" s="52">
        <f t="shared" si="0"/>
        <v>2</v>
      </c>
      <c r="H8" s="106">
        <v>0</v>
      </c>
      <c r="I8" s="52">
        <f t="shared" si="1"/>
        <v>0</v>
      </c>
      <c r="K8" s="7" t="str">
        <f t="shared" si="2"/>
        <v/>
      </c>
    </row>
    <row r="9" spans="1:11" x14ac:dyDescent="0.3">
      <c r="A9" s="8" t="s">
        <v>76</v>
      </c>
      <c r="B9" s="9" t="s">
        <v>70</v>
      </c>
      <c r="C9" s="103" t="s">
        <v>1085</v>
      </c>
      <c r="D9" s="103" t="s">
        <v>1139</v>
      </c>
      <c r="E9" s="101"/>
      <c r="F9" s="52">
        <v>3</v>
      </c>
      <c r="G9" s="52">
        <f t="shared" si="0"/>
        <v>3</v>
      </c>
      <c r="H9" s="106">
        <v>0</v>
      </c>
      <c r="I9" s="52">
        <f t="shared" si="1"/>
        <v>0</v>
      </c>
      <c r="K9" s="7" t="str">
        <f t="shared" si="2"/>
        <v/>
      </c>
    </row>
    <row r="10" spans="1:11" x14ac:dyDescent="0.3">
      <c r="A10" s="8" t="s">
        <v>76</v>
      </c>
      <c r="B10" s="9" t="s">
        <v>70</v>
      </c>
      <c r="C10" s="103" t="s">
        <v>1076</v>
      </c>
      <c r="D10" s="103" t="s">
        <v>1140</v>
      </c>
      <c r="E10" s="6" t="s">
        <v>20</v>
      </c>
      <c r="F10" s="52">
        <v>3</v>
      </c>
      <c r="G10" s="52">
        <f t="shared" si="0"/>
        <v>3</v>
      </c>
      <c r="H10" s="106">
        <v>0</v>
      </c>
      <c r="I10" s="52">
        <f t="shared" si="1"/>
        <v>0</v>
      </c>
      <c r="K10" s="7" t="str">
        <f t="shared" si="2"/>
        <v/>
      </c>
    </row>
    <row r="11" spans="1:11" x14ac:dyDescent="0.3">
      <c r="A11" s="8" t="s">
        <v>76</v>
      </c>
      <c r="B11" s="9" t="s">
        <v>70</v>
      </c>
      <c r="C11" s="103" t="s">
        <v>1076</v>
      </c>
      <c r="D11" s="103" t="s">
        <v>1141</v>
      </c>
      <c r="E11" s="6" t="s">
        <v>20</v>
      </c>
      <c r="F11" s="52">
        <v>3</v>
      </c>
      <c r="G11" s="52">
        <f t="shared" ref="G11:G13" si="3">SUM(F11:F11)</f>
        <v>3</v>
      </c>
      <c r="H11" s="106">
        <v>0</v>
      </c>
      <c r="I11" s="52">
        <f t="shared" ref="I11:I13" si="4">H11*G11</f>
        <v>0</v>
      </c>
      <c r="K11" s="7" t="str">
        <f t="shared" si="2"/>
        <v/>
      </c>
    </row>
    <row r="12" spans="1:11" x14ac:dyDescent="0.3">
      <c r="A12" s="8" t="s">
        <v>76</v>
      </c>
      <c r="B12" s="9" t="s">
        <v>70</v>
      </c>
      <c r="C12" s="192"/>
      <c r="D12" s="103" t="s">
        <v>1079</v>
      </c>
      <c r="E12" s="101"/>
      <c r="F12" s="52">
        <v>1</v>
      </c>
      <c r="G12" s="52">
        <f t="shared" si="3"/>
        <v>1</v>
      </c>
      <c r="H12" s="106">
        <v>0</v>
      </c>
      <c r="I12" s="52">
        <f t="shared" si="4"/>
        <v>0</v>
      </c>
      <c r="K12" s="7" t="str">
        <f t="shared" si="2"/>
        <v/>
      </c>
    </row>
    <row r="13" spans="1:11" x14ac:dyDescent="0.3">
      <c r="A13" s="8" t="s">
        <v>76</v>
      </c>
      <c r="B13" s="9" t="s">
        <v>70</v>
      </c>
      <c r="C13" s="192"/>
      <c r="D13" s="103" t="s">
        <v>1080</v>
      </c>
      <c r="E13" s="101" t="s">
        <v>30</v>
      </c>
      <c r="F13" s="52">
        <v>1</v>
      </c>
      <c r="G13" s="52">
        <f t="shared" si="3"/>
        <v>1</v>
      </c>
      <c r="H13" s="106">
        <v>0</v>
      </c>
      <c r="I13" s="52">
        <f t="shared" si="4"/>
        <v>0</v>
      </c>
      <c r="K13" s="7" t="str">
        <f t="shared" si="2"/>
        <v/>
      </c>
    </row>
    <row r="14" spans="1:11" x14ac:dyDescent="0.3">
      <c r="K14" s="7" t="str">
        <f t="shared" si="2"/>
        <v/>
      </c>
    </row>
    <row r="15" spans="1:11" x14ac:dyDescent="0.3">
      <c r="A15" s="8" t="s">
        <v>76</v>
      </c>
      <c r="B15" s="9" t="s">
        <v>74</v>
      </c>
      <c r="C15" s="103" t="s">
        <v>1069</v>
      </c>
      <c r="D15" s="103" t="s">
        <v>1142</v>
      </c>
      <c r="E15" s="6" t="s">
        <v>41</v>
      </c>
      <c r="F15" s="52">
        <v>3</v>
      </c>
      <c r="G15" s="52">
        <f t="shared" ref="G15:G24" si="5">SUM(F15:F15)</f>
        <v>3</v>
      </c>
      <c r="H15" s="106">
        <v>0</v>
      </c>
      <c r="I15" s="52">
        <f>H15*G15</f>
        <v>0</v>
      </c>
      <c r="K15" s="7" t="str">
        <f t="shared" si="2"/>
        <v/>
      </c>
    </row>
    <row r="16" spans="1:11" x14ac:dyDescent="0.3">
      <c r="A16" s="8" t="s">
        <v>76</v>
      </c>
      <c r="B16" s="27" t="s">
        <v>74</v>
      </c>
      <c r="C16" s="103" t="s">
        <v>1069</v>
      </c>
      <c r="D16" s="103" t="s">
        <v>1143</v>
      </c>
      <c r="E16" s="6" t="s">
        <v>38</v>
      </c>
      <c r="F16" s="52">
        <v>2</v>
      </c>
      <c r="G16" s="52">
        <f t="shared" si="5"/>
        <v>2</v>
      </c>
      <c r="H16" s="106">
        <v>0</v>
      </c>
      <c r="I16" s="52">
        <f t="shared" ref="I16:I24" si="6">H16*G16</f>
        <v>0</v>
      </c>
      <c r="K16" s="7" t="str">
        <f t="shared" si="2"/>
        <v/>
      </c>
    </row>
    <row r="17" spans="1:11" x14ac:dyDescent="0.3">
      <c r="A17" s="8" t="s">
        <v>76</v>
      </c>
      <c r="B17" s="9" t="s">
        <v>74</v>
      </c>
      <c r="C17" s="103" t="s">
        <v>1085</v>
      </c>
      <c r="D17" s="103" t="s">
        <v>1144</v>
      </c>
      <c r="E17" s="6" t="s">
        <v>34</v>
      </c>
      <c r="F17" s="52">
        <v>3</v>
      </c>
      <c r="G17" s="52">
        <f t="shared" si="5"/>
        <v>3</v>
      </c>
      <c r="H17" s="106">
        <v>0</v>
      </c>
      <c r="I17" s="52">
        <f t="shared" si="6"/>
        <v>0</v>
      </c>
      <c r="K17" s="7" t="str">
        <f t="shared" si="2"/>
        <v/>
      </c>
    </row>
    <row r="18" spans="1:11" x14ac:dyDescent="0.3">
      <c r="A18" s="8" t="s">
        <v>76</v>
      </c>
      <c r="B18" s="9" t="s">
        <v>74</v>
      </c>
      <c r="C18" s="103" t="s">
        <v>1085</v>
      </c>
      <c r="D18" s="103" t="s">
        <v>1145</v>
      </c>
      <c r="E18" s="6" t="s">
        <v>20</v>
      </c>
      <c r="F18" s="52">
        <v>3</v>
      </c>
      <c r="G18" s="52">
        <f t="shared" si="5"/>
        <v>3</v>
      </c>
      <c r="H18" s="106">
        <v>0</v>
      </c>
      <c r="I18" s="52">
        <f t="shared" si="6"/>
        <v>0</v>
      </c>
      <c r="K18" s="7" t="str">
        <f t="shared" si="2"/>
        <v/>
      </c>
    </row>
    <row r="19" spans="1:11" x14ac:dyDescent="0.3">
      <c r="A19" s="8" t="s">
        <v>76</v>
      </c>
      <c r="B19" s="9" t="s">
        <v>74</v>
      </c>
      <c r="C19" s="103" t="s">
        <v>1085</v>
      </c>
      <c r="D19" s="103" t="s">
        <v>1146</v>
      </c>
      <c r="E19" s="101"/>
      <c r="F19" s="52">
        <v>3</v>
      </c>
      <c r="G19" s="52">
        <f t="shared" si="5"/>
        <v>3</v>
      </c>
      <c r="H19" s="106">
        <v>0</v>
      </c>
      <c r="I19" s="52">
        <f t="shared" si="6"/>
        <v>0</v>
      </c>
      <c r="K19" s="7" t="str">
        <f t="shared" si="2"/>
        <v/>
      </c>
    </row>
    <row r="20" spans="1:11" ht="28.8" x14ac:dyDescent="0.3">
      <c r="A20" s="8" t="s">
        <v>76</v>
      </c>
      <c r="B20" s="9" t="s">
        <v>74</v>
      </c>
      <c r="C20" s="103" t="s">
        <v>1076</v>
      </c>
      <c r="D20" s="104" t="s">
        <v>1147</v>
      </c>
      <c r="E20" s="101"/>
      <c r="F20" s="52">
        <v>2</v>
      </c>
      <c r="G20" s="52">
        <f t="shared" si="5"/>
        <v>2</v>
      </c>
      <c r="H20" s="106">
        <v>0</v>
      </c>
      <c r="I20" s="52">
        <f t="shared" si="6"/>
        <v>0</v>
      </c>
      <c r="J20" s="102"/>
      <c r="K20" s="7" t="str">
        <f t="shared" si="2"/>
        <v/>
      </c>
    </row>
    <row r="21" spans="1:11" x14ac:dyDescent="0.3">
      <c r="A21" s="8" t="s">
        <v>76</v>
      </c>
      <c r="B21" s="9" t="s">
        <v>74</v>
      </c>
      <c r="C21" s="103" t="s">
        <v>1076</v>
      </c>
      <c r="D21" s="103" t="s">
        <v>1148</v>
      </c>
      <c r="E21" s="6" t="s">
        <v>20</v>
      </c>
      <c r="F21" s="52">
        <v>3</v>
      </c>
      <c r="G21" s="52">
        <f t="shared" si="5"/>
        <v>3</v>
      </c>
      <c r="H21" s="106">
        <v>0</v>
      </c>
      <c r="I21" s="52">
        <f t="shared" si="6"/>
        <v>0</v>
      </c>
      <c r="K21" s="7" t="str">
        <f t="shared" si="2"/>
        <v/>
      </c>
    </row>
    <row r="22" spans="1:11" x14ac:dyDescent="0.3">
      <c r="A22" s="8" t="s">
        <v>76</v>
      </c>
      <c r="B22" s="9" t="s">
        <v>74</v>
      </c>
      <c r="C22" s="103" t="s">
        <v>1076</v>
      </c>
      <c r="D22" s="103" t="s">
        <v>1149</v>
      </c>
      <c r="E22" s="6" t="s">
        <v>20</v>
      </c>
      <c r="F22" s="52">
        <v>3</v>
      </c>
      <c r="G22" s="52">
        <f t="shared" si="5"/>
        <v>3</v>
      </c>
      <c r="H22" s="106">
        <v>0</v>
      </c>
      <c r="I22" s="52">
        <f t="shared" si="6"/>
        <v>0</v>
      </c>
      <c r="K22" s="7" t="str">
        <f t="shared" si="2"/>
        <v/>
      </c>
    </row>
    <row r="23" spans="1:11" x14ac:dyDescent="0.3">
      <c r="A23" s="8" t="s">
        <v>76</v>
      </c>
      <c r="B23" s="9" t="s">
        <v>74</v>
      </c>
      <c r="C23" s="192"/>
      <c r="D23" s="103" t="s">
        <v>1079</v>
      </c>
      <c r="E23" s="101"/>
      <c r="F23" s="52">
        <v>1</v>
      </c>
      <c r="G23" s="52">
        <f t="shared" si="5"/>
        <v>1</v>
      </c>
      <c r="H23" s="106">
        <v>0</v>
      </c>
      <c r="I23" s="52">
        <f t="shared" si="6"/>
        <v>0</v>
      </c>
      <c r="K23" s="7" t="str">
        <f t="shared" si="2"/>
        <v/>
      </c>
    </row>
    <row r="24" spans="1:11" x14ac:dyDescent="0.3">
      <c r="A24" s="8" t="s">
        <v>76</v>
      </c>
      <c r="B24" s="9" t="s">
        <v>74</v>
      </c>
      <c r="C24" s="192"/>
      <c r="D24" s="103" t="s">
        <v>1080</v>
      </c>
      <c r="E24" s="101"/>
      <c r="F24" s="52">
        <v>1</v>
      </c>
      <c r="G24" s="52">
        <f t="shared" si="5"/>
        <v>1</v>
      </c>
      <c r="H24" s="106">
        <v>0</v>
      </c>
      <c r="I24" s="52">
        <f t="shared" si="6"/>
        <v>0</v>
      </c>
      <c r="K24" s="7" t="str">
        <f t="shared" si="2"/>
        <v/>
      </c>
    </row>
    <row r="25" spans="1:11" x14ac:dyDescent="0.3">
      <c r="K25" s="7" t="str">
        <f t="shared" si="2"/>
        <v/>
      </c>
    </row>
    <row r="26" spans="1:11" x14ac:dyDescent="0.3">
      <c r="A26" s="8" t="s">
        <v>67</v>
      </c>
      <c r="B26" s="9" t="s">
        <v>70</v>
      </c>
      <c r="C26" s="103" t="s">
        <v>1069</v>
      </c>
      <c r="D26" s="103" t="s">
        <v>1133</v>
      </c>
      <c r="E26" s="6" t="s">
        <v>27</v>
      </c>
      <c r="F26" s="52">
        <v>3</v>
      </c>
      <c r="G26" s="52">
        <f t="shared" ref="G26:G36" si="7">SUM(F26:F26)</f>
        <v>3</v>
      </c>
      <c r="H26" s="106">
        <v>0</v>
      </c>
      <c r="I26" s="52">
        <f t="shared" ref="I26:I32" si="8">H26*G26</f>
        <v>0</v>
      </c>
      <c r="K26" s="7" t="str">
        <f t="shared" si="2"/>
        <v/>
      </c>
    </row>
    <row r="27" spans="1:11" x14ac:dyDescent="0.3">
      <c r="A27" s="8" t="s">
        <v>67</v>
      </c>
      <c r="B27" s="9" t="s">
        <v>70</v>
      </c>
      <c r="C27" s="103" t="s">
        <v>1069</v>
      </c>
      <c r="D27" s="103" t="s">
        <v>1134</v>
      </c>
      <c r="E27" s="6" t="s">
        <v>36</v>
      </c>
      <c r="F27" s="52">
        <v>3</v>
      </c>
      <c r="G27" s="52">
        <f t="shared" si="7"/>
        <v>3</v>
      </c>
      <c r="H27" s="106">
        <v>0</v>
      </c>
      <c r="I27" s="52">
        <f t="shared" si="8"/>
        <v>0</v>
      </c>
      <c r="K27" s="7" t="str">
        <f t="shared" si="2"/>
        <v/>
      </c>
    </row>
    <row r="28" spans="1:11" x14ac:dyDescent="0.3">
      <c r="A28" s="8" t="s">
        <v>67</v>
      </c>
      <c r="B28" s="9" t="s">
        <v>70</v>
      </c>
      <c r="C28" s="103" t="s">
        <v>1069</v>
      </c>
      <c r="D28" s="103" t="s">
        <v>1135</v>
      </c>
      <c r="E28" s="6" t="s">
        <v>41</v>
      </c>
      <c r="F28" s="52">
        <v>3</v>
      </c>
      <c r="G28" s="52">
        <f t="shared" si="7"/>
        <v>3</v>
      </c>
      <c r="H28" s="106">
        <v>0</v>
      </c>
      <c r="I28" s="52">
        <f t="shared" si="8"/>
        <v>0</v>
      </c>
      <c r="K28" s="7" t="str">
        <f t="shared" si="2"/>
        <v/>
      </c>
    </row>
    <row r="29" spans="1:11" ht="18.75" customHeight="1" x14ac:dyDescent="0.3">
      <c r="A29" s="8" t="s">
        <v>67</v>
      </c>
      <c r="B29" s="9" t="s">
        <v>70</v>
      </c>
      <c r="C29" s="103" t="s">
        <v>1069</v>
      </c>
      <c r="D29" s="103" t="s">
        <v>1150</v>
      </c>
      <c r="E29" s="6" t="s">
        <v>40</v>
      </c>
      <c r="F29" s="52">
        <v>3</v>
      </c>
      <c r="G29" s="52">
        <f t="shared" si="7"/>
        <v>3</v>
      </c>
      <c r="H29" s="106">
        <v>0</v>
      </c>
      <c r="I29" s="52">
        <f t="shared" si="8"/>
        <v>0</v>
      </c>
      <c r="K29" s="7" t="str">
        <f t="shared" si="2"/>
        <v/>
      </c>
    </row>
    <row r="30" spans="1:11" x14ac:dyDescent="0.3">
      <c r="A30" s="8" t="s">
        <v>67</v>
      </c>
      <c r="B30" s="9" t="s">
        <v>70</v>
      </c>
      <c r="C30" s="103" t="s">
        <v>1069</v>
      </c>
      <c r="D30" s="103" t="s">
        <v>1137</v>
      </c>
      <c r="E30" s="6" t="s">
        <v>30</v>
      </c>
      <c r="F30" s="52">
        <v>3</v>
      </c>
      <c r="G30" s="52">
        <f t="shared" si="7"/>
        <v>3</v>
      </c>
      <c r="H30" s="106">
        <v>0</v>
      </c>
      <c r="I30" s="52">
        <f t="shared" si="8"/>
        <v>0</v>
      </c>
      <c r="K30" s="7" t="str">
        <f t="shared" si="2"/>
        <v/>
      </c>
    </row>
    <row r="31" spans="1:11" x14ac:dyDescent="0.3">
      <c r="A31" s="8" t="s">
        <v>67</v>
      </c>
      <c r="B31" s="9" t="s">
        <v>70</v>
      </c>
      <c r="C31" s="103" t="s">
        <v>1069</v>
      </c>
      <c r="D31" s="103" t="s">
        <v>1138</v>
      </c>
      <c r="E31" s="6" t="s">
        <v>38</v>
      </c>
      <c r="F31" s="52">
        <v>2</v>
      </c>
      <c r="G31" s="52">
        <f t="shared" si="7"/>
        <v>2</v>
      </c>
      <c r="H31" s="106">
        <v>0</v>
      </c>
      <c r="I31" s="52">
        <f t="shared" si="8"/>
        <v>0</v>
      </c>
      <c r="K31" s="7" t="str">
        <f t="shared" si="2"/>
        <v/>
      </c>
    </row>
    <row r="32" spans="1:11" x14ac:dyDescent="0.3">
      <c r="A32" s="8" t="s">
        <v>67</v>
      </c>
      <c r="B32" s="9" t="s">
        <v>70</v>
      </c>
      <c r="C32" s="103" t="s">
        <v>1085</v>
      </c>
      <c r="D32" s="103" t="s">
        <v>1139</v>
      </c>
      <c r="E32" s="101"/>
      <c r="F32" s="52">
        <v>3</v>
      </c>
      <c r="G32" s="52">
        <f t="shared" si="7"/>
        <v>3</v>
      </c>
      <c r="H32" s="106">
        <v>0</v>
      </c>
      <c r="I32" s="52">
        <f t="shared" si="8"/>
        <v>0</v>
      </c>
      <c r="K32" s="7" t="str">
        <f t="shared" si="2"/>
        <v/>
      </c>
    </row>
    <row r="33" spans="1:11" x14ac:dyDescent="0.3">
      <c r="A33" s="8" t="s">
        <v>67</v>
      </c>
      <c r="B33" s="9" t="s">
        <v>70</v>
      </c>
      <c r="C33" s="103" t="s">
        <v>1076</v>
      </c>
      <c r="D33" s="103" t="s">
        <v>1151</v>
      </c>
      <c r="E33" s="6" t="s">
        <v>36</v>
      </c>
      <c r="F33" s="52">
        <v>3</v>
      </c>
      <c r="G33" s="52">
        <f t="shared" ref="G33" si="9">SUM(F33:F33)</f>
        <v>3</v>
      </c>
      <c r="H33" s="106">
        <v>0</v>
      </c>
      <c r="I33" s="52">
        <f t="shared" ref="I33" si="10">H33*G33</f>
        <v>0</v>
      </c>
      <c r="K33" s="7" t="str">
        <f t="shared" si="2"/>
        <v/>
      </c>
    </row>
    <row r="34" spans="1:11" x14ac:dyDescent="0.3">
      <c r="A34" s="8" t="s">
        <v>67</v>
      </c>
      <c r="B34" s="9" t="s">
        <v>70</v>
      </c>
      <c r="C34" s="103" t="s">
        <v>1076</v>
      </c>
      <c r="D34" s="103" t="s">
        <v>1152</v>
      </c>
      <c r="E34" s="6" t="s">
        <v>40</v>
      </c>
      <c r="F34" s="52">
        <v>3</v>
      </c>
      <c r="G34" s="52">
        <f t="shared" si="7"/>
        <v>3</v>
      </c>
      <c r="H34" s="106">
        <v>0</v>
      </c>
      <c r="I34" s="52">
        <f>H34*G34</f>
        <v>0</v>
      </c>
      <c r="K34" s="7" t="str">
        <f t="shared" si="2"/>
        <v/>
      </c>
    </row>
    <row r="35" spans="1:11" x14ac:dyDescent="0.3">
      <c r="A35" s="8" t="s">
        <v>67</v>
      </c>
      <c r="B35" s="9" t="s">
        <v>70</v>
      </c>
      <c r="C35" s="192"/>
      <c r="D35" s="103" t="s">
        <v>1079</v>
      </c>
      <c r="E35" s="101"/>
      <c r="F35" s="52">
        <v>1</v>
      </c>
      <c r="G35" s="52">
        <f t="shared" si="7"/>
        <v>1</v>
      </c>
      <c r="H35" s="106">
        <v>0</v>
      </c>
      <c r="I35" s="52">
        <f t="shared" ref="I35:I36" si="11">H35*G35</f>
        <v>0</v>
      </c>
      <c r="K35" s="7" t="str">
        <f t="shared" si="2"/>
        <v/>
      </c>
    </row>
    <row r="36" spans="1:11" x14ac:dyDescent="0.3">
      <c r="A36" s="8" t="s">
        <v>67</v>
      </c>
      <c r="B36" s="9" t="s">
        <v>70</v>
      </c>
      <c r="C36" s="192"/>
      <c r="D36" s="103" t="s">
        <v>1080</v>
      </c>
      <c r="E36" s="101"/>
      <c r="F36" s="52">
        <v>1</v>
      </c>
      <c r="G36" s="52">
        <f t="shared" si="7"/>
        <v>1</v>
      </c>
      <c r="H36" s="106">
        <v>9</v>
      </c>
      <c r="I36" s="52">
        <f t="shared" si="11"/>
        <v>9</v>
      </c>
      <c r="K36" s="7">
        <f t="shared" si="2"/>
        <v>1</v>
      </c>
    </row>
    <row r="37" spans="1:11" x14ac:dyDescent="0.3">
      <c r="A37" s="7"/>
      <c r="K37" s="7" t="str">
        <f t="shared" si="2"/>
        <v/>
      </c>
    </row>
    <row r="38" spans="1:11" x14ac:dyDescent="0.3">
      <c r="A38" s="8" t="s">
        <v>67</v>
      </c>
      <c r="B38" s="9" t="s">
        <v>74</v>
      </c>
      <c r="C38" s="103" t="s">
        <v>1069</v>
      </c>
      <c r="D38" s="103" t="s">
        <v>1142</v>
      </c>
      <c r="E38" s="6" t="s">
        <v>41</v>
      </c>
      <c r="F38" s="52">
        <v>3</v>
      </c>
      <c r="G38" s="52">
        <f t="shared" ref="G38:G47" si="12">SUM(F38:F38)</f>
        <v>3</v>
      </c>
      <c r="H38" s="106">
        <v>0</v>
      </c>
      <c r="I38" s="52">
        <f t="shared" ref="I38:I47" si="13">H38*G38</f>
        <v>0</v>
      </c>
      <c r="K38" s="7" t="str">
        <f t="shared" si="2"/>
        <v/>
      </c>
    </row>
    <row r="39" spans="1:11" x14ac:dyDescent="0.3">
      <c r="A39" s="8" t="s">
        <v>67</v>
      </c>
      <c r="B39" s="27" t="s">
        <v>74</v>
      </c>
      <c r="C39" s="103" t="s">
        <v>1069</v>
      </c>
      <c r="D39" s="103" t="s">
        <v>1143</v>
      </c>
      <c r="E39" s="6" t="s">
        <v>38</v>
      </c>
      <c r="F39" s="52">
        <v>2</v>
      </c>
      <c r="G39" s="52">
        <f t="shared" si="12"/>
        <v>2</v>
      </c>
      <c r="H39" s="106">
        <v>0</v>
      </c>
      <c r="I39" s="52">
        <f t="shared" si="13"/>
        <v>0</v>
      </c>
      <c r="K39" s="7" t="str">
        <f t="shared" si="2"/>
        <v/>
      </c>
    </row>
    <row r="40" spans="1:11" x14ac:dyDescent="0.3">
      <c r="A40" s="8" t="s">
        <v>67</v>
      </c>
      <c r="B40" s="9" t="s">
        <v>74</v>
      </c>
      <c r="C40" s="103" t="s">
        <v>1085</v>
      </c>
      <c r="D40" s="103" t="s">
        <v>1144</v>
      </c>
      <c r="E40" s="6" t="s">
        <v>34</v>
      </c>
      <c r="F40" s="52">
        <v>3</v>
      </c>
      <c r="G40" s="52">
        <f t="shared" si="12"/>
        <v>3</v>
      </c>
      <c r="H40" s="106">
        <v>0</v>
      </c>
      <c r="I40" s="52">
        <f t="shared" si="13"/>
        <v>0</v>
      </c>
      <c r="K40" s="7" t="str">
        <f t="shared" si="2"/>
        <v/>
      </c>
    </row>
    <row r="41" spans="1:11" x14ac:dyDescent="0.3">
      <c r="A41" s="8" t="s">
        <v>67</v>
      </c>
      <c r="B41" s="9" t="s">
        <v>74</v>
      </c>
      <c r="C41" s="103" t="s">
        <v>1085</v>
      </c>
      <c r="D41" s="103" t="s">
        <v>1145</v>
      </c>
      <c r="E41" s="6" t="s">
        <v>20</v>
      </c>
      <c r="F41" s="52">
        <v>3</v>
      </c>
      <c r="G41" s="52">
        <f t="shared" si="12"/>
        <v>3</v>
      </c>
      <c r="H41" s="106">
        <v>0</v>
      </c>
      <c r="I41" s="52">
        <f t="shared" si="13"/>
        <v>0</v>
      </c>
      <c r="K41" s="7" t="str">
        <f t="shared" si="2"/>
        <v/>
      </c>
    </row>
    <row r="42" spans="1:11" x14ac:dyDescent="0.3">
      <c r="A42" s="8" t="s">
        <v>67</v>
      </c>
      <c r="B42" s="9" t="s">
        <v>74</v>
      </c>
      <c r="C42" s="103" t="s">
        <v>1085</v>
      </c>
      <c r="D42" s="103" t="s">
        <v>1153</v>
      </c>
      <c r="E42" s="101"/>
      <c r="F42" s="52">
        <v>3</v>
      </c>
      <c r="G42" s="52">
        <f t="shared" si="12"/>
        <v>3</v>
      </c>
      <c r="H42" s="106">
        <v>0</v>
      </c>
      <c r="I42" s="52">
        <f t="shared" si="13"/>
        <v>0</v>
      </c>
      <c r="K42" s="7" t="str">
        <f t="shared" si="2"/>
        <v/>
      </c>
    </row>
    <row r="43" spans="1:11" ht="28.8" x14ac:dyDescent="0.3">
      <c r="A43" s="8" t="s">
        <v>67</v>
      </c>
      <c r="B43" s="9" t="s">
        <v>74</v>
      </c>
      <c r="C43" s="103" t="s">
        <v>1076</v>
      </c>
      <c r="D43" s="104" t="s">
        <v>1154</v>
      </c>
      <c r="E43" s="101"/>
      <c r="F43" s="52">
        <v>2</v>
      </c>
      <c r="G43" s="52">
        <f t="shared" si="12"/>
        <v>2</v>
      </c>
      <c r="H43" s="106">
        <v>0</v>
      </c>
      <c r="I43" s="52">
        <f t="shared" si="13"/>
        <v>0</v>
      </c>
      <c r="K43" s="7" t="str">
        <f t="shared" si="2"/>
        <v/>
      </c>
    </row>
    <row r="44" spans="1:11" ht="15" customHeight="1" x14ac:dyDescent="0.3">
      <c r="A44" s="8" t="s">
        <v>67</v>
      </c>
      <c r="B44" s="9" t="s">
        <v>74</v>
      </c>
      <c r="C44" s="103" t="s">
        <v>1076</v>
      </c>
      <c r="D44" s="103" t="s">
        <v>1155</v>
      </c>
      <c r="E44" s="6" t="s">
        <v>40</v>
      </c>
      <c r="F44" s="52">
        <v>3</v>
      </c>
      <c r="G44" s="52">
        <f t="shared" si="12"/>
        <v>3</v>
      </c>
      <c r="H44" s="106">
        <v>0</v>
      </c>
      <c r="I44" s="52">
        <f t="shared" si="13"/>
        <v>0</v>
      </c>
      <c r="K44" s="7" t="str">
        <f t="shared" si="2"/>
        <v/>
      </c>
    </row>
    <row r="45" spans="1:11" ht="15" customHeight="1" x14ac:dyDescent="0.3">
      <c r="A45" s="8" t="s">
        <v>67</v>
      </c>
      <c r="B45" s="9" t="s">
        <v>74</v>
      </c>
      <c r="C45" s="103" t="s">
        <v>1076</v>
      </c>
      <c r="D45" s="103" t="s">
        <v>1156</v>
      </c>
      <c r="E45" s="6" t="s">
        <v>40</v>
      </c>
      <c r="F45" s="52">
        <v>3</v>
      </c>
      <c r="G45" s="52">
        <f t="shared" si="12"/>
        <v>3</v>
      </c>
      <c r="H45" s="106">
        <v>0</v>
      </c>
      <c r="I45" s="52">
        <f t="shared" si="13"/>
        <v>0</v>
      </c>
      <c r="K45" s="7" t="str">
        <f t="shared" si="2"/>
        <v/>
      </c>
    </row>
    <row r="46" spans="1:11" x14ac:dyDescent="0.3">
      <c r="A46" s="8" t="s">
        <v>67</v>
      </c>
      <c r="B46" s="9" t="s">
        <v>74</v>
      </c>
      <c r="C46" s="192"/>
      <c r="D46" s="103" t="s">
        <v>1079</v>
      </c>
      <c r="E46" s="101"/>
      <c r="F46" s="52">
        <v>1</v>
      </c>
      <c r="G46" s="52">
        <f t="shared" si="12"/>
        <v>1</v>
      </c>
      <c r="H46" s="106">
        <v>0</v>
      </c>
      <c r="I46" s="52">
        <f t="shared" si="13"/>
        <v>0</v>
      </c>
      <c r="K46" s="7" t="str">
        <f t="shared" si="2"/>
        <v/>
      </c>
    </row>
    <row r="47" spans="1:11" x14ac:dyDescent="0.3">
      <c r="A47" s="8" t="s">
        <v>67</v>
      </c>
      <c r="B47" s="9" t="s">
        <v>74</v>
      </c>
      <c r="C47" s="192"/>
      <c r="D47" s="103" t="s">
        <v>1080</v>
      </c>
      <c r="E47" s="101"/>
      <c r="F47" s="52">
        <v>1</v>
      </c>
      <c r="G47" s="52">
        <f t="shared" si="12"/>
        <v>1</v>
      </c>
      <c r="H47" s="106">
        <v>0</v>
      </c>
      <c r="I47" s="52">
        <f t="shared" si="13"/>
        <v>0</v>
      </c>
      <c r="K47" s="7" t="str">
        <f t="shared" si="2"/>
        <v/>
      </c>
    </row>
    <row r="48" spans="1:11" x14ac:dyDescent="0.3">
      <c r="A48" s="7"/>
      <c r="K48" s="7" t="str">
        <f t="shared" si="2"/>
        <v/>
      </c>
    </row>
    <row r="49" spans="1:11" ht="15" customHeight="1" x14ac:dyDescent="0.3">
      <c r="A49" s="9" t="s">
        <v>1097</v>
      </c>
      <c r="B49" s="9" t="s">
        <v>70</v>
      </c>
      <c r="C49" s="103" t="s">
        <v>1069</v>
      </c>
      <c r="D49" s="103" t="s">
        <v>1133</v>
      </c>
      <c r="E49" s="6" t="s">
        <v>27</v>
      </c>
      <c r="F49" s="52">
        <v>3</v>
      </c>
      <c r="G49" s="52">
        <f t="shared" ref="G49:G59" si="14">SUM(F49:F49)</f>
        <v>3</v>
      </c>
      <c r="H49" s="107">
        <f>'2 - Section Count Projection'!$G$27</f>
        <v>0</v>
      </c>
      <c r="I49" s="10">
        <f t="shared" ref="I49:I59" si="15">H49*G49</f>
        <v>0</v>
      </c>
      <c r="K49" s="7" t="str">
        <f t="shared" si="2"/>
        <v/>
      </c>
    </row>
    <row r="50" spans="1:11" ht="15" customHeight="1" x14ac:dyDescent="0.3">
      <c r="A50" s="9" t="s">
        <v>1097</v>
      </c>
      <c r="B50" s="9" t="s">
        <v>70</v>
      </c>
      <c r="C50" s="103" t="s">
        <v>1069</v>
      </c>
      <c r="D50" s="103" t="s">
        <v>1134</v>
      </c>
      <c r="E50" s="6" t="s">
        <v>36</v>
      </c>
      <c r="F50" s="52">
        <v>3</v>
      </c>
      <c r="G50" s="52">
        <f t="shared" si="14"/>
        <v>3</v>
      </c>
      <c r="H50" s="107">
        <f>'2 - Section Count Projection'!$G$27</f>
        <v>0</v>
      </c>
      <c r="I50" s="10">
        <f t="shared" si="15"/>
        <v>0</v>
      </c>
      <c r="K50" s="7" t="str">
        <f t="shared" si="2"/>
        <v/>
      </c>
    </row>
    <row r="51" spans="1:11" ht="15" customHeight="1" x14ac:dyDescent="0.3">
      <c r="A51" s="9" t="s">
        <v>1097</v>
      </c>
      <c r="B51" s="9" t="s">
        <v>70</v>
      </c>
      <c r="C51" s="103" t="s">
        <v>1069</v>
      </c>
      <c r="D51" s="103" t="s">
        <v>1135</v>
      </c>
      <c r="E51" s="6" t="s">
        <v>41</v>
      </c>
      <c r="F51" s="52">
        <v>3</v>
      </c>
      <c r="G51" s="52">
        <f t="shared" si="14"/>
        <v>3</v>
      </c>
      <c r="H51" s="107">
        <f>'2 - Section Count Projection'!$G$27</f>
        <v>0</v>
      </c>
      <c r="I51" s="10">
        <f t="shared" si="15"/>
        <v>0</v>
      </c>
      <c r="K51" s="7" t="str">
        <f t="shared" si="2"/>
        <v/>
      </c>
    </row>
    <row r="52" spans="1:11" x14ac:dyDescent="0.3">
      <c r="A52" s="9" t="s">
        <v>1097</v>
      </c>
      <c r="B52" s="9" t="s">
        <v>70</v>
      </c>
      <c r="C52" s="103" t="s">
        <v>1069</v>
      </c>
      <c r="D52" s="103" t="s">
        <v>1136</v>
      </c>
      <c r="E52" s="6" t="s">
        <v>40</v>
      </c>
      <c r="F52" s="52">
        <v>3</v>
      </c>
      <c r="G52" s="52">
        <f t="shared" si="14"/>
        <v>3</v>
      </c>
      <c r="H52" s="107">
        <f>'2 - Section Count Projection'!$G$27</f>
        <v>0</v>
      </c>
      <c r="I52" s="10">
        <f t="shared" si="15"/>
        <v>0</v>
      </c>
      <c r="K52" s="7" t="str">
        <f t="shared" si="2"/>
        <v/>
      </c>
    </row>
    <row r="53" spans="1:11" x14ac:dyDescent="0.3">
      <c r="A53" s="9" t="s">
        <v>1097</v>
      </c>
      <c r="B53" s="9" t="s">
        <v>70</v>
      </c>
      <c r="C53" s="103" t="s">
        <v>1069</v>
      </c>
      <c r="D53" s="103" t="s">
        <v>1137</v>
      </c>
      <c r="E53" s="6" t="s">
        <v>30</v>
      </c>
      <c r="F53" s="52">
        <v>3</v>
      </c>
      <c r="G53" s="52">
        <f t="shared" si="14"/>
        <v>3</v>
      </c>
      <c r="H53" s="107">
        <f>'2 - Section Count Projection'!$G$27</f>
        <v>0</v>
      </c>
      <c r="I53" s="10">
        <f t="shared" si="15"/>
        <v>0</v>
      </c>
      <c r="K53" s="7" t="str">
        <f t="shared" si="2"/>
        <v/>
      </c>
    </row>
    <row r="54" spans="1:11" x14ac:dyDescent="0.3">
      <c r="A54" s="9" t="s">
        <v>1097</v>
      </c>
      <c r="B54" s="9" t="s">
        <v>70</v>
      </c>
      <c r="C54" s="103" t="s">
        <v>1069</v>
      </c>
      <c r="D54" s="103" t="s">
        <v>1138</v>
      </c>
      <c r="E54" s="6" t="s">
        <v>38</v>
      </c>
      <c r="F54" s="52">
        <v>2</v>
      </c>
      <c r="G54" s="52">
        <f t="shared" si="14"/>
        <v>2</v>
      </c>
      <c r="H54" s="107">
        <f>'2 - Section Count Projection'!$G$27</f>
        <v>0</v>
      </c>
      <c r="I54" s="10">
        <f t="shared" si="15"/>
        <v>0</v>
      </c>
      <c r="K54" s="7" t="str">
        <f t="shared" si="2"/>
        <v/>
      </c>
    </row>
    <row r="55" spans="1:11" x14ac:dyDescent="0.3">
      <c r="A55" s="9" t="s">
        <v>1097</v>
      </c>
      <c r="B55" s="9" t="s">
        <v>70</v>
      </c>
      <c r="C55" s="103" t="s">
        <v>1085</v>
      </c>
      <c r="D55" s="103" t="s">
        <v>1139</v>
      </c>
      <c r="E55" s="101"/>
      <c r="F55" s="52">
        <v>3</v>
      </c>
      <c r="G55" s="52">
        <f t="shared" si="14"/>
        <v>3</v>
      </c>
      <c r="H55" s="107">
        <f>'2 - Section Count Projection'!$G$27</f>
        <v>0</v>
      </c>
      <c r="I55" s="10">
        <f t="shared" si="15"/>
        <v>0</v>
      </c>
      <c r="K55" s="7" t="str">
        <f t="shared" si="2"/>
        <v/>
      </c>
    </row>
    <row r="56" spans="1:11" x14ac:dyDescent="0.3">
      <c r="A56" s="9" t="s">
        <v>1097</v>
      </c>
      <c r="B56" s="9" t="s">
        <v>70</v>
      </c>
      <c r="C56" s="103" t="s">
        <v>1076</v>
      </c>
      <c r="D56" s="103" t="s">
        <v>1157</v>
      </c>
      <c r="E56" s="101"/>
      <c r="F56" s="52">
        <v>3</v>
      </c>
      <c r="G56" s="52">
        <f t="shared" ref="G56" si="16">SUM(F56:F56)</f>
        <v>3</v>
      </c>
      <c r="H56" s="107">
        <f>'2 - Section Count Projection'!$G$27</f>
        <v>0</v>
      </c>
      <c r="I56" s="10">
        <f t="shared" ref="I56" si="17">H56*G56</f>
        <v>0</v>
      </c>
      <c r="K56" s="7" t="str">
        <f t="shared" si="2"/>
        <v/>
      </c>
    </row>
    <row r="57" spans="1:11" x14ac:dyDescent="0.3">
      <c r="A57" s="9" t="s">
        <v>1097</v>
      </c>
      <c r="B57" s="9" t="s">
        <v>70</v>
      </c>
      <c r="C57" s="103" t="s">
        <v>1076</v>
      </c>
      <c r="D57" s="103" t="s">
        <v>1158</v>
      </c>
      <c r="E57" s="101"/>
      <c r="F57" s="52">
        <v>3</v>
      </c>
      <c r="G57" s="52">
        <f t="shared" si="14"/>
        <v>3</v>
      </c>
      <c r="H57" s="107">
        <f>'2 - Section Count Projection'!$G$27</f>
        <v>0</v>
      </c>
      <c r="I57" s="10">
        <f t="shared" si="15"/>
        <v>0</v>
      </c>
      <c r="K57" s="7" t="str">
        <f t="shared" si="2"/>
        <v/>
      </c>
    </row>
    <row r="58" spans="1:11" x14ac:dyDescent="0.3">
      <c r="A58" s="8" t="s">
        <v>1097</v>
      </c>
      <c r="B58" s="9" t="s">
        <v>70</v>
      </c>
      <c r="C58" s="192"/>
      <c r="D58" s="103" t="s">
        <v>1079</v>
      </c>
      <c r="E58" s="101"/>
      <c r="F58" s="52">
        <v>1</v>
      </c>
      <c r="G58" s="52">
        <f t="shared" si="14"/>
        <v>1</v>
      </c>
      <c r="H58" s="106">
        <f>'2 - Section Count Projection'!$G$21</f>
        <v>0</v>
      </c>
      <c r="I58" s="52">
        <f t="shared" si="15"/>
        <v>0</v>
      </c>
      <c r="K58" s="7" t="str">
        <f t="shared" si="2"/>
        <v/>
      </c>
    </row>
    <row r="59" spans="1:11" x14ac:dyDescent="0.3">
      <c r="A59" s="8" t="s">
        <v>1097</v>
      </c>
      <c r="B59" s="9" t="s">
        <v>70</v>
      </c>
      <c r="C59" s="192"/>
      <c r="D59" s="103" t="s">
        <v>1080</v>
      </c>
      <c r="E59" s="101"/>
      <c r="F59" s="52">
        <v>1</v>
      </c>
      <c r="G59" s="52">
        <f t="shared" si="14"/>
        <v>1</v>
      </c>
      <c r="H59" s="106">
        <f>'2 - Section Count Projection'!$G$21</f>
        <v>0</v>
      </c>
      <c r="I59" s="52">
        <f t="shared" si="15"/>
        <v>0</v>
      </c>
      <c r="K59" s="7" t="str">
        <f t="shared" si="2"/>
        <v/>
      </c>
    </row>
    <row r="60" spans="1:11" x14ac:dyDescent="0.3">
      <c r="A60" s="7"/>
      <c r="K60" s="7" t="str">
        <f t="shared" si="2"/>
        <v/>
      </c>
    </row>
    <row r="61" spans="1:11" x14ac:dyDescent="0.3">
      <c r="A61" s="9" t="s">
        <v>1097</v>
      </c>
      <c r="B61" s="9" t="s">
        <v>74</v>
      </c>
      <c r="C61" s="103" t="s">
        <v>1069</v>
      </c>
      <c r="D61" s="103" t="s">
        <v>1142</v>
      </c>
      <c r="E61" s="6" t="s">
        <v>41</v>
      </c>
      <c r="F61" s="52">
        <v>3</v>
      </c>
      <c r="G61" s="52">
        <f t="shared" ref="G61:G70" si="18">SUM(F61:F61)</f>
        <v>3</v>
      </c>
      <c r="H61" s="107">
        <v>0</v>
      </c>
      <c r="I61" s="10">
        <f>H61*G61</f>
        <v>0</v>
      </c>
      <c r="K61" s="7" t="str">
        <f t="shared" si="2"/>
        <v/>
      </c>
    </row>
    <row r="62" spans="1:11" x14ac:dyDescent="0.3">
      <c r="A62" s="27" t="s">
        <v>1097</v>
      </c>
      <c r="B62" s="9" t="s">
        <v>74</v>
      </c>
      <c r="C62" s="103" t="s">
        <v>1069</v>
      </c>
      <c r="D62" s="103" t="s">
        <v>1143</v>
      </c>
      <c r="E62" s="6" t="s">
        <v>38</v>
      </c>
      <c r="F62" s="52">
        <v>2</v>
      </c>
      <c r="G62" s="52">
        <f t="shared" si="18"/>
        <v>2</v>
      </c>
      <c r="H62" s="107">
        <v>0</v>
      </c>
      <c r="I62" s="10">
        <f t="shared" ref="I62:I70" si="19">H62*G62</f>
        <v>0</v>
      </c>
      <c r="K62" s="7" t="str">
        <f t="shared" si="2"/>
        <v/>
      </c>
    </row>
    <row r="63" spans="1:11" x14ac:dyDescent="0.3">
      <c r="A63" s="9" t="s">
        <v>1097</v>
      </c>
      <c r="B63" s="9" t="s">
        <v>74</v>
      </c>
      <c r="C63" s="103" t="s">
        <v>1085</v>
      </c>
      <c r="D63" s="103" t="s">
        <v>1144</v>
      </c>
      <c r="E63" s="6" t="s">
        <v>34</v>
      </c>
      <c r="F63" s="52">
        <v>3</v>
      </c>
      <c r="G63" s="52">
        <f t="shared" si="18"/>
        <v>3</v>
      </c>
      <c r="H63" s="107">
        <v>0</v>
      </c>
      <c r="I63" s="10">
        <f t="shared" si="19"/>
        <v>0</v>
      </c>
      <c r="K63" s="7" t="str">
        <f t="shared" si="2"/>
        <v/>
      </c>
    </row>
    <row r="64" spans="1:11" x14ac:dyDescent="0.3">
      <c r="A64" s="9" t="s">
        <v>1097</v>
      </c>
      <c r="B64" s="9" t="s">
        <v>74</v>
      </c>
      <c r="C64" s="103" t="s">
        <v>1085</v>
      </c>
      <c r="D64" s="103" t="s">
        <v>1145</v>
      </c>
      <c r="E64" s="6" t="s">
        <v>20</v>
      </c>
      <c r="F64" s="52">
        <v>3</v>
      </c>
      <c r="G64" s="52">
        <f t="shared" si="18"/>
        <v>3</v>
      </c>
      <c r="H64" s="107">
        <v>0</v>
      </c>
      <c r="I64" s="10">
        <f t="shared" si="19"/>
        <v>0</v>
      </c>
      <c r="K64" s="7" t="str">
        <f t="shared" si="2"/>
        <v/>
      </c>
    </row>
    <row r="65" spans="1:11" x14ac:dyDescent="0.3">
      <c r="A65" s="9" t="s">
        <v>1097</v>
      </c>
      <c r="B65" s="9" t="s">
        <v>74</v>
      </c>
      <c r="C65" s="103" t="s">
        <v>1085</v>
      </c>
      <c r="D65" s="103" t="s">
        <v>1153</v>
      </c>
      <c r="E65" s="101"/>
      <c r="F65" s="52">
        <v>3</v>
      </c>
      <c r="G65" s="52">
        <f t="shared" si="18"/>
        <v>3</v>
      </c>
      <c r="H65" s="107">
        <v>0</v>
      </c>
      <c r="I65" s="10">
        <f t="shared" si="19"/>
        <v>0</v>
      </c>
      <c r="K65" s="7" t="str">
        <f t="shared" si="2"/>
        <v/>
      </c>
    </row>
    <row r="66" spans="1:11" x14ac:dyDescent="0.3">
      <c r="A66" s="9" t="s">
        <v>1097</v>
      </c>
      <c r="B66" s="9" t="s">
        <v>74</v>
      </c>
      <c r="C66" s="103" t="s">
        <v>1076</v>
      </c>
      <c r="D66" s="104" t="s">
        <v>1159</v>
      </c>
      <c r="E66" s="101"/>
      <c r="F66" s="52">
        <v>2</v>
      </c>
      <c r="G66" s="52">
        <f t="shared" si="18"/>
        <v>2</v>
      </c>
      <c r="H66" s="107">
        <v>0</v>
      </c>
      <c r="I66" s="10">
        <f t="shared" si="19"/>
        <v>0</v>
      </c>
      <c r="K66" s="7" t="str">
        <f t="shared" si="2"/>
        <v/>
      </c>
    </row>
    <row r="67" spans="1:11" x14ac:dyDescent="0.3">
      <c r="A67" s="9" t="s">
        <v>1097</v>
      </c>
      <c r="B67" s="9" t="s">
        <v>74</v>
      </c>
      <c r="C67" s="103" t="s">
        <v>1076</v>
      </c>
      <c r="D67" s="103" t="s">
        <v>1148</v>
      </c>
      <c r="E67" s="6" t="s">
        <v>20</v>
      </c>
      <c r="F67" s="52">
        <v>3</v>
      </c>
      <c r="G67" s="52">
        <f t="shared" si="18"/>
        <v>3</v>
      </c>
      <c r="H67" s="107">
        <v>0</v>
      </c>
      <c r="I67" s="10">
        <f t="shared" si="19"/>
        <v>0</v>
      </c>
      <c r="K67" s="7" t="str">
        <f t="shared" si="2"/>
        <v/>
      </c>
    </row>
    <row r="68" spans="1:11" x14ac:dyDescent="0.3">
      <c r="A68" s="9" t="s">
        <v>1097</v>
      </c>
      <c r="B68" s="9" t="s">
        <v>74</v>
      </c>
      <c r="C68" s="103" t="s">
        <v>1076</v>
      </c>
      <c r="D68" s="103" t="s">
        <v>1160</v>
      </c>
      <c r="E68" s="6" t="s">
        <v>20</v>
      </c>
      <c r="F68" s="52">
        <v>3</v>
      </c>
      <c r="G68" s="52">
        <f t="shared" si="18"/>
        <v>3</v>
      </c>
      <c r="H68" s="107">
        <v>0</v>
      </c>
      <c r="I68" s="10">
        <f t="shared" si="19"/>
        <v>0</v>
      </c>
      <c r="K68" s="7" t="str">
        <f t="shared" ref="K68:K131" si="20">IF(I68&gt;0,F68,"")</f>
        <v/>
      </c>
    </row>
    <row r="69" spans="1:11" x14ac:dyDescent="0.3">
      <c r="A69" s="8" t="s">
        <v>1097</v>
      </c>
      <c r="B69" s="9" t="s">
        <v>74</v>
      </c>
      <c r="C69" s="192"/>
      <c r="D69" s="103" t="s">
        <v>1079</v>
      </c>
      <c r="E69" s="101"/>
      <c r="F69" s="52">
        <v>1</v>
      </c>
      <c r="G69" s="52">
        <f t="shared" si="18"/>
        <v>1</v>
      </c>
      <c r="H69" s="106">
        <v>0</v>
      </c>
      <c r="I69" s="52">
        <f t="shared" si="19"/>
        <v>0</v>
      </c>
      <c r="K69" s="7" t="str">
        <f t="shared" si="20"/>
        <v/>
      </c>
    </row>
    <row r="70" spans="1:11" x14ac:dyDescent="0.3">
      <c r="A70" s="8" t="s">
        <v>1097</v>
      </c>
      <c r="B70" s="9" t="s">
        <v>74</v>
      </c>
      <c r="C70" s="192"/>
      <c r="D70" s="103" t="s">
        <v>1080</v>
      </c>
      <c r="E70" s="101"/>
      <c r="F70" s="52">
        <v>1</v>
      </c>
      <c r="G70" s="52">
        <f t="shared" si="18"/>
        <v>1</v>
      </c>
      <c r="H70" s="106">
        <v>0</v>
      </c>
      <c r="I70" s="52">
        <f t="shared" si="19"/>
        <v>0</v>
      </c>
      <c r="K70" s="7" t="str">
        <f t="shared" si="20"/>
        <v/>
      </c>
    </row>
    <row r="71" spans="1:11" x14ac:dyDescent="0.3">
      <c r="A71" s="7"/>
      <c r="K71" s="7" t="str">
        <f t="shared" si="20"/>
        <v/>
      </c>
    </row>
    <row r="72" spans="1:11" x14ac:dyDescent="0.3">
      <c r="A72" s="9" t="s">
        <v>79</v>
      </c>
      <c r="B72" s="9" t="s">
        <v>70</v>
      </c>
      <c r="C72" s="103" t="s">
        <v>1069</v>
      </c>
      <c r="D72" s="103" t="s">
        <v>1133</v>
      </c>
      <c r="E72" s="6" t="s">
        <v>27</v>
      </c>
      <c r="F72" s="52">
        <v>3</v>
      </c>
      <c r="G72" s="52">
        <f t="shared" ref="G72:G82" si="21">SUM(F72:F72)</f>
        <v>3</v>
      </c>
      <c r="H72" s="107">
        <v>0</v>
      </c>
      <c r="I72" s="10">
        <f>H72*G72</f>
        <v>0</v>
      </c>
      <c r="K72" s="7" t="str">
        <f t="shared" si="20"/>
        <v/>
      </c>
    </row>
    <row r="73" spans="1:11" x14ac:dyDescent="0.3">
      <c r="A73" s="9" t="s">
        <v>79</v>
      </c>
      <c r="B73" s="9" t="s">
        <v>70</v>
      </c>
      <c r="C73" s="103" t="s">
        <v>1069</v>
      </c>
      <c r="D73" s="103" t="s">
        <v>1134</v>
      </c>
      <c r="E73" s="6" t="s">
        <v>36</v>
      </c>
      <c r="F73" s="52">
        <v>3</v>
      </c>
      <c r="G73" s="52">
        <f t="shared" si="21"/>
        <v>3</v>
      </c>
      <c r="H73" s="107">
        <v>0</v>
      </c>
      <c r="I73" s="10">
        <f>H73*G73</f>
        <v>0</v>
      </c>
      <c r="K73" s="7" t="str">
        <f t="shared" si="20"/>
        <v/>
      </c>
    </row>
    <row r="74" spans="1:11" x14ac:dyDescent="0.3">
      <c r="A74" s="9" t="s">
        <v>79</v>
      </c>
      <c r="B74" s="9" t="s">
        <v>70</v>
      </c>
      <c r="C74" s="103" t="s">
        <v>1069</v>
      </c>
      <c r="D74" s="103" t="s">
        <v>1135</v>
      </c>
      <c r="E74" s="6" t="s">
        <v>41</v>
      </c>
      <c r="F74" s="105">
        <v>3</v>
      </c>
      <c r="G74" s="52">
        <f t="shared" si="21"/>
        <v>3</v>
      </c>
      <c r="H74" s="107">
        <v>0</v>
      </c>
      <c r="I74" s="10">
        <f>H74*G74</f>
        <v>0</v>
      </c>
      <c r="K74" s="7" t="str">
        <f t="shared" si="20"/>
        <v/>
      </c>
    </row>
    <row r="75" spans="1:11" x14ac:dyDescent="0.3">
      <c r="A75" s="9" t="s">
        <v>79</v>
      </c>
      <c r="B75" s="9" t="s">
        <v>70</v>
      </c>
      <c r="C75" s="103" t="s">
        <v>1069</v>
      </c>
      <c r="D75" s="103" t="s">
        <v>1136</v>
      </c>
      <c r="E75" s="6" t="s">
        <v>40</v>
      </c>
      <c r="F75" s="105">
        <v>3</v>
      </c>
      <c r="G75" s="52">
        <f t="shared" si="21"/>
        <v>3</v>
      </c>
      <c r="H75" s="107">
        <v>0</v>
      </c>
      <c r="I75" s="10">
        <f t="shared" ref="I75:I93" si="22">H75*G75</f>
        <v>0</v>
      </c>
      <c r="K75" s="7" t="str">
        <f t="shared" si="20"/>
        <v/>
      </c>
    </row>
    <row r="76" spans="1:11" x14ac:dyDescent="0.3">
      <c r="A76" s="9" t="s">
        <v>79</v>
      </c>
      <c r="B76" s="9" t="s">
        <v>70</v>
      </c>
      <c r="C76" s="103" t="s">
        <v>1069</v>
      </c>
      <c r="D76" s="103" t="s">
        <v>1137</v>
      </c>
      <c r="E76" s="6" t="s">
        <v>30</v>
      </c>
      <c r="F76" s="105">
        <v>3</v>
      </c>
      <c r="G76" s="52">
        <f t="shared" si="21"/>
        <v>3</v>
      </c>
      <c r="H76" s="107">
        <v>0</v>
      </c>
      <c r="I76" s="10">
        <f t="shared" si="22"/>
        <v>0</v>
      </c>
      <c r="K76" s="7" t="str">
        <f t="shared" si="20"/>
        <v/>
      </c>
    </row>
    <row r="77" spans="1:11" x14ac:dyDescent="0.3">
      <c r="A77" s="9" t="s">
        <v>79</v>
      </c>
      <c r="B77" s="9" t="s">
        <v>70</v>
      </c>
      <c r="C77" s="103" t="s">
        <v>1069</v>
      </c>
      <c r="D77" s="103" t="s">
        <v>1138</v>
      </c>
      <c r="E77" s="6" t="s">
        <v>38</v>
      </c>
      <c r="F77" s="105">
        <v>2</v>
      </c>
      <c r="G77" s="52">
        <f t="shared" si="21"/>
        <v>2</v>
      </c>
      <c r="H77" s="107">
        <v>0</v>
      </c>
      <c r="I77" s="10">
        <f t="shared" si="22"/>
        <v>0</v>
      </c>
      <c r="K77" s="7" t="str">
        <f t="shared" si="20"/>
        <v/>
      </c>
    </row>
    <row r="78" spans="1:11" x14ac:dyDescent="0.3">
      <c r="A78" s="9" t="s">
        <v>79</v>
      </c>
      <c r="B78" s="9" t="s">
        <v>70</v>
      </c>
      <c r="C78" s="103" t="s">
        <v>1085</v>
      </c>
      <c r="D78" s="103" t="s">
        <v>1139</v>
      </c>
      <c r="E78" s="101"/>
      <c r="F78" s="105">
        <v>3</v>
      </c>
      <c r="G78" s="52">
        <f t="shared" ref="G78" si="23">SUM(F78:F78)</f>
        <v>3</v>
      </c>
      <c r="H78" s="107">
        <v>0</v>
      </c>
      <c r="I78" s="10">
        <f t="shared" ref="I78" si="24">H78*G78</f>
        <v>0</v>
      </c>
      <c r="K78" s="7" t="str">
        <f t="shared" si="20"/>
        <v/>
      </c>
    </row>
    <row r="79" spans="1:11" x14ac:dyDescent="0.3">
      <c r="A79" s="9" t="s">
        <v>79</v>
      </c>
      <c r="B79" s="9" t="s">
        <v>70</v>
      </c>
      <c r="C79" s="103" t="s">
        <v>1076</v>
      </c>
      <c r="D79" s="103" t="s">
        <v>1161</v>
      </c>
      <c r="E79" s="6" t="s">
        <v>41</v>
      </c>
      <c r="F79" s="105">
        <v>3</v>
      </c>
      <c r="G79" s="52">
        <f t="shared" si="21"/>
        <v>3</v>
      </c>
      <c r="H79" s="107">
        <v>0</v>
      </c>
      <c r="I79" s="10">
        <f t="shared" si="22"/>
        <v>0</v>
      </c>
      <c r="K79" s="7" t="str">
        <f t="shared" si="20"/>
        <v/>
      </c>
    </row>
    <row r="80" spans="1:11" x14ac:dyDescent="0.3">
      <c r="A80" s="9" t="s">
        <v>79</v>
      </c>
      <c r="B80" s="9" t="s">
        <v>70</v>
      </c>
      <c r="C80" s="103" t="s">
        <v>1076</v>
      </c>
      <c r="D80" s="103" t="s">
        <v>1162</v>
      </c>
      <c r="E80" s="6" t="s">
        <v>41</v>
      </c>
      <c r="F80" s="105">
        <v>3</v>
      </c>
      <c r="G80" s="52">
        <f t="shared" si="21"/>
        <v>3</v>
      </c>
      <c r="H80" s="107">
        <v>0</v>
      </c>
      <c r="I80" s="10">
        <f t="shared" si="22"/>
        <v>0</v>
      </c>
      <c r="K80" s="7" t="str">
        <f t="shared" si="20"/>
        <v/>
      </c>
    </row>
    <row r="81" spans="1:11" x14ac:dyDescent="0.3">
      <c r="A81" s="8" t="s">
        <v>79</v>
      </c>
      <c r="B81" s="9" t="s">
        <v>70</v>
      </c>
      <c r="C81" s="192"/>
      <c r="D81" s="103" t="s">
        <v>1079</v>
      </c>
      <c r="E81" s="101"/>
      <c r="F81" s="52">
        <v>1</v>
      </c>
      <c r="G81" s="52">
        <f t="shared" si="21"/>
        <v>1</v>
      </c>
      <c r="H81" s="106">
        <v>0</v>
      </c>
      <c r="I81" s="52">
        <f t="shared" si="22"/>
        <v>0</v>
      </c>
      <c r="K81" s="7" t="str">
        <f t="shared" si="20"/>
        <v/>
      </c>
    </row>
    <row r="82" spans="1:11" x14ac:dyDescent="0.3">
      <c r="A82" s="8" t="s">
        <v>79</v>
      </c>
      <c r="B82" s="9" t="s">
        <v>70</v>
      </c>
      <c r="C82" s="192"/>
      <c r="D82" s="103" t="s">
        <v>1080</v>
      </c>
      <c r="E82" s="101"/>
      <c r="F82" s="52">
        <v>1</v>
      </c>
      <c r="G82" s="52">
        <f t="shared" si="21"/>
        <v>1</v>
      </c>
      <c r="H82" s="106">
        <v>0</v>
      </c>
      <c r="I82" s="52">
        <f t="shared" si="22"/>
        <v>0</v>
      </c>
      <c r="K82" s="7" t="str">
        <f t="shared" si="20"/>
        <v/>
      </c>
    </row>
    <row r="83" spans="1:11" x14ac:dyDescent="0.3">
      <c r="A83" s="7"/>
      <c r="K83" s="7" t="str">
        <f t="shared" si="20"/>
        <v/>
      </c>
    </row>
    <row r="84" spans="1:11" x14ac:dyDescent="0.3">
      <c r="A84" s="9" t="s">
        <v>79</v>
      </c>
      <c r="B84" s="9" t="s">
        <v>74</v>
      </c>
      <c r="C84" s="103" t="s">
        <v>1069</v>
      </c>
      <c r="D84" s="103" t="s">
        <v>1142</v>
      </c>
      <c r="E84" s="6" t="s">
        <v>41</v>
      </c>
      <c r="F84" s="105">
        <v>3</v>
      </c>
      <c r="G84" s="52">
        <f t="shared" ref="G84:G93" si="25">SUM(F84:F84)</f>
        <v>3</v>
      </c>
      <c r="H84" s="107">
        <v>0</v>
      </c>
      <c r="I84" s="10">
        <f t="shared" si="22"/>
        <v>0</v>
      </c>
      <c r="K84" s="7" t="str">
        <f t="shared" si="20"/>
        <v/>
      </c>
    </row>
    <row r="85" spans="1:11" x14ac:dyDescent="0.3">
      <c r="A85" s="27" t="s">
        <v>79</v>
      </c>
      <c r="B85" s="9" t="s">
        <v>74</v>
      </c>
      <c r="C85" s="103" t="s">
        <v>1069</v>
      </c>
      <c r="D85" s="103" t="s">
        <v>1143</v>
      </c>
      <c r="E85" s="6" t="s">
        <v>38</v>
      </c>
      <c r="F85" s="105">
        <v>2</v>
      </c>
      <c r="G85" s="52">
        <f t="shared" si="25"/>
        <v>2</v>
      </c>
      <c r="H85" s="107">
        <v>0</v>
      </c>
      <c r="I85" s="10">
        <f t="shared" si="22"/>
        <v>0</v>
      </c>
      <c r="K85" s="7" t="str">
        <f t="shared" si="20"/>
        <v/>
      </c>
    </row>
    <row r="86" spans="1:11" x14ac:dyDescent="0.3">
      <c r="A86" s="9" t="s">
        <v>79</v>
      </c>
      <c r="B86" s="9" t="s">
        <v>74</v>
      </c>
      <c r="C86" s="103" t="s">
        <v>1085</v>
      </c>
      <c r="D86" s="103" t="s">
        <v>1144</v>
      </c>
      <c r="E86" s="6" t="s">
        <v>34</v>
      </c>
      <c r="F86" s="105">
        <v>3</v>
      </c>
      <c r="G86" s="52">
        <f t="shared" si="25"/>
        <v>3</v>
      </c>
      <c r="H86" s="107">
        <v>0</v>
      </c>
      <c r="I86" s="10">
        <f t="shared" si="22"/>
        <v>0</v>
      </c>
      <c r="K86" s="7" t="str">
        <f t="shared" si="20"/>
        <v/>
      </c>
    </row>
    <row r="87" spans="1:11" x14ac:dyDescent="0.3">
      <c r="A87" s="9" t="s">
        <v>79</v>
      </c>
      <c r="B87" s="9" t="s">
        <v>74</v>
      </c>
      <c r="C87" s="103" t="s">
        <v>1085</v>
      </c>
      <c r="D87" s="103" t="s">
        <v>1145</v>
      </c>
      <c r="E87" s="6" t="s">
        <v>20</v>
      </c>
      <c r="F87" s="105">
        <v>3</v>
      </c>
      <c r="G87" s="52">
        <f t="shared" si="25"/>
        <v>3</v>
      </c>
      <c r="H87" s="107">
        <v>0</v>
      </c>
      <c r="I87" s="10">
        <f t="shared" si="22"/>
        <v>0</v>
      </c>
      <c r="K87" s="7" t="str">
        <f t="shared" si="20"/>
        <v/>
      </c>
    </row>
    <row r="88" spans="1:11" x14ac:dyDescent="0.3">
      <c r="A88" s="9" t="s">
        <v>79</v>
      </c>
      <c r="B88" s="9" t="s">
        <v>74</v>
      </c>
      <c r="C88" s="103" t="s">
        <v>1085</v>
      </c>
      <c r="D88" s="103" t="s">
        <v>1153</v>
      </c>
      <c r="E88" s="101"/>
      <c r="F88" s="105">
        <v>3</v>
      </c>
      <c r="G88" s="52">
        <f t="shared" si="25"/>
        <v>3</v>
      </c>
      <c r="H88" s="107">
        <v>0</v>
      </c>
      <c r="I88" s="10">
        <f t="shared" si="22"/>
        <v>0</v>
      </c>
      <c r="K88" s="7" t="str">
        <f t="shared" si="20"/>
        <v/>
      </c>
    </row>
    <row r="89" spans="1:11" x14ac:dyDescent="0.3">
      <c r="A89" s="9" t="s">
        <v>79</v>
      </c>
      <c r="B89" s="9" t="s">
        <v>74</v>
      </c>
      <c r="C89" s="103" t="s">
        <v>1076</v>
      </c>
      <c r="D89" s="104" t="s">
        <v>1159</v>
      </c>
      <c r="E89" s="101"/>
      <c r="F89" s="105">
        <v>2</v>
      </c>
      <c r="G89" s="52">
        <f t="shared" si="25"/>
        <v>2</v>
      </c>
      <c r="H89" s="107">
        <v>0</v>
      </c>
      <c r="I89" s="10">
        <f t="shared" si="22"/>
        <v>0</v>
      </c>
      <c r="K89" s="7" t="str">
        <f t="shared" si="20"/>
        <v/>
      </c>
    </row>
    <row r="90" spans="1:11" x14ac:dyDescent="0.3">
      <c r="A90" s="9" t="s">
        <v>79</v>
      </c>
      <c r="B90" s="9" t="s">
        <v>74</v>
      </c>
      <c r="C90" s="103" t="s">
        <v>1076</v>
      </c>
      <c r="D90" s="104" t="s">
        <v>1163</v>
      </c>
      <c r="E90" s="6" t="s">
        <v>41</v>
      </c>
      <c r="F90" s="105">
        <v>3</v>
      </c>
      <c r="G90" s="52">
        <f t="shared" si="25"/>
        <v>3</v>
      </c>
      <c r="H90" s="107">
        <v>0</v>
      </c>
      <c r="I90" s="10">
        <f t="shared" si="22"/>
        <v>0</v>
      </c>
      <c r="K90" s="7" t="str">
        <f t="shared" si="20"/>
        <v/>
      </c>
    </row>
    <row r="91" spans="1:11" x14ac:dyDescent="0.3">
      <c r="A91" s="9" t="s">
        <v>79</v>
      </c>
      <c r="B91" s="9" t="s">
        <v>74</v>
      </c>
      <c r="C91" s="103" t="s">
        <v>1076</v>
      </c>
      <c r="D91" s="103" t="s">
        <v>1164</v>
      </c>
      <c r="E91" s="6" t="s">
        <v>41</v>
      </c>
      <c r="F91" s="105">
        <v>3</v>
      </c>
      <c r="G91" s="52">
        <f t="shared" si="25"/>
        <v>3</v>
      </c>
      <c r="H91" s="107">
        <v>0</v>
      </c>
      <c r="I91" s="10">
        <f t="shared" si="22"/>
        <v>0</v>
      </c>
      <c r="K91" s="7" t="str">
        <f t="shared" si="20"/>
        <v/>
      </c>
    </row>
    <row r="92" spans="1:11" x14ac:dyDescent="0.3">
      <c r="A92" s="8" t="s">
        <v>79</v>
      </c>
      <c r="B92" s="9" t="s">
        <v>74</v>
      </c>
      <c r="C92" s="192"/>
      <c r="D92" s="103" t="s">
        <v>1079</v>
      </c>
      <c r="E92" s="101"/>
      <c r="F92" s="52">
        <v>1</v>
      </c>
      <c r="G92" s="52">
        <f t="shared" si="25"/>
        <v>1</v>
      </c>
      <c r="H92" s="106">
        <v>0</v>
      </c>
      <c r="I92" s="52">
        <f t="shared" si="22"/>
        <v>0</v>
      </c>
      <c r="K92" s="7" t="str">
        <f t="shared" si="20"/>
        <v/>
      </c>
    </row>
    <row r="93" spans="1:11" x14ac:dyDescent="0.3">
      <c r="A93" s="8" t="s">
        <v>79</v>
      </c>
      <c r="B93" s="9" t="s">
        <v>74</v>
      </c>
      <c r="C93" s="192"/>
      <c r="D93" s="103" t="s">
        <v>1080</v>
      </c>
      <c r="E93" s="101"/>
      <c r="F93" s="52">
        <v>1</v>
      </c>
      <c r="G93" s="52">
        <f t="shared" si="25"/>
        <v>1</v>
      </c>
      <c r="H93" s="106">
        <v>0</v>
      </c>
      <c r="I93" s="52">
        <f t="shared" si="22"/>
        <v>0</v>
      </c>
      <c r="K93" s="7" t="str">
        <f t="shared" si="20"/>
        <v/>
      </c>
    </row>
    <row r="94" spans="1:11" x14ac:dyDescent="0.3">
      <c r="A94" s="7"/>
      <c r="K94" s="7" t="str">
        <f t="shared" si="20"/>
        <v/>
      </c>
    </row>
    <row r="95" spans="1:11" x14ac:dyDescent="0.3">
      <c r="A95" s="27" t="s">
        <v>80</v>
      </c>
      <c r="B95" s="27" t="s">
        <v>70</v>
      </c>
      <c r="C95" s="103" t="s">
        <v>1069</v>
      </c>
      <c r="D95" s="103" t="s">
        <v>1133</v>
      </c>
      <c r="E95" s="6" t="s">
        <v>27</v>
      </c>
      <c r="F95" s="52">
        <v>3</v>
      </c>
      <c r="G95" s="52">
        <f t="shared" ref="G95:G105" si="26">SUM(F95:F95)</f>
        <v>3</v>
      </c>
      <c r="H95" s="108">
        <v>0</v>
      </c>
      <c r="I95" s="8">
        <f>H95*G95</f>
        <v>0</v>
      </c>
      <c r="K95" s="7" t="str">
        <f t="shared" si="20"/>
        <v/>
      </c>
    </row>
    <row r="96" spans="1:11" x14ac:dyDescent="0.3">
      <c r="A96" s="27" t="s">
        <v>80</v>
      </c>
      <c r="B96" s="27" t="s">
        <v>70</v>
      </c>
      <c r="C96" s="103" t="s">
        <v>1069</v>
      </c>
      <c r="D96" s="103" t="s">
        <v>1134</v>
      </c>
      <c r="E96" s="6" t="s">
        <v>36</v>
      </c>
      <c r="F96" s="52">
        <v>3</v>
      </c>
      <c r="G96" s="52">
        <f t="shared" si="26"/>
        <v>3</v>
      </c>
      <c r="H96" s="108">
        <v>0</v>
      </c>
      <c r="I96" s="8">
        <f t="shared" ref="I96:I105" si="27">H96*G96</f>
        <v>0</v>
      </c>
      <c r="K96" s="7" t="str">
        <f t="shared" si="20"/>
        <v/>
      </c>
    </row>
    <row r="97" spans="1:11" x14ac:dyDescent="0.3">
      <c r="A97" s="27" t="s">
        <v>80</v>
      </c>
      <c r="B97" s="27" t="s">
        <v>70</v>
      </c>
      <c r="C97" s="103" t="s">
        <v>1069</v>
      </c>
      <c r="D97" s="103" t="s">
        <v>1135</v>
      </c>
      <c r="E97" s="6" t="s">
        <v>41</v>
      </c>
      <c r="F97" s="52">
        <v>3</v>
      </c>
      <c r="G97" s="52">
        <f t="shared" si="26"/>
        <v>3</v>
      </c>
      <c r="H97" s="108">
        <v>0</v>
      </c>
      <c r="I97" s="8">
        <f t="shared" si="27"/>
        <v>0</v>
      </c>
      <c r="K97" s="7" t="str">
        <f t="shared" si="20"/>
        <v/>
      </c>
    </row>
    <row r="98" spans="1:11" x14ac:dyDescent="0.3">
      <c r="A98" s="27" t="s">
        <v>80</v>
      </c>
      <c r="B98" s="27" t="s">
        <v>70</v>
      </c>
      <c r="C98" s="103" t="s">
        <v>1069</v>
      </c>
      <c r="D98" s="103" t="s">
        <v>1136</v>
      </c>
      <c r="E98" s="6" t="s">
        <v>40</v>
      </c>
      <c r="F98" s="52">
        <v>3</v>
      </c>
      <c r="G98" s="52">
        <f t="shared" si="26"/>
        <v>3</v>
      </c>
      <c r="H98" s="108">
        <v>0</v>
      </c>
      <c r="I98" s="8">
        <f t="shared" si="27"/>
        <v>0</v>
      </c>
      <c r="K98" s="7" t="str">
        <f t="shared" si="20"/>
        <v/>
      </c>
    </row>
    <row r="99" spans="1:11" x14ac:dyDescent="0.3">
      <c r="A99" s="27" t="s">
        <v>80</v>
      </c>
      <c r="B99" s="27" t="s">
        <v>70</v>
      </c>
      <c r="C99" s="103" t="s">
        <v>1069</v>
      </c>
      <c r="D99" s="103" t="s">
        <v>1137</v>
      </c>
      <c r="E99" s="6" t="s">
        <v>30</v>
      </c>
      <c r="F99" s="52">
        <v>3</v>
      </c>
      <c r="G99" s="52">
        <f t="shared" si="26"/>
        <v>3</v>
      </c>
      <c r="H99" s="108">
        <v>0</v>
      </c>
      <c r="I99" s="8">
        <f t="shared" si="27"/>
        <v>0</v>
      </c>
      <c r="K99" s="7" t="str">
        <f t="shared" si="20"/>
        <v/>
      </c>
    </row>
    <row r="100" spans="1:11" x14ac:dyDescent="0.3">
      <c r="A100" s="27" t="s">
        <v>80</v>
      </c>
      <c r="B100" s="27" t="s">
        <v>70</v>
      </c>
      <c r="C100" s="103" t="s">
        <v>1069</v>
      </c>
      <c r="D100" s="103" t="s">
        <v>1138</v>
      </c>
      <c r="E100" s="6" t="s">
        <v>38</v>
      </c>
      <c r="F100" s="52">
        <v>2</v>
      </c>
      <c r="G100" s="52">
        <f t="shared" si="26"/>
        <v>2</v>
      </c>
      <c r="H100" s="108">
        <v>0</v>
      </c>
      <c r="I100" s="8">
        <f t="shared" si="27"/>
        <v>0</v>
      </c>
      <c r="K100" s="7" t="str">
        <f t="shared" si="20"/>
        <v/>
      </c>
    </row>
    <row r="101" spans="1:11" x14ac:dyDescent="0.3">
      <c r="A101" s="27" t="s">
        <v>80</v>
      </c>
      <c r="B101" s="27" t="s">
        <v>70</v>
      </c>
      <c r="C101" s="103" t="s">
        <v>1085</v>
      </c>
      <c r="D101" s="103" t="s">
        <v>1139</v>
      </c>
      <c r="E101" s="101"/>
      <c r="F101" s="52">
        <v>3</v>
      </c>
      <c r="G101" s="52">
        <f t="shared" ref="G101" si="28">SUM(F101:F101)</f>
        <v>3</v>
      </c>
      <c r="H101" s="108">
        <v>0</v>
      </c>
      <c r="I101" s="8">
        <f t="shared" ref="I101" si="29">H101*G101</f>
        <v>0</v>
      </c>
      <c r="K101" s="7" t="str">
        <f t="shared" si="20"/>
        <v/>
      </c>
    </row>
    <row r="102" spans="1:11" x14ac:dyDescent="0.3">
      <c r="A102" s="27" t="s">
        <v>80</v>
      </c>
      <c r="B102" s="27" t="s">
        <v>70</v>
      </c>
      <c r="C102" s="103" t="s">
        <v>1076</v>
      </c>
      <c r="D102" s="103" t="s">
        <v>1165</v>
      </c>
      <c r="E102" s="6" t="s">
        <v>34</v>
      </c>
      <c r="F102" s="52">
        <v>3</v>
      </c>
      <c r="G102" s="52">
        <f t="shared" si="26"/>
        <v>3</v>
      </c>
      <c r="H102" s="108">
        <v>0</v>
      </c>
      <c r="I102" s="8">
        <f t="shared" si="27"/>
        <v>0</v>
      </c>
      <c r="K102" s="7" t="str">
        <f t="shared" si="20"/>
        <v/>
      </c>
    </row>
    <row r="103" spans="1:11" x14ac:dyDescent="0.3">
      <c r="A103" s="27" t="s">
        <v>80</v>
      </c>
      <c r="B103" s="27" t="s">
        <v>70</v>
      </c>
      <c r="C103" s="103" t="s">
        <v>1076</v>
      </c>
      <c r="D103" s="103" t="s">
        <v>1166</v>
      </c>
      <c r="E103" s="6" t="s">
        <v>34</v>
      </c>
      <c r="F103" s="52">
        <v>3</v>
      </c>
      <c r="G103" s="52">
        <f t="shared" si="26"/>
        <v>3</v>
      </c>
      <c r="H103" s="108">
        <v>0</v>
      </c>
      <c r="I103" s="8">
        <f t="shared" si="27"/>
        <v>0</v>
      </c>
      <c r="K103" s="7" t="str">
        <f t="shared" si="20"/>
        <v/>
      </c>
    </row>
    <row r="104" spans="1:11" x14ac:dyDescent="0.3">
      <c r="A104" s="8" t="s">
        <v>80</v>
      </c>
      <c r="B104" s="9" t="s">
        <v>70</v>
      </c>
      <c r="C104" s="192"/>
      <c r="D104" s="103" t="s">
        <v>1079</v>
      </c>
      <c r="E104" s="101"/>
      <c r="F104" s="52">
        <v>1</v>
      </c>
      <c r="G104" s="52">
        <f t="shared" si="26"/>
        <v>1</v>
      </c>
      <c r="H104" s="106">
        <v>0</v>
      </c>
      <c r="I104" s="52">
        <f t="shared" si="27"/>
        <v>0</v>
      </c>
      <c r="K104" s="7" t="str">
        <f t="shared" si="20"/>
        <v/>
      </c>
    </row>
    <row r="105" spans="1:11" x14ac:dyDescent="0.3">
      <c r="A105" s="8" t="s">
        <v>80</v>
      </c>
      <c r="B105" s="9" t="s">
        <v>70</v>
      </c>
      <c r="C105" s="192"/>
      <c r="D105" s="103" t="s">
        <v>1080</v>
      </c>
      <c r="E105" s="101"/>
      <c r="F105" s="52">
        <v>1</v>
      </c>
      <c r="G105" s="52">
        <f t="shared" si="26"/>
        <v>1</v>
      </c>
      <c r="H105" s="106">
        <v>0</v>
      </c>
      <c r="I105" s="52">
        <f t="shared" si="27"/>
        <v>0</v>
      </c>
      <c r="K105" s="7" t="str">
        <f t="shared" si="20"/>
        <v/>
      </c>
    </row>
    <row r="106" spans="1:11" x14ac:dyDescent="0.3">
      <c r="K106" s="7" t="str">
        <f t="shared" si="20"/>
        <v/>
      </c>
    </row>
    <row r="107" spans="1:11" x14ac:dyDescent="0.3">
      <c r="A107" s="27" t="s">
        <v>80</v>
      </c>
      <c r="B107" s="27" t="s">
        <v>74</v>
      </c>
      <c r="C107" s="103" t="s">
        <v>1069</v>
      </c>
      <c r="D107" s="103" t="s">
        <v>1142</v>
      </c>
      <c r="E107" s="6" t="s">
        <v>41</v>
      </c>
      <c r="F107" s="52">
        <v>3</v>
      </c>
      <c r="G107" s="52">
        <f t="shared" ref="G107:G116" si="30">SUM(F107:F107)</f>
        <v>3</v>
      </c>
      <c r="H107" s="108">
        <v>0</v>
      </c>
      <c r="I107" s="8">
        <f t="shared" ref="I107:I116" si="31">H107*G107</f>
        <v>0</v>
      </c>
      <c r="K107" s="7" t="str">
        <f t="shared" si="20"/>
        <v/>
      </c>
    </row>
    <row r="108" spans="1:11" x14ac:dyDescent="0.3">
      <c r="A108" s="27" t="s">
        <v>80</v>
      </c>
      <c r="B108" s="27" t="s">
        <v>74</v>
      </c>
      <c r="C108" s="103" t="s">
        <v>1069</v>
      </c>
      <c r="D108" s="103" t="s">
        <v>1143</v>
      </c>
      <c r="E108" s="6" t="s">
        <v>38</v>
      </c>
      <c r="F108" s="52">
        <v>2</v>
      </c>
      <c r="G108" s="52">
        <f t="shared" si="30"/>
        <v>2</v>
      </c>
      <c r="H108" s="108">
        <v>0</v>
      </c>
      <c r="I108" s="8">
        <f t="shared" si="31"/>
        <v>0</v>
      </c>
      <c r="K108" s="7" t="str">
        <f t="shared" si="20"/>
        <v/>
      </c>
    </row>
    <row r="109" spans="1:11" x14ac:dyDescent="0.3">
      <c r="A109" s="27" t="s">
        <v>80</v>
      </c>
      <c r="B109" s="27" t="s">
        <v>74</v>
      </c>
      <c r="C109" s="103" t="s">
        <v>1085</v>
      </c>
      <c r="D109" s="103" t="s">
        <v>1144</v>
      </c>
      <c r="E109" s="6" t="s">
        <v>34</v>
      </c>
      <c r="F109" s="52">
        <v>3</v>
      </c>
      <c r="G109" s="52">
        <f t="shared" si="30"/>
        <v>3</v>
      </c>
      <c r="H109" s="108">
        <v>0</v>
      </c>
      <c r="I109" s="8">
        <f t="shared" si="31"/>
        <v>0</v>
      </c>
      <c r="K109" s="7" t="str">
        <f t="shared" si="20"/>
        <v/>
      </c>
    </row>
    <row r="110" spans="1:11" x14ac:dyDescent="0.3">
      <c r="A110" s="27" t="s">
        <v>80</v>
      </c>
      <c r="B110" s="27" t="s">
        <v>74</v>
      </c>
      <c r="C110" s="103" t="s">
        <v>1085</v>
      </c>
      <c r="D110" s="103" t="s">
        <v>1145</v>
      </c>
      <c r="E110" s="6" t="s">
        <v>20</v>
      </c>
      <c r="F110" s="52">
        <v>3</v>
      </c>
      <c r="G110" s="52">
        <f t="shared" si="30"/>
        <v>3</v>
      </c>
      <c r="H110" s="108">
        <v>0</v>
      </c>
      <c r="I110" s="8">
        <f t="shared" si="31"/>
        <v>0</v>
      </c>
      <c r="K110" s="7" t="str">
        <f t="shared" si="20"/>
        <v/>
      </c>
    </row>
    <row r="111" spans="1:11" x14ac:dyDescent="0.3">
      <c r="A111" s="27" t="s">
        <v>80</v>
      </c>
      <c r="B111" s="27" t="s">
        <v>74</v>
      </c>
      <c r="C111" s="103" t="s">
        <v>1085</v>
      </c>
      <c r="D111" s="103" t="s">
        <v>1146</v>
      </c>
      <c r="E111" s="101"/>
      <c r="F111" s="52">
        <v>3</v>
      </c>
      <c r="G111" s="52">
        <f t="shared" si="30"/>
        <v>3</v>
      </c>
      <c r="H111" s="108">
        <v>0</v>
      </c>
      <c r="I111" s="8">
        <f t="shared" si="31"/>
        <v>0</v>
      </c>
      <c r="K111" s="7" t="str">
        <f t="shared" si="20"/>
        <v/>
      </c>
    </row>
    <row r="112" spans="1:11" x14ac:dyDescent="0.3">
      <c r="A112" s="27" t="s">
        <v>80</v>
      </c>
      <c r="B112" s="27" t="s">
        <v>74</v>
      </c>
      <c r="C112" s="103" t="s">
        <v>1076</v>
      </c>
      <c r="D112" s="103" t="s">
        <v>1159</v>
      </c>
      <c r="E112" s="101"/>
      <c r="F112" s="52">
        <v>2</v>
      </c>
      <c r="G112" s="52">
        <f t="shared" si="30"/>
        <v>2</v>
      </c>
      <c r="H112" s="108">
        <v>0</v>
      </c>
      <c r="I112" s="8">
        <f t="shared" si="31"/>
        <v>0</v>
      </c>
      <c r="K112" s="7" t="str">
        <f t="shared" si="20"/>
        <v/>
      </c>
    </row>
    <row r="113" spans="1:11" x14ac:dyDescent="0.3">
      <c r="A113" s="27" t="s">
        <v>80</v>
      </c>
      <c r="B113" s="27" t="s">
        <v>74</v>
      </c>
      <c r="C113" s="103" t="s">
        <v>1076</v>
      </c>
      <c r="D113" s="103" t="s">
        <v>1167</v>
      </c>
      <c r="E113" s="6" t="s">
        <v>34</v>
      </c>
      <c r="F113" s="52">
        <v>3</v>
      </c>
      <c r="G113" s="52">
        <f t="shared" si="30"/>
        <v>3</v>
      </c>
      <c r="H113" s="108">
        <v>0</v>
      </c>
      <c r="I113" s="8">
        <f t="shared" si="31"/>
        <v>0</v>
      </c>
      <c r="K113" s="7" t="str">
        <f t="shared" si="20"/>
        <v/>
      </c>
    </row>
    <row r="114" spans="1:11" x14ac:dyDescent="0.3">
      <c r="A114" s="27" t="s">
        <v>80</v>
      </c>
      <c r="B114" s="27" t="s">
        <v>74</v>
      </c>
      <c r="C114" s="103" t="s">
        <v>1076</v>
      </c>
      <c r="D114" s="103" t="s">
        <v>1168</v>
      </c>
      <c r="E114" s="6" t="s">
        <v>34</v>
      </c>
      <c r="F114" s="52">
        <v>3</v>
      </c>
      <c r="G114" s="52">
        <f t="shared" si="30"/>
        <v>3</v>
      </c>
      <c r="H114" s="108">
        <v>0</v>
      </c>
      <c r="I114" s="8">
        <f t="shared" si="31"/>
        <v>0</v>
      </c>
      <c r="K114" s="7" t="str">
        <f t="shared" si="20"/>
        <v/>
      </c>
    </row>
    <row r="115" spans="1:11" x14ac:dyDescent="0.3">
      <c r="A115" s="8" t="s">
        <v>80</v>
      </c>
      <c r="B115" s="9" t="s">
        <v>74</v>
      </c>
      <c r="C115" s="192"/>
      <c r="D115" s="103" t="s">
        <v>1079</v>
      </c>
      <c r="E115" s="101"/>
      <c r="F115" s="52">
        <v>1</v>
      </c>
      <c r="G115" s="52">
        <f t="shared" si="30"/>
        <v>1</v>
      </c>
      <c r="H115" s="106">
        <v>0</v>
      </c>
      <c r="I115" s="52">
        <f t="shared" si="31"/>
        <v>0</v>
      </c>
      <c r="K115" s="7" t="str">
        <f t="shared" si="20"/>
        <v/>
      </c>
    </row>
    <row r="116" spans="1:11" x14ac:dyDescent="0.3">
      <c r="A116" s="8" t="s">
        <v>80</v>
      </c>
      <c r="B116" s="9" t="s">
        <v>74</v>
      </c>
      <c r="C116" s="192"/>
      <c r="D116" s="103" t="s">
        <v>1080</v>
      </c>
      <c r="E116" s="101"/>
      <c r="F116" s="52">
        <v>1</v>
      </c>
      <c r="G116" s="52">
        <f t="shared" si="30"/>
        <v>1</v>
      </c>
      <c r="H116" s="106">
        <v>0</v>
      </c>
      <c r="I116" s="52">
        <f t="shared" si="31"/>
        <v>0</v>
      </c>
      <c r="K116" s="7" t="str">
        <f t="shared" si="20"/>
        <v/>
      </c>
    </row>
    <row r="117" spans="1:11" x14ac:dyDescent="0.3">
      <c r="K117" s="7" t="str">
        <f t="shared" si="20"/>
        <v/>
      </c>
    </row>
    <row r="118" spans="1:11" x14ac:dyDescent="0.3">
      <c r="A118" s="9" t="s">
        <v>82</v>
      </c>
      <c r="B118" s="9" t="s">
        <v>70</v>
      </c>
      <c r="C118" s="103" t="s">
        <v>1069</v>
      </c>
      <c r="D118" s="103" t="s">
        <v>1133</v>
      </c>
      <c r="E118" s="6" t="s">
        <v>27</v>
      </c>
      <c r="F118" s="52">
        <v>3</v>
      </c>
      <c r="G118" s="52">
        <f t="shared" ref="G118:G125" si="32">SUM(F118:F118)</f>
        <v>3</v>
      </c>
      <c r="H118" s="108">
        <v>0</v>
      </c>
      <c r="I118" s="8">
        <f t="shared" ref="I118:I124" si="33">H118*G118</f>
        <v>0</v>
      </c>
      <c r="K118" s="7" t="str">
        <f t="shared" si="20"/>
        <v/>
      </c>
    </row>
    <row r="119" spans="1:11" x14ac:dyDescent="0.3">
      <c r="A119" s="9" t="s">
        <v>82</v>
      </c>
      <c r="B119" s="9" t="s">
        <v>70</v>
      </c>
      <c r="C119" s="103" t="s">
        <v>1069</v>
      </c>
      <c r="D119" s="103" t="s">
        <v>1134</v>
      </c>
      <c r="E119" s="6" t="s">
        <v>36</v>
      </c>
      <c r="F119" s="52">
        <v>3</v>
      </c>
      <c r="G119" s="52">
        <f t="shared" si="32"/>
        <v>3</v>
      </c>
      <c r="H119" s="108">
        <v>0</v>
      </c>
      <c r="I119" s="8">
        <f t="shared" si="33"/>
        <v>0</v>
      </c>
      <c r="K119" s="7" t="str">
        <f t="shared" si="20"/>
        <v/>
      </c>
    </row>
    <row r="120" spans="1:11" x14ac:dyDescent="0.3">
      <c r="A120" s="9" t="s">
        <v>82</v>
      </c>
      <c r="B120" s="9" t="s">
        <v>70</v>
      </c>
      <c r="C120" s="103" t="s">
        <v>1069</v>
      </c>
      <c r="D120" s="103" t="s">
        <v>1135</v>
      </c>
      <c r="E120" s="6" t="s">
        <v>41</v>
      </c>
      <c r="F120" s="52">
        <v>3</v>
      </c>
      <c r="G120" s="52">
        <f t="shared" si="32"/>
        <v>3</v>
      </c>
      <c r="H120" s="108">
        <v>0</v>
      </c>
      <c r="I120" s="8">
        <f t="shared" si="33"/>
        <v>0</v>
      </c>
      <c r="K120" s="7" t="str">
        <f t="shared" si="20"/>
        <v/>
      </c>
    </row>
    <row r="121" spans="1:11" x14ac:dyDescent="0.3">
      <c r="A121" s="9" t="s">
        <v>82</v>
      </c>
      <c r="B121" s="9" t="s">
        <v>70</v>
      </c>
      <c r="C121" s="103" t="s">
        <v>1069</v>
      </c>
      <c r="D121" s="103" t="s">
        <v>1136</v>
      </c>
      <c r="E121" s="6" t="s">
        <v>40</v>
      </c>
      <c r="F121" s="52">
        <v>3</v>
      </c>
      <c r="G121" s="52">
        <f t="shared" si="32"/>
        <v>3</v>
      </c>
      <c r="H121" s="108">
        <v>0</v>
      </c>
      <c r="I121" s="8">
        <f t="shared" si="33"/>
        <v>0</v>
      </c>
      <c r="K121" s="7" t="str">
        <f t="shared" si="20"/>
        <v/>
      </c>
    </row>
    <row r="122" spans="1:11" x14ac:dyDescent="0.3">
      <c r="A122" s="9" t="s">
        <v>82</v>
      </c>
      <c r="B122" s="9" t="s">
        <v>70</v>
      </c>
      <c r="C122" s="103" t="s">
        <v>1069</v>
      </c>
      <c r="D122" s="103" t="s">
        <v>1137</v>
      </c>
      <c r="E122" s="6" t="s">
        <v>30</v>
      </c>
      <c r="F122" s="52">
        <v>3</v>
      </c>
      <c r="G122" s="52">
        <f t="shared" si="32"/>
        <v>3</v>
      </c>
      <c r="H122" s="108">
        <v>0</v>
      </c>
      <c r="I122" s="8">
        <f t="shared" si="33"/>
        <v>0</v>
      </c>
      <c r="K122" s="7" t="str">
        <f t="shared" si="20"/>
        <v/>
      </c>
    </row>
    <row r="123" spans="1:11" x14ac:dyDescent="0.3">
      <c r="A123" s="9" t="s">
        <v>82</v>
      </c>
      <c r="B123" s="9" t="s">
        <v>70</v>
      </c>
      <c r="C123" s="103" t="s">
        <v>1069</v>
      </c>
      <c r="D123" s="103" t="s">
        <v>1138</v>
      </c>
      <c r="E123" s="6" t="s">
        <v>38</v>
      </c>
      <c r="F123" s="52">
        <v>2</v>
      </c>
      <c r="G123" s="52">
        <f t="shared" si="32"/>
        <v>2</v>
      </c>
      <c r="H123" s="108">
        <v>0</v>
      </c>
      <c r="I123" s="8">
        <f t="shared" si="33"/>
        <v>0</v>
      </c>
      <c r="K123" s="7" t="str">
        <f t="shared" si="20"/>
        <v/>
      </c>
    </row>
    <row r="124" spans="1:11" x14ac:dyDescent="0.3">
      <c r="A124" s="9" t="s">
        <v>82</v>
      </c>
      <c r="B124" s="9" t="s">
        <v>70</v>
      </c>
      <c r="C124" s="103" t="s">
        <v>1085</v>
      </c>
      <c r="D124" s="103" t="s">
        <v>1139</v>
      </c>
      <c r="E124" s="101"/>
      <c r="F124" s="52">
        <v>3</v>
      </c>
      <c r="G124" s="52">
        <f t="shared" si="32"/>
        <v>3</v>
      </c>
      <c r="H124" s="108">
        <v>0</v>
      </c>
      <c r="I124" s="8">
        <f t="shared" si="33"/>
        <v>0</v>
      </c>
      <c r="K124" s="7" t="str">
        <f t="shared" si="20"/>
        <v/>
      </c>
    </row>
    <row r="125" spans="1:11" x14ac:dyDescent="0.3">
      <c r="A125" s="9" t="s">
        <v>82</v>
      </c>
      <c r="B125" s="9" t="s">
        <v>70</v>
      </c>
      <c r="C125" s="103" t="s">
        <v>1076</v>
      </c>
      <c r="D125" s="103" t="s">
        <v>1169</v>
      </c>
      <c r="E125" s="6" t="s">
        <v>34</v>
      </c>
      <c r="F125" s="52">
        <v>3</v>
      </c>
      <c r="G125" s="52">
        <f t="shared" si="32"/>
        <v>3</v>
      </c>
      <c r="H125" s="108">
        <v>0</v>
      </c>
      <c r="I125" s="8">
        <f>H125*G125</f>
        <v>0</v>
      </c>
      <c r="K125" s="7" t="str">
        <f t="shared" si="20"/>
        <v/>
      </c>
    </row>
    <row r="126" spans="1:11" x14ac:dyDescent="0.3">
      <c r="A126" s="9" t="s">
        <v>82</v>
      </c>
      <c r="B126" s="9" t="s">
        <v>70</v>
      </c>
      <c r="C126" s="103" t="s">
        <v>1076</v>
      </c>
      <c r="D126" s="103" t="s">
        <v>1170</v>
      </c>
      <c r="E126" s="6" t="s">
        <v>34</v>
      </c>
      <c r="F126" s="52">
        <v>3</v>
      </c>
      <c r="G126" s="52">
        <f t="shared" ref="G126:G128" si="34">SUM(F126:F126)</f>
        <v>3</v>
      </c>
      <c r="H126" s="108">
        <v>0</v>
      </c>
      <c r="I126" s="8">
        <f>H126*G126</f>
        <v>0</v>
      </c>
      <c r="K126" s="7" t="str">
        <f t="shared" si="20"/>
        <v/>
      </c>
    </row>
    <row r="127" spans="1:11" x14ac:dyDescent="0.3">
      <c r="A127" s="8" t="s">
        <v>82</v>
      </c>
      <c r="B127" s="9" t="s">
        <v>70</v>
      </c>
      <c r="C127" s="192"/>
      <c r="D127" s="103" t="s">
        <v>1079</v>
      </c>
      <c r="E127" s="101"/>
      <c r="F127" s="52">
        <v>1</v>
      </c>
      <c r="G127" s="52">
        <f t="shared" si="34"/>
        <v>1</v>
      </c>
      <c r="H127" s="106">
        <v>0</v>
      </c>
      <c r="I127" s="52">
        <f t="shared" ref="I127:I128" si="35">H127*G127</f>
        <v>0</v>
      </c>
      <c r="K127" s="7" t="str">
        <f t="shared" si="20"/>
        <v/>
      </c>
    </row>
    <row r="128" spans="1:11" x14ac:dyDescent="0.3">
      <c r="A128" s="8" t="s">
        <v>82</v>
      </c>
      <c r="B128" s="9" t="s">
        <v>70</v>
      </c>
      <c r="C128" s="192"/>
      <c r="D128" s="103" t="s">
        <v>1080</v>
      </c>
      <c r="E128" s="101"/>
      <c r="F128" s="52">
        <v>1</v>
      </c>
      <c r="G128" s="52">
        <f t="shared" si="34"/>
        <v>1</v>
      </c>
      <c r="H128" s="106">
        <v>0</v>
      </c>
      <c r="I128" s="52">
        <f t="shared" si="35"/>
        <v>0</v>
      </c>
      <c r="K128" s="7" t="str">
        <f t="shared" si="20"/>
        <v/>
      </c>
    </row>
    <row r="129" spans="1:11" x14ac:dyDescent="0.3">
      <c r="A129" s="7"/>
      <c r="K129" s="7" t="str">
        <f t="shared" si="20"/>
        <v/>
      </c>
    </row>
    <row r="130" spans="1:11" x14ac:dyDescent="0.3">
      <c r="A130" s="9" t="s">
        <v>82</v>
      </c>
      <c r="B130" s="9" t="s">
        <v>74</v>
      </c>
      <c r="C130" s="103" t="s">
        <v>1069</v>
      </c>
      <c r="D130" s="103" t="s">
        <v>1142</v>
      </c>
      <c r="E130" s="6" t="s">
        <v>41</v>
      </c>
      <c r="F130" s="52">
        <v>3</v>
      </c>
      <c r="G130" s="52">
        <f>SUM(F130:F130)</f>
        <v>3</v>
      </c>
      <c r="H130" s="108">
        <v>0</v>
      </c>
      <c r="I130" s="8">
        <f>H130*G130</f>
        <v>0</v>
      </c>
      <c r="K130" s="7" t="str">
        <f t="shared" si="20"/>
        <v/>
      </c>
    </row>
    <row r="131" spans="1:11" x14ac:dyDescent="0.3">
      <c r="A131" s="9" t="s">
        <v>82</v>
      </c>
      <c r="B131" s="9" t="s">
        <v>74</v>
      </c>
      <c r="C131" s="103" t="s">
        <v>1069</v>
      </c>
      <c r="D131" s="103" t="s">
        <v>1143</v>
      </c>
      <c r="E131" s="6" t="s">
        <v>38</v>
      </c>
      <c r="F131" s="52">
        <v>2</v>
      </c>
      <c r="G131" s="52">
        <f t="shared" ref="G131:G139" si="36">SUM(F131:F131)</f>
        <v>2</v>
      </c>
      <c r="H131" s="108">
        <v>0</v>
      </c>
      <c r="I131" s="8">
        <f t="shared" ref="I131:I139" si="37">H131*G131</f>
        <v>0</v>
      </c>
      <c r="K131" s="7" t="str">
        <f t="shared" si="20"/>
        <v/>
      </c>
    </row>
    <row r="132" spans="1:11" x14ac:dyDescent="0.3">
      <c r="A132" s="9" t="s">
        <v>82</v>
      </c>
      <c r="B132" s="9" t="s">
        <v>74</v>
      </c>
      <c r="C132" s="103" t="s">
        <v>1085</v>
      </c>
      <c r="D132" s="103" t="s">
        <v>1144</v>
      </c>
      <c r="E132" s="6" t="s">
        <v>34</v>
      </c>
      <c r="F132" s="52">
        <v>3</v>
      </c>
      <c r="G132" s="52">
        <f t="shared" si="36"/>
        <v>3</v>
      </c>
      <c r="H132" s="108">
        <v>0</v>
      </c>
      <c r="I132" s="8">
        <f t="shared" si="37"/>
        <v>0</v>
      </c>
      <c r="K132" s="7" t="str">
        <f t="shared" ref="K132:K195" si="38">IF(I132&gt;0,F132,"")</f>
        <v/>
      </c>
    </row>
    <row r="133" spans="1:11" x14ac:dyDescent="0.3">
      <c r="A133" s="9" t="s">
        <v>82</v>
      </c>
      <c r="B133" s="9" t="s">
        <v>74</v>
      </c>
      <c r="C133" s="103" t="s">
        <v>1085</v>
      </c>
      <c r="D133" s="103" t="s">
        <v>1145</v>
      </c>
      <c r="E133" s="6" t="s">
        <v>20</v>
      </c>
      <c r="F133" s="52">
        <v>3</v>
      </c>
      <c r="G133" s="52">
        <f t="shared" si="36"/>
        <v>3</v>
      </c>
      <c r="H133" s="108">
        <v>0</v>
      </c>
      <c r="I133" s="8">
        <f t="shared" si="37"/>
        <v>0</v>
      </c>
      <c r="K133" s="7" t="str">
        <f t="shared" si="38"/>
        <v/>
      </c>
    </row>
    <row r="134" spans="1:11" x14ac:dyDescent="0.3">
      <c r="A134" s="9" t="s">
        <v>82</v>
      </c>
      <c r="B134" s="9" t="s">
        <v>74</v>
      </c>
      <c r="C134" s="103" t="s">
        <v>1085</v>
      </c>
      <c r="D134" s="103" t="s">
        <v>1146</v>
      </c>
      <c r="E134" s="101"/>
      <c r="F134" s="52">
        <v>3</v>
      </c>
      <c r="G134" s="52">
        <f t="shared" si="36"/>
        <v>3</v>
      </c>
      <c r="H134" s="108">
        <v>0</v>
      </c>
      <c r="I134" s="8">
        <f t="shared" si="37"/>
        <v>0</v>
      </c>
      <c r="K134" s="7" t="str">
        <f t="shared" si="38"/>
        <v/>
      </c>
    </row>
    <row r="135" spans="1:11" x14ac:dyDescent="0.3">
      <c r="A135" s="9" t="s">
        <v>82</v>
      </c>
      <c r="B135" s="9" t="s">
        <v>74</v>
      </c>
      <c r="C135" s="103" t="s">
        <v>1076</v>
      </c>
      <c r="D135" s="103" t="s">
        <v>1159</v>
      </c>
      <c r="E135" s="101"/>
      <c r="F135" s="52">
        <v>2</v>
      </c>
      <c r="G135" s="52">
        <f t="shared" si="36"/>
        <v>2</v>
      </c>
      <c r="H135" s="108">
        <v>0</v>
      </c>
      <c r="I135" s="8">
        <f t="shared" si="37"/>
        <v>0</v>
      </c>
      <c r="K135" s="7" t="str">
        <f t="shared" si="38"/>
        <v/>
      </c>
    </row>
    <row r="136" spans="1:11" x14ac:dyDescent="0.3">
      <c r="A136" s="9" t="s">
        <v>82</v>
      </c>
      <c r="B136" s="9" t="s">
        <v>74</v>
      </c>
      <c r="C136" s="103" t="s">
        <v>1076</v>
      </c>
      <c r="D136" s="103" t="s">
        <v>1171</v>
      </c>
      <c r="E136" s="6" t="s">
        <v>34</v>
      </c>
      <c r="F136" s="52">
        <v>3</v>
      </c>
      <c r="G136" s="52">
        <f t="shared" si="36"/>
        <v>3</v>
      </c>
      <c r="H136" s="108">
        <v>0</v>
      </c>
      <c r="I136" s="8">
        <f t="shared" si="37"/>
        <v>0</v>
      </c>
      <c r="K136" s="7" t="str">
        <f t="shared" si="38"/>
        <v/>
      </c>
    </row>
    <row r="137" spans="1:11" x14ac:dyDescent="0.3">
      <c r="A137" s="9" t="s">
        <v>82</v>
      </c>
      <c r="B137" s="9" t="s">
        <v>74</v>
      </c>
      <c r="C137" s="103" t="s">
        <v>1076</v>
      </c>
      <c r="D137" s="103" t="s">
        <v>1172</v>
      </c>
      <c r="E137" s="6" t="s">
        <v>34</v>
      </c>
      <c r="F137" s="52">
        <v>3</v>
      </c>
      <c r="G137" s="52">
        <f t="shared" si="36"/>
        <v>3</v>
      </c>
      <c r="H137" s="108">
        <v>0</v>
      </c>
      <c r="I137" s="8">
        <f t="shared" si="37"/>
        <v>0</v>
      </c>
      <c r="K137" s="7" t="str">
        <f t="shared" si="38"/>
        <v/>
      </c>
    </row>
    <row r="138" spans="1:11" x14ac:dyDescent="0.3">
      <c r="A138" s="8" t="s">
        <v>82</v>
      </c>
      <c r="B138" s="9" t="s">
        <v>74</v>
      </c>
      <c r="C138" s="192"/>
      <c r="D138" s="103" t="s">
        <v>1079</v>
      </c>
      <c r="E138" s="101"/>
      <c r="F138" s="52">
        <v>1</v>
      </c>
      <c r="G138" s="52">
        <f t="shared" si="36"/>
        <v>1</v>
      </c>
      <c r="H138" s="106">
        <v>0</v>
      </c>
      <c r="I138" s="52">
        <f t="shared" si="37"/>
        <v>0</v>
      </c>
      <c r="K138" s="7" t="str">
        <f t="shared" si="38"/>
        <v/>
      </c>
    </row>
    <row r="139" spans="1:11" x14ac:dyDescent="0.3">
      <c r="A139" s="8" t="s">
        <v>82</v>
      </c>
      <c r="B139" s="9" t="s">
        <v>74</v>
      </c>
      <c r="C139" s="192"/>
      <c r="D139" s="103" t="s">
        <v>1080</v>
      </c>
      <c r="E139" s="101"/>
      <c r="F139" s="52">
        <v>1</v>
      </c>
      <c r="G139" s="52">
        <f t="shared" si="36"/>
        <v>1</v>
      </c>
      <c r="H139" s="106">
        <v>0</v>
      </c>
      <c r="I139" s="52">
        <f t="shared" si="37"/>
        <v>0</v>
      </c>
      <c r="K139" s="7" t="str">
        <f t="shared" si="38"/>
        <v/>
      </c>
    </row>
    <row r="140" spans="1:11" x14ac:dyDescent="0.3">
      <c r="K140" s="7" t="str">
        <f t="shared" si="38"/>
        <v/>
      </c>
    </row>
    <row r="141" spans="1:11" x14ac:dyDescent="0.3">
      <c r="A141" s="9" t="s">
        <v>1111</v>
      </c>
      <c r="B141" s="9" t="s">
        <v>70</v>
      </c>
      <c r="C141" s="103" t="s">
        <v>1069</v>
      </c>
      <c r="D141" s="103" t="s">
        <v>1133</v>
      </c>
      <c r="E141" s="6" t="s">
        <v>27</v>
      </c>
      <c r="F141" s="52">
        <v>3</v>
      </c>
      <c r="G141" s="52">
        <f t="shared" ref="G141:G148" si="39">SUM(F141:F141)</f>
        <v>3</v>
      </c>
      <c r="H141" s="108">
        <v>0</v>
      </c>
      <c r="I141" s="8">
        <f t="shared" ref="I141:I153" si="40">H141*G141</f>
        <v>0</v>
      </c>
      <c r="K141" s="7" t="str">
        <f t="shared" si="38"/>
        <v/>
      </c>
    </row>
    <row r="142" spans="1:11" x14ac:dyDescent="0.3">
      <c r="A142" s="9" t="s">
        <v>1111</v>
      </c>
      <c r="B142" s="9" t="s">
        <v>70</v>
      </c>
      <c r="C142" s="103" t="s">
        <v>1069</v>
      </c>
      <c r="D142" s="103" t="s">
        <v>1134</v>
      </c>
      <c r="E142" s="6" t="s">
        <v>36</v>
      </c>
      <c r="F142" s="52">
        <v>3</v>
      </c>
      <c r="G142" s="52">
        <f t="shared" si="39"/>
        <v>3</v>
      </c>
      <c r="H142" s="108">
        <f>'2 - Section Count Projection'!$G$47</f>
        <v>0</v>
      </c>
      <c r="I142" s="8">
        <f t="shared" si="40"/>
        <v>0</v>
      </c>
      <c r="K142" s="7" t="str">
        <f t="shared" si="38"/>
        <v/>
      </c>
    </row>
    <row r="143" spans="1:11" x14ac:dyDescent="0.3">
      <c r="A143" s="9" t="s">
        <v>1111</v>
      </c>
      <c r="B143" s="9" t="s">
        <v>70</v>
      </c>
      <c r="C143" s="103" t="s">
        <v>1069</v>
      </c>
      <c r="D143" s="103" t="s">
        <v>1135</v>
      </c>
      <c r="E143" s="6" t="s">
        <v>41</v>
      </c>
      <c r="F143" s="52">
        <v>3</v>
      </c>
      <c r="G143" s="52">
        <f t="shared" si="39"/>
        <v>3</v>
      </c>
      <c r="H143" s="108">
        <f>'2 - Section Count Projection'!$G$47</f>
        <v>0</v>
      </c>
      <c r="I143" s="8">
        <f t="shared" si="40"/>
        <v>0</v>
      </c>
      <c r="K143" s="7" t="str">
        <f t="shared" si="38"/>
        <v/>
      </c>
    </row>
    <row r="144" spans="1:11" x14ac:dyDescent="0.3">
      <c r="A144" s="9" t="s">
        <v>1111</v>
      </c>
      <c r="B144" s="9" t="s">
        <v>70</v>
      </c>
      <c r="C144" s="103" t="s">
        <v>1069</v>
      </c>
      <c r="D144" s="103" t="s">
        <v>1136</v>
      </c>
      <c r="E144" s="6" t="s">
        <v>40</v>
      </c>
      <c r="F144" s="52">
        <v>3</v>
      </c>
      <c r="G144" s="52">
        <f t="shared" si="39"/>
        <v>3</v>
      </c>
      <c r="H144" s="108">
        <f>'2 - Section Count Projection'!$G$47</f>
        <v>0</v>
      </c>
      <c r="I144" s="8">
        <f t="shared" si="40"/>
        <v>0</v>
      </c>
      <c r="K144" s="7" t="str">
        <f t="shared" si="38"/>
        <v/>
      </c>
    </row>
    <row r="145" spans="1:11" x14ac:dyDescent="0.3">
      <c r="A145" s="9" t="s">
        <v>1111</v>
      </c>
      <c r="B145" s="9" t="s">
        <v>70</v>
      </c>
      <c r="C145" s="103" t="s">
        <v>1069</v>
      </c>
      <c r="D145" s="103" t="s">
        <v>1137</v>
      </c>
      <c r="E145" s="6" t="s">
        <v>30</v>
      </c>
      <c r="F145" s="52">
        <v>3</v>
      </c>
      <c r="G145" s="52">
        <f t="shared" si="39"/>
        <v>3</v>
      </c>
      <c r="H145" s="108">
        <f>'2 - Section Count Projection'!$G$47</f>
        <v>0</v>
      </c>
      <c r="I145" s="8">
        <f t="shared" si="40"/>
        <v>0</v>
      </c>
      <c r="K145" s="7" t="str">
        <f t="shared" si="38"/>
        <v/>
      </c>
    </row>
    <row r="146" spans="1:11" x14ac:dyDescent="0.3">
      <c r="A146" s="9" t="s">
        <v>1111</v>
      </c>
      <c r="B146" s="9" t="s">
        <v>70</v>
      </c>
      <c r="C146" s="103" t="s">
        <v>1069</v>
      </c>
      <c r="D146" s="103" t="s">
        <v>1138</v>
      </c>
      <c r="E146" s="6" t="s">
        <v>38</v>
      </c>
      <c r="F146" s="52">
        <v>2</v>
      </c>
      <c r="G146" s="52">
        <f t="shared" si="39"/>
        <v>2</v>
      </c>
      <c r="H146" s="108">
        <f>'2 - Section Count Projection'!$G$47</f>
        <v>0</v>
      </c>
      <c r="I146" s="8">
        <f t="shared" si="40"/>
        <v>0</v>
      </c>
      <c r="K146" s="7" t="str">
        <f t="shared" si="38"/>
        <v/>
      </c>
    </row>
    <row r="147" spans="1:11" x14ac:dyDescent="0.3">
      <c r="A147" s="27" t="s">
        <v>1111</v>
      </c>
      <c r="B147" s="27" t="s">
        <v>70</v>
      </c>
      <c r="C147" s="103" t="s">
        <v>1085</v>
      </c>
      <c r="D147" s="103" t="s">
        <v>1139</v>
      </c>
      <c r="E147" s="101"/>
      <c r="F147" s="52">
        <v>3</v>
      </c>
      <c r="G147" s="52">
        <f t="shared" si="39"/>
        <v>3</v>
      </c>
      <c r="H147" s="108">
        <f>'2 - Section Count Projection'!$G$47</f>
        <v>0</v>
      </c>
      <c r="I147" s="8">
        <f t="shared" si="40"/>
        <v>0</v>
      </c>
      <c r="K147" s="7" t="str">
        <f t="shared" si="38"/>
        <v/>
      </c>
    </row>
    <row r="148" spans="1:11" x14ac:dyDescent="0.3">
      <c r="A148" s="27" t="s">
        <v>1111</v>
      </c>
      <c r="B148" s="27" t="s">
        <v>70</v>
      </c>
      <c r="C148" s="103" t="s">
        <v>1076</v>
      </c>
      <c r="D148" s="103" t="s">
        <v>1173</v>
      </c>
      <c r="E148" s="6" t="s">
        <v>34</v>
      </c>
      <c r="F148" s="52">
        <v>3</v>
      </c>
      <c r="G148" s="52">
        <f t="shared" si="39"/>
        <v>3</v>
      </c>
      <c r="H148" s="108">
        <f>'2 - Section Count Projection'!$G$47</f>
        <v>0</v>
      </c>
      <c r="I148" s="8">
        <f t="shared" si="40"/>
        <v>0</v>
      </c>
      <c r="K148" s="7" t="str">
        <f t="shared" si="38"/>
        <v/>
      </c>
    </row>
    <row r="149" spans="1:11" x14ac:dyDescent="0.3">
      <c r="A149" s="27" t="s">
        <v>1111</v>
      </c>
      <c r="B149" s="27" t="s">
        <v>70</v>
      </c>
      <c r="C149" s="103" t="s">
        <v>1076</v>
      </c>
      <c r="D149" s="103" t="s">
        <v>1174</v>
      </c>
      <c r="E149" s="6" t="s">
        <v>34</v>
      </c>
      <c r="F149" s="52">
        <v>3</v>
      </c>
      <c r="G149" s="52">
        <f t="shared" ref="G149:G151" si="41">SUM(F149:F149)</f>
        <v>3</v>
      </c>
      <c r="H149" s="108">
        <f>'2 - Section Count Projection'!$G$47</f>
        <v>0</v>
      </c>
      <c r="I149" s="8">
        <f t="shared" ref="I149:I151" si="42">H149*G149</f>
        <v>0</v>
      </c>
      <c r="K149" s="7" t="str">
        <f t="shared" si="38"/>
        <v/>
      </c>
    </row>
    <row r="150" spans="1:11" x14ac:dyDescent="0.3">
      <c r="A150" s="8" t="s">
        <v>1111</v>
      </c>
      <c r="B150" s="9" t="s">
        <v>70</v>
      </c>
      <c r="C150" s="192"/>
      <c r="D150" s="103" t="s">
        <v>1079</v>
      </c>
      <c r="E150" s="101"/>
      <c r="F150" s="52">
        <v>1</v>
      </c>
      <c r="G150" s="52">
        <f t="shared" si="41"/>
        <v>1</v>
      </c>
      <c r="H150" s="106">
        <f>'2 - Section Count Projection'!$G$21</f>
        <v>0</v>
      </c>
      <c r="I150" s="52">
        <f t="shared" si="42"/>
        <v>0</v>
      </c>
      <c r="K150" s="7" t="str">
        <f t="shared" si="38"/>
        <v/>
      </c>
    </row>
    <row r="151" spans="1:11" x14ac:dyDescent="0.3">
      <c r="A151" s="8" t="s">
        <v>1111</v>
      </c>
      <c r="B151" s="9" t="s">
        <v>70</v>
      </c>
      <c r="C151" s="192"/>
      <c r="D151" s="103" t="s">
        <v>1080</v>
      </c>
      <c r="E151" s="101"/>
      <c r="F151" s="52">
        <v>1</v>
      </c>
      <c r="G151" s="52">
        <f t="shared" si="41"/>
        <v>1</v>
      </c>
      <c r="H151" s="106">
        <f>'2 - Section Count Projection'!$G$21</f>
        <v>0</v>
      </c>
      <c r="I151" s="52">
        <f t="shared" si="42"/>
        <v>0</v>
      </c>
      <c r="K151" s="7" t="str">
        <f t="shared" si="38"/>
        <v/>
      </c>
    </row>
    <row r="152" spans="1:11" x14ac:dyDescent="0.3">
      <c r="K152" s="7" t="str">
        <f t="shared" si="38"/>
        <v/>
      </c>
    </row>
    <row r="153" spans="1:11" x14ac:dyDescent="0.3">
      <c r="A153" s="27" t="s">
        <v>1111</v>
      </c>
      <c r="B153" s="27" t="s">
        <v>74</v>
      </c>
      <c r="C153" s="103" t="s">
        <v>1069</v>
      </c>
      <c r="D153" s="103" t="s">
        <v>1142</v>
      </c>
      <c r="E153" s="6" t="s">
        <v>41</v>
      </c>
      <c r="F153" s="52">
        <v>3</v>
      </c>
      <c r="G153" s="52">
        <f>SUM(F153:F153)</f>
        <v>3</v>
      </c>
      <c r="H153" s="108">
        <f>'2 - Section Count Projection'!$G$49</f>
        <v>0</v>
      </c>
      <c r="I153" s="8">
        <f t="shared" si="40"/>
        <v>0</v>
      </c>
      <c r="K153" s="7" t="str">
        <f t="shared" si="38"/>
        <v/>
      </c>
    </row>
    <row r="154" spans="1:11" x14ac:dyDescent="0.3">
      <c r="A154" s="27" t="s">
        <v>1111</v>
      </c>
      <c r="B154" s="27" t="s">
        <v>74</v>
      </c>
      <c r="C154" s="103" t="s">
        <v>1069</v>
      </c>
      <c r="D154" s="103" t="s">
        <v>1143</v>
      </c>
      <c r="E154" s="6" t="s">
        <v>38</v>
      </c>
      <c r="F154" s="52">
        <v>2</v>
      </c>
      <c r="G154" s="52">
        <f t="shared" ref="G154:G192" si="43">SUM(F154:F154)</f>
        <v>2</v>
      </c>
      <c r="H154" s="108">
        <f>'2 - Section Count Projection'!$G$49</f>
        <v>0</v>
      </c>
      <c r="I154" s="8">
        <f t="shared" ref="I154:I162" si="44">H154*G154</f>
        <v>0</v>
      </c>
      <c r="K154" s="7" t="str">
        <f t="shared" si="38"/>
        <v/>
      </c>
    </row>
    <row r="155" spans="1:11" x14ac:dyDescent="0.3">
      <c r="A155" s="27" t="s">
        <v>1111</v>
      </c>
      <c r="B155" s="27" t="s">
        <v>74</v>
      </c>
      <c r="C155" s="103" t="s">
        <v>1085</v>
      </c>
      <c r="D155" s="103" t="s">
        <v>1144</v>
      </c>
      <c r="E155" s="6" t="s">
        <v>34</v>
      </c>
      <c r="F155" s="52">
        <v>3</v>
      </c>
      <c r="G155" s="52">
        <f t="shared" si="43"/>
        <v>3</v>
      </c>
      <c r="H155" s="108">
        <f>'2 - Section Count Projection'!$G$49</f>
        <v>0</v>
      </c>
      <c r="I155" s="8">
        <f t="shared" si="44"/>
        <v>0</v>
      </c>
      <c r="K155" s="7" t="str">
        <f t="shared" si="38"/>
        <v/>
      </c>
    </row>
    <row r="156" spans="1:11" x14ac:dyDescent="0.3">
      <c r="A156" s="27" t="s">
        <v>1111</v>
      </c>
      <c r="B156" s="27" t="s">
        <v>74</v>
      </c>
      <c r="C156" s="103" t="s">
        <v>1085</v>
      </c>
      <c r="D156" s="103" t="s">
        <v>1145</v>
      </c>
      <c r="E156" s="6" t="s">
        <v>20</v>
      </c>
      <c r="F156" s="52">
        <v>3</v>
      </c>
      <c r="G156" s="52">
        <f t="shared" si="43"/>
        <v>3</v>
      </c>
      <c r="H156" s="108">
        <f>'2 - Section Count Projection'!$G$49</f>
        <v>0</v>
      </c>
      <c r="I156" s="8">
        <f t="shared" si="44"/>
        <v>0</v>
      </c>
      <c r="K156" s="7" t="str">
        <f t="shared" si="38"/>
        <v/>
      </c>
    </row>
    <row r="157" spans="1:11" x14ac:dyDescent="0.3">
      <c r="A157" s="27" t="s">
        <v>1111</v>
      </c>
      <c r="B157" s="27" t="s">
        <v>74</v>
      </c>
      <c r="C157" s="103" t="s">
        <v>1085</v>
      </c>
      <c r="D157" s="103" t="s">
        <v>1146</v>
      </c>
      <c r="E157" s="101"/>
      <c r="F157" s="52">
        <v>3</v>
      </c>
      <c r="G157" s="52">
        <f t="shared" si="43"/>
        <v>3</v>
      </c>
      <c r="H157" s="108">
        <f>'2 - Section Count Projection'!$G$49</f>
        <v>0</v>
      </c>
      <c r="I157" s="8">
        <f t="shared" si="44"/>
        <v>0</v>
      </c>
      <c r="K157" s="7" t="str">
        <f t="shared" si="38"/>
        <v/>
      </c>
    </row>
    <row r="158" spans="1:11" x14ac:dyDescent="0.3">
      <c r="A158" s="27" t="s">
        <v>1111</v>
      </c>
      <c r="B158" s="27" t="s">
        <v>74</v>
      </c>
      <c r="C158" s="103" t="s">
        <v>1076</v>
      </c>
      <c r="D158" s="103" t="s">
        <v>1159</v>
      </c>
      <c r="E158" s="101"/>
      <c r="F158" s="52">
        <v>2</v>
      </c>
      <c r="G158" s="52">
        <f t="shared" si="43"/>
        <v>2</v>
      </c>
      <c r="H158" s="108">
        <f>'2 - Section Count Projection'!$G$49</f>
        <v>0</v>
      </c>
      <c r="I158" s="8">
        <f t="shared" si="44"/>
        <v>0</v>
      </c>
      <c r="K158" s="7" t="str">
        <f t="shared" si="38"/>
        <v/>
      </c>
    </row>
    <row r="159" spans="1:11" x14ac:dyDescent="0.3">
      <c r="A159" s="27" t="s">
        <v>1111</v>
      </c>
      <c r="B159" s="27" t="s">
        <v>74</v>
      </c>
      <c r="C159" s="103" t="s">
        <v>1076</v>
      </c>
      <c r="D159" s="103" t="s">
        <v>1175</v>
      </c>
      <c r="E159" s="6" t="s">
        <v>34</v>
      </c>
      <c r="F159" s="52">
        <v>3</v>
      </c>
      <c r="G159" s="52">
        <f t="shared" si="43"/>
        <v>3</v>
      </c>
      <c r="H159" s="108">
        <f>'2 - Section Count Projection'!$G$49</f>
        <v>0</v>
      </c>
      <c r="I159" s="8">
        <f t="shared" si="44"/>
        <v>0</v>
      </c>
      <c r="K159" s="7" t="str">
        <f t="shared" si="38"/>
        <v/>
      </c>
    </row>
    <row r="160" spans="1:11" x14ac:dyDescent="0.3">
      <c r="A160" s="27" t="s">
        <v>1111</v>
      </c>
      <c r="B160" s="27" t="s">
        <v>74</v>
      </c>
      <c r="C160" s="103" t="s">
        <v>1076</v>
      </c>
      <c r="D160" s="103" t="s">
        <v>1176</v>
      </c>
      <c r="E160" s="6" t="s">
        <v>34</v>
      </c>
      <c r="F160" s="52">
        <v>3</v>
      </c>
      <c r="G160" s="52">
        <f t="shared" si="43"/>
        <v>3</v>
      </c>
      <c r="H160" s="108">
        <f>'2 - Section Count Projection'!$G$49</f>
        <v>0</v>
      </c>
      <c r="I160" s="8">
        <f t="shared" si="44"/>
        <v>0</v>
      </c>
      <c r="K160" s="7" t="str">
        <f t="shared" si="38"/>
        <v/>
      </c>
    </row>
    <row r="161" spans="1:11" x14ac:dyDescent="0.3">
      <c r="A161" s="8" t="s">
        <v>1111</v>
      </c>
      <c r="B161" s="9" t="s">
        <v>74</v>
      </c>
      <c r="C161" s="192"/>
      <c r="D161" s="103" t="s">
        <v>1079</v>
      </c>
      <c r="E161" s="101"/>
      <c r="F161" s="52">
        <v>1</v>
      </c>
      <c r="G161" s="52">
        <f t="shared" si="43"/>
        <v>1</v>
      </c>
      <c r="H161" s="106">
        <f>'2 - Section Count Projection'!$G$21</f>
        <v>0</v>
      </c>
      <c r="I161" s="52">
        <f t="shared" si="44"/>
        <v>0</v>
      </c>
      <c r="K161" s="7" t="str">
        <f t="shared" si="38"/>
        <v/>
      </c>
    </row>
    <row r="162" spans="1:11" x14ac:dyDescent="0.3">
      <c r="A162" s="8" t="s">
        <v>1111</v>
      </c>
      <c r="B162" s="9" t="s">
        <v>74</v>
      </c>
      <c r="C162" s="192"/>
      <c r="D162" s="103" t="s">
        <v>1080</v>
      </c>
      <c r="E162" s="101"/>
      <c r="F162" s="52">
        <v>1</v>
      </c>
      <c r="G162" s="52">
        <f t="shared" si="43"/>
        <v>1</v>
      </c>
      <c r="H162" s="106">
        <f>'2 - Section Count Projection'!$G$21</f>
        <v>0</v>
      </c>
      <c r="I162" s="52">
        <f t="shared" si="44"/>
        <v>0</v>
      </c>
      <c r="K162" s="7" t="str">
        <f t="shared" si="38"/>
        <v/>
      </c>
    </row>
    <row r="163" spans="1:11" x14ac:dyDescent="0.3">
      <c r="K163" s="7" t="str">
        <f t="shared" si="38"/>
        <v/>
      </c>
    </row>
    <row r="164" spans="1:11" x14ac:dyDescent="0.3">
      <c r="A164" s="9" t="s">
        <v>1115</v>
      </c>
      <c r="B164" s="9" t="s">
        <v>70</v>
      </c>
      <c r="C164" s="103" t="s">
        <v>1069</v>
      </c>
      <c r="D164" s="103" t="s">
        <v>1133</v>
      </c>
      <c r="E164" s="6" t="s">
        <v>27</v>
      </c>
      <c r="F164" s="52">
        <v>3</v>
      </c>
      <c r="G164" s="52">
        <f t="shared" si="43"/>
        <v>3</v>
      </c>
      <c r="H164" s="108">
        <v>0</v>
      </c>
      <c r="I164" s="8">
        <f>H164*G164</f>
        <v>0</v>
      </c>
      <c r="K164" s="7" t="str">
        <f t="shared" si="38"/>
        <v/>
      </c>
    </row>
    <row r="165" spans="1:11" x14ac:dyDescent="0.3">
      <c r="A165" s="9" t="s">
        <v>1115</v>
      </c>
      <c r="B165" s="9" t="s">
        <v>70</v>
      </c>
      <c r="C165" s="103" t="s">
        <v>1069</v>
      </c>
      <c r="D165" s="103" t="s">
        <v>1134</v>
      </c>
      <c r="E165" s="6" t="s">
        <v>36</v>
      </c>
      <c r="F165" s="52">
        <v>3</v>
      </c>
      <c r="G165" s="52">
        <f t="shared" si="43"/>
        <v>3</v>
      </c>
      <c r="H165" s="108">
        <v>0</v>
      </c>
      <c r="I165" s="8">
        <f t="shared" ref="I165:I178" si="45">H165*G165</f>
        <v>0</v>
      </c>
      <c r="K165" s="7" t="str">
        <f t="shared" si="38"/>
        <v/>
      </c>
    </row>
    <row r="166" spans="1:11" x14ac:dyDescent="0.3">
      <c r="A166" s="9" t="s">
        <v>1115</v>
      </c>
      <c r="B166" s="9" t="s">
        <v>70</v>
      </c>
      <c r="C166" s="103" t="s">
        <v>1069</v>
      </c>
      <c r="D166" s="103" t="s">
        <v>1135</v>
      </c>
      <c r="E166" s="6" t="s">
        <v>41</v>
      </c>
      <c r="F166" s="52">
        <v>2</v>
      </c>
      <c r="G166" s="52">
        <f t="shared" si="43"/>
        <v>2</v>
      </c>
      <c r="H166" s="108">
        <v>0</v>
      </c>
      <c r="I166" s="8">
        <f t="shared" si="45"/>
        <v>0</v>
      </c>
      <c r="K166" s="7" t="str">
        <f t="shared" si="38"/>
        <v/>
      </c>
    </row>
    <row r="167" spans="1:11" x14ac:dyDescent="0.3">
      <c r="A167" s="9" t="s">
        <v>1115</v>
      </c>
      <c r="B167" s="9" t="s">
        <v>70</v>
      </c>
      <c r="C167" s="103" t="s">
        <v>1069</v>
      </c>
      <c r="D167" s="103" t="s">
        <v>1136</v>
      </c>
      <c r="E167" s="6" t="s">
        <v>40</v>
      </c>
      <c r="F167" s="52">
        <v>3</v>
      </c>
      <c r="G167" s="52">
        <f t="shared" si="43"/>
        <v>3</v>
      </c>
      <c r="H167" s="108">
        <v>0</v>
      </c>
      <c r="I167" s="8">
        <f t="shared" si="45"/>
        <v>0</v>
      </c>
      <c r="K167" s="7" t="str">
        <f t="shared" si="38"/>
        <v/>
      </c>
    </row>
    <row r="168" spans="1:11" x14ac:dyDescent="0.3">
      <c r="A168" s="9" t="s">
        <v>1115</v>
      </c>
      <c r="B168" s="9" t="s">
        <v>70</v>
      </c>
      <c r="C168" s="103" t="s">
        <v>1069</v>
      </c>
      <c r="D168" s="103" t="s">
        <v>1137</v>
      </c>
      <c r="E168" s="6" t="s">
        <v>30</v>
      </c>
      <c r="F168" s="52">
        <v>3</v>
      </c>
      <c r="G168" s="52">
        <f t="shared" si="43"/>
        <v>3</v>
      </c>
      <c r="H168" s="108">
        <v>0</v>
      </c>
      <c r="I168" s="8">
        <f t="shared" si="45"/>
        <v>0</v>
      </c>
      <c r="K168" s="7" t="str">
        <f t="shared" si="38"/>
        <v/>
      </c>
    </row>
    <row r="169" spans="1:11" x14ac:dyDescent="0.3">
      <c r="A169" s="9" t="s">
        <v>1115</v>
      </c>
      <c r="B169" s="9" t="s">
        <v>70</v>
      </c>
      <c r="C169" s="103" t="s">
        <v>1069</v>
      </c>
      <c r="D169" s="103" t="s">
        <v>1138</v>
      </c>
      <c r="E169" s="6" t="s">
        <v>38</v>
      </c>
      <c r="F169" s="52">
        <v>2</v>
      </c>
      <c r="G169" s="52">
        <f t="shared" si="43"/>
        <v>2</v>
      </c>
      <c r="H169" s="108">
        <v>0</v>
      </c>
      <c r="I169" s="8">
        <f t="shared" si="45"/>
        <v>0</v>
      </c>
      <c r="K169" s="7" t="str">
        <f t="shared" si="38"/>
        <v/>
      </c>
    </row>
    <row r="170" spans="1:11" x14ac:dyDescent="0.3">
      <c r="A170" s="9" t="s">
        <v>1115</v>
      </c>
      <c r="B170" s="9" t="s">
        <v>70</v>
      </c>
      <c r="C170" s="103" t="s">
        <v>1085</v>
      </c>
      <c r="D170" s="103" t="s">
        <v>1139</v>
      </c>
      <c r="E170" s="101"/>
      <c r="F170" s="52">
        <v>3</v>
      </c>
      <c r="G170" s="52">
        <f t="shared" si="43"/>
        <v>3</v>
      </c>
      <c r="H170" s="108">
        <v>0</v>
      </c>
      <c r="I170" s="8">
        <f t="shared" si="45"/>
        <v>0</v>
      </c>
      <c r="K170" s="7" t="str">
        <f t="shared" si="38"/>
        <v/>
      </c>
    </row>
    <row r="171" spans="1:11" x14ac:dyDescent="0.3">
      <c r="A171" s="9" t="s">
        <v>1115</v>
      </c>
      <c r="B171" s="9" t="s">
        <v>70</v>
      </c>
      <c r="C171" s="103" t="s">
        <v>1076</v>
      </c>
      <c r="D171" s="103" t="s">
        <v>1177</v>
      </c>
      <c r="E171" s="6" t="s">
        <v>32</v>
      </c>
      <c r="F171" s="52">
        <v>3</v>
      </c>
      <c r="G171" s="52">
        <f t="shared" ref="G171" si="46">SUM(F171:F171)</f>
        <v>3</v>
      </c>
      <c r="H171" s="108">
        <v>0</v>
      </c>
      <c r="I171" s="8">
        <f t="shared" ref="I171" si="47">H171*G171</f>
        <v>0</v>
      </c>
      <c r="K171" s="7" t="str">
        <f t="shared" si="38"/>
        <v/>
      </c>
    </row>
    <row r="172" spans="1:11" x14ac:dyDescent="0.3">
      <c r="A172" s="9" t="s">
        <v>1115</v>
      </c>
      <c r="B172" s="9" t="s">
        <v>70</v>
      </c>
      <c r="C172" s="103" t="s">
        <v>1076</v>
      </c>
      <c r="D172" s="103" t="s">
        <v>1178</v>
      </c>
      <c r="E172" s="6" t="s">
        <v>32</v>
      </c>
      <c r="F172" s="52">
        <v>3</v>
      </c>
      <c r="G172" s="52">
        <f t="shared" si="43"/>
        <v>3</v>
      </c>
      <c r="H172" s="108">
        <v>0</v>
      </c>
      <c r="I172" s="8">
        <f t="shared" si="45"/>
        <v>0</v>
      </c>
      <c r="K172" s="7" t="str">
        <f t="shared" si="38"/>
        <v/>
      </c>
    </row>
    <row r="173" spans="1:11" x14ac:dyDescent="0.3">
      <c r="A173" s="9" t="s">
        <v>1115</v>
      </c>
      <c r="B173" s="9" t="s">
        <v>70</v>
      </c>
      <c r="C173" s="192"/>
      <c r="D173" s="103" t="s">
        <v>1079</v>
      </c>
      <c r="E173" s="101"/>
      <c r="F173" s="52">
        <v>1</v>
      </c>
      <c r="G173" s="52">
        <f t="shared" si="43"/>
        <v>1</v>
      </c>
      <c r="H173" s="106">
        <v>0</v>
      </c>
      <c r="I173" s="52">
        <f t="shared" si="45"/>
        <v>0</v>
      </c>
      <c r="K173" s="7" t="str">
        <f t="shared" si="38"/>
        <v/>
      </c>
    </row>
    <row r="174" spans="1:11" x14ac:dyDescent="0.3">
      <c r="A174" s="9" t="s">
        <v>1115</v>
      </c>
      <c r="B174" s="9" t="s">
        <v>70</v>
      </c>
      <c r="C174" s="192"/>
      <c r="D174" s="103" t="s">
        <v>1080</v>
      </c>
      <c r="E174" s="101"/>
      <c r="F174" s="52">
        <v>1</v>
      </c>
      <c r="G174" s="52">
        <f t="shared" si="43"/>
        <v>1</v>
      </c>
      <c r="H174" s="106">
        <v>0</v>
      </c>
      <c r="I174" s="52">
        <f t="shared" si="45"/>
        <v>0</v>
      </c>
      <c r="K174" s="7" t="str">
        <f t="shared" si="38"/>
        <v/>
      </c>
    </row>
    <row r="175" spans="1:11" x14ac:dyDescent="0.3">
      <c r="A175" s="7"/>
      <c r="K175" s="7" t="str">
        <f t="shared" si="38"/>
        <v/>
      </c>
    </row>
    <row r="176" spans="1:11" x14ac:dyDescent="0.3">
      <c r="A176" s="27" t="s">
        <v>1115</v>
      </c>
      <c r="B176" s="27" t="s">
        <v>74</v>
      </c>
      <c r="C176" s="103" t="s">
        <v>1069</v>
      </c>
      <c r="D176" s="103" t="s">
        <v>1142</v>
      </c>
      <c r="E176" s="6" t="s">
        <v>41</v>
      </c>
      <c r="F176" s="52">
        <v>3</v>
      </c>
      <c r="G176" s="52">
        <f t="shared" si="43"/>
        <v>3</v>
      </c>
      <c r="H176" s="108">
        <v>0</v>
      </c>
      <c r="I176" s="8">
        <f t="shared" si="45"/>
        <v>0</v>
      </c>
      <c r="K176" s="7" t="str">
        <f t="shared" si="38"/>
        <v/>
      </c>
    </row>
    <row r="177" spans="1:11" x14ac:dyDescent="0.3">
      <c r="A177" s="27" t="s">
        <v>1115</v>
      </c>
      <c r="B177" s="27" t="s">
        <v>74</v>
      </c>
      <c r="C177" s="103" t="s">
        <v>1069</v>
      </c>
      <c r="D177" s="103" t="s">
        <v>1143</v>
      </c>
      <c r="E177" s="6" t="s">
        <v>38</v>
      </c>
      <c r="F177" s="52">
        <v>2</v>
      </c>
      <c r="G177" s="52">
        <f t="shared" si="43"/>
        <v>2</v>
      </c>
      <c r="H177" s="108">
        <v>0</v>
      </c>
      <c r="I177" s="8">
        <f t="shared" si="45"/>
        <v>0</v>
      </c>
      <c r="K177" s="7" t="str">
        <f t="shared" si="38"/>
        <v/>
      </c>
    </row>
    <row r="178" spans="1:11" x14ac:dyDescent="0.3">
      <c r="A178" s="27" t="s">
        <v>1115</v>
      </c>
      <c r="B178" s="27" t="s">
        <v>74</v>
      </c>
      <c r="C178" s="103" t="s">
        <v>1085</v>
      </c>
      <c r="D178" s="103" t="s">
        <v>1144</v>
      </c>
      <c r="E178" s="6" t="s">
        <v>34</v>
      </c>
      <c r="F178" s="52">
        <v>3</v>
      </c>
      <c r="G178" s="52">
        <f t="shared" si="43"/>
        <v>3</v>
      </c>
      <c r="H178" s="108">
        <v>0</v>
      </c>
      <c r="I178" s="8">
        <f t="shared" si="45"/>
        <v>0</v>
      </c>
      <c r="K178" s="7" t="str">
        <f t="shared" si="38"/>
        <v/>
      </c>
    </row>
    <row r="179" spans="1:11" x14ac:dyDescent="0.3">
      <c r="A179" s="27" t="s">
        <v>1115</v>
      </c>
      <c r="B179" s="27" t="s">
        <v>74</v>
      </c>
      <c r="C179" s="103" t="s">
        <v>1085</v>
      </c>
      <c r="D179" s="103" t="s">
        <v>1145</v>
      </c>
      <c r="E179" s="6" t="s">
        <v>20</v>
      </c>
      <c r="F179" s="52">
        <v>3</v>
      </c>
      <c r="G179" s="52">
        <f t="shared" si="43"/>
        <v>3</v>
      </c>
      <c r="H179" s="108">
        <v>0</v>
      </c>
      <c r="I179" s="8">
        <f t="shared" ref="I179:I187" si="48">H179*G179</f>
        <v>0</v>
      </c>
      <c r="K179" s="7" t="str">
        <f t="shared" si="38"/>
        <v/>
      </c>
    </row>
    <row r="180" spans="1:11" x14ac:dyDescent="0.3">
      <c r="A180" s="27" t="s">
        <v>1115</v>
      </c>
      <c r="B180" s="27" t="s">
        <v>74</v>
      </c>
      <c r="C180" s="103" t="s">
        <v>1085</v>
      </c>
      <c r="D180" s="103" t="s">
        <v>1146</v>
      </c>
      <c r="E180" s="101"/>
      <c r="F180" s="52">
        <v>3</v>
      </c>
      <c r="G180" s="52">
        <f t="shared" si="43"/>
        <v>3</v>
      </c>
      <c r="H180" s="108">
        <v>0</v>
      </c>
      <c r="I180" s="8">
        <f t="shared" si="48"/>
        <v>0</v>
      </c>
      <c r="K180" s="7" t="str">
        <f t="shared" si="38"/>
        <v/>
      </c>
    </row>
    <row r="181" spans="1:11" x14ac:dyDescent="0.3">
      <c r="A181" s="27" t="s">
        <v>1115</v>
      </c>
      <c r="B181" s="27" t="s">
        <v>74</v>
      </c>
      <c r="C181" s="103" t="s">
        <v>1076</v>
      </c>
      <c r="D181" s="103" t="s">
        <v>1159</v>
      </c>
      <c r="E181" s="6" t="s">
        <v>32</v>
      </c>
      <c r="F181" s="52">
        <v>2</v>
      </c>
      <c r="G181" s="52">
        <f t="shared" si="43"/>
        <v>2</v>
      </c>
      <c r="H181" s="108">
        <v>0</v>
      </c>
      <c r="I181" s="8">
        <f t="shared" si="48"/>
        <v>0</v>
      </c>
      <c r="K181" s="7" t="str">
        <f t="shared" si="38"/>
        <v/>
      </c>
    </row>
    <row r="182" spans="1:11" x14ac:dyDescent="0.3">
      <c r="A182" s="27" t="s">
        <v>1115</v>
      </c>
      <c r="B182" s="27" t="s">
        <v>74</v>
      </c>
      <c r="C182" s="103" t="s">
        <v>1076</v>
      </c>
      <c r="D182" s="103" t="s">
        <v>1179</v>
      </c>
      <c r="E182" s="6" t="s">
        <v>32</v>
      </c>
      <c r="F182" s="52">
        <v>3</v>
      </c>
      <c r="G182" s="52">
        <f t="shared" si="43"/>
        <v>3</v>
      </c>
      <c r="H182" s="108">
        <v>0</v>
      </c>
      <c r="I182" s="8">
        <f t="shared" si="48"/>
        <v>0</v>
      </c>
      <c r="K182" s="7" t="str">
        <f t="shared" si="38"/>
        <v/>
      </c>
    </row>
    <row r="183" spans="1:11" x14ac:dyDescent="0.3">
      <c r="A183" s="27" t="s">
        <v>1115</v>
      </c>
      <c r="B183" s="27" t="s">
        <v>74</v>
      </c>
      <c r="C183" s="103" t="s">
        <v>1076</v>
      </c>
      <c r="D183" s="103" t="s">
        <v>1180</v>
      </c>
      <c r="E183" s="6" t="s">
        <v>32</v>
      </c>
      <c r="F183" s="52">
        <v>3</v>
      </c>
      <c r="G183" s="52">
        <f t="shared" si="43"/>
        <v>3</v>
      </c>
      <c r="H183" s="108">
        <v>0</v>
      </c>
      <c r="I183" s="8">
        <f t="shared" si="48"/>
        <v>0</v>
      </c>
      <c r="K183" s="7" t="str">
        <f t="shared" si="38"/>
        <v/>
      </c>
    </row>
    <row r="184" spans="1:11" x14ac:dyDescent="0.3">
      <c r="A184" s="9" t="s">
        <v>1115</v>
      </c>
      <c r="B184" s="9" t="s">
        <v>74</v>
      </c>
      <c r="C184" s="192"/>
      <c r="D184" s="103" t="s">
        <v>1079</v>
      </c>
      <c r="E184" s="101"/>
      <c r="F184" s="52">
        <v>1</v>
      </c>
      <c r="G184" s="52">
        <f t="shared" si="43"/>
        <v>1</v>
      </c>
      <c r="H184" s="106">
        <v>0</v>
      </c>
      <c r="I184" s="52">
        <f t="shared" si="48"/>
        <v>0</v>
      </c>
      <c r="K184" s="7" t="str">
        <f t="shared" si="38"/>
        <v/>
      </c>
    </row>
    <row r="185" spans="1:11" x14ac:dyDescent="0.3">
      <c r="A185" s="9" t="s">
        <v>1115</v>
      </c>
      <c r="B185" s="9" t="s">
        <v>74</v>
      </c>
      <c r="C185" s="192"/>
      <c r="D185" s="103" t="s">
        <v>1080</v>
      </c>
      <c r="E185" s="101"/>
      <c r="F185" s="52">
        <v>1</v>
      </c>
      <c r="G185" s="52">
        <f t="shared" si="43"/>
        <v>1</v>
      </c>
      <c r="H185" s="106">
        <v>0</v>
      </c>
      <c r="I185" s="52">
        <f t="shared" si="48"/>
        <v>0</v>
      </c>
      <c r="K185" s="7" t="str">
        <f t="shared" si="38"/>
        <v/>
      </c>
    </row>
    <row r="186" spans="1:11" x14ac:dyDescent="0.3">
      <c r="K186" s="7" t="str">
        <f t="shared" si="38"/>
        <v/>
      </c>
    </row>
    <row r="187" spans="1:11" x14ac:dyDescent="0.3">
      <c r="A187" s="27" t="s">
        <v>1120</v>
      </c>
      <c r="B187" s="27" t="s">
        <v>70</v>
      </c>
      <c r="C187" s="103" t="s">
        <v>1069</v>
      </c>
      <c r="D187" s="103" t="s">
        <v>1133</v>
      </c>
      <c r="E187" s="6" t="s">
        <v>27</v>
      </c>
      <c r="F187" s="52">
        <v>3</v>
      </c>
      <c r="G187" s="52">
        <f t="shared" si="43"/>
        <v>3</v>
      </c>
      <c r="H187" s="108">
        <f>'2 - Section Count Projection'!$G$57</f>
        <v>0</v>
      </c>
      <c r="I187" s="8">
        <f t="shared" si="48"/>
        <v>0</v>
      </c>
      <c r="K187" s="7" t="str">
        <f t="shared" si="38"/>
        <v/>
      </c>
    </row>
    <row r="188" spans="1:11" x14ac:dyDescent="0.3">
      <c r="A188" s="27" t="s">
        <v>1120</v>
      </c>
      <c r="B188" s="27" t="s">
        <v>70</v>
      </c>
      <c r="C188" s="103" t="s">
        <v>1069</v>
      </c>
      <c r="D188" s="103" t="s">
        <v>1134</v>
      </c>
      <c r="E188" s="6" t="s">
        <v>36</v>
      </c>
      <c r="F188" s="52">
        <v>3</v>
      </c>
      <c r="G188" s="52">
        <f t="shared" si="43"/>
        <v>3</v>
      </c>
      <c r="H188" s="108">
        <f>'2 - Section Count Projection'!$G$57</f>
        <v>0</v>
      </c>
      <c r="I188" s="8">
        <f t="shared" ref="I188:I197" si="49">H188*G188</f>
        <v>0</v>
      </c>
      <c r="K188" s="7" t="str">
        <f t="shared" si="38"/>
        <v/>
      </c>
    </row>
    <row r="189" spans="1:11" x14ac:dyDescent="0.3">
      <c r="A189" s="27" t="s">
        <v>1120</v>
      </c>
      <c r="B189" s="27" t="s">
        <v>70</v>
      </c>
      <c r="C189" s="103" t="s">
        <v>1069</v>
      </c>
      <c r="D189" s="103" t="s">
        <v>1135</v>
      </c>
      <c r="E189" s="6" t="s">
        <v>41</v>
      </c>
      <c r="F189" s="52">
        <v>3</v>
      </c>
      <c r="G189" s="52">
        <f t="shared" si="43"/>
        <v>3</v>
      </c>
      <c r="H189" s="108">
        <f>'2 - Section Count Projection'!$G$57</f>
        <v>0</v>
      </c>
      <c r="I189" s="8">
        <f t="shared" si="49"/>
        <v>0</v>
      </c>
      <c r="K189" s="7" t="str">
        <f t="shared" si="38"/>
        <v/>
      </c>
    </row>
    <row r="190" spans="1:11" x14ac:dyDescent="0.3">
      <c r="A190" s="27" t="s">
        <v>1120</v>
      </c>
      <c r="B190" s="27" t="s">
        <v>70</v>
      </c>
      <c r="C190" s="103" t="s">
        <v>1069</v>
      </c>
      <c r="D190" s="103" t="s">
        <v>1136</v>
      </c>
      <c r="E190" s="6" t="s">
        <v>40</v>
      </c>
      <c r="F190" s="52">
        <v>3</v>
      </c>
      <c r="G190" s="52">
        <f t="shared" ref="G190" si="50">SUM(F190:F190)</f>
        <v>3</v>
      </c>
      <c r="H190" s="108">
        <f>'2 - Section Count Projection'!$G$57</f>
        <v>0</v>
      </c>
      <c r="I190" s="8">
        <f t="shared" ref="I190" si="51">H190*G190</f>
        <v>0</v>
      </c>
      <c r="K190" s="7" t="str">
        <f t="shared" si="38"/>
        <v/>
      </c>
    </row>
    <row r="191" spans="1:11" x14ac:dyDescent="0.3">
      <c r="A191" s="27" t="s">
        <v>1120</v>
      </c>
      <c r="B191" s="27" t="s">
        <v>70</v>
      </c>
      <c r="C191" s="103" t="s">
        <v>1069</v>
      </c>
      <c r="D191" s="103" t="s">
        <v>1137</v>
      </c>
      <c r="E191" s="6" t="s">
        <v>30</v>
      </c>
      <c r="F191" s="52">
        <v>3</v>
      </c>
      <c r="G191" s="52">
        <f t="shared" si="43"/>
        <v>3</v>
      </c>
      <c r="H191" s="108">
        <f>'2 - Section Count Projection'!$G$57</f>
        <v>0</v>
      </c>
      <c r="I191" s="8">
        <f t="shared" si="49"/>
        <v>0</v>
      </c>
      <c r="K191" s="7" t="str">
        <f t="shared" si="38"/>
        <v/>
      </c>
    </row>
    <row r="192" spans="1:11" x14ac:dyDescent="0.3">
      <c r="A192" s="27" t="s">
        <v>1120</v>
      </c>
      <c r="B192" s="27" t="s">
        <v>70</v>
      </c>
      <c r="C192" s="103" t="s">
        <v>1069</v>
      </c>
      <c r="D192" s="103" t="s">
        <v>1138</v>
      </c>
      <c r="E192" s="6" t="s">
        <v>38</v>
      </c>
      <c r="F192" s="52">
        <v>2</v>
      </c>
      <c r="G192" s="52">
        <f t="shared" si="43"/>
        <v>2</v>
      </c>
      <c r="H192" s="108">
        <f>'2 - Section Count Projection'!$G$57</f>
        <v>0</v>
      </c>
      <c r="I192" s="8">
        <f t="shared" si="49"/>
        <v>0</v>
      </c>
      <c r="K192" s="7" t="str">
        <f t="shared" si="38"/>
        <v/>
      </c>
    </row>
    <row r="193" spans="1:11" x14ac:dyDescent="0.3">
      <c r="A193" s="27" t="s">
        <v>1120</v>
      </c>
      <c r="B193" s="27" t="s">
        <v>70</v>
      </c>
      <c r="C193" s="103" t="s">
        <v>1085</v>
      </c>
      <c r="D193" s="103" t="s">
        <v>1139</v>
      </c>
      <c r="E193" s="101"/>
      <c r="F193" s="52">
        <v>3</v>
      </c>
      <c r="G193" s="52">
        <f>SUM(F193:F193)</f>
        <v>3</v>
      </c>
      <c r="H193" s="108">
        <f>'2 - Section Count Projection'!$G$57</f>
        <v>0</v>
      </c>
      <c r="I193" s="8">
        <f t="shared" si="49"/>
        <v>0</v>
      </c>
      <c r="K193" s="7" t="str">
        <f t="shared" si="38"/>
        <v/>
      </c>
    </row>
    <row r="194" spans="1:11" x14ac:dyDescent="0.3">
      <c r="A194" s="27" t="s">
        <v>1120</v>
      </c>
      <c r="B194" s="27" t="s">
        <v>70</v>
      </c>
      <c r="C194" s="103" t="s">
        <v>1076</v>
      </c>
      <c r="D194" s="103" t="s">
        <v>1181</v>
      </c>
      <c r="E194" s="6" t="s">
        <v>32</v>
      </c>
      <c r="F194" s="52">
        <v>3</v>
      </c>
      <c r="G194" s="52">
        <f>SUM(F194:F194)</f>
        <v>3</v>
      </c>
      <c r="H194" s="108">
        <f>'2 - Section Count Projection'!$G$57</f>
        <v>0</v>
      </c>
      <c r="I194" s="8">
        <f t="shared" si="49"/>
        <v>0</v>
      </c>
      <c r="K194" s="7" t="str">
        <f t="shared" si="38"/>
        <v/>
      </c>
    </row>
    <row r="195" spans="1:11" x14ac:dyDescent="0.3">
      <c r="A195" s="27" t="s">
        <v>1120</v>
      </c>
      <c r="B195" s="27" t="s">
        <v>70</v>
      </c>
      <c r="C195" s="103" t="s">
        <v>1076</v>
      </c>
      <c r="D195" s="103" t="s">
        <v>1182</v>
      </c>
      <c r="E195" s="6" t="s">
        <v>32</v>
      </c>
      <c r="F195" s="52">
        <v>3</v>
      </c>
      <c r="G195" s="52">
        <f>SUM(F195:F195)</f>
        <v>3</v>
      </c>
      <c r="H195" s="108">
        <f>'2 - Section Count Projection'!$G$57</f>
        <v>0</v>
      </c>
      <c r="I195" s="8">
        <f t="shared" si="49"/>
        <v>0</v>
      </c>
      <c r="K195" s="7" t="str">
        <f t="shared" si="38"/>
        <v/>
      </c>
    </row>
    <row r="196" spans="1:11" x14ac:dyDescent="0.3">
      <c r="A196" s="27" t="s">
        <v>1120</v>
      </c>
      <c r="B196" s="9" t="s">
        <v>70</v>
      </c>
      <c r="C196" s="192"/>
      <c r="D196" s="103" t="s">
        <v>1079</v>
      </c>
      <c r="E196" s="101"/>
      <c r="F196" s="52">
        <v>1</v>
      </c>
      <c r="G196" s="52">
        <f t="shared" ref="G196:G197" si="52">SUM(F196:F196)</f>
        <v>1</v>
      </c>
      <c r="H196" s="106">
        <f>'2 - Section Count Projection'!$G$21</f>
        <v>0</v>
      </c>
      <c r="I196" s="52">
        <f t="shared" si="49"/>
        <v>0</v>
      </c>
      <c r="K196" s="7" t="str">
        <f t="shared" ref="K196:K254" si="53">IF(I196&gt;0,F196,"")</f>
        <v/>
      </c>
    </row>
    <row r="197" spans="1:11" x14ac:dyDescent="0.3">
      <c r="A197" s="27" t="s">
        <v>1120</v>
      </c>
      <c r="B197" s="9" t="s">
        <v>70</v>
      </c>
      <c r="C197" s="192"/>
      <c r="D197" s="103" t="s">
        <v>1080</v>
      </c>
      <c r="E197" s="101"/>
      <c r="F197" s="52">
        <v>1</v>
      </c>
      <c r="G197" s="52">
        <f t="shared" si="52"/>
        <v>1</v>
      </c>
      <c r="H197" s="106">
        <f>'2 - Section Count Projection'!$G$21</f>
        <v>0</v>
      </c>
      <c r="I197" s="52">
        <f t="shared" si="49"/>
        <v>0</v>
      </c>
      <c r="K197" s="7" t="str">
        <f t="shared" si="53"/>
        <v/>
      </c>
    </row>
    <row r="198" spans="1:11" x14ac:dyDescent="0.3">
      <c r="K198" s="7" t="str">
        <f t="shared" si="53"/>
        <v/>
      </c>
    </row>
    <row r="199" spans="1:11" x14ac:dyDescent="0.3">
      <c r="A199" s="27" t="s">
        <v>1120</v>
      </c>
      <c r="B199" s="27" t="s">
        <v>74</v>
      </c>
      <c r="C199" s="103" t="s">
        <v>1069</v>
      </c>
      <c r="D199" s="103" t="s">
        <v>1142</v>
      </c>
      <c r="E199" s="6" t="s">
        <v>41</v>
      </c>
      <c r="F199" s="52">
        <v>3</v>
      </c>
      <c r="G199" s="52">
        <f>SUM(F199:F199)</f>
        <v>3</v>
      </c>
      <c r="H199" s="108">
        <f>'2 - Section Count Projection'!$G$59</f>
        <v>0</v>
      </c>
      <c r="I199" s="8">
        <f>H199*G199</f>
        <v>0</v>
      </c>
      <c r="K199" s="7" t="str">
        <f t="shared" si="53"/>
        <v/>
      </c>
    </row>
    <row r="200" spans="1:11" x14ac:dyDescent="0.3">
      <c r="A200" s="27" t="s">
        <v>1120</v>
      </c>
      <c r="B200" s="27" t="s">
        <v>74</v>
      </c>
      <c r="C200" s="103" t="s">
        <v>1069</v>
      </c>
      <c r="D200" s="103" t="s">
        <v>1143</v>
      </c>
      <c r="E200" s="6" t="s">
        <v>38</v>
      </c>
      <c r="F200" s="52">
        <v>2</v>
      </c>
      <c r="G200" s="52">
        <f t="shared" ref="G200:G208" si="54">SUM(F200:F200)</f>
        <v>2</v>
      </c>
      <c r="H200" s="108">
        <f>'2 - Section Count Projection'!$G$59</f>
        <v>0</v>
      </c>
      <c r="I200" s="8">
        <f t="shared" ref="I200:I208" si="55">H200*G200</f>
        <v>0</v>
      </c>
      <c r="K200" s="7" t="str">
        <f t="shared" si="53"/>
        <v/>
      </c>
    </row>
    <row r="201" spans="1:11" x14ac:dyDescent="0.3">
      <c r="A201" s="27" t="s">
        <v>1120</v>
      </c>
      <c r="B201" s="27" t="s">
        <v>74</v>
      </c>
      <c r="C201" s="103" t="s">
        <v>1085</v>
      </c>
      <c r="D201" s="103" t="s">
        <v>1144</v>
      </c>
      <c r="E201" s="6" t="s">
        <v>34</v>
      </c>
      <c r="F201" s="52">
        <v>3</v>
      </c>
      <c r="G201" s="52">
        <f t="shared" si="54"/>
        <v>3</v>
      </c>
      <c r="H201" s="108">
        <f>'2 - Section Count Projection'!$G$59</f>
        <v>0</v>
      </c>
      <c r="I201" s="8">
        <f t="shared" si="55"/>
        <v>0</v>
      </c>
      <c r="K201" s="7" t="str">
        <f t="shared" si="53"/>
        <v/>
      </c>
    </row>
    <row r="202" spans="1:11" x14ac:dyDescent="0.3">
      <c r="A202" s="27" t="s">
        <v>1120</v>
      </c>
      <c r="B202" s="27" t="s">
        <v>74</v>
      </c>
      <c r="C202" s="103" t="s">
        <v>1085</v>
      </c>
      <c r="D202" s="103" t="s">
        <v>1145</v>
      </c>
      <c r="E202" s="6" t="s">
        <v>20</v>
      </c>
      <c r="F202" s="52">
        <v>3</v>
      </c>
      <c r="G202" s="52">
        <f t="shared" si="54"/>
        <v>3</v>
      </c>
      <c r="H202" s="108">
        <f>'2 - Section Count Projection'!$G$59</f>
        <v>0</v>
      </c>
      <c r="I202" s="8">
        <f t="shared" si="55"/>
        <v>0</v>
      </c>
      <c r="K202" s="7" t="str">
        <f t="shared" si="53"/>
        <v/>
      </c>
    </row>
    <row r="203" spans="1:11" x14ac:dyDescent="0.3">
      <c r="A203" s="27" t="s">
        <v>1120</v>
      </c>
      <c r="B203" s="27" t="s">
        <v>74</v>
      </c>
      <c r="C203" s="103" t="s">
        <v>1085</v>
      </c>
      <c r="D203" s="103" t="s">
        <v>1146</v>
      </c>
      <c r="E203" s="101"/>
      <c r="F203" s="52">
        <v>3</v>
      </c>
      <c r="G203" s="52">
        <f t="shared" si="54"/>
        <v>3</v>
      </c>
      <c r="H203" s="108">
        <f>'2 - Section Count Projection'!$G$59</f>
        <v>0</v>
      </c>
      <c r="I203" s="8">
        <f t="shared" si="55"/>
        <v>0</v>
      </c>
      <c r="K203" s="7" t="str">
        <f t="shared" si="53"/>
        <v/>
      </c>
    </row>
    <row r="204" spans="1:11" x14ac:dyDescent="0.3">
      <c r="A204" s="27" t="s">
        <v>1120</v>
      </c>
      <c r="B204" s="27" t="s">
        <v>74</v>
      </c>
      <c r="C204" s="103" t="s">
        <v>1076</v>
      </c>
      <c r="D204" s="103" t="s">
        <v>1159</v>
      </c>
      <c r="E204" s="6" t="s">
        <v>32</v>
      </c>
      <c r="F204" s="52">
        <v>2</v>
      </c>
      <c r="G204" s="52">
        <f t="shared" si="54"/>
        <v>2</v>
      </c>
      <c r="H204" s="108">
        <f>'2 - Section Count Projection'!$G$59</f>
        <v>0</v>
      </c>
      <c r="I204" s="8">
        <f t="shared" si="55"/>
        <v>0</v>
      </c>
      <c r="K204" s="7" t="str">
        <f t="shared" si="53"/>
        <v/>
      </c>
    </row>
    <row r="205" spans="1:11" x14ac:dyDescent="0.3">
      <c r="A205" s="27" t="s">
        <v>1120</v>
      </c>
      <c r="B205" s="27" t="s">
        <v>74</v>
      </c>
      <c r="C205" s="103" t="s">
        <v>1076</v>
      </c>
      <c r="D205" s="103" t="s">
        <v>1183</v>
      </c>
      <c r="E205" s="6" t="s">
        <v>32</v>
      </c>
      <c r="F205" s="52">
        <v>3</v>
      </c>
      <c r="G205" s="52">
        <f t="shared" si="54"/>
        <v>3</v>
      </c>
      <c r="H205" s="108">
        <f>'2 - Section Count Projection'!$G$59</f>
        <v>0</v>
      </c>
      <c r="I205" s="8">
        <f t="shared" si="55"/>
        <v>0</v>
      </c>
      <c r="K205" s="7" t="str">
        <f t="shared" si="53"/>
        <v/>
      </c>
    </row>
    <row r="206" spans="1:11" x14ac:dyDescent="0.3">
      <c r="A206" s="27" t="s">
        <v>1120</v>
      </c>
      <c r="B206" s="27" t="s">
        <v>74</v>
      </c>
      <c r="C206" s="103" t="s">
        <v>1076</v>
      </c>
      <c r="D206" s="103" t="s">
        <v>1184</v>
      </c>
      <c r="E206" s="6" t="s">
        <v>32</v>
      </c>
      <c r="F206" s="52">
        <v>3</v>
      </c>
      <c r="G206" s="52">
        <f t="shared" si="54"/>
        <v>3</v>
      </c>
      <c r="H206" s="108">
        <f>'2 - Section Count Projection'!$G$59</f>
        <v>0</v>
      </c>
      <c r="I206" s="8">
        <f t="shared" si="55"/>
        <v>0</v>
      </c>
      <c r="K206" s="7" t="str">
        <f t="shared" si="53"/>
        <v/>
      </c>
    </row>
    <row r="207" spans="1:11" x14ac:dyDescent="0.3">
      <c r="A207" s="27" t="s">
        <v>1120</v>
      </c>
      <c r="B207" s="9" t="s">
        <v>74</v>
      </c>
      <c r="C207" s="192"/>
      <c r="D207" s="103" t="s">
        <v>1079</v>
      </c>
      <c r="E207" s="101"/>
      <c r="F207" s="52">
        <v>1</v>
      </c>
      <c r="G207" s="52">
        <f t="shared" si="54"/>
        <v>1</v>
      </c>
      <c r="H207" s="106">
        <f>'2 - Section Count Projection'!$G$21</f>
        <v>0</v>
      </c>
      <c r="I207" s="52">
        <f t="shared" si="55"/>
        <v>0</v>
      </c>
      <c r="K207" s="7" t="str">
        <f t="shared" si="53"/>
        <v/>
      </c>
    </row>
    <row r="208" spans="1:11" x14ac:dyDescent="0.3">
      <c r="A208" s="27" t="s">
        <v>1120</v>
      </c>
      <c r="B208" s="9" t="s">
        <v>74</v>
      </c>
      <c r="C208" s="192"/>
      <c r="D208" s="103" t="s">
        <v>1080</v>
      </c>
      <c r="E208" s="101"/>
      <c r="F208" s="52">
        <v>1</v>
      </c>
      <c r="G208" s="52">
        <f t="shared" si="54"/>
        <v>1</v>
      </c>
      <c r="H208" s="106">
        <f>'2 - Section Count Projection'!$G$21</f>
        <v>0</v>
      </c>
      <c r="I208" s="52">
        <f t="shared" si="55"/>
        <v>0</v>
      </c>
      <c r="K208" s="7" t="str">
        <f t="shared" si="53"/>
        <v/>
      </c>
    </row>
    <row r="209" spans="1:11" x14ac:dyDescent="0.3">
      <c r="K209" s="7" t="str">
        <f t="shared" si="53"/>
        <v/>
      </c>
    </row>
    <row r="210" spans="1:11" x14ac:dyDescent="0.3">
      <c r="A210" s="27" t="s">
        <v>1125</v>
      </c>
      <c r="B210" s="27" t="s">
        <v>70</v>
      </c>
      <c r="C210" s="103" t="s">
        <v>1069</v>
      </c>
      <c r="D210" s="103" t="s">
        <v>1133</v>
      </c>
      <c r="E210" s="6" t="s">
        <v>27</v>
      </c>
      <c r="F210" s="52">
        <v>3</v>
      </c>
      <c r="G210" s="52">
        <f>SUM(F210:F210)</f>
        <v>3</v>
      </c>
      <c r="H210" s="108">
        <v>0</v>
      </c>
      <c r="I210" s="8">
        <f>H210*G210</f>
        <v>0</v>
      </c>
      <c r="K210" s="7" t="str">
        <f t="shared" si="53"/>
        <v/>
      </c>
    </row>
    <row r="211" spans="1:11" x14ac:dyDescent="0.3">
      <c r="A211" s="27" t="s">
        <v>1125</v>
      </c>
      <c r="B211" s="27" t="s">
        <v>70</v>
      </c>
      <c r="C211" s="103" t="s">
        <v>1069</v>
      </c>
      <c r="D211" s="103" t="s">
        <v>1134</v>
      </c>
      <c r="E211" s="6" t="s">
        <v>36</v>
      </c>
      <c r="F211" s="52">
        <v>3</v>
      </c>
      <c r="G211" s="52">
        <f t="shared" ref="G211:G220" si="56">SUM(F211:F211)</f>
        <v>3</v>
      </c>
      <c r="H211" s="108">
        <v>0</v>
      </c>
      <c r="I211" s="8">
        <f t="shared" ref="I211:I220" si="57">H211*G211</f>
        <v>0</v>
      </c>
      <c r="K211" s="7" t="str">
        <f t="shared" si="53"/>
        <v/>
      </c>
    </row>
    <row r="212" spans="1:11" x14ac:dyDescent="0.3">
      <c r="A212" s="27" t="s">
        <v>1125</v>
      </c>
      <c r="B212" s="27" t="s">
        <v>70</v>
      </c>
      <c r="C212" s="103" t="s">
        <v>1069</v>
      </c>
      <c r="D212" s="103" t="s">
        <v>1135</v>
      </c>
      <c r="E212" s="6" t="s">
        <v>41</v>
      </c>
      <c r="F212" s="52">
        <v>3</v>
      </c>
      <c r="G212" s="52">
        <f t="shared" si="56"/>
        <v>3</v>
      </c>
      <c r="H212" s="108">
        <v>0</v>
      </c>
      <c r="I212" s="8">
        <f t="shared" si="57"/>
        <v>0</v>
      </c>
      <c r="K212" s="7" t="str">
        <f t="shared" si="53"/>
        <v/>
      </c>
    </row>
    <row r="213" spans="1:11" x14ac:dyDescent="0.3">
      <c r="A213" s="27" t="s">
        <v>1125</v>
      </c>
      <c r="B213" s="27" t="s">
        <v>70</v>
      </c>
      <c r="C213" s="103" t="s">
        <v>1069</v>
      </c>
      <c r="D213" s="103" t="s">
        <v>1136</v>
      </c>
      <c r="E213" s="6" t="s">
        <v>40</v>
      </c>
      <c r="F213" s="52">
        <v>3</v>
      </c>
      <c r="G213" s="52">
        <f t="shared" ref="G213" si="58">SUM(F213:F213)</f>
        <v>3</v>
      </c>
      <c r="H213" s="108">
        <v>0</v>
      </c>
      <c r="I213" s="8">
        <f t="shared" ref="I213" si="59">H213*G213</f>
        <v>0</v>
      </c>
      <c r="K213" s="7" t="str">
        <f t="shared" si="53"/>
        <v/>
      </c>
    </row>
    <row r="214" spans="1:11" x14ac:dyDescent="0.3">
      <c r="A214" s="27" t="s">
        <v>1125</v>
      </c>
      <c r="B214" s="27" t="s">
        <v>70</v>
      </c>
      <c r="C214" s="103" t="s">
        <v>1069</v>
      </c>
      <c r="D214" s="103" t="s">
        <v>1137</v>
      </c>
      <c r="E214" s="6" t="s">
        <v>30</v>
      </c>
      <c r="F214" s="52">
        <v>3</v>
      </c>
      <c r="G214" s="52">
        <f t="shared" si="56"/>
        <v>3</v>
      </c>
      <c r="H214" s="108">
        <v>0</v>
      </c>
      <c r="I214" s="8">
        <f t="shared" si="57"/>
        <v>0</v>
      </c>
      <c r="K214" s="7" t="str">
        <f t="shared" si="53"/>
        <v/>
      </c>
    </row>
    <row r="215" spans="1:11" x14ac:dyDescent="0.3">
      <c r="A215" s="27" t="s">
        <v>1125</v>
      </c>
      <c r="B215" s="27" t="s">
        <v>70</v>
      </c>
      <c r="C215" s="103" t="s">
        <v>1069</v>
      </c>
      <c r="D215" s="103" t="s">
        <v>1138</v>
      </c>
      <c r="E215" s="6" t="s">
        <v>38</v>
      </c>
      <c r="F215" s="52">
        <v>2</v>
      </c>
      <c r="G215" s="52">
        <f t="shared" si="56"/>
        <v>2</v>
      </c>
      <c r="H215" s="108">
        <v>0</v>
      </c>
      <c r="I215" s="8">
        <f t="shared" si="57"/>
        <v>0</v>
      </c>
      <c r="K215" s="7" t="str">
        <f t="shared" si="53"/>
        <v/>
      </c>
    </row>
    <row r="216" spans="1:11" x14ac:dyDescent="0.3">
      <c r="A216" s="27" t="s">
        <v>1125</v>
      </c>
      <c r="B216" s="27" t="s">
        <v>70</v>
      </c>
      <c r="C216" s="103" t="s">
        <v>1085</v>
      </c>
      <c r="D216" s="103" t="s">
        <v>1139</v>
      </c>
      <c r="E216" s="101"/>
      <c r="F216" s="52">
        <v>3</v>
      </c>
      <c r="G216" s="52">
        <f t="shared" si="56"/>
        <v>3</v>
      </c>
      <c r="H216" s="108">
        <v>0</v>
      </c>
      <c r="I216" s="8">
        <f t="shared" si="57"/>
        <v>0</v>
      </c>
      <c r="K216" s="7" t="str">
        <f t="shared" si="53"/>
        <v/>
      </c>
    </row>
    <row r="217" spans="1:11" x14ac:dyDescent="0.3">
      <c r="A217" s="27" t="s">
        <v>1125</v>
      </c>
      <c r="B217" s="27" t="s">
        <v>70</v>
      </c>
      <c r="C217" s="103" t="s">
        <v>1076</v>
      </c>
      <c r="D217" s="103" t="s">
        <v>1185</v>
      </c>
      <c r="E217" s="6" t="s">
        <v>43</v>
      </c>
      <c r="F217" s="52">
        <v>3</v>
      </c>
      <c r="G217" s="52">
        <f t="shared" si="56"/>
        <v>3</v>
      </c>
      <c r="H217" s="108">
        <v>0</v>
      </c>
      <c r="I217" s="8">
        <f t="shared" si="57"/>
        <v>0</v>
      </c>
      <c r="K217" s="7" t="str">
        <f t="shared" si="53"/>
        <v/>
      </c>
    </row>
    <row r="218" spans="1:11" x14ac:dyDescent="0.3">
      <c r="A218" s="27" t="s">
        <v>1125</v>
      </c>
      <c r="B218" s="27" t="s">
        <v>70</v>
      </c>
      <c r="C218" s="103" t="s">
        <v>1076</v>
      </c>
      <c r="D218" s="103" t="s">
        <v>1186</v>
      </c>
      <c r="E218" s="6" t="s">
        <v>43</v>
      </c>
      <c r="F218" s="52">
        <v>3</v>
      </c>
      <c r="G218" s="52">
        <f t="shared" si="56"/>
        <v>3</v>
      </c>
      <c r="H218" s="108">
        <v>0</v>
      </c>
      <c r="I218" s="8">
        <f t="shared" si="57"/>
        <v>0</v>
      </c>
      <c r="K218" s="7" t="str">
        <f t="shared" si="53"/>
        <v/>
      </c>
    </row>
    <row r="219" spans="1:11" x14ac:dyDescent="0.3">
      <c r="A219" s="27" t="s">
        <v>1125</v>
      </c>
      <c r="B219" s="9" t="s">
        <v>70</v>
      </c>
      <c r="C219" s="192"/>
      <c r="D219" s="103" t="s">
        <v>1079</v>
      </c>
      <c r="E219" s="101"/>
      <c r="F219" s="52">
        <v>1</v>
      </c>
      <c r="G219" s="52">
        <f t="shared" si="56"/>
        <v>1</v>
      </c>
      <c r="H219" s="106">
        <v>0</v>
      </c>
      <c r="I219" s="52">
        <f t="shared" si="57"/>
        <v>0</v>
      </c>
      <c r="K219" s="7" t="str">
        <f t="shared" si="53"/>
        <v/>
      </c>
    </row>
    <row r="220" spans="1:11" x14ac:dyDescent="0.3">
      <c r="A220" s="27" t="s">
        <v>1125</v>
      </c>
      <c r="B220" s="9" t="s">
        <v>70</v>
      </c>
      <c r="C220" s="192"/>
      <c r="D220" s="103" t="s">
        <v>1080</v>
      </c>
      <c r="E220" s="101"/>
      <c r="F220" s="52">
        <v>1</v>
      </c>
      <c r="G220" s="52">
        <f t="shared" si="56"/>
        <v>1</v>
      </c>
      <c r="H220" s="106">
        <v>0</v>
      </c>
      <c r="I220" s="52">
        <f t="shared" si="57"/>
        <v>0</v>
      </c>
      <c r="K220" s="7" t="str">
        <f t="shared" si="53"/>
        <v/>
      </c>
    </row>
    <row r="221" spans="1:11" x14ac:dyDescent="0.3">
      <c r="K221" s="7" t="str">
        <f t="shared" si="53"/>
        <v/>
      </c>
    </row>
    <row r="222" spans="1:11" x14ac:dyDescent="0.3">
      <c r="A222" s="27" t="s">
        <v>1125</v>
      </c>
      <c r="B222" s="27" t="s">
        <v>74</v>
      </c>
      <c r="C222" s="103" t="s">
        <v>1069</v>
      </c>
      <c r="D222" s="103" t="s">
        <v>1142</v>
      </c>
      <c r="E222" s="6" t="s">
        <v>41</v>
      </c>
      <c r="F222" s="52">
        <v>3</v>
      </c>
      <c r="G222" s="52">
        <f>SUM(F222:F222)</f>
        <v>3</v>
      </c>
      <c r="H222" s="108">
        <v>0</v>
      </c>
      <c r="I222" s="8">
        <f>H222*G222</f>
        <v>0</v>
      </c>
      <c r="K222" s="7" t="str">
        <f t="shared" si="53"/>
        <v/>
      </c>
    </row>
    <row r="223" spans="1:11" x14ac:dyDescent="0.3">
      <c r="A223" s="27" t="s">
        <v>1125</v>
      </c>
      <c r="B223" s="27" t="s">
        <v>74</v>
      </c>
      <c r="C223" s="103" t="s">
        <v>1069</v>
      </c>
      <c r="D223" s="103" t="s">
        <v>1143</v>
      </c>
      <c r="E223" s="6" t="s">
        <v>38</v>
      </c>
      <c r="F223" s="52">
        <v>2</v>
      </c>
      <c r="G223" s="52">
        <f t="shared" ref="G223:G231" si="60">SUM(F223:F223)</f>
        <v>2</v>
      </c>
      <c r="H223" s="108">
        <v>0</v>
      </c>
      <c r="I223" s="8">
        <f t="shared" ref="I223:I231" si="61">H223*G223</f>
        <v>0</v>
      </c>
      <c r="K223" s="7" t="str">
        <f t="shared" si="53"/>
        <v/>
      </c>
    </row>
    <row r="224" spans="1:11" x14ac:dyDescent="0.3">
      <c r="A224" s="27" t="s">
        <v>1125</v>
      </c>
      <c r="B224" s="27" t="s">
        <v>74</v>
      </c>
      <c r="C224" s="103" t="s">
        <v>1085</v>
      </c>
      <c r="D224" s="103" t="s">
        <v>1144</v>
      </c>
      <c r="E224" s="6" t="s">
        <v>34</v>
      </c>
      <c r="F224" s="52">
        <v>3</v>
      </c>
      <c r="G224" s="52">
        <f t="shared" si="60"/>
        <v>3</v>
      </c>
      <c r="H224" s="108">
        <v>0</v>
      </c>
      <c r="I224" s="8">
        <f t="shared" si="61"/>
        <v>0</v>
      </c>
      <c r="K224" s="7" t="str">
        <f t="shared" si="53"/>
        <v/>
      </c>
    </row>
    <row r="225" spans="1:11" x14ac:dyDescent="0.3">
      <c r="A225" s="27" t="s">
        <v>1125</v>
      </c>
      <c r="B225" s="27" t="s">
        <v>74</v>
      </c>
      <c r="C225" s="103" t="s">
        <v>1085</v>
      </c>
      <c r="D225" s="103" t="s">
        <v>1145</v>
      </c>
      <c r="E225" s="6" t="s">
        <v>20</v>
      </c>
      <c r="F225" s="52">
        <v>3</v>
      </c>
      <c r="G225" s="52">
        <f t="shared" si="60"/>
        <v>3</v>
      </c>
      <c r="H225" s="108">
        <v>0</v>
      </c>
      <c r="I225" s="8">
        <f t="shared" si="61"/>
        <v>0</v>
      </c>
      <c r="K225" s="7" t="str">
        <f t="shared" si="53"/>
        <v/>
      </c>
    </row>
    <row r="226" spans="1:11" x14ac:dyDescent="0.3">
      <c r="A226" s="27" t="s">
        <v>1125</v>
      </c>
      <c r="B226" s="27" t="s">
        <v>74</v>
      </c>
      <c r="C226" s="103" t="s">
        <v>1085</v>
      </c>
      <c r="D226" s="103" t="s">
        <v>1146</v>
      </c>
      <c r="E226" s="101"/>
      <c r="F226" s="52">
        <v>3</v>
      </c>
      <c r="G226" s="52">
        <f t="shared" si="60"/>
        <v>3</v>
      </c>
      <c r="H226" s="108">
        <v>0</v>
      </c>
      <c r="I226" s="8">
        <f t="shared" si="61"/>
        <v>0</v>
      </c>
      <c r="K226" s="7" t="str">
        <f t="shared" si="53"/>
        <v/>
      </c>
    </row>
    <row r="227" spans="1:11" x14ac:dyDescent="0.3">
      <c r="A227" s="27" t="s">
        <v>1125</v>
      </c>
      <c r="B227" s="27" t="s">
        <v>74</v>
      </c>
      <c r="C227" s="103" t="s">
        <v>1076</v>
      </c>
      <c r="D227" s="103" t="s">
        <v>1159</v>
      </c>
      <c r="E227" s="101"/>
      <c r="F227" s="52">
        <v>2</v>
      </c>
      <c r="G227" s="52">
        <f t="shared" si="60"/>
        <v>2</v>
      </c>
      <c r="H227" s="108">
        <v>0</v>
      </c>
      <c r="I227" s="8">
        <f t="shared" si="61"/>
        <v>0</v>
      </c>
      <c r="K227" s="7" t="str">
        <f t="shared" si="53"/>
        <v/>
      </c>
    </row>
    <row r="228" spans="1:11" x14ac:dyDescent="0.3">
      <c r="A228" s="27" t="s">
        <v>1125</v>
      </c>
      <c r="B228" s="27" t="s">
        <v>74</v>
      </c>
      <c r="C228" s="103" t="s">
        <v>1076</v>
      </c>
      <c r="D228" s="103" t="s">
        <v>1187</v>
      </c>
      <c r="E228" s="6" t="s">
        <v>43</v>
      </c>
      <c r="F228" s="52">
        <v>3</v>
      </c>
      <c r="G228" s="52">
        <f t="shared" si="60"/>
        <v>3</v>
      </c>
      <c r="H228" s="108">
        <v>0</v>
      </c>
      <c r="I228" s="8">
        <f t="shared" si="61"/>
        <v>0</v>
      </c>
      <c r="K228" s="7" t="str">
        <f t="shared" si="53"/>
        <v/>
      </c>
    </row>
    <row r="229" spans="1:11" x14ac:dyDescent="0.3">
      <c r="A229" s="27" t="s">
        <v>1125</v>
      </c>
      <c r="B229" s="27" t="s">
        <v>74</v>
      </c>
      <c r="C229" s="103" t="s">
        <v>1076</v>
      </c>
      <c r="D229" s="103" t="s">
        <v>1188</v>
      </c>
      <c r="E229" s="6" t="s">
        <v>43</v>
      </c>
      <c r="F229" s="52">
        <v>3</v>
      </c>
      <c r="G229" s="52">
        <f t="shared" si="60"/>
        <v>3</v>
      </c>
      <c r="H229" s="108">
        <v>0</v>
      </c>
      <c r="I229" s="8">
        <f t="shared" si="61"/>
        <v>0</v>
      </c>
      <c r="K229" s="7" t="str">
        <f t="shared" si="53"/>
        <v/>
      </c>
    </row>
    <row r="230" spans="1:11" x14ac:dyDescent="0.3">
      <c r="A230" s="27" t="s">
        <v>1125</v>
      </c>
      <c r="B230" s="9" t="s">
        <v>74</v>
      </c>
      <c r="C230" s="192"/>
      <c r="D230" s="103" t="s">
        <v>1079</v>
      </c>
      <c r="E230" s="101"/>
      <c r="F230" s="52">
        <v>1</v>
      </c>
      <c r="G230" s="52">
        <f t="shared" si="60"/>
        <v>1</v>
      </c>
      <c r="H230" s="106">
        <v>0</v>
      </c>
      <c r="I230" s="52">
        <f t="shared" si="61"/>
        <v>0</v>
      </c>
      <c r="K230" s="7" t="str">
        <f t="shared" si="53"/>
        <v/>
      </c>
    </row>
    <row r="231" spans="1:11" x14ac:dyDescent="0.3">
      <c r="A231" s="27" t="s">
        <v>1125</v>
      </c>
      <c r="B231" s="9" t="s">
        <v>74</v>
      </c>
      <c r="C231" s="192"/>
      <c r="D231" s="103" t="s">
        <v>1080</v>
      </c>
      <c r="E231" s="101"/>
      <c r="F231" s="52">
        <v>1</v>
      </c>
      <c r="G231" s="52">
        <f t="shared" si="60"/>
        <v>1</v>
      </c>
      <c r="H231" s="106">
        <v>0</v>
      </c>
      <c r="I231" s="52">
        <f t="shared" si="61"/>
        <v>0</v>
      </c>
      <c r="K231" s="7" t="str">
        <f t="shared" si="53"/>
        <v/>
      </c>
    </row>
    <row r="232" spans="1:11" x14ac:dyDescent="0.3">
      <c r="K232" s="7" t="str">
        <f t="shared" si="53"/>
        <v/>
      </c>
    </row>
    <row r="233" spans="1:11" x14ac:dyDescent="0.3">
      <c r="A233" s="27" t="s">
        <v>1130</v>
      </c>
      <c r="B233" s="27" t="s">
        <v>70</v>
      </c>
      <c r="C233" s="103" t="s">
        <v>1069</v>
      </c>
      <c r="D233" s="103" t="s">
        <v>1133</v>
      </c>
      <c r="E233" s="6" t="s">
        <v>27</v>
      </c>
      <c r="F233" s="52">
        <v>3</v>
      </c>
      <c r="G233" s="52">
        <f>SUM(F233:F233)</f>
        <v>3</v>
      </c>
      <c r="H233" s="108">
        <f>'2 - Section Count Projection'!$G$67</f>
        <v>0</v>
      </c>
      <c r="I233" s="8">
        <f>H233*G233</f>
        <v>0</v>
      </c>
      <c r="K233" s="7" t="str">
        <f t="shared" si="53"/>
        <v/>
      </c>
    </row>
    <row r="234" spans="1:11" x14ac:dyDescent="0.3">
      <c r="A234" s="27" t="s">
        <v>1130</v>
      </c>
      <c r="B234" s="27" t="s">
        <v>70</v>
      </c>
      <c r="C234" s="103" t="s">
        <v>1069</v>
      </c>
      <c r="D234" s="103" t="s">
        <v>1134</v>
      </c>
      <c r="E234" s="6" t="s">
        <v>36</v>
      </c>
      <c r="F234" s="52">
        <v>3</v>
      </c>
      <c r="G234" s="52">
        <f t="shared" ref="G234:G243" si="62">SUM(F234:F234)</f>
        <v>3</v>
      </c>
      <c r="H234" s="108">
        <f>'2 - Section Count Projection'!$G$67</f>
        <v>0</v>
      </c>
      <c r="I234" s="8">
        <f t="shared" ref="I234:I243" si="63">H234*G234</f>
        <v>0</v>
      </c>
      <c r="K234" s="7" t="str">
        <f t="shared" si="53"/>
        <v/>
      </c>
    </row>
    <row r="235" spans="1:11" x14ac:dyDescent="0.3">
      <c r="A235" s="27" t="s">
        <v>1130</v>
      </c>
      <c r="B235" s="27" t="s">
        <v>70</v>
      </c>
      <c r="C235" s="103" t="s">
        <v>1069</v>
      </c>
      <c r="D235" s="103" t="s">
        <v>1135</v>
      </c>
      <c r="E235" s="6" t="s">
        <v>41</v>
      </c>
      <c r="F235" s="52">
        <v>3</v>
      </c>
      <c r="G235" s="52">
        <f t="shared" si="62"/>
        <v>3</v>
      </c>
      <c r="H235" s="108">
        <f>'2 - Section Count Projection'!$G$67</f>
        <v>0</v>
      </c>
      <c r="I235" s="8">
        <f t="shared" si="63"/>
        <v>0</v>
      </c>
      <c r="K235" s="7" t="str">
        <f t="shared" si="53"/>
        <v/>
      </c>
    </row>
    <row r="236" spans="1:11" x14ac:dyDescent="0.3">
      <c r="A236" s="27" t="s">
        <v>1130</v>
      </c>
      <c r="B236" s="27" t="s">
        <v>70</v>
      </c>
      <c r="C236" s="103" t="s">
        <v>1069</v>
      </c>
      <c r="D236" s="103" t="s">
        <v>1136</v>
      </c>
      <c r="E236" s="6" t="s">
        <v>40</v>
      </c>
      <c r="F236" s="52">
        <v>3</v>
      </c>
      <c r="G236" s="52">
        <f t="shared" ref="G236" si="64">SUM(F236:F236)</f>
        <v>3</v>
      </c>
      <c r="H236" s="108">
        <f>'2 - Section Count Projection'!$G$67</f>
        <v>0</v>
      </c>
      <c r="I236" s="8">
        <f t="shared" ref="I236" si="65">H236*G236</f>
        <v>0</v>
      </c>
      <c r="K236" s="7" t="str">
        <f t="shared" si="53"/>
        <v/>
      </c>
    </row>
    <row r="237" spans="1:11" x14ac:dyDescent="0.3">
      <c r="A237" s="27" t="s">
        <v>1130</v>
      </c>
      <c r="B237" s="27" t="s">
        <v>70</v>
      </c>
      <c r="C237" s="103" t="s">
        <v>1069</v>
      </c>
      <c r="D237" s="103" t="s">
        <v>1137</v>
      </c>
      <c r="E237" s="6" t="s">
        <v>30</v>
      </c>
      <c r="F237" s="52">
        <v>3</v>
      </c>
      <c r="G237" s="52">
        <f t="shared" si="62"/>
        <v>3</v>
      </c>
      <c r="H237" s="108">
        <f>'2 - Section Count Projection'!$G$67</f>
        <v>0</v>
      </c>
      <c r="I237" s="8">
        <f t="shared" si="63"/>
        <v>0</v>
      </c>
      <c r="K237" s="7" t="str">
        <f t="shared" si="53"/>
        <v/>
      </c>
    </row>
    <row r="238" spans="1:11" x14ac:dyDescent="0.3">
      <c r="A238" s="27" t="s">
        <v>1130</v>
      </c>
      <c r="B238" s="27" t="s">
        <v>70</v>
      </c>
      <c r="C238" s="103" t="s">
        <v>1069</v>
      </c>
      <c r="D238" s="103" t="s">
        <v>1138</v>
      </c>
      <c r="E238" s="6" t="s">
        <v>38</v>
      </c>
      <c r="F238" s="52">
        <v>2</v>
      </c>
      <c r="G238" s="52">
        <f t="shared" si="62"/>
        <v>2</v>
      </c>
      <c r="H238" s="108">
        <f>'2 - Section Count Projection'!$G$67</f>
        <v>0</v>
      </c>
      <c r="I238" s="8">
        <f t="shared" si="63"/>
        <v>0</v>
      </c>
      <c r="K238" s="7" t="str">
        <f t="shared" si="53"/>
        <v/>
      </c>
    </row>
    <row r="239" spans="1:11" x14ac:dyDescent="0.3">
      <c r="A239" s="27" t="s">
        <v>1130</v>
      </c>
      <c r="B239" s="27" t="s">
        <v>70</v>
      </c>
      <c r="C239" s="103" t="s">
        <v>1085</v>
      </c>
      <c r="D239" s="103" t="s">
        <v>1139</v>
      </c>
      <c r="E239" s="101"/>
      <c r="F239" s="52">
        <v>3</v>
      </c>
      <c r="G239" s="52">
        <f t="shared" ref="G239" si="66">SUM(F239:F239)</f>
        <v>3</v>
      </c>
      <c r="H239" s="108">
        <f>'2 - Section Count Projection'!$G$67</f>
        <v>0</v>
      </c>
      <c r="I239" s="8">
        <f t="shared" ref="I239" si="67">H239*G239</f>
        <v>0</v>
      </c>
      <c r="K239" s="7" t="str">
        <f t="shared" si="53"/>
        <v/>
      </c>
    </row>
    <row r="240" spans="1:11" x14ac:dyDescent="0.3">
      <c r="A240" s="27" t="s">
        <v>1130</v>
      </c>
      <c r="B240" s="27" t="s">
        <v>70</v>
      </c>
      <c r="C240" s="103" t="s">
        <v>1076</v>
      </c>
      <c r="D240" s="103" t="s">
        <v>1173</v>
      </c>
      <c r="E240" s="6" t="s">
        <v>34</v>
      </c>
      <c r="F240" s="52">
        <v>3</v>
      </c>
      <c r="G240" s="52">
        <f t="shared" si="62"/>
        <v>3</v>
      </c>
      <c r="H240" s="108">
        <f>'2 - Section Count Projection'!$G$67</f>
        <v>0</v>
      </c>
      <c r="I240" s="8">
        <f t="shared" si="63"/>
        <v>0</v>
      </c>
      <c r="K240" s="7" t="str">
        <f t="shared" si="53"/>
        <v/>
      </c>
    </row>
    <row r="241" spans="1:11" x14ac:dyDescent="0.3">
      <c r="A241" s="27" t="s">
        <v>1130</v>
      </c>
      <c r="B241" s="27" t="s">
        <v>70</v>
      </c>
      <c r="C241" s="103" t="s">
        <v>1076</v>
      </c>
      <c r="D241" s="103" t="s">
        <v>1189</v>
      </c>
      <c r="E241" s="6" t="s">
        <v>23</v>
      </c>
      <c r="F241" s="52">
        <v>3</v>
      </c>
      <c r="G241" s="52">
        <f t="shared" si="62"/>
        <v>3</v>
      </c>
      <c r="H241" s="108">
        <f>'2 - Section Count Projection'!$G$67</f>
        <v>0</v>
      </c>
      <c r="I241" s="8">
        <f t="shared" si="63"/>
        <v>0</v>
      </c>
      <c r="K241" s="7" t="str">
        <f t="shared" si="53"/>
        <v/>
      </c>
    </row>
    <row r="242" spans="1:11" x14ac:dyDescent="0.3">
      <c r="A242" s="27" t="s">
        <v>1130</v>
      </c>
      <c r="B242" s="9" t="s">
        <v>70</v>
      </c>
      <c r="C242" s="192"/>
      <c r="D242" s="103" t="s">
        <v>1079</v>
      </c>
      <c r="E242" s="101"/>
      <c r="F242" s="52">
        <v>1</v>
      </c>
      <c r="G242" s="52">
        <f t="shared" si="62"/>
        <v>1</v>
      </c>
      <c r="H242" s="106">
        <f>'2 - Section Count Projection'!$G$21</f>
        <v>0</v>
      </c>
      <c r="I242" s="52">
        <f t="shared" si="63"/>
        <v>0</v>
      </c>
      <c r="K242" s="7" t="str">
        <f t="shared" si="53"/>
        <v/>
      </c>
    </row>
    <row r="243" spans="1:11" x14ac:dyDescent="0.3">
      <c r="A243" s="27" t="s">
        <v>1130</v>
      </c>
      <c r="B243" s="9" t="s">
        <v>70</v>
      </c>
      <c r="C243" s="192"/>
      <c r="D243" s="103" t="s">
        <v>1080</v>
      </c>
      <c r="E243" s="101"/>
      <c r="F243" s="52">
        <v>1</v>
      </c>
      <c r="G243" s="52">
        <f t="shared" si="62"/>
        <v>1</v>
      </c>
      <c r="H243" s="106">
        <f>'2 - Section Count Projection'!$G$21</f>
        <v>0</v>
      </c>
      <c r="I243" s="52">
        <f t="shared" si="63"/>
        <v>0</v>
      </c>
      <c r="K243" s="7" t="str">
        <f t="shared" si="53"/>
        <v/>
      </c>
    </row>
    <row r="244" spans="1:11" x14ac:dyDescent="0.3">
      <c r="A244" s="7"/>
      <c r="K244" s="7" t="str">
        <f t="shared" si="53"/>
        <v/>
      </c>
    </row>
    <row r="245" spans="1:11" x14ac:dyDescent="0.3">
      <c r="A245" s="27" t="s">
        <v>1130</v>
      </c>
      <c r="B245" s="27" t="s">
        <v>74</v>
      </c>
      <c r="C245" s="103" t="s">
        <v>1069</v>
      </c>
      <c r="D245" s="103" t="s">
        <v>1142</v>
      </c>
      <c r="E245" s="6" t="s">
        <v>41</v>
      </c>
      <c r="F245" s="52">
        <v>3</v>
      </c>
      <c r="G245" s="52">
        <f t="shared" ref="G245:G254" si="68">SUM(F245:F245)</f>
        <v>3</v>
      </c>
      <c r="H245" s="108">
        <f>'2 - Section Count Projection'!$G$69</f>
        <v>0</v>
      </c>
      <c r="I245" s="8">
        <f t="shared" ref="I245:I254" si="69">H245*G245</f>
        <v>0</v>
      </c>
      <c r="K245" s="7" t="str">
        <f t="shared" si="53"/>
        <v/>
      </c>
    </row>
    <row r="246" spans="1:11" x14ac:dyDescent="0.3">
      <c r="A246" s="27" t="s">
        <v>1130</v>
      </c>
      <c r="B246" s="27" t="s">
        <v>74</v>
      </c>
      <c r="C246" s="103" t="s">
        <v>1069</v>
      </c>
      <c r="D246" s="103" t="s">
        <v>1143</v>
      </c>
      <c r="E246" s="6" t="s">
        <v>38</v>
      </c>
      <c r="F246" s="52">
        <v>2</v>
      </c>
      <c r="G246" s="52">
        <f t="shared" si="68"/>
        <v>2</v>
      </c>
      <c r="H246" s="108">
        <f>'2 - Section Count Projection'!$G$69</f>
        <v>0</v>
      </c>
      <c r="I246" s="8">
        <f t="shared" si="69"/>
        <v>0</v>
      </c>
      <c r="K246" s="7" t="str">
        <f t="shared" si="53"/>
        <v/>
      </c>
    </row>
    <row r="247" spans="1:11" x14ac:dyDescent="0.3">
      <c r="A247" s="27" t="s">
        <v>1130</v>
      </c>
      <c r="B247" s="27" t="s">
        <v>74</v>
      </c>
      <c r="C247" s="103" t="s">
        <v>1085</v>
      </c>
      <c r="D247" s="103" t="s">
        <v>1144</v>
      </c>
      <c r="E247" s="6" t="s">
        <v>34</v>
      </c>
      <c r="F247" s="52">
        <v>3</v>
      </c>
      <c r="G247" s="52">
        <f t="shared" si="68"/>
        <v>3</v>
      </c>
      <c r="H247" s="108">
        <f>'2 - Section Count Projection'!$G$69</f>
        <v>0</v>
      </c>
      <c r="I247" s="8">
        <f t="shared" si="69"/>
        <v>0</v>
      </c>
      <c r="K247" s="7" t="str">
        <f t="shared" si="53"/>
        <v/>
      </c>
    </row>
    <row r="248" spans="1:11" x14ac:dyDescent="0.3">
      <c r="A248" s="27" t="s">
        <v>1130</v>
      </c>
      <c r="B248" s="27" t="s">
        <v>74</v>
      </c>
      <c r="C248" s="103" t="s">
        <v>1085</v>
      </c>
      <c r="D248" s="103" t="s">
        <v>1145</v>
      </c>
      <c r="E248" s="6" t="s">
        <v>20</v>
      </c>
      <c r="F248" s="52">
        <v>3</v>
      </c>
      <c r="G248" s="52">
        <f t="shared" si="68"/>
        <v>3</v>
      </c>
      <c r="H248" s="108">
        <f>'2 - Section Count Projection'!$G$69</f>
        <v>0</v>
      </c>
      <c r="I248" s="8">
        <f t="shared" si="69"/>
        <v>0</v>
      </c>
      <c r="K248" s="7" t="str">
        <f t="shared" si="53"/>
        <v/>
      </c>
    </row>
    <row r="249" spans="1:11" x14ac:dyDescent="0.3">
      <c r="A249" s="27" t="s">
        <v>1130</v>
      </c>
      <c r="B249" s="27" t="s">
        <v>74</v>
      </c>
      <c r="C249" s="103" t="s">
        <v>1085</v>
      </c>
      <c r="D249" s="103" t="s">
        <v>1146</v>
      </c>
      <c r="E249" s="101"/>
      <c r="F249" s="52">
        <v>3</v>
      </c>
      <c r="G249" s="52">
        <f t="shared" si="68"/>
        <v>3</v>
      </c>
      <c r="H249" s="108">
        <f>'2 - Section Count Projection'!$G$69</f>
        <v>0</v>
      </c>
      <c r="I249" s="8">
        <f t="shared" si="69"/>
        <v>0</v>
      </c>
      <c r="K249" s="7" t="str">
        <f t="shared" si="53"/>
        <v/>
      </c>
    </row>
    <row r="250" spans="1:11" x14ac:dyDescent="0.3">
      <c r="A250" s="27" t="s">
        <v>1130</v>
      </c>
      <c r="B250" s="27" t="s">
        <v>74</v>
      </c>
      <c r="C250" s="103" t="s">
        <v>1076</v>
      </c>
      <c r="D250" s="103" t="s">
        <v>1159</v>
      </c>
      <c r="E250" s="101"/>
      <c r="F250" s="52">
        <v>2</v>
      </c>
      <c r="G250" s="52">
        <f t="shared" si="68"/>
        <v>2</v>
      </c>
      <c r="H250" s="108">
        <f>'2 - Section Count Projection'!$G$69</f>
        <v>0</v>
      </c>
      <c r="I250" s="8">
        <f t="shared" si="69"/>
        <v>0</v>
      </c>
      <c r="K250" s="7" t="str">
        <f t="shared" si="53"/>
        <v/>
      </c>
    </row>
    <row r="251" spans="1:11" x14ac:dyDescent="0.3">
      <c r="A251" s="27" t="s">
        <v>1130</v>
      </c>
      <c r="B251" s="27" t="s">
        <v>74</v>
      </c>
      <c r="C251" s="103" t="s">
        <v>1076</v>
      </c>
      <c r="D251" s="103" t="s">
        <v>1175</v>
      </c>
      <c r="E251" s="6" t="s">
        <v>34</v>
      </c>
      <c r="F251" s="52">
        <v>3</v>
      </c>
      <c r="G251" s="52">
        <f t="shared" si="68"/>
        <v>3</v>
      </c>
      <c r="H251" s="108">
        <f>'2 - Section Count Projection'!$G$69</f>
        <v>0</v>
      </c>
      <c r="I251" s="8">
        <f t="shared" si="69"/>
        <v>0</v>
      </c>
      <c r="K251" s="7" t="str">
        <f t="shared" si="53"/>
        <v/>
      </c>
    </row>
    <row r="252" spans="1:11" x14ac:dyDescent="0.3">
      <c r="A252" s="27" t="s">
        <v>1130</v>
      </c>
      <c r="B252" s="27" t="s">
        <v>74</v>
      </c>
      <c r="C252" s="103" t="s">
        <v>1076</v>
      </c>
      <c r="D252" s="103" t="s">
        <v>1176</v>
      </c>
      <c r="E252" s="6" t="s">
        <v>34</v>
      </c>
      <c r="F252" s="52">
        <v>3</v>
      </c>
      <c r="G252" s="52">
        <f t="shared" si="68"/>
        <v>3</v>
      </c>
      <c r="H252" s="108">
        <f>'2 - Section Count Projection'!$G$69</f>
        <v>0</v>
      </c>
      <c r="I252" s="8">
        <f t="shared" si="69"/>
        <v>0</v>
      </c>
      <c r="K252" s="7" t="str">
        <f t="shared" si="53"/>
        <v/>
      </c>
    </row>
    <row r="253" spans="1:11" x14ac:dyDescent="0.3">
      <c r="A253" s="27" t="s">
        <v>1130</v>
      </c>
      <c r="B253" s="9" t="s">
        <v>74</v>
      </c>
      <c r="C253" s="192"/>
      <c r="D253" s="103" t="s">
        <v>1079</v>
      </c>
      <c r="E253" s="101"/>
      <c r="F253" s="52">
        <v>1</v>
      </c>
      <c r="G253" s="52">
        <f t="shared" si="68"/>
        <v>1</v>
      </c>
      <c r="H253" s="106">
        <f>'2 - Section Count Projection'!$G$21</f>
        <v>0</v>
      </c>
      <c r="I253" s="52">
        <f t="shared" si="69"/>
        <v>0</v>
      </c>
      <c r="K253" s="7" t="str">
        <f t="shared" si="53"/>
        <v/>
      </c>
    </row>
    <row r="254" spans="1:11" x14ac:dyDescent="0.3">
      <c r="A254" s="27" t="s">
        <v>1130</v>
      </c>
      <c r="B254" s="9" t="s">
        <v>74</v>
      </c>
      <c r="C254" s="192"/>
      <c r="D254" s="103" t="s">
        <v>1080</v>
      </c>
      <c r="E254" s="101"/>
      <c r="F254" s="52">
        <v>1</v>
      </c>
      <c r="G254" s="52">
        <f t="shared" si="68"/>
        <v>1</v>
      </c>
      <c r="H254" s="106">
        <f>'2 - Section Count Projection'!$G$21</f>
        <v>0</v>
      </c>
      <c r="I254" s="52">
        <f t="shared" si="69"/>
        <v>0</v>
      </c>
      <c r="K254" s="7" t="str">
        <f t="shared" si="53"/>
        <v/>
      </c>
    </row>
    <row r="255" spans="1:11" x14ac:dyDescent="0.3">
      <c r="K255" s="7">
        <f>SUM(K3:K254)</f>
        <v>1</v>
      </c>
    </row>
  </sheetData>
  <sheetProtection algorithmName="SHA-512" hashValue="ekx18SWB4FyBlXtibEquWKHtb/zWZU/IoGl+VQ4A4cUv8imbN/tHuR1QT0Lx8tmuGO13GoWcKrMYYGUsHzQ9TA==" saltValue="R2vPjLmx8EFaYOsdGaNMwQ==" spinCount="100000" sheet="1" objects="1" scenarios="1"/>
  <phoneticPr fontId="25" type="noConversion"/>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'Field Source'!$C$2:$C$12</xm:f>
          </x14:formula1>
          <xm:sqref>E222:E231 E187:E197 E210:E220 E164:E174 E199:E208 E176:E185 E141:E151 E233:E243 E130:E139 E153:E162 E107:E116 E118:E128 E95:E105 E84:E93 E72:E82 E61:E70 E49:E59 E38:E47 E26:E36 E15:E24 E3:E13 E245:E254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FFFF00"/>
  </sheetPr>
  <dimension ref="B1:O29"/>
  <sheetViews>
    <sheetView showGridLines="0" zoomScale="80" zoomScaleNormal="80" workbookViewId="0">
      <selection activeCell="J11" sqref="J11"/>
    </sheetView>
  </sheetViews>
  <sheetFormatPr defaultRowHeight="14.4" x14ac:dyDescent="0.3"/>
  <cols>
    <col min="1" max="1" width="2.44140625" customWidth="1"/>
    <col min="2" max="2" width="30.44140625" customWidth="1"/>
    <col min="3" max="3" width="13.109375" style="1" customWidth="1"/>
    <col min="4" max="4" width="14.109375" customWidth="1"/>
    <col min="5" max="5" width="14.5546875" customWidth="1"/>
    <col min="6" max="6" width="17" customWidth="1"/>
    <col min="7" max="7" width="2.88671875" customWidth="1"/>
    <col min="8" max="8" width="31" customWidth="1"/>
    <col min="9" max="9" width="13.88671875" customWidth="1"/>
    <col min="10" max="10" width="15.109375" customWidth="1"/>
    <col min="11" max="11" width="14.44140625" customWidth="1"/>
    <col min="12" max="12" width="18.44140625" customWidth="1"/>
  </cols>
  <sheetData>
    <row r="1" spans="2:15" ht="18" x14ac:dyDescent="0.35">
      <c r="B1" s="353" t="str">
        <f>_xlfn.CONCAT("STI College ",'1 - Top Sheet'!D6:E6)</f>
        <v>STI College Novaliches</v>
      </c>
      <c r="C1" s="353"/>
      <c r="D1" s="353"/>
      <c r="E1" s="353"/>
      <c r="F1" s="353"/>
      <c r="G1" s="353"/>
      <c r="H1" s="353"/>
      <c r="I1" s="353"/>
      <c r="J1" s="353"/>
      <c r="K1" s="353"/>
      <c r="L1" s="353"/>
      <c r="M1" s="281"/>
      <c r="N1" s="281"/>
      <c r="O1" s="34"/>
    </row>
    <row r="2" spans="2:15" ht="21" x14ac:dyDescent="0.4">
      <c r="B2" s="366" t="s">
        <v>1190</v>
      </c>
      <c r="C2" s="366"/>
      <c r="D2" s="366"/>
      <c r="E2" s="366"/>
      <c r="F2" s="366"/>
      <c r="G2" s="366"/>
      <c r="H2" s="366"/>
      <c r="I2" s="366"/>
      <c r="J2" s="366"/>
      <c r="K2" s="366"/>
      <c r="L2" s="366"/>
      <c r="M2" s="35"/>
      <c r="N2" s="35"/>
      <c r="O2" s="35"/>
    </row>
    <row r="3" spans="2:15" ht="18" x14ac:dyDescent="0.35">
      <c r="B3" s="353" t="str">
        <f>_xlfn.CONCAT("School Year ",'1 - Top Sheet'!D7:E7," Term ", '1 - Top Sheet'!D8:E8)</f>
        <v>School Year 2024-2025 Term 1</v>
      </c>
      <c r="C3" s="353"/>
      <c r="D3" s="353"/>
      <c r="E3" s="353"/>
      <c r="F3" s="353"/>
      <c r="G3" s="353"/>
      <c r="H3" s="353"/>
      <c r="I3" s="353"/>
      <c r="J3" s="353"/>
      <c r="K3" s="353"/>
      <c r="L3" s="353"/>
      <c r="M3" s="281"/>
      <c r="N3" s="281"/>
      <c r="O3" s="36"/>
    </row>
    <row r="4" spans="2:15" x14ac:dyDescent="0.3">
      <c r="B4" s="1"/>
      <c r="D4" s="1"/>
      <c r="E4" s="1"/>
      <c r="F4" s="1"/>
      <c r="G4" s="1"/>
      <c r="H4" s="1"/>
      <c r="I4" s="1"/>
      <c r="J4" s="1"/>
      <c r="K4" s="1"/>
      <c r="L4" s="1"/>
    </row>
    <row r="5" spans="2:15" ht="18" x14ac:dyDescent="0.35">
      <c r="B5" s="353" t="s">
        <v>1191</v>
      </c>
      <c r="C5" s="353"/>
      <c r="D5" s="353"/>
      <c r="E5" s="353"/>
      <c r="F5" s="353"/>
      <c r="H5" s="353" t="s">
        <v>1192</v>
      </c>
      <c r="I5" s="353"/>
      <c r="J5" s="353"/>
      <c r="K5" s="353"/>
      <c r="L5" s="353"/>
    </row>
    <row r="6" spans="2:15" x14ac:dyDescent="0.3">
      <c r="D6" s="367"/>
      <c r="E6" s="367"/>
      <c r="F6" s="367"/>
      <c r="G6" s="367"/>
    </row>
    <row r="7" spans="2:15" ht="18" x14ac:dyDescent="0.35">
      <c r="B7" s="356" t="s">
        <v>110</v>
      </c>
      <c r="C7" s="365" t="s">
        <v>1193</v>
      </c>
      <c r="D7" s="365" t="s">
        <v>1194</v>
      </c>
      <c r="E7" s="354" t="s">
        <v>1195</v>
      </c>
      <c r="F7" s="22" t="s">
        <v>16</v>
      </c>
      <c r="G7" s="21"/>
      <c r="H7" s="356" t="s">
        <v>110</v>
      </c>
      <c r="I7" s="365" t="s">
        <v>1193</v>
      </c>
      <c r="J7" s="365" t="s">
        <v>1194</v>
      </c>
      <c r="K7" s="24" t="s">
        <v>1196</v>
      </c>
      <c r="L7" s="22" t="s">
        <v>16</v>
      </c>
    </row>
    <row r="8" spans="2:15" x14ac:dyDescent="0.3">
      <c r="B8" s="356"/>
      <c r="C8" s="357"/>
      <c r="D8" s="357"/>
      <c r="E8" s="355"/>
      <c r="F8" s="23" t="s">
        <v>1197</v>
      </c>
      <c r="G8" s="28"/>
      <c r="H8" s="356"/>
      <c r="I8" s="357"/>
      <c r="J8" s="357"/>
      <c r="K8" s="25" t="s">
        <v>1198</v>
      </c>
      <c r="L8" s="23" t="s">
        <v>1197</v>
      </c>
    </row>
    <row r="9" spans="2:15" x14ac:dyDescent="0.3">
      <c r="B9" s="146" t="s">
        <v>378</v>
      </c>
      <c r="C9" s="2">
        <f t="shared" ref="C9:C29" si="0">SUMIF(TER1FIELD,$B9,TER1LOAD)</f>
        <v>28.5</v>
      </c>
      <c r="D9" s="2">
        <f t="shared" ref="D9:D29" si="1">SUMIF(TER2FIELD,$B9,TER2LOAD)</f>
        <v>0</v>
      </c>
      <c r="E9" s="26">
        <f>ROUNDDOWN((C9+D9)/24,0)</f>
        <v>1</v>
      </c>
      <c r="F9" s="50">
        <f>(C9+D9)-(24*E9)</f>
        <v>4.5</v>
      </c>
      <c r="H9" s="46" t="s">
        <v>20</v>
      </c>
      <c r="I9" s="2">
        <f t="shared" ref="I9:I19" si="2">SUMIF(SHS1FIELD,$H9,SHS1LOAD)</f>
        <v>39</v>
      </c>
      <c r="J9" s="2">
        <f t="shared" ref="J9:J19" si="3">SUMIF(SHS2FIELD,$H9,SHS2LOAD)</f>
        <v>0</v>
      </c>
      <c r="K9" s="26">
        <f>ROUNDDOWN((I9+J9)/27,0)</f>
        <v>1</v>
      </c>
      <c r="L9" s="50">
        <f>(I9+J9)-(27*K9)</f>
        <v>12</v>
      </c>
    </row>
    <row r="10" spans="2:15" x14ac:dyDescent="0.3">
      <c r="B10" s="147" t="s">
        <v>1199</v>
      </c>
      <c r="C10" s="2">
        <f t="shared" si="0"/>
        <v>0</v>
      </c>
      <c r="D10" s="2">
        <f t="shared" si="1"/>
        <v>0</v>
      </c>
      <c r="E10" s="26">
        <f t="shared" ref="E10:E29" si="4">ROUNDDOWN((C10+D10)/24,0)</f>
        <v>0</v>
      </c>
      <c r="F10" s="50">
        <f t="shared" ref="F10:F29" si="5">(C10+D10)-(24*E10)</f>
        <v>0</v>
      </c>
      <c r="H10" s="47" t="s">
        <v>23</v>
      </c>
      <c r="I10" s="2">
        <f t="shared" si="2"/>
        <v>0</v>
      </c>
      <c r="J10" s="2">
        <f t="shared" si="3"/>
        <v>0</v>
      </c>
      <c r="K10" s="26">
        <f t="shared" ref="K10:K19" si="6">ROUNDDOWN((I10+J10)/27,0)</f>
        <v>0</v>
      </c>
      <c r="L10" s="50">
        <f t="shared" ref="L10:L19" si="7">(I10+J10)-(27*K10)</f>
        <v>0</v>
      </c>
    </row>
    <row r="11" spans="2:15" x14ac:dyDescent="0.3">
      <c r="B11" s="146" t="s">
        <v>22</v>
      </c>
      <c r="C11" s="2">
        <f t="shared" si="0"/>
        <v>0</v>
      </c>
      <c r="D11" s="2">
        <f t="shared" si="1"/>
        <v>0</v>
      </c>
      <c r="E11" s="26">
        <f t="shared" si="4"/>
        <v>0</v>
      </c>
      <c r="F11" s="50">
        <f t="shared" si="5"/>
        <v>0</v>
      </c>
      <c r="H11" s="48" t="s">
        <v>27</v>
      </c>
      <c r="I11" s="2">
        <f t="shared" si="2"/>
        <v>168</v>
      </c>
      <c r="J11" s="2">
        <f t="shared" si="3"/>
        <v>0</v>
      </c>
      <c r="K11" s="26">
        <f t="shared" si="6"/>
        <v>6</v>
      </c>
      <c r="L11" s="50">
        <f t="shared" si="7"/>
        <v>6</v>
      </c>
    </row>
    <row r="12" spans="2:15" x14ac:dyDescent="0.3">
      <c r="B12" s="147" t="s">
        <v>1056</v>
      </c>
      <c r="C12" s="2">
        <f t="shared" si="0"/>
        <v>0</v>
      </c>
      <c r="D12" s="2">
        <f t="shared" si="1"/>
        <v>0</v>
      </c>
      <c r="E12" s="26">
        <f t="shared" si="4"/>
        <v>0</v>
      </c>
      <c r="F12" s="50">
        <f t="shared" si="5"/>
        <v>0</v>
      </c>
      <c r="H12" s="47" t="s">
        <v>30</v>
      </c>
      <c r="I12" s="2">
        <f t="shared" si="2"/>
        <v>102</v>
      </c>
      <c r="J12" s="2">
        <f t="shared" si="3"/>
        <v>0</v>
      </c>
      <c r="K12" s="26">
        <f t="shared" si="6"/>
        <v>3</v>
      </c>
      <c r="L12" s="50">
        <f t="shared" si="7"/>
        <v>21</v>
      </c>
    </row>
    <row r="13" spans="2:15" x14ac:dyDescent="0.3">
      <c r="B13" s="146" t="s">
        <v>470</v>
      </c>
      <c r="C13" s="2">
        <f t="shared" si="0"/>
        <v>0</v>
      </c>
      <c r="D13" s="2">
        <f t="shared" si="1"/>
        <v>0</v>
      </c>
      <c r="E13" s="26">
        <f t="shared" si="4"/>
        <v>0</v>
      </c>
      <c r="F13" s="50">
        <f t="shared" si="5"/>
        <v>0</v>
      </c>
      <c r="H13" s="48" t="s">
        <v>32</v>
      </c>
      <c r="I13" s="2">
        <f t="shared" si="2"/>
        <v>24</v>
      </c>
      <c r="J13" s="2">
        <f t="shared" si="3"/>
        <v>0</v>
      </c>
      <c r="K13" s="26">
        <f t="shared" si="6"/>
        <v>0</v>
      </c>
      <c r="L13" s="50">
        <f t="shared" si="7"/>
        <v>24</v>
      </c>
    </row>
    <row r="14" spans="2:15" x14ac:dyDescent="0.3">
      <c r="B14" s="147" t="s">
        <v>1200</v>
      </c>
      <c r="C14" s="2">
        <f t="shared" si="0"/>
        <v>0</v>
      </c>
      <c r="D14" s="2">
        <f t="shared" si="1"/>
        <v>0</v>
      </c>
      <c r="E14" s="26">
        <f t="shared" si="4"/>
        <v>0</v>
      </c>
      <c r="F14" s="50">
        <f t="shared" si="5"/>
        <v>0</v>
      </c>
      <c r="H14" s="47" t="s">
        <v>34</v>
      </c>
      <c r="I14" s="2">
        <f t="shared" si="2"/>
        <v>36</v>
      </c>
      <c r="J14" s="2">
        <f t="shared" si="3"/>
        <v>0</v>
      </c>
      <c r="K14" s="26">
        <f t="shared" si="6"/>
        <v>1</v>
      </c>
      <c r="L14" s="50">
        <f t="shared" si="7"/>
        <v>9</v>
      </c>
    </row>
    <row r="15" spans="2:15" x14ac:dyDescent="0.3">
      <c r="B15" s="146" t="s">
        <v>648</v>
      </c>
      <c r="C15" s="2">
        <f t="shared" si="0"/>
        <v>0</v>
      </c>
      <c r="D15" s="2">
        <f t="shared" si="1"/>
        <v>0</v>
      </c>
      <c r="E15" s="26">
        <f t="shared" si="4"/>
        <v>0</v>
      </c>
      <c r="F15" s="50">
        <f t="shared" si="5"/>
        <v>0</v>
      </c>
      <c r="H15" s="47" t="s">
        <v>36</v>
      </c>
      <c r="I15" s="2">
        <f t="shared" si="2"/>
        <v>93</v>
      </c>
      <c r="J15" s="2">
        <f t="shared" si="3"/>
        <v>0</v>
      </c>
      <c r="K15" s="26">
        <f t="shared" si="6"/>
        <v>3</v>
      </c>
      <c r="L15" s="50">
        <f t="shared" si="7"/>
        <v>12</v>
      </c>
    </row>
    <row r="16" spans="2:15" x14ac:dyDescent="0.3">
      <c r="B16" s="147" t="s">
        <v>221</v>
      </c>
      <c r="C16" s="2">
        <f t="shared" si="0"/>
        <v>62</v>
      </c>
      <c r="D16" s="2">
        <f t="shared" si="1"/>
        <v>0</v>
      </c>
      <c r="E16" s="26">
        <f t="shared" si="4"/>
        <v>2</v>
      </c>
      <c r="F16" s="50">
        <f t="shared" si="5"/>
        <v>14</v>
      </c>
      <c r="H16" s="48" t="s">
        <v>38</v>
      </c>
      <c r="I16" s="2">
        <f t="shared" si="2"/>
        <v>129</v>
      </c>
      <c r="J16" s="2">
        <f t="shared" si="3"/>
        <v>0</v>
      </c>
      <c r="K16" s="26">
        <f t="shared" si="6"/>
        <v>4</v>
      </c>
      <c r="L16" s="50">
        <f t="shared" si="7"/>
        <v>21</v>
      </c>
    </row>
    <row r="17" spans="2:12" x14ac:dyDescent="0.3">
      <c r="B17" s="146" t="s">
        <v>127</v>
      </c>
      <c r="C17" s="2">
        <f t="shared" si="0"/>
        <v>84</v>
      </c>
      <c r="D17" s="2">
        <f t="shared" si="1"/>
        <v>0</v>
      </c>
      <c r="E17" s="26">
        <f t="shared" si="4"/>
        <v>3</v>
      </c>
      <c r="F17" s="50">
        <f t="shared" si="5"/>
        <v>12</v>
      </c>
      <c r="H17" s="47" t="s">
        <v>40</v>
      </c>
      <c r="I17" s="2">
        <f t="shared" si="2"/>
        <v>114</v>
      </c>
      <c r="J17" s="2">
        <f t="shared" si="3"/>
        <v>0</v>
      </c>
      <c r="K17" s="26">
        <f t="shared" si="6"/>
        <v>4</v>
      </c>
      <c r="L17" s="50">
        <f t="shared" si="7"/>
        <v>6</v>
      </c>
    </row>
    <row r="18" spans="2:12" x14ac:dyDescent="0.3">
      <c r="B18" s="147" t="s">
        <v>30</v>
      </c>
      <c r="C18" s="2">
        <f t="shared" si="0"/>
        <v>0</v>
      </c>
      <c r="D18" s="2">
        <f t="shared" si="1"/>
        <v>0</v>
      </c>
      <c r="E18" s="26">
        <f t="shared" si="4"/>
        <v>0</v>
      </c>
      <c r="F18" s="50">
        <f t="shared" si="5"/>
        <v>0</v>
      </c>
      <c r="H18" s="48" t="s">
        <v>41</v>
      </c>
      <c r="I18" s="2">
        <f t="shared" si="2"/>
        <v>207</v>
      </c>
      <c r="J18" s="2">
        <f t="shared" si="3"/>
        <v>0</v>
      </c>
      <c r="K18" s="26">
        <f t="shared" si="6"/>
        <v>7</v>
      </c>
      <c r="L18" s="50">
        <f t="shared" si="7"/>
        <v>18</v>
      </c>
    </row>
    <row r="19" spans="2:12" x14ac:dyDescent="0.3">
      <c r="B19" s="146" t="s">
        <v>32</v>
      </c>
      <c r="C19" s="2">
        <f t="shared" si="0"/>
        <v>89</v>
      </c>
      <c r="D19" s="2">
        <f t="shared" si="1"/>
        <v>0</v>
      </c>
      <c r="E19" s="26">
        <f t="shared" si="4"/>
        <v>3</v>
      </c>
      <c r="F19" s="50">
        <f t="shared" si="5"/>
        <v>17</v>
      </c>
      <c r="H19" s="49" t="s">
        <v>43</v>
      </c>
      <c r="I19" s="2">
        <f t="shared" si="2"/>
        <v>24</v>
      </c>
      <c r="J19" s="2">
        <f t="shared" si="3"/>
        <v>0</v>
      </c>
      <c r="K19" s="26">
        <f t="shared" si="6"/>
        <v>0</v>
      </c>
      <c r="L19" s="50">
        <f t="shared" si="7"/>
        <v>24</v>
      </c>
    </row>
    <row r="20" spans="2:12" x14ac:dyDescent="0.3">
      <c r="B20" s="147" t="s">
        <v>34</v>
      </c>
      <c r="C20" s="2">
        <f t="shared" si="0"/>
        <v>340.5</v>
      </c>
      <c r="D20" s="2">
        <f t="shared" si="1"/>
        <v>0</v>
      </c>
      <c r="E20" s="26">
        <f t="shared" si="4"/>
        <v>14</v>
      </c>
      <c r="F20" s="50">
        <f t="shared" si="5"/>
        <v>4.5</v>
      </c>
    </row>
    <row r="21" spans="2:12" x14ac:dyDescent="0.3">
      <c r="B21" s="146" t="s">
        <v>398</v>
      </c>
      <c r="C21" s="2">
        <f t="shared" si="0"/>
        <v>0</v>
      </c>
      <c r="D21" s="2">
        <f t="shared" si="1"/>
        <v>0</v>
      </c>
      <c r="E21" s="26">
        <f t="shared" si="4"/>
        <v>0</v>
      </c>
      <c r="F21" s="50">
        <f t="shared" si="5"/>
        <v>0</v>
      </c>
    </row>
    <row r="22" spans="2:12" x14ac:dyDescent="0.3">
      <c r="B22" s="147" t="s">
        <v>36</v>
      </c>
      <c r="C22" s="2">
        <f t="shared" si="0"/>
        <v>51</v>
      </c>
      <c r="D22" s="2">
        <f t="shared" si="1"/>
        <v>0</v>
      </c>
      <c r="E22" s="26">
        <f t="shared" si="4"/>
        <v>2</v>
      </c>
      <c r="F22" s="50">
        <f t="shared" si="5"/>
        <v>3</v>
      </c>
    </row>
    <row r="23" spans="2:12" x14ac:dyDescent="0.3">
      <c r="B23" s="146" t="s">
        <v>500</v>
      </c>
      <c r="C23" s="2">
        <f t="shared" si="0"/>
        <v>153.5</v>
      </c>
      <c r="D23" s="2">
        <f t="shared" si="1"/>
        <v>0</v>
      </c>
      <c r="E23" s="26">
        <f t="shared" si="4"/>
        <v>6</v>
      </c>
      <c r="F23" s="50">
        <f t="shared" si="5"/>
        <v>9.5</v>
      </c>
    </row>
    <row r="24" spans="2:12" x14ac:dyDescent="0.3">
      <c r="B24" s="147" t="s">
        <v>1201</v>
      </c>
      <c r="C24" s="2">
        <f t="shared" si="0"/>
        <v>0</v>
      </c>
      <c r="D24" s="2">
        <f t="shared" si="1"/>
        <v>0</v>
      </c>
      <c r="E24" s="26">
        <f t="shared" si="4"/>
        <v>0</v>
      </c>
      <c r="F24" s="50">
        <f t="shared" si="5"/>
        <v>0</v>
      </c>
    </row>
    <row r="25" spans="2:12" x14ac:dyDescent="0.3">
      <c r="B25" s="146" t="s">
        <v>38</v>
      </c>
      <c r="C25" s="2">
        <f t="shared" si="0"/>
        <v>92</v>
      </c>
      <c r="D25" s="2">
        <f t="shared" si="1"/>
        <v>0</v>
      </c>
      <c r="E25" s="26">
        <f t="shared" si="4"/>
        <v>3</v>
      </c>
      <c r="F25" s="50">
        <f t="shared" si="5"/>
        <v>20</v>
      </c>
    </row>
    <row r="26" spans="2:12" x14ac:dyDescent="0.3">
      <c r="B26" s="147" t="s">
        <v>1202</v>
      </c>
      <c r="C26" s="2">
        <f t="shared" si="0"/>
        <v>0</v>
      </c>
      <c r="D26" s="2">
        <f t="shared" si="1"/>
        <v>0</v>
      </c>
      <c r="E26" s="26">
        <f t="shared" si="4"/>
        <v>0</v>
      </c>
      <c r="F26" s="50">
        <f t="shared" si="5"/>
        <v>0</v>
      </c>
    </row>
    <row r="27" spans="2:12" x14ac:dyDescent="0.3">
      <c r="B27" s="146" t="s">
        <v>632</v>
      </c>
      <c r="C27" s="2">
        <f t="shared" si="0"/>
        <v>0</v>
      </c>
      <c r="D27" s="2">
        <f t="shared" si="1"/>
        <v>0</v>
      </c>
      <c r="E27" s="26">
        <f t="shared" si="4"/>
        <v>0</v>
      </c>
      <c r="F27" s="50">
        <f t="shared" si="5"/>
        <v>0</v>
      </c>
    </row>
    <row r="28" spans="2:12" x14ac:dyDescent="0.3">
      <c r="B28" s="147" t="s">
        <v>141</v>
      </c>
      <c r="C28" s="2">
        <f t="shared" si="0"/>
        <v>162</v>
      </c>
      <c r="D28" s="2">
        <f t="shared" si="1"/>
        <v>0</v>
      </c>
      <c r="E28" s="26">
        <f t="shared" si="4"/>
        <v>6</v>
      </c>
      <c r="F28" s="50">
        <f t="shared" si="5"/>
        <v>18</v>
      </c>
    </row>
    <row r="29" spans="2:12" x14ac:dyDescent="0.3">
      <c r="B29" s="146" t="s">
        <v>43</v>
      </c>
      <c r="C29" s="2">
        <f t="shared" si="0"/>
        <v>25</v>
      </c>
      <c r="D29" s="2">
        <f t="shared" si="1"/>
        <v>0</v>
      </c>
      <c r="E29" s="26">
        <f t="shared" si="4"/>
        <v>1</v>
      </c>
      <c r="F29" s="50">
        <f t="shared" si="5"/>
        <v>1</v>
      </c>
    </row>
  </sheetData>
  <sheetProtection algorithmName="SHA-512" hashValue="/K5vtv3QZP17aVd0eq0/rCnqf0ZInAq6Nj3oHAQ56UrPMYWPlOokA5Rm2JFgkAxfhEQsZ+Mf4rLJFnI3psS43Q==" saltValue="yqieoETN6zf6GuV8aU0xFg==" spinCount="100000" sheet="1" objects="1" scenarios="1"/>
  <sortState xmlns:xlrd2="http://schemas.microsoft.com/office/spreadsheetml/2017/richdata2" ref="B10:F29">
    <sortCondition ref="B9:B29"/>
  </sortState>
  <mergeCells count="13">
    <mergeCell ref="H7:H8"/>
    <mergeCell ref="I7:I8"/>
    <mergeCell ref="H5:L5"/>
    <mergeCell ref="B1:L1"/>
    <mergeCell ref="B2:L2"/>
    <mergeCell ref="B3:L3"/>
    <mergeCell ref="D6:G6"/>
    <mergeCell ref="C7:C8"/>
    <mergeCell ref="B7:B8"/>
    <mergeCell ref="B5:F5"/>
    <mergeCell ref="D7:D8"/>
    <mergeCell ref="E7:E8"/>
    <mergeCell ref="J7:J8"/>
  </mergeCells>
  <pageMargins left="0.7" right="0.7" top="0.75" bottom="0.75" header="0.3" footer="0.3"/>
  <pageSetup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2019"/>
  <sheetViews>
    <sheetView showGridLines="0" zoomScaleNormal="100" workbookViewId="0">
      <selection activeCell="I49" sqref="I49"/>
    </sheetView>
  </sheetViews>
  <sheetFormatPr defaultColWidth="9.109375" defaultRowHeight="13.8" x14ac:dyDescent="0.3"/>
  <cols>
    <col min="1" max="1" width="15.44140625" style="39" customWidth="1"/>
    <col min="2" max="2" width="17.44140625" style="39" customWidth="1"/>
    <col min="3" max="3" width="49.5546875" style="39" customWidth="1"/>
    <col min="4" max="4" width="11.88671875" style="39" customWidth="1"/>
    <col min="5" max="5" width="10.5546875" style="39" customWidth="1"/>
    <col min="6" max="6" width="2.44140625" style="39" customWidth="1"/>
    <col min="7" max="7" width="10.5546875" style="39" customWidth="1"/>
    <col min="8" max="8" width="16.5546875" style="39" customWidth="1"/>
    <col min="9" max="9" width="34.5546875" style="39" customWidth="1"/>
    <col min="10" max="10" width="16.5546875" style="38" customWidth="1"/>
    <col min="11" max="11" width="24.109375" style="38" customWidth="1"/>
    <col min="12" max="12" width="20.44140625" style="38" customWidth="1"/>
    <col min="13" max="13" width="4.5546875" style="38" customWidth="1"/>
    <col min="14" max="14" width="14.5546875" style="38" customWidth="1"/>
    <col min="15" max="16384" width="9.109375" style="38"/>
  </cols>
  <sheetData>
    <row r="1" spans="1:11" ht="18" x14ac:dyDescent="0.35">
      <c r="A1" s="369" t="str">
        <f>_xlfn.CONCAT("STI College ",'1 - Top Sheet'!C6:D6)</f>
        <v>STI College Novaliches</v>
      </c>
      <c r="B1" s="369"/>
      <c r="C1" s="369"/>
      <c r="D1" s="369"/>
      <c r="E1" s="369"/>
      <c r="F1" s="369"/>
      <c r="G1" s="369"/>
      <c r="H1" s="369"/>
      <c r="I1" s="369"/>
      <c r="J1" s="281"/>
      <c r="K1" s="281"/>
    </row>
    <row r="2" spans="1:11" ht="18" x14ac:dyDescent="0.35">
      <c r="A2" s="370" t="s">
        <v>1203</v>
      </c>
      <c r="B2" s="370"/>
      <c r="C2" s="370"/>
      <c r="D2" s="370"/>
      <c r="E2" s="370"/>
      <c r="F2" s="370"/>
      <c r="G2" s="370"/>
      <c r="H2" s="370"/>
      <c r="I2" s="370"/>
    </row>
    <row r="3" spans="1:11" ht="18" x14ac:dyDescent="0.35">
      <c r="A3" s="369" t="str">
        <f>_xlfn.CONCAT("School Year ",'1 - Top Sheet'!C7:D7," Term ", '1 - Top Sheet'!C8:D8)</f>
        <v>School Year 2024-2025 Term 1</v>
      </c>
      <c r="B3" s="369"/>
      <c r="C3" s="369"/>
      <c r="D3" s="369"/>
      <c r="E3" s="369"/>
      <c r="F3" s="369"/>
      <c r="G3" s="369"/>
      <c r="H3" s="369"/>
      <c r="I3" s="369"/>
    </row>
    <row r="4" spans="1:11" ht="12.75" customHeight="1" thickBot="1" x14ac:dyDescent="0.35"/>
    <row r="5" spans="1:11" ht="14.4" thickBot="1" x14ac:dyDescent="0.35">
      <c r="A5" s="226" t="s">
        <v>1204</v>
      </c>
      <c r="B5" s="224" t="s">
        <v>1205</v>
      </c>
      <c r="C5" s="224" t="s">
        <v>1206</v>
      </c>
      <c r="D5" s="224" t="s">
        <v>1207</v>
      </c>
      <c r="E5" s="368" t="s">
        <v>1208</v>
      </c>
      <c r="F5" s="368"/>
      <c r="G5" s="368"/>
      <c r="H5" s="224" t="s">
        <v>1209</v>
      </c>
      <c r="I5" s="225" t="s">
        <v>1210</v>
      </c>
    </row>
    <row r="6" spans="1:11" ht="14.4" x14ac:dyDescent="0.3">
      <c r="A6" s="197" t="s">
        <v>1211</v>
      </c>
      <c r="B6" s="193"/>
      <c r="C6" s="194" t="s">
        <v>1212</v>
      </c>
      <c r="D6" s="195" t="s">
        <v>1213</v>
      </c>
      <c r="E6" s="196">
        <v>0.29166666666666669</v>
      </c>
      <c r="F6" s="212"/>
      <c r="G6" s="196">
        <v>0.35416666666666669</v>
      </c>
      <c r="H6" s="213">
        <v>501</v>
      </c>
      <c r="I6" s="214" t="s">
        <v>1214</v>
      </c>
    </row>
    <row r="7" spans="1:11" ht="14.4" x14ac:dyDescent="0.3">
      <c r="A7" s="197"/>
      <c r="B7" s="198"/>
      <c r="C7" s="199" t="s">
        <v>1071</v>
      </c>
      <c r="D7" s="200" t="s">
        <v>1213</v>
      </c>
      <c r="E7" s="201">
        <v>0.35416666666666669</v>
      </c>
      <c r="F7" s="212"/>
      <c r="G7" s="201">
        <v>0.41666666666666669</v>
      </c>
      <c r="H7" s="215">
        <v>501</v>
      </c>
      <c r="I7" s="216" t="s">
        <v>1215</v>
      </c>
    </row>
    <row r="8" spans="1:11" ht="14.4" x14ac:dyDescent="0.3">
      <c r="A8" s="197"/>
      <c r="B8" s="198"/>
      <c r="C8" s="199" t="s">
        <v>1216</v>
      </c>
      <c r="D8" s="200" t="s">
        <v>1213</v>
      </c>
      <c r="E8" s="201">
        <v>0.47916666666666669</v>
      </c>
      <c r="F8" s="212"/>
      <c r="G8" s="201">
        <v>0.54166666666666663</v>
      </c>
      <c r="H8" s="215">
        <v>501</v>
      </c>
      <c r="I8" s="216" t="s">
        <v>1217</v>
      </c>
    </row>
    <row r="9" spans="1:11" ht="14.4" x14ac:dyDescent="0.3">
      <c r="A9" s="197"/>
      <c r="B9" s="198"/>
      <c r="C9" s="199" t="s">
        <v>1077</v>
      </c>
      <c r="D9" s="200" t="s">
        <v>1218</v>
      </c>
      <c r="E9" s="201">
        <v>0.29166666666666669</v>
      </c>
      <c r="F9" s="212"/>
      <c r="G9" s="201">
        <v>0.35416666666666669</v>
      </c>
      <c r="H9" s="215">
        <v>501</v>
      </c>
      <c r="I9" s="217" t="s">
        <v>1219</v>
      </c>
    </row>
    <row r="10" spans="1:11" ht="14.4" x14ac:dyDescent="0.3">
      <c r="A10" s="197"/>
      <c r="B10" s="198"/>
      <c r="C10" s="199" t="s">
        <v>1070</v>
      </c>
      <c r="D10" s="200" t="s">
        <v>1218</v>
      </c>
      <c r="E10" s="196">
        <v>0.35416666666666669</v>
      </c>
      <c r="F10" s="212"/>
      <c r="G10" s="196">
        <v>0.41666666666666669</v>
      </c>
      <c r="H10" s="215">
        <v>501</v>
      </c>
      <c r="I10" s="217" t="s">
        <v>1214</v>
      </c>
    </row>
    <row r="11" spans="1:11" ht="14.4" x14ac:dyDescent="0.3">
      <c r="A11" s="197"/>
      <c r="B11" s="198"/>
      <c r="C11" s="199" t="s">
        <v>1220</v>
      </c>
      <c r="D11" s="200" t="s">
        <v>1218</v>
      </c>
      <c r="E11" s="196">
        <v>0.47916666666666669</v>
      </c>
      <c r="F11" s="212"/>
      <c r="G11" s="196">
        <v>0.54166666666666663</v>
      </c>
      <c r="H11" s="215" t="s">
        <v>1221</v>
      </c>
      <c r="I11" s="216" t="s">
        <v>1222</v>
      </c>
    </row>
    <row r="12" spans="1:11" ht="14.4" x14ac:dyDescent="0.3">
      <c r="A12" s="197"/>
      <c r="B12" s="198"/>
      <c r="C12" s="199" t="s">
        <v>1223</v>
      </c>
      <c r="D12" s="200" t="s">
        <v>1224</v>
      </c>
      <c r="E12" s="201">
        <v>0.54166666666666663</v>
      </c>
      <c r="F12" s="212"/>
      <c r="G12" s="201">
        <v>0.58333333333333337</v>
      </c>
      <c r="H12" s="215"/>
      <c r="I12" s="216"/>
    </row>
    <row r="13" spans="1:11" ht="14.4" x14ac:dyDescent="0.3">
      <c r="A13" s="197"/>
      <c r="B13" s="198"/>
      <c r="C13" s="199" t="s">
        <v>1225</v>
      </c>
      <c r="D13" s="200" t="s">
        <v>1226</v>
      </c>
      <c r="E13" s="202">
        <v>0.29166666666666669</v>
      </c>
      <c r="F13" s="212"/>
      <c r="G13" s="201">
        <v>0.41666666666666669</v>
      </c>
      <c r="H13" s="215">
        <v>501</v>
      </c>
      <c r="I13" s="216" t="s">
        <v>1227</v>
      </c>
    </row>
    <row r="14" spans="1:11" ht="14.4" x14ac:dyDescent="0.3">
      <c r="A14" s="197"/>
      <c r="B14" s="198"/>
      <c r="C14" s="199" t="s">
        <v>1228</v>
      </c>
      <c r="D14" s="200" t="s">
        <v>1226</v>
      </c>
      <c r="E14" s="201">
        <v>0.47916666666666669</v>
      </c>
      <c r="F14" s="212"/>
      <c r="G14" s="201">
        <v>0.60416666666666663</v>
      </c>
      <c r="H14" s="215">
        <v>501</v>
      </c>
      <c r="I14" s="216" t="s">
        <v>1229</v>
      </c>
    </row>
    <row r="15" spans="1:11" ht="14.4" x14ac:dyDescent="0.3">
      <c r="A15" s="197"/>
      <c r="B15" s="198"/>
      <c r="C15" s="199"/>
      <c r="D15" s="200"/>
      <c r="E15" s="201"/>
      <c r="F15" s="212"/>
      <c r="G15" s="201"/>
      <c r="H15" s="215"/>
      <c r="I15" s="216"/>
    </row>
    <row r="16" spans="1:11" ht="14.4" x14ac:dyDescent="0.3">
      <c r="A16" s="197"/>
      <c r="B16" s="203"/>
      <c r="C16" s="204"/>
      <c r="D16" s="205"/>
      <c r="E16" s="206"/>
      <c r="F16" s="218"/>
      <c r="G16" s="206"/>
      <c r="H16" s="219"/>
      <c r="I16" s="220"/>
    </row>
    <row r="17" spans="1:9" ht="15" thickBot="1" x14ac:dyDescent="0.35">
      <c r="A17" s="207"/>
      <c r="B17" s="208"/>
      <c r="C17" s="209"/>
      <c r="D17" s="210"/>
      <c r="E17" s="211"/>
      <c r="F17" s="221"/>
      <c r="G17" s="211"/>
      <c r="H17" s="222"/>
      <c r="I17" s="223"/>
    </row>
    <row r="18" spans="1:9" ht="14.4" thickBot="1" x14ac:dyDescent="0.35"/>
    <row r="19" spans="1:9" ht="14.4" thickBot="1" x14ac:dyDescent="0.35">
      <c r="A19" s="226" t="s">
        <v>1204</v>
      </c>
      <c r="B19" s="224" t="s">
        <v>1205</v>
      </c>
      <c r="C19" s="224" t="s">
        <v>1206</v>
      </c>
      <c r="D19" s="224" t="s">
        <v>1207</v>
      </c>
      <c r="E19" s="368" t="s">
        <v>1208</v>
      </c>
      <c r="F19" s="368"/>
      <c r="G19" s="368"/>
      <c r="H19" s="224" t="s">
        <v>1209</v>
      </c>
      <c r="I19" s="225" t="s">
        <v>1210</v>
      </c>
    </row>
    <row r="20" spans="1:9" ht="14.4" x14ac:dyDescent="0.3">
      <c r="A20" s="197" t="s">
        <v>1230</v>
      </c>
      <c r="B20" s="193"/>
      <c r="C20" s="194" t="s">
        <v>1212</v>
      </c>
      <c r="D20" s="195" t="s">
        <v>1213</v>
      </c>
      <c r="E20" s="196">
        <v>0.35416666666666669</v>
      </c>
      <c r="F20" s="212"/>
      <c r="G20" s="196">
        <v>0.41666666666666669</v>
      </c>
      <c r="H20" s="213">
        <v>502</v>
      </c>
      <c r="I20" s="214"/>
    </row>
    <row r="21" spans="1:9" ht="14.4" x14ac:dyDescent="0.3">
      <c r="A21" s="197"/>
      <c r="B21" s="198"/>
      <c r="C21" s="199" t="s">
        <v>1071</v>
      </c>
      <c r="D21" s="200" t="s">
        <v>1213</v>
      </c>
      <c r="E21" s="201">
        <v>0.41666666666666669</v>
      </c>
      <c r="F21" s="212"/>
      <c r="G21" s="201">
        <v>0.97916666666666663</v>
      </c>
      <c r="H21" s="215">
        <v>502</v>
      </c>
      <c r="I21" s="216"/>
    </row>
    <row r="22" spans="1:9" ht="14.4" x14ac:dyDescent="0.3">
      <c r="A22" s="197"/>
      <c r="B22" s="198"/>
      <c r="C22" s="199" t="s">
        <v>1216</v>
      </c>
      <c r="D22" s="200" t="s">
        <v>1213</v>
      </c>
      <c r="E22" s="201">
        <v>0.54166666666666663</v>
      </c>
      <c r="F22" s="212"/>
      <c r="G22" s="201">
        <v>0.60416666666666663</v>
      </c>
      <c r="H22" s="215">
        <v>502</v>
      </c>
      <c r="I22" s="216"/>
    </row>
    <row r="23" spans="1:9" ht="14.4" x14ac:dyDescent="0.3">
      <c r="A23" s="197"/>
      <c r="B23" s="198"/>
      <c r="C23" s="199" t="s">
        <v>1070</v>
      </c>
      <c r="D23" s="200" t="s">
        <v>1218</v>
      </c>
      <c r="E23" s="201">
        <v>0.35416666666666669</v>
      </c>
      <c r="F23" s="212"/>
      <c r="G23" s="201">
        <v>0.41666666666666669</v>
      </c>
      <c r="H23" s="215">
        <v>502</v>
      </c>
      <c r="I23" s="217"/>
    </row>
    <row r="24" spans="1:9" ht="14.4" x14ac:dyDescent="0.3">
      <c r="A24" s="197"/>
      <c r="B24" s="198"/>
      <c r="C24" s="199" t="s">
        <v>1225</v>
      </c>
      <c r="D24" s="200" t="s">
        <v>1218</v>
      </c>
      <c r="E24" s="196">
        <v>0.41666666666666669</v>
      </c>
      <c r="F24" s="212"/>
      <c r="G24" s="196">
        <v>0.97916666666666663</v>
      </c>
      <c r="H24" s="215">
        <v>502</v>
      </c>
      <c r="I24" s="217"/>
    </row>
    <row r="25" spans="1:9" ht="14.4" x14ac:dyDescent="0.3">
      <c r="A25" s="197"/>
      <c r="B25" s="198"/>
      <c r="C25" s="199" t="s">
        <v>1228</v>
      </c>
      <c r="D25" s="200" t="s">
        <v>1218</v>
      </c>
      <c r="E25" s="196">
        <v>0.54166666666666663</v>
      </c>
      <c r="F25" s="212"/>
      <c r="G25" s="196">
        <v>0.60416666666666663</v>
      </c>
      <c r="H25" s="215">
        <v>502</v>
      </c>
      <c r="I25" s="216"/>
    </row>
    <row r="26" spans="1:9" ht="14.4" x14ac:dyDescent="0.3">
      <c r="A26" s="197"/>
      <c r="B26" s="198"/>
      <c r="C26" s="199" t="s">
        <v>1077</v>
      </c>
      <c r="D26" s="200" t="s">
        <v>1226</v>
      </c>
      <c r="E26" s="201">
        <v>0.29166666666666669</v>
      </c>
      <c r="F26" s="212"/>
      <c r="G26" s="201">
        <v>0.41666666666666669</v>
      </c>
      <c r="H26" s="215">
        <v>502</v>
      </c>
      <c r="I26" s="216"/>
    </row>
    <row r="27" spans="1:9" ht="14.4" x14ac:dyDescent="0.3">
      <c r="A27" s="197"/>
      <c r="B27" s="198"/>
      <c r="C27" s="199" t="s">
        <v>1223</v>
      </c>
      <c r="D27" s="200" t="s">
        <v>1226</v>
      </c>
      <c r="E27" s="202">
        <v>0.5625</v>
      </c>
      <c r="F27" s="212"/>
      <c r="G27" s="201">
        <v>0.60416666666666663</v>
      </c>
      <c r="H27" s="215"/>
      <c r="I27" s="216"/>
    </row>
    <row r="28" spans="1:9" ht="14.4" x14ac:dyDescent="0.3">
      <c r="A28" s="197"/>
      <c r="B28" s="198"/>
      <c r="C28" s="199" t="s">
        <v>1077</v>
      </c>
      <c r="D28" s="200" t="s">
        <v>1226</v>
      </c>
      <c r="E28" s="201">
        <v>0.29166666666666669</v>
      </c>
      <c r="F28" s="212"/>
      <c r="G28" s="201">
        <v>0.41666666666666669</v>
      </c>
      <c r="H28" s="215">
        <v>502</v>
      </c>
      <c r="I28" s="216"/>
    </row>
    <row r="29" spans="1:9" ht="14.4" x14ac:dyDescent="0.3">
      <c r="A29" s="197"/>
      <c r="B29" s="198"/>
      <c r="C29" s="199" t="s">
        <v>1220</v>
      </c>
      <c r="D29" s="200" t="s">
        <v>1226</v>
      </c>
      <c r="E29" s="201">
        <v>0.47916666666666669</v>
      </c>
      <c r="F29" s="212"/>
      <c r="G29" s="201">
        <v>0.5625</v>
      </c>
      <c r="H29" s="215" t="s">
        <v>1221</v>
      </c>
      <c r="I29" s="216"/>
    </row>
    <row r="30" spans="1:9" ht="14.4" x14ac:dyDescent="0.3">
      <c r="A30" s="197"/>
      <c r="B30" s="203"/>
      <c r="C30" s="204"/>
      <c r="D30" s="205"/>
      <c r="E30" s="206"/>
      <c r="F30" s="218"/>
      <c r="G30" s="206"/>
      <c r="H30" s="219"/>
      <c r="I30" s="220"/>
    </row>
    <row r="31" spans="1:9" ht="14.4" x14ac:dyDescent="0.3">
      <c r="A31" s="207"/>
      <c r="B31" s="208"/>
      <c r="C31" s="209"/>
      <c r="D31" s="210"/>
      <c r="E31" s="211"/>
      <c r="F31" s="221"/>
      <c r="G31" s="211"/>
      <c r="H31" s="222"/>
      <c r="I31" s="223"/>
    </row>
    <row r="32" spans="1:9" ht="14.4" thickBot="1" x14ac:dyDescent="0.35"/>
    <row r="33" spans="1:9" ht="14.4" thickBot="1" x14ac:dyDescent="0.35">
      <c r="A33" s="226" t="s">
        <v>1204</v>
      </c>
      <c r="B33" s="224" t="s">
        <v>1205</v>
      </c>
      <c r="C33" s="224" t="s">
        <v>1206</v>
      </c>
      <c r="D33" s="224" t="s">
        <v>1207</v>
      </c>
      <c r="E33" s="368" t="s">
        <v>1208</v>
      </c>
      <c r="F33" s="368"/>
      <c r="G33" s="368"/>
      <c r="H33" s="224" t="s">
        <v>1209</v>
      </c>
      <c r="I33" s="225" t="s">
        <v>1210</v>
      </c>
    </row>
    <row r="34" spans="1:9" ht="14.4" x14ac:dyDescent="0.3">
      <c r="A34" s="197" t="s">
        <v>1231</v>
      </c>
      <c r="B34" s="193"/>
      <c r="C34" s="194" t="s">
        <v>1212</v>
      </c>
      <c r="D34" s="195" t="s">
        <v>1213</v>
      </c>
      <c r="E34" s="196">
        <v>0.35416666666666669</v>
      </c>
      <c r="F34" s="212"/>
      <c r="G34" s="196">
        <v>0.41666666666666669</v>
      </c>
      <c r="H34" s="213">
        <v>503</v>
      </c>
      <c r="I34" s="214" t="s">
        <v>1214</v>
      </c>
    </row>
    <row r="35" spans="1:9" ht="14.4" x14ac:dyDescent="0.3">
      <c r="A35" s="197"/>
      <c r="B35" s="198"/>
      <c r="C35" s="199" t="s">
        <v>1071</v>
      </c>
      <c r="D35" s="200" t="s">
        <v>1213</v>
      </c>
      <c r="E35" s="201">
        <v>0.47916666666666669</v>
      </c>
      <c r="F35" s="212"/>
      <c r="G35" s="201">
        <v>0.54166666666666663</v>
      </c>
      <c r="H35" s="215">
        <v>503</v>
      </c>
      <c r="I35" s="216" t="s">
        <v>1215</v>
      </c>
    </row>
    <row r="36" spans="1:9" ht="14.4" x14ac:dyDescent="0.3">
      <c r="A36" s="197"/>
      <c r="B36" s="198"/>
      <c r="C36" s="199" t="s">
        <v>1216</v>
      </c>
      <c r="D36" s="200" t="s">
        <v>1218</v>
      </c>
      <c r="E36" s="201">
        <v>0.29166666666666669</v>
      </c>
      <c r="F36" s="212"/>
      <c r="G36" s="201">
        <v>0.35416666666666669</v>
      </c>
      <c r="H36" s="215">
        <v>503</v>
      </c>
      <c r="I36" s="216" t="s">
        <v>1217</v>
      </c>
    </row>
    <row r="37" spans="1:9" ht="14.4" x14ac:dyDescent="0.3">
      <c r="A37" s="197"/>
      <c r="B37" s="198"/>
      <c r="C37" s="199" t="s">
        <v>1070</v>
      </c>
      <c r="D37" s="200" t="s">
        <v>1218</v>
      </c>
      <c r="E37" s="201">
        <v>0.47916666666666669</v>
      </c>
      <c r="F37" s="212"/>
      <c r="G37" s="201">
        <v>0.54166666666666663</v>
      </c>
      <c r="H37" s="215">
        <v>503</v>
      </c>
      <c r="I37" s="217" t="s">
        <v>1232</v>
      </c>
    </row>
    <row r="38" spans="1:9" ht="14.4" x14ac:dyDescent="0.3">
      <c r="A38" s="197"/>
      <c r="B38" s="198"/>
      <c r="C38" s="199" t="s">
        <v>1225</v>
      </c>
      <c r="D38" s="200" t="s">
        <v>1226</v>
      </c>
      <c r="E38" s="196">
        <v>0.47916666666666669</v>
      </c>
      <c r="F38" s="212"/>
      <c r="G38" s="196">
        <v>0.60416666666666663</v>
      </c>
      <c r="H38" s="215">
        <v>303</v>
      </c>
      <c r="I38" s="217" t="s">
        <v>1227</v>
      </c>
    </row>
    <row r="39" spans="1:9" ht="14.4" x14ac:dyDescent="0.3">
      <c r="A39" s="197"/>
      <c r="B39" s="198"/>
      <c r="C39" s="199" t="s">
        <v>1228</v>
      </c>
      <c r="D39" s="200" t="s">
        <v>1218</v>
      </c>
      <c r="E39" s="196">
        <v>0.35416666666666669</v>
      </c>
      <c r="F39" s="212"/>
      <c r="G39" s="196">
        <v>0.41666666666666669</v>
      </c>
      <c r="H39" s="215">
        <v>503</v>
      </c>
      <c r="I39" s="216" t="s">
        <v>1229</v>
      </c>
    </row>
    <row r="40" spans="1:9" ht="14.4" x14ac:dyDescent="0.3">
      <c r="A40" s="197"/>
      <c r="B40" s="198"/>
      <c r="C40" s="199" t="s">
        <v>1077</v>
      </c>
      <c r="D40" s="200" t="s">
        <v>1213</v>
      </c>
      <c r="E40" s="201">
        <v>0.29166666666666669</v>
      </c>
      <c r="F40" s="212"/>
      <c r="G40" s="201">
        <v>0.35416666666666669</v>
      </c>
      <c r="H40" s="215">
        <v>503</v>
      </c>
      <c r="I40" s="216" t="s">
        <v>1219</v>
      </c>
    </row>
    <row r="41" spans="1:9" ht="14.4" x14ac:dyDescent="0.3">
      <c r="A41" s="197"/>
      <c r="B41" s="198"/>
      <c r="C41" s="199" t="s">
        <v>1223</v>
      </c>
      <c r="D41" s="200" t="s">
        <v>1226</v>
      </c>
      <c r="E41" s="202">
        <v>0.60416666666666663</v>
      </c>
      <c r="F41" s="212"/>
      <c r="G41" s="201">
        <v>0.64583333333333337</v>
      </c>
      <c r="H41" s="215"/>
      <c r="I41" s="216"/>
    </row>
    <row r="42" spans="1:9" ht="14.4" x14ac:dyDescent="0.3">
      <c r="A42" s="197"/>
      <c r="B42" s="198"/>
      <c r="C42" s="199" t="s">
        <v>1220</v>
      </c>
      <c r="D42" s="200" t="s">
        <v>1226</v>
      </c>
      <c r="E42" s="201">
        <v>0.33333333333333331</v>
      </c>
      <c r="F42" s="212"/>
      <c r="G42" s="201">
        <v>0.41666666666666669</v>
      </c>
      <c r="H42" s="215" t="s">
        <v>1221</v>
      </c>
      <c r="I42" s="216" t="s">
        <v>1222</v>
      </c>
    </row>
    <row r="43" spans="1:9" ht="14.4" x14ac:dyDescent="0.3">
      <c r="A43" s="197"/>
      <c r="B43" s="198"/>
      <c r="C43" s="199"/>
      <c r="D43" s="200"/>
      <c r="E43" s="201"/>
      <c r="F43" s="212"/>
      <c r="G43" s="201"/>
      <c r="H43" s="215"/>
      <c r="I43" s="216"/>
    </row>
    <row r="44" spans="1:9" ht="14.4" x14ac:dyDescent="0.3">
      <c r="A44" s="197"/>
      <c r="B44" s="203"/>
      <c r="C44" s="204"/>
      <c r="D44" s="205"/>
      <c r="E44" s="206"/>
      <c r="F44" s="218"/>
      <c r="G44" s="206"/>
      <c r="H44" s="219"/>
      <c r="I44" s="220"/>
    </row>
    <row r="45" spans="1:9" ht="15" thickBot="1" x14ac:dyDescent="0.35">
      <c r="A45" s="207"/>
      <c r="B45" s="208"/>
      <c r="C45" s="209"/>
      <c r="D45" s="210"/>
      <c r="E45" s="211"/>
      <c r="F45" s="221"/>
      <c r="G45" s="211"/>
      <c r="H45" s="222"/>
      <c r="I45" s="223"/>
    </row>
    <row r="46" spans="1:9" ht="14.4" thickBot="1" x14ac:dyDescent="0.35"/>
    <row r="47" spans="1:9" ht="14.4" thickBot="1" x14ac:dyDescent="0.35">
      <c r="A47" s="226" t="s">
        <v>1204</v>
      </c>
      <c r="B47" s="224" t="s">
        <v>1205</v>
      </c>
      <c r="C47" s="224" t="s">
        <v>1206</v>
      </c>
      <c r="D47" s="224" t="s">
        <v>1207</v>
      </c>
      <c r="E47" s="368" t="s">
        <v>1208</v>
      </c>
      <c r="F47" s="368"/>
      <c r="G47" s="368"/>
      <c r="H47" s="224" t="s">
        <v>1209</v>
      </c>
      <c r="I47" s="225" t="s">
        <v>1210</v>
      </c>
    </row>
    <row r="48" spans="1:9" ht="14.4" x14ac:dyDescent="0.3">
      <c r="A48" s="197" t="s">
        <v>1233</v>
      </c>
      <c r="B48" s="193"/>
      <c r="C48" s="194" t="s">
        <v>1212</v>
      </c>
      <c r="D48" s="195" t="s">
        <v>1213</v>
      </c>
      <c r="E48" s="196">
        <v>0.47916666666666669</v>
      </c>
      <c r="F48" s="212"/>
      <c r="G48" s="196">
        <v>0.54166666666666663</v>
      </c>
      <c r="H48" s="213">
        <v>504</v>
      </c>
      <c r="I48" s="214" t="s">
        <v>1234</v>
      </c>
    </row>
    <row r="49" spans="1:9" ht="14.4" x14ac:dyDescent="0.3">
      <c r="A49" s="197"/>
      <c r="B49" s="198"/>
      <c r="C49" s="199" t="s">
        <v>1070</v>
      </c>
      <c r="D49" s="200" t="s">
        <v>1218</v>
      </c>
      <c r="E49" s="201">
        <v>0.54166666666666663</v>
      </c>
      <c r="F49" s="212"/>
      <c r="G49" s="201">
        <v>0.60416666666666663</v>
      </c>
      <c r="H49" s="215">
        <v>504</v>
      </c>
      <c r="I49" s="216" t="s">
        <v>1235</v>
      </c>
    </row>
    <row r="50" spans="1:9" ht="14.4" x14ac:dyDescent="0.3">
      <c r="A50" s="197"/>
      <c r="B50" s="198"/>
      <c r="C50" s="199" t="s">
        <v>1073</v>
      </c>
      <c r="D50" s="200" t="s">
        <v>1218</v>
      </c>
      <c r="E50" s="201">
        <v>0.41666666666666669</v>
      </c>
      <c r="F50" s="212"/>
      <c r="G50" s="201">
        <v>0.47916666666666669</v>
      </c>
      <c r="H50" s="215">
        <v>504</v>
      </c>
      <c r="I50" s="216" t="s">
        <v>1229</v>
      </c>
    </row>
    <row r="51" spans="1:9" ht="14.4" x14ac:dyDescent="0.3">
      <c r="A51" s="197"/>
      <c r="B51" s="198"/>
      <c r="C51" s="199" t="s">
        <v>1216</v>
      </c>
      <c r="D51" s="200" t="s">
        <v>1218</v>
      </c>
      <c r="E51" s="201">
        <v>0.35416666666666669</v>
      </c>
      <c r="F51" s="212"/>
      <c r="G51" s="201">
        <v>0.41666666666666669</v>
      </c>
      <c r="H51" s="215">
        <v>504</v>
      </c>
      <c r="I51" s="217" t="s">
        <v>1217</v>
      </c>
    </row>
    <row r="52" spans="1:9" ht="14.4" x14ac:dyDescent="0.3">
      <c r="A52" s="197"/>
      <c r="B52" s="198"/>
      <c r="C52" s="199" t="s">
        <v>1071</v>
      </c>
      <c r="D52" s="200" t="s">
        <v>1213</v>
      </c>
      <c r="E52" s="196">
        <v>0.54166666666666663</v>
      </c>
      <c r="F52" s="212"/>
      <c r="G52" s="196">
        <v>0.60416666666666663</v>
      </c>
      <c r="H52" s="215">
        <v>504</v>
      </c>
      <c r="I52" s="217" t="s">
        <v>1215</v>
      </c>
    </row>
    <row r="53" spans="1:9" ht="14.4" x14ac:dyDescent="0.3">
      <c r="A53" s="197"/>
      <c r="B53" s="198"/>
      <c r="C53" s="199" t="s">
        <v>1223</v>
      </c>
      <c r="D53" s="200" t="s">
        <v>1226</v>
      </c>
      <c r="E53" s="196">
        <v>0.5625</v>
      </c>
      <c r="F53" s="212"/>
      <c r="G53" s="196">
        <v>0.60416666666666663</v>
      </c>
      <c r="H53" s="215"/>
      <c r="I53" s="216"/>
    </row>
    <row r="54" spans="1:9" ht="14.4" x14ac:dyDescent="0.3">
      <c r="A54" s="197"/>
      <c r="B54" s="198"/>
      <c r="C54" s="199" t="s">
        <v>1220</v>
      </c>
      <c r="D54" s="200" t="s">
        <v>1226</v>
      </c>
      <c r="E54" s="201">
        <v>0.47916666666666669</v>
      </c>
      <c r="F54" s="212"/>
      <c r="G54" s="201">
        <v>0.5625</v>
      </c>
      <c r="H54" s="215" t="s">
        <v>1221</v>
      </c>
      <c r="I54" s="216" t="s">
        <v>1222</v>
      </c>
    </row>
    <row r="55" spans="1:9" ht="14.4" x14ac:dyDescent="0.3">
      <c r="A55" s="197"/>
      <c r="B55" s="198"/>
      <c r="C55" s="199" t="s">
        <v>1117</v>
      </c>
      <c r="D55" s="200" t="s">
        <v>1213</v>
      </c>
      <c r="E55" s="202">
        <v>0.35416666666666669</v>
      </c>
      <c r="F55" s="212"/>
      <c r="G55" s="201">
        <v>0.41666666666666669</v>
      </c>
      <c r="H55" s="215">
        <v>504</v>
      </c>
      <c r="I55" s="216" t="s">
        <v>1236</v>
      </c>
    </row>
    <row r="56" spans="1:9" ht="14.4" x14ac:dyDescent="0.3">
      <c r="A56" s="197"/>
      <c r="B56" s="198"/>
      <c r="C56" s="199" t="s">
        <v>1237</v>
      </c>
      <c r="D56" s="200" t="s">
        <v>1226</v>
      </c>
      <c r="E56" s="201">
        <v>0.29166666666666669</v>
      </c>
      <c r="F56" s="212"/>
      <c r="G56" s="201">
        <v>0.41666666666666669</v>
      </c>
      <c r="H56" s="215">
        <v>504</v>
      </c>
      <c r="I56" s="216" t="s">
        <v>1236</v>
      </c>
    </row>
    <row r="57" spans="1:9" ht="14.4" x14ac:dyDescent="0.3">
      <c r="A57" s="197"/>
      <c r="B57" s="198"/>
      <c r="C57" s="199"/>
      <c r="D57" s="200"/>
      <c r="E57" s="201"/>
      <c r="F57" s="212"/>
      <c r="G57" s="201"/>
      <c r="H57" s="215"/>
      <c r="I57" s="216"/>
    </row>
    <row r="58" spans="1:9" ht="14.4" x14ac:dyDescent="0.3">
      <c r="A58" s="197"/>
      <c r="B58" s="203"/>
      <c r="C58" s="204"/>
      <c r="D58" s="205"/>
      <c r="E58" s="206"/>
      <c r="F58" s="218"/>
      <c r="G58" s="206"/>
      <c r="H58" s="219"/>
      <c r="I58" s="220"/>
    </row>
    <row r="59" spans="1:9" ht="15" thickBot="1" x14ac:dyDescent="0.35">
      <c r="A59" s="207"/>
      <c r="B59" s="208"/>
      <c r="C59" s="209"/>
      <c r="D59" s="210"/>
      <c r="E59" s="211"/>
      <c r="F59" s="221"/>
      <c r="G59" s="211"/>
      <c r="H59" s="222"/>
      <c r="I59" s="223"/>
    </row>
    <row r="60" spans="1:9" ht="14.4" thickBot="1" x14ac:dyDescent="0.35"/>
    <row r="61" spans="1:9" x14ac:dyDescent="0.3">
      <c r="A61" s="226" t="s">
        <v>1204</v>
      </c>
      <c r="B61" s="224" t="s">
        <v>1205</v>
      </c>
      <c r="C61" s="224" t="s">
        <v>1206</v>
      </c>
      <c r="D61" s="224" t="s">
        <v>1207</v>
      </c>
      <c r="E61" s="368" t="s">
        <v>1208</v>
      </c>
      <c r="F61" s="368"/>
      <c r="G61" s="368"/>
      <c r="H61" s="224" t="s">
        <v>1209</v>
      </c>
      <c r="I61" s="225" t="s">
        <v>1210</v>
      </c>
    </row>
    <row r="62" spans="1:9" ht="15" customHeight="1" x14ac:dyDescent="0.3">
      <c r="A62" s="197" t="s">
        <v>1238</v>
      </c>
      <c r="B62" s="193" t="s">
        <v>1239</v>
      </c>
      <c r="C62" s="194" t="s">
        <v>1220</v>
      </c>
      <c r="D62" s="195"/>
      <c r="E62" s="196"/>
      <c r="F62" s="212"/>
      <c r="G62" s="196"/>
      <c r="H62" s="213"/>
      <c r="I62" s="214" t="s">
        <v>1240</v>
      </c>
    </row>
    <row r="63" spans="1:9" ht="15" customHeight="1" x14ac:dyDescent="0.3">
      <c r="A63" s="197"/>
      <c r="B63" s="198" t="s">
        <v>1241</v>
      </c>
      <c r="C63" s="199" t="s">
        <v>1223</v>
      </c>
      <c r="D63" s="200"/>
      <c r="E63" s="201"/>
      <c r="F63" s="212"/>
      <c r="G63" s="201"/>
      <c r="H63" s="215"/>
      <c r="I63" s="216"/>
    </row>
    <row r="64" spans="1:9" ht="15" customHeight="1" x14ac:dyDescent="0.3">
      <c r="A64" s="197"/>
      <c r="B64" s="198" t="s">
        <v>1242</v>
      </c>
      <c r="C64" s="199" t="s">
        <v>1117</v>
      </c>
      <c r="D64" s="200" t="s">
        <v>1243</v>
      </c>
      <c r="E64" s="201">
        <v>0.41666666666666669</v>
      </c>
      <c r="F64" s="212"/>
      <c r="G64" s="201">
        <v>0.47916666666666669</v>
      </c>
      <c r="H64" s="215" t="s">
        <v>1244</v>
      </c>
      <c r="I64" s="216" t="s">
        <v>1236</v>
      </c>
    </row>
    <row r="65" spans="1:9" ht="15" customHeight="1" x14ac:dyDescent="0.3">
      <c r="A65" s="197"/>
      <c r="B65" s="198" t="s">
        <v>1245</v>
      </c>
      <c r="C65" s="199" t="s">
        <v>1212</v>
      </c>
      <c r="D65" s="200" t="s">
        <v>1243</v>
      </c>
      <c r="E65" s="201">
        <v>0.54166666666666663</v>
      </c>
      <c r="F65" s="212"/>
      <c r="G65" s="201">
        <v>0.60416666666666663</v>
      </c>
      <c r="H65" s="215" t="s">
        <v>1244</v>
      </c>
      <c r="I65" s="217" t="s">
        <v>1214</v>
      </c>
    </row>
    <row r="66" spans="1:9" ht="15" customHeight="1" x14ac:dyDescent="0.3">
      <c r="A66" s="197"/>
      <c r="B66" s="198" t="s">
        <v>1246</v>
      </c>
      <c r="C66" s="199" t="s">
        <v>1071</v>
      </c>
      <c r="D66" s="200" t="s">
        <v>1247</v>
      </c>
      <c r="E66" s="196">
        <v>0.29166666666666669</v>
      </c>
      <c r="F66" s="212"/>
      <c r="G66" s="196">
        <v>0.35416666666666669</v>
      </c>
      <c r="H66" s="215" t="s">
        <v>1244</v>
      </c>
      <c r="I66" s="217" t="s">
        <v>1215</v>
      </c>
    </row>
    <row r="67" spans="1:9" ht="15" customHeight="1" x14ac:dyDescent="0.3">
      <c r="A67" s="197"/>
      <c r="B67" s="198" t="s">
        <v>1248</v>
      </c>
      <c r="C67" s="199" t="s">
        <v>1216</v>
      </c>
      <c r="D67" s="200" t="s">
        <v>1247</v>
      </c>
      <c r="E67" s="196">
        <v>0.35416666666666669</v>
      </c>
      <c r="F67" s="212"/>
      <c r="G67" s="196">
        <v>0.41666666666666669</v>
      </c>
      <c r="H67" s="215" t="s">
        <v>1244</v>
      </c>
      <c r="I67" s="216" t="s">
        <v>1249</v>
      </c>
    </row>
    <row r="68" spans="1:9" ht="15" customHeight="1" x14ac:dyDescent="0.3">
      <c r="A68" s="197"/>
      <c r="B68" s="198" t="s">
        <v>1250</v>
      </c>
      <c r="C68" s="199" t="s">
        <v>1073</v>
      </c>
      <c r="D68" s="200" t="s">
        <v>1247</v>
      </c>
      <c r="E68" s="201">
        <v>0.47916666666666669</v>
      </c>
      <c r="F68" s="212"/>
      <c r="G68" s="201">
        <v>0.54166666666666663</v>
      </c>
      <c r="H68" s="215" t="s">
        <v>1244</v>
      </c>
      <c r="I68" s="216" t="s">
        <v>1251</v>
      </c>
    </row>
    <row r="69" spans="1:9" ht="15" customHeight="1" x14ac:dyDescent="0.3">
      <c r="A69" s="197"/>
      <c r="B69" s="198" t="s">
        <v>1252</v>
      </c>
      <c r="C69" s="199" t="s">
        <v>1070</v>
      </c>
      <c r="D69" s="200" t="s">
        <v>1226</v>
      </c>
      <c r="E69" s="202">
        <v>0.29166666666666669</v>
      </c>
      <c r="F69" s="212"/>
      <c r="G69" s="201">
        <v>0.41666666666666669</v>
      </c>
      <c r="H69" s="215" t="s">
        <v>1244</v>
      </c>
      <c r="I69" s="216" t="s">
        <v>1232</v>
      </c>
    </row>
    <row r="70" spans="1:9" ht="15" customHeight="1" x14ac:dyDescent="0.3">
      <c r="A70" s="197"/>
      <c r="B70" s="198" t="s">
        <v>1253</v>
      </c>
      <c r="C70" s="199" t="s">
        <v>1237</v>
      </c>
      <c r="D70" s="200" t="s">
        <v>1226</v>
      </c>
      <c r="E70" s="201">
        <v>0.47916666666666669</v>
      </c>
      <c r="F70" s="212"/>
      <c r="G70" s="201">
        <v>0.60416666666666663</v>
      </c>
      <c r="H70" s="215" t="s">
        <v>1254</v>
      </c>
      <c r="I70" s="216" t="s">
        <v>1236</v>
      </c>
    </row>
    <row r="71" spans="1:9" ht="14.4" x14ac:dyDescent="0.3">
      <c r="A71" s="197"/>
      <c r="B71" s="198"/>
      <c r="C71" s="199"/>
      <c r="D71" s="200"/>
      <c r="E71" s="201"/>
      <c r="F71" s="212"/>
      <c r="G71" s="201"/>
      <c r="H71" s="215"/>
      <c r="I71" s="216"/>
    </row>
    <row r="72" spans="1:9" ht="14.4" x14ac:dyDescent="0.3">
      <c r="A72" s="197"/>
      <c r="B72" s="203"/>
      <c r="C72" s="204"/>
      <c r="D72" s="205"/>
      <c r="E72" s="206"/>
      <c r="F72" s="218"/>
      <c r="G72" s="206"/>
      <c r="H72" s="219"/>
      <c r="I72" s="220"/>
    </row>
    <row r="73" spans="1:9" ht="15" thickBot="1" x14ac:dyDescent="0.35">
      <c r="A73" s="207"/>
      <c r="B73" s="208"/>
      <c r="C73" s="209"/>
      <c r="D73" s="210"/>
      <c r="E73" s="211"/>
      <c r="F73" s="221"/>
      <c r="G73" s="211"/>
      <c r="H73" s="222"/>
      <c r="I73" s="223"/>
    </row>
    <row r="74" spans="1:9" ht="14.4" thickBot="1" x14ac:dyDescent="0.35"/>
    <row r="75" spans="1:9" x14ac:dyDescent="0.3">
      <c r="A75" s="226" t="s">
        <v>1204</v>
      </c>
      <c r="B75" s="224" t="s">
        <v>1205</v>
      </c>
      <c r="C75" s="224" t="s">
        <v>1206</v>
      </c>
      <c r="D75" s="224" t="s">
        <v>1207</v>
      </c>
      <c r="E75" s="368" t="s">
        <v>1208</v>
      </c>
      <c r="F75" s="368"/>
      <c r="G75" s="368"/>
      <c r="H75" s="224" t="s">
        <v>1209</v>
      </c>
      <c r="I75" s="225" t="s">
        <v>1210</v>
      </c>
    </row>
    <row r="76" spans="1:9" ht="15" customHeight="1" x14ac:dyDescent="0.3">
      <c r="A76" s="197" t="s">
        <v>1255</v>
      </c>
      <c r="B76" s="193" t="s">
        <v>1241</v>
      </c>
      <c r="C76" s="194" t="s">
        <v>1223</v>
      </c>
      <c r="D76" s="195"/>
      <c r="E76" s="196"/>
      <c r="F76" s="212"/>
      <c r="G76" s="196"/>
      <c r="H76" s="213"/>
      <c r="I76" s="214"/>
    </row>
    <row r="77" spans="1:9" ht="15" customHeight="1" x14ac:dyDescent="0.3">
      <c r="A77" s="197"/>
      <c r="B77" s="198" t="s">
        <v>1256</v>
      </c>
      <c r="C77" s="199" t="s">
        <v>1108</v>
      </c>
      <c r="D77" s="200" t="s">
        <v>1243</v>
      </c>
      <c r="E77" s="201">
        <v>0.29166666666666669</v>
      </c>
      <c r="F77" s="212"/>
      <c r="G77" s="201">
        <v>0.35416666666666669</v>
      </c>
      <c r="H77" s="215" t="s">
        <v>1257</v>
      </c>
      <c r="I77" s="216" t="s">
        <v>1258</v>
      </c>
    </row>
    <row r="78" spans="1:9" ht="15" customHeight="1" x14ac:dyDescent="0.3">
      <c r="A78" s="197"/>
      <c r="B78" s="198" t="s">
        <v>1259</v>
      </c>
      <c r="C78" s="199" t="s">
        <v>1260</v>
      </c>
      <c r="D78" s="200" t="s">
        <v>1243</v>
      </c>
      <c r="E78" s="201">
        <v>0.35416666666666669</v>
      </c>
      <c r="F78" s="212"/>
      <c r="G78" s="201">
        <v>0.41666666666666669</v>
      </c>
      <c r="H78" s="215" t="s">
        <v>1261</v>
      </c>
      <c r="I78" s="216" t="s">
        <v>1262</v>
      </c>
    </row>
    <row r="79" spans="1:9" ht="15" customHeight="1" x14ac:dyDescent="0.3">
      <c r="A79" s="197"/>
      <c r="B79" s="198" t="s">
        <v>1245</v>
      </c>
      <c r="C79" s="199" t="s">
        <v>1212</v>
      </c>
      <c r="D79" s="200" t="s">
        <v>1247</v>
      </c>
      <c r="E79" s="201">
        <v>0.29166666666666669</v>
      </c>
      <c r="F79" s="212"/>
      <c r="G79" s="201">
        <v>0.35416666666666669</v>
      </c>
      <c r="H79" s="215" t="s">
        <v>1263</v>
      </c>
      <c r="I79" s="217" t="s">
        <v>1232</v>
      </c>
    </row>
    <row r="80" spans="1:9" ht="15" customHeight="1" x14ac:dyDescent="0.3">
      <c r="A80" s="197"/>
      <c r="B80" s="198" t="s">
        <v>1246</v>
      </c>
      <c r="C80" s="199" t="s">
        <v>1071</v>
      </c>
      <c r="D80" s="200" t="s">
        <v>1247</v>
      </c>
      <c r="E80" s="196">
        <v>0.35416666666666669</v>
      </c>
      <c r="F80" s="212"/>
      <c r="G80" s="196">
        <v>0.41666666666666669</v>
      </c>
      <c r="H80" s="215" t="s">
        <v>1263</v>
      </c>
      <c r="I80" s="217" t="s">
        <v>1215</v>
      </c>
    </row>
    <row r="81" spans="1:9" ht="15" customHeight="1" x14ac:dyDescent="0.3">
      <c r="A81" s="197"/>
      <c r="B81" s="198" t="s">
        <v>1248</v>
      </c>
      <c r="C81" s="199" t="s">
        <v>1216</v>
      </c>
      <c r="D81" s="200" t="s">
        <v>1247</v>
      </c>
      <c r="E81" s="196">
        <v>0.47916666666666669</v>
      </c>
      <c r="F81" s="212"/>
      <c r="G81" s="196">
        <v>0.54166666666666663</v>
      </c>
      <c r="H81" s="215" t="s">
        <v>1263</v>
      </c>
      <c r="I81" s="216" t="s">
        <v>1217</v>
      </c>
    </row>
    <row r="82" spans="1:9" ht="15" customHeight="1" x14ac:dyDescent="0.3">
      <c r="A82" s="197"/>
      <c r="B82" s="198" t="s">
        <v>1250</v>
      </c>
      <c r="C82" s="199" t="s">
        <v>1073</v>
      </c>
      <c r="D82" s="200" t="s">
        <v>1247</v>
      </c>
      <c r="E82" s="201">
        <v>0.54166666666666663</v>
      </c>
      <c r="F82" s="212"/>
      <c r="G82" s="201">
        <v>0.60416666666666663</v>
      </c>
      <c r="H82" s="215" t="s">
        <v>1263</v>
      </c>
      <c r="I82" s="216" t="s">
        <v>1264</v>
      </c>
    </row>
    <row r="83" spans="1:9" ht="15" customHeight="1" x14ac:dyDescent="0.3">
      <c r="A83" s="197"/>
      <c r="B83" s="198" t="s">
        <v>1239</v>
      </c>
      <c r="C83" s="199" t="s">
        <v>1220</v>
      </c>
      <c r="D83" s="200" t="s">
        <v>1226</v>
      </c>
      <c r="E83" s="202">
        <v>0.33333333333333331</v>
      </c>
      <c r="F83" s="212"/>
      <c r="G83" s="201">
        <v>0.41666666666666669</v>
      </c>
      <c r="H83" s="215" t="s">
        <v>1221</v>
      </c>
      <c r="I83" s="216" t="s">
        <v>1240</v>
      </c>
    </row>
    <row r="84" spans="1:9" ht="15" customHeight="1" x14ac:dyDescent="0.3">
      <c r="A84" s="197"/>
      <c r="B84" s="198" t="s">
        <v>1252</v>
      </c>
      <c r="C84" s="199" t="s">
        <v>1070</v>
      </c>
      <c r="D84" s="200" t="s">
        <v>1226</v>
      </c>
      <c r="E84" s="201">
        <v>0.47916666666666669</v>
      </c>
      <c r="F84" s="212"/>
      <c r="G84" s="201">
        <v>0.60416666666666663</v>
      </c>
      <c r="H84" s="215" t="s">
        <v>1265</v>
      </c>
      <c r="I84" s="216" t="s">
        <v>1232</v>
      </c>
    </row>
    <row r="85" spans="1:9" ht="14.4" x14ac:dyDescent="0.3">
      <c r="A85" s="197"/>
      <c r="B85" s="198"/>
      <c r="C85" s="199"/>
      <c r="D85" s="200"/>
      <c r="E85" s="201"/>
      <c r="F85" s="212"/>
      <c r="G85" s="201"/>
      <c r="H85" s="215"/>
      <c r="I85" s="216"/>
    </row>
    <row r="86" spans="1:9" ht="14.4" x14ac:dyDescent="0.3">
      <c r="A86" s="197"/>
      <c r="B86" s="203"/>
      <c r="C86" s="204"/>
      <c r="D86" s="205"/>
      <c r="E86" s="206"/>
      <c r="F86" s="218"/>
      <c r="G86" s="206"/>
      <c r="H86" s="219"/>
      <c r="I86" s="220"/>
    </row>
    <row r="87" spans="1:9" ht="15" thickBot="1" x14ac:dyDescent="0.35">
      <c r="A87" s="207"/>
      <c r="B87" s="208"/>
      <c r="C87" s="209"/>
      <c r="D87" s="210"/>
      <c r="E87" s="211"/>
      <c r="F87" s="221"/>
      <c r="G87" s="211"/>
      <c r="H87" s="222"/>
      <c r="I87" s="223"/>
    </row>
    <row r="88" spans="1:9" ht="14.4" thickBot="1" x14ac:dyDescent="0.35"/>
    <row r="89" spans="1:9" x14ac:dyDescent="0.3">
      <c r="A89" s="226" t="s">
        <v>1204</v>
      </c>
      <c r="B89" s="224" t="s">
        <v>1205</v>
      </c>
      <c r="C89" s="224" t="s">
        <v>1206</v>
      </c>
      <c r="D89" s="224" t="s">
        <v>1207</v>
      </c>
      <c r="E89" s="368" t="s">
        <v>1208</v>
      </c>
      <c r="F89" s="368"/>
      <c r="G89" s="368"/>
      <c r="H89" s="224" t="s">
        <v>1209</v>
      </c>
      <c r="I89" s="225" t="s">
        <v>1210</v>
      </c>
    </row>
    <row r="90" spans="1:9" ht="15" customHeight="1" x14ac:dyDescent="0.3">
      <c r="A90" s="197" t="s">
        <v>1266</v>
      </c>
      <c r="B90" s="193" t="s">
        <v>1239</v>
      </c>
      <c r="C90" s="194" t="s">
        <v>1220</v>
      </c>
      <c r="D90" s="195" t="s">
        <v>1267</v>
      </c>
      <c r="E90" s="196">
        <v>0.625</v>
      </c>
      <c r="F90" s="212"/>
      <c r="G90" s="196">
        <v>0.70833333333333337</v>
      </c>
      <c r="H90" s="213" t="s">
        <v>1221</v>
      </c>
      <c r="I90" s="214" t="s">
        <v>1268</v>
      </c>
    </row>
    <row r="91" spans="1:9" ht="15" customHeight="1" x14ac:dyDescent="0.3">
      <c r="A91" s="197"/>
      <c r="B91" s="198" t="s">
        <v>1241</v>
      </c>
      <c r="C91" s="199" t="s">
        <v>1223</v>
      </c>
      <c r="D91" s="200"/>
      <c r="E91" s="201"/>
      <c r="F91" s="212"/>
      <c r="G91" s="201"/>
      <c r="H91" s="215"/>
      <c r="I91" s="216"/>
    </row>
    <row r="92" spans="1:9" ht="15" customHeight="1" x14ac:dyDescent="0.3">
      <c r="A92" s="197"/>
      <c r="B92" s="198" t="s">
        <v>1269</v>
      </c>
      <c r="C92" s="199" t="s">
        <v>1270</v>
      </c>
      <c r="D92" s="200" t="s">
        <v>1243</v>
      </c>
      <c r="E92" s="201">
        <v>0.54166666666666663</v>
      </c>
      <c r="F92" s="212"/>
      <c r="G92" s="201">
        <v>0.60416666666666663</v>
      </c>
      <c r="H92" s="215" t="s">
        <v>1271</v>
      </c>
      <c r="I92" s="216" t="s">
        <v>1264</v>
      </c>
    </row>
    <row r="93" spans="1:9" ht="15" customHeight="1" x14ac:dyDescent="0.3">
      <c r="A93" s="197"/>
      <c r="B93" s="198" t="s">
        <v>1252</v>
      </c>
      <c r="C93" s="199" t="s">
        <v>1070</v>
      </c>
      <c r="D93" s="200" t="s">
        <v>1243</v>
      </c>
      <c r="E93" s="201">
        <v>0.35416666666666669</v>
      </c>
      <c r="F93" s="212"/>
      <c r="G93" s="201">
        <v>0.41666666666666669</v>
      </c>
      <c r="H93" s="215" t="s">
        <v>1271</v>
      </c>
      <c r="I93" s="217" t="s">
        <v>1232</v>
      </c>
    </row>
    <row r="94" spans="1:9" ht="15" customHeight="1" x14ac:dyDescent="0.3">
      <c r="A94" s="197"/>
      <c r="B94" s="198" t="s">
        <v>1272</v>
      </c>
      <c r="C94" s="199" t="s">
        <v>1273</v>
      </c>
      <c r="D94" s="200" t="s">
        <v>1243</v>
      </c>
      <c r="E94" s="196">
        <v>0.41666666666666669</v>
      </c>
      <c r="F94" s="212"/>
      <c r="G94" s="196">
        <v>0.47916666666666669</v>
      </c>
      <c r="H94" s="215" t="s">
        <v>1271</v>
      </c>
      <c r="I94" s="217" t="s">
        <v>1251</v>
      </c>
    </row>
    <row r="95" spans="1:9" ht="15" customHeight="1" x14ac:dyDescent="0.3">
      <c r="A95" s="197"/>
      <c r="B95" s="198" t="s">
        <v>1250</v>
      </c>
      <c r="C95" s="199" t="s">
        <v>1073</v>
      </c>
      <c r="D95" s="200" t="s">
        <v>1247</v>
      </c>
      <c r="E95" s="196">
        <v>0.60416666666666663</v>
      </c>
      <c r="F95" s="212"/>
      <c r="G95" s="196">
        <v>0.66666666666666663</v>
      </c>
      <c r="H95" s="215" t="s">
        <v>1271</v>
      </c>
      <c r="I95" s="216" t="s">
        <v>1264</v>
      </c>
    </row>
    <row r="96" spans="1:9" ht="15" customHeight="1" x14ac:dyDescent="0.3">
      <c r="A96" s="197"/>
      <c r="B96" s="198" t="s">
        <v>1245</v>
      </c>
      <c r="C96" s="199" t="s">
        <v>1212</v>
      </c>
      <c r="D96" s="200" t="s">
        <v>1247</v>
      </c>
      <c r="E96" s="201">
        <v>0.35416666666666669</v>
      </c>
      <c r="F96" s="212"/>
      <c r="G96" s="201">
        <v>0.41666666666666669</v>
      </c>
      <c r="H96" s="215" t="s">
        <v>1271</v>
      </c>
      <c r="I96" s="216" t="s">
        <v>1214</v>
      </c>
    </row>
    <row r="97" spans="1:9" ht="15" customHeight="1" x14ac:dyDescent="0.3">
      <c r="A97" s="197"/>
      <c r="B97" s="198" t="s">
        <v>1246</v>
      </c>
      <c r="C97" s="199" t="s">
        <v>1071</v>
      </c>
      <c r="D97" s="200" t="s">
        <v>1247</v>
      </c>
      <c r="E97" s="202">
        <v>0.41666666666666669</v>
      </c>
      <c r="F97" s="212"/>
      <c r="G97" s="201">
        <v>0.47916666666666669</v>
      </c>
      <c r="H97" s="215" t="s">
        <v>1271</v>
      </c>
      <c r="I97" s="216" t="s">
        <v>1274</v>
      </c>
    </row>
    <row r="98" spans="1:9" ht="15" customHeight="1" x14ac:dyDescent="0.3">
      <c r="A98" s="197"/>
      <c r="B98" s="198" t="s">
        <v>1248</v>
      </c>
      <c r="C98" s="199" t="s">
        <v>1216</v>
      </c>
      <c r="D98" s="200" t="s">
        <v>1247</v>
      </c>
      <c r="E98" s="201">
        <v>0.54166666666666663</v>
      </c>
      <c r="F98" s="212"/>
      <c r="G98" s="201">
        <v>0.60416666666666663</v>
      </c>
      <c r="H98" s="215" t="s">
        <v>1271</v>
      </c>
      <c r="I98" s="216" t="s">
        <v>1249</v>
      </c>
    </row>
    <row r="99" spans="1:9" ht="14.4" x14ac:dyDescent="0.3">
      <c r="A99" s="197"/>
      <c r="B99" s="198"/>
      <c r="C99" s="199"/>
      <c r="D99" s="200"/>
      <c r="E99" s="201"/>
      <c r="F99" s="212"/>
      <c r="G99" s="201"/>
      <c r="H99" s="215"/>
      <c r="I99" s="216"/>
    </row>
    <row r="100" spans="1:9" ht="14.4" x14ac:dyDescent="0.3">
      <c r="A100" s="197"/>
      <c r="B100" s="203"/>
      <c r="C100" s="204"/>
      <c r="D100" s="205"/>
      <c r="E100" s="206"/>
      <c r="F100" s="218"/>
      <c r="G100" s="206"/>
      <c r="H100" s="219"/>
      <c r="I100" s="220"/>
    </row>
    <row r="101" spans="1:9" ht="14.4" x14ac:dyDescent="0.3">
      <c r="A101" s="207"/>
      <c r="B101" s="208"/>
      <c r="C101" s="209"/>
      <c r="D101" s="210"/>
      <c r="E101" s="211"/>
      <c r="F101" s="221"/>
      <c r="G101" s="211"/>
      <c r="H101" s="222"/>
      <c r="I101" s="223"/>
    </row>
    <row r="102" spans="1:9" ht="14.4" thickBot="1" x14ac:dyDescent="0.35"/>
    <row r="103" spans="1:9" ht="14.4" thickBot="1" x14ac:dyDescent="0.35">
      <c r="A103" s="226" t="s">
        <v>1204</v>
      </c>
      <c r="B103" s="224" t="s">
        <v>1205</v>
      </c>
      <c r="C103" s="224" t="s">
        <v>1206</v>
      </c>
      <c r="D103" s="224" t="s">
        <v>1207</v>
      </c>
      <c r="E103" s="368" t="s">
        <v>1208</v>
      </c>
      <c r="F103" s="368"/>
      <c r="G103" s="368"/>
      <c r="H103" s="224" t="s">
        <v>1209</v>
      </c>
      <c r="I103" s="225" t="s">
        <v>1210</v>
      </c>
    </row>
    <row r="104" spans="1:9" ht="14.4" x14ac:dyDescent="0.3">
      <c r="A104" s="197" t="s">
        <v>1275</v>
      </c>
      <c r="B104" s="193" t="s">
        <v>1239</v>
      </c>
      <c r="C104" s="194" t="s">
        <v>1220</v>
      </c>
      <c r="D104" s="195" t="s">
        <v>1224</v>
      </c>
      <c r="E104" s="196">
        <v>0.60416666666666663</v>
      </c>
      <c r="F104" s="212"/>
      <c r="G104" s="196">
        <v>0.6875</v>
      </c>
      <c r="H104" s="213" t="s">
        <v>1221</v>
      </c>
      <c r="I104" s="214" t="s">
        <v>1240</v>
      </c>
    </row>
    <row r="105" spans="1:9" ht="14.4" x14ac:dyDescent="0.3">
      <c r="A105" s="197"/>
      <c r="B105" s="198" t="s">
        <v>1241</v>
      </c>
      <c r="C105" s="199" t="s">
        <v>1223</v>
      </c>
      <c r="D105" s="200"/>
      <c r="E105" s="201"/>
      <c r="F105" s="212"/>
      <c r="G105" s="201"/>
      <c r="H105" s="215"/>
      <c r="I105" s="216"/>
    </row>
    <row r="106" spans="1:9" ht="14.4" x14ac:dyDescent="0.3">
      <c r="A106" s="197"/>
      <c r="B106" s="198" t="s">
        <v>1252</v>
      </c>
      <c r="C106" s="199" t="s">
        <v>1070</v>
      </c>
      <c r="D106" s="200" t="s">
        <v>1243</v>
      </c>
      <c r="E106" s="201">
        <v>0.35416666666666669</v>
      </c>
      <c r="F106" s="212"/>
      <c r="G106" s="201">
        <v>0.41666666666666669</v>
      </c>
      <c r="H106" s="215" t="s">
        <v>1276</v>
      </c>
      <c r="I106" s="216" t="s">
        <v>1232</v>
      </c>
    </row>
    <row r="107" spans="1:9" ht="14.4" x14ac:dyDescent="0.3">
      <c r="A107" s="197"/>
      <c r="B107" s="198" t="s">
        <v>1269</v>
      </c>
      <c r="C107" s="199" t="s">
        <v>1270</v>
      </c>
      <c r="D107" s="200" t="s">
        <v>1243</v>
      </c>
      <c r="E107" s="201">
        <v>0.47916666666666669</v>
      </c>
      <c r="F107" s="212"/>
      <c r="G107" s="201">
        <v>0.54166666666666663</v>
      </c>
      <c r="H107" s="215" t="s">
        <v>1276</v>
      </c>
      <c r="I107" s="217" t="s">
        <v>1251</v>
      </c>
    </row>
    <row r="108" spans="1:9" ht="14.4" x14ac:dyDescent="0.3">
      <c r="A108" s="197"/>
      <c r="B108" s="198" t="s">
        <v>1245</v>
      </c>
      <c r="C108" s="199" t="s">
        <v>1212</v>
      </c>
      <c r="D108" s="200" t="s">
        <v>1247</v>
      </c>
      <c r="E108" s="196">
        <v>0.35416666666666669</v>
      </c>
      <c r="F108" s="212"/>
      <c r="G108" s="196">
        <v>0.41666666666666669</v>
      </c>
      <c r="H108" s="215" t="s">
        <v>1276</v>
      </c>
      <c r="I108" s="217" t="s">
        <v>1277</v>
      </c>
    </row>
    <row r="109" spans="1:9" ht="14.4" x14ac:dyDescent="0.3">
      <c r="A109" s="197"/>
      <c r="B109" s="198" t="s">
        <v>1246</v>
      </c>
      <c r="C109" s="199" t="s">
        <v>1071</v>
      </c>
      <c r="D109" s="200" t="s">
        <v>1247</v>
      </c>
      <c r="E109" s="196">
        <v>0.47916666666666669</v>
      </c>
      <c r="F109" s="212"/>
      <c r="G109" s="196">
        <v>0.54166666666666663</v>
      </c>
      <c r="H109" s="215" t="s">
        <v>1276</v>
      </c>
      <c r="I109" s="216" t="s">
        <v>1215</v>
      </c>
    </row>
    <row r="110" spans="1:9" ht="14.4" x14ac:dyDescent="0.3">
      <c r="A110" s="197"/>
      <c r="B110" s="198" t="s">
        <v>1272</v>
      </c>
      <c r="C110" s="199" t="s">
        <v>1273</v>
      </c>
      <c r="D110" s="200" t="s">
        <v>1247</v>
      </c>
      <c r="E110" s="201">
        <v>0.54166666666666663</v>
      </c>
      <c r="F110" s="212"/>
      <c r="G110" s="201">
        <v>0.60416666666666663</v>
      </c>
      <c r="H110" s="215" t="s">
        <v>1276</v>
      </c>
      <c r="I110" s="216" t="s">
        <v>1251</v>
      </c>
    </row>
    <row r="111" spans="1:9" ht="14.4" x14ac:dyDescent="0.3">
      <c r="A111" s="197"/>
      <c r="B111" s="198" t="s">
        <v>1248</v>
      </c>
      <c r="C111" s="199" t="s">
        <v>1216</v>
      </c>
      <c r="D111" s="200" t="s">
        <v>1226</v>
      </c>
      <c r="E111" s="202">
        <v>0.29166666666666669</v>
      </c>
      <c r="F111" s="212"/>
      <c r="G111" s="201">
        <v>0.41666666666666669</v>
      </c>
      <c r="H111" s="215" t="s">
        <v>1276</v>
      </c>
      <c r="I111" s="216" t="s">
        <v>1249</v>
      </c>
    </row>
    <row r="112" spans="1:9" ht="14.4" x14ac:dyDescent="0.3">
      <c r="A112" s="197"/>
      <c r="B112" s="198" t="s">
        <v>1250</v>
      </c>
      <c r="C112" s="199" t="s">
        <v>1073</v>
      </c>
      <c r="D112" s="200" t="s">
        <v>1226</v>
      </c>
      <c r="E112" s="201">
        <v>0.47916666666666669</v>
      </c>
      <c r="F112" s="212"/>
      <c r="G112" s="201">
        <v>0.60416666666666663</v>
      </c>
      <c r="H112" s="215" t="s">
        <v>1276</v>
      </c>
      <c r="I112" s="216" t="s">
        <v>1278</v>
      </c>
    </row>
    <row r="113" spans="1:9" ht="14.4" x14ac:dyDescent="0.3">
      <c r="A113" s="197"/>
      <c r="B113" s="198"/>
      <c r="C113" s="199"/>
      <c r="D113" s="200"/>
      <c r="E113" s="201"/>
      <c r="F113" s="212"/>
      <c r="G113" s="201"/>
      <c r="H113" s="215"/>
      <c r="I113" s="216"/>
    </row>
    <row r="114" spans="1:9" ht="14.4" x14ac:dyDescent="0.3">
      <c r="A114" s="197"/>
      <c r="B114" s="203"/>
      <c r="C114" s="204"/>
      <c r="D114" s="205"/>
      <c r="E114" s="206"/>
      <c r="F114" s="218"/>
      <c r="G114" s="206"/>
      <c r="H114" s="219"/>
      <c r="I114" s="220"/>
    </row>
    <row r="115" spans="1:9" ht="15" thickBot="1" x14ac:dyDescent="0.35">
      <c r="A115" s="207"/>
      <c r="B115" s="208"/>
      <c r="C115" s="209"/>
      <c r="D115" s="210"/>
      <c r="E115" s="211"/>
      <c r="F115" s="221"/>
      <c r="G115" s="211"/>
      <c r="H115" s="222"/>
      <c r="I115" s="223"/>
    </row>
    <row r="116" spans="1:9" ht="14.4" thickBot="1" x14ac:dyDescent="0.35"/>
    <row r="117" spans="1:9" x14ac:dyDescent="0.3">
      <c r="A117" s="226" t="s">
        <v>1204</v>
      </c>
      <c r="B117" s="224" t="s">
        <v>1205</v>
      </c>
      <c r="C117" s="224" t="s">
        <v>1206</v>
      </c>
      <c r="D117" s="224" t="s">
        <v>1207</v>
      </c>
      <c r="E117" s="368" t="s">
        <v>1208</v>
      </c>
      <c r="F117" s="368"/>
      <c r="G117" s="368"/>
      <c r="H117" s="224" t="s">
        <v>1209</v>
      </c>
      <c r="I117" s="225" t="s">
        <v>1210</v>
      </c>
    </row>
    <row r="118" spans="1:9" ht="14.4" x14ac:dyDescent="0.3">
      <c r="A118" s="197" t="s">
        <v>1279</v>
      </c>
      <c r="B118" s="193" t="s">
        <v>1239</v>
      </c>
      <c r="C118" s="194" t="s">
        <v>1220</v>
      </c>
      <c r="D118" s="195" t="s">
        <v>1280</v>
      </c>
      <c r="E118" s="196">
        <v>0.60416666666666663</v>
      </c>
      <c r="F118" s="196"/>
      <c r="G118" s="196">
        <v>0.64583333333333337</v>
      </c>
      <c r="H118" s="213" t="s">
        <v>1221</v>
      </c>
      <c r="I118" s="214" t="s">
        <v>1268</v>
      </c>
    </row>
    <row r="119" spans="1:9" ht="14.4" x14ac:dyDescent="0.3">
      <c r="A119" s="197"/>
      <c r="B119" s="198" t="s">
        <v>1241</v>
      </c>
      <c r="C119" s="199" t="s">
        <v>1223</v>
      </c>
      <c r="D119" s="200"/>
      <c r="E119" s="201"/>
      <c r="F119" s="196"/>
      <c r="G119" s="201"/>
      <c r="H119" s="215"/>
      <c r="I119" s="216"/>
    </row>
    <row r="120" spans="1:9" ht="14.4" x14ac:dyDescent="0.3">
      <c r="A120" s="197"/>
      <c r="B120" s="198" t="s">
        <v>1252</v>
      </c>
      <c r="C120" s="199" t="s">
        <v>1070</v>
      </c>
      <c r="D120" s="200" t="s">
        <v>1218</v>
      </c>
      <c r="E120" s="201">
        <v>0.41666666666666669</v>
      </c>
      <c r="F120" s="196"/>
      <c r="G120" s="201">
        <v>0.47916666666666669</v>
      </c>
      <c r="H120" s="215" t="s">
        <v>1263</v>
      </c>
      <c r="I120" s="216" t="s">
        <v>1281</v>
      </c>
    </row>
    <row r="121" spans="1:9" ht="14.4" x14ac:dyDescent="0.3">
      <c r="A121" s="197"/>
      <c r="B121" s="198" t="s">
        <v>1269</v>
      </c>
      <c r="C121" s="199" t="s">
        <v>1270</v>
      </c>
      <c r="D121" s="200" t="s">
        <v>1226</v>
      </c>
      <c r="E121" s="201">
        <v>0.47916666666666669</v>
      </c>
      <c r="F121" s="196"/>
      <c r="G121" s="201">
        <v>0.60416666666666663</v>
      </c>
      <c r="H121" s="215" t="s">
        <v>1254</v>
      </c>
      <c r="I121" s="217" t="s">
        <v>1251</v>
      </c>
    </row>
    <row r="122" spans="1:9" ht="14.4" x14ac:dyDescent="0.3">
      <c r="A122" s="197"/>
      <c r="B122" s="198" t="s">
        <v>1245</v>
      </c>
      <c r="C122" s="199" t="s">
        <v>1212</v>
      </c>
      <c r="D122" s="200" t="s">
        <v>1218</v>
      </c>
      <c r="E122" s="196">
        <v>0.54166666666666663</v>
      </c>
      <c r="F122" s="196"/>
      <c r="G122" s="196">
        <v>0.60416666666666663</v>
      </c>
      <c r="H122" s="215" t="s">
        <v>1282</v>
      </c>
      <c r="I122" s="217" t="s">
        <v>1214</v>
      </c>
    </row>
    <row r="123" spans="1:9" ht="14.4" x14ac:dyDescent="0.3">
      <c r="A123" s="197"/>
      <c r="B123" s="198" t="s">
        <v>1246</v>
      </c>
      <c r="C123" s="199" t="s">
        <v>1071</v>
      </c>
      <c r="D123" s="200" t="s">
        <v>1226</v>
      </c>
      <c r="E123" s="196">
        <v>0.29166666666666669</v>
      </c>
      <c r="F123" s="196"/>
      <c r="G123" s="196">
        <v>0.41666666666666669</v>
      </c>
      <c r="H123" s="215" t="s">
        <v>1282</v>
      </c>
      <c r="I123" s="216" t="s">
        <v>1283</v>
      </c>
    </row>
    <row r="124" spans="1:9" ht="14.4" x14ac:dyDescent="0.3">
      <c r="A124" s="197"/>
      <c r="B124" s="198" t="s">
        <v>1272</v>
      </c>
      <c r="C124" s="199" t="s">
        <v>1273</v>
      </c>
      <c r="D124" s="200" t="s">
        <v>1213</v>
      </c>
      <c r="E124" s="201">
        <v>0.29166666666666669</v>
      </c>
      <c r="F124" s="196"/>
      <c r="G124" s="201">
        <v>0.35416666666666669</v>
      </c>
      <c r="H124" s="215" t="s">
        <v>1276</v>
      </c>
      <c r="I124" s="216" t="s">
        <v>1251</v>
      </c>
    </row>
    <row r="125" spans="1:9" ht="14.4" x14ac:dyDescent="0.3">
      <c r="A125" s="197"/>
      <c r="B125" s="198" t="s">
        <v>1248</v>
      </c>
      <c r="C125" s="199" t="s">
        <v>1216</v>
      </c>
      <c r="D125" s="200" t="s">
        <v>1213</v>
      </c>
      <c r="E125" s="202">
        <v>0.35416666666666669</v>
      </c>
      <c r="F125" s="196"/>
      <c r="G125" s="201">
        <v>0.41666666666666669</v>
      </c>
      <c r="H125" s="215" t="s">
        <v>1263</v>
      </c>
      <c r="I125" s="216" t="s">
        <v>1251</v>
      </c>
    </row>
    <row r="126" spans="1:9" ht="14.4" x14ac:dyDescent="0.3">
      <c r="A126" s="197"/>
      <c r="B126" s="198" t="s">
        <v>1250</v>
      </c>
      <c r="C126" s="199" t="s">
        <v>1073</v>
      </c>
      <c r="D126" s="200" t="s">
        <v>1213</v>
      </c>
      <c r="E126" s="201">
        <v>0.47916666666666669</v>
      </c>
      <c r="F126" s="196"/>
      <c r="G126" s="201">
        <v>0.54166666666666663</v>
      </c>
      <c r="H126" s="215" t="s">
        <v>1263</v>
      </c>
      <c r="I126" s="216" t="s">
        <v>1229</v>
      </c>
    </row>
    <row r="127" spans="1:9" ht="14.4" x14ac:dyDescent="0.3">
      <c r="A127" s="197"/>
      <c r="B127" s="198"/>
      <c r="C127" s="199"/>
      <c r="D127" s="200"/>
      <c r="E127" s="201"/>
      <c r="F127" s="212"/>
      <c r="G127" s="201"/>
      <c r="H127" s="215"/>
      <c r="I127" s="216"/>
    </row>
    <row r="128" spans="1:9" ht="14.4" x14ac:dyDescent="0.3">
      <c r="A128" s="197"/>
      <c r="B128" s="203"/>
      <c r="C128" s="204"/>
      <c r="D128" s="205"/>
      <c r="E128" s="206"/>
      <c r="F128" s="218"/>
      <c r="G128" s="206"/>
      <c r="H128" s="219"/>
      <c r="I128" s="220"/>
    </row>
    <row r="129" spans="1:9" ht="15" thickBot="1" x14ac:dyDescent="0.35">
      <c r="A129" s="207"/>
      <c r="B129" s="208"/>
      <c r="C129" s="209"/>
      <c r="D129" s="210"/>
      <c r="E129" s="211"/>
      <c r="F129" s="221"/>
      <c r="G129" s="211"/>
      <c r="H129" s="222"/>
      <c r="I129" s="223"/>
    </row>
    <row r="130" spans="1:9" ht="14.4" thickBot="1" x14ac:dyDescent="0.35"/>
    <row r="131" spans="1:9" x14ac:dyDescent="0.3">
      <c r="A131" s="226" t="s">
        <v>1204</v>
      </c>
      <c r="B131" s="224" t="s">
        <v>1205</v>
      </c>
      <c r="C131" s="224" t="s">
        <v>1206</v>
      </c>
      <c r="D131" s="224" t="s">
        <v>1207</v>
      </c>
      <c r="E131" s="368" t="s">
        <v>1208</v>
      </c>
      <c r="F131" s="368"/>
      <c r="G131" s="368"/>
      <c r="H131" s="224" t="s">
        <v>1209</v>
      </c>
      <c r="I131" s="225" t="s">
        <v>1210</v>
      </c>
    </row>
    <row r="132" spans="1:9" ht="14.4" x14ac:dyDescent="0.3">
      <c r="A132" s="197" t="s">
        <v>1284</v>
      </c>
      <c r="B132" s="193" t="s">
        <v>1239</v>
      </c>
      <c r="C132" s="194" t="s">
        <v>1220</v>
      </c>
      <c r="D132" s="195" t="s">
        <v>1285</v>
      </c>
      <c r="E132" s="196">
        <v>0.54166666666666663</v>
      </c>
      <c r="F132" s="196"/>
      <c r="G132" s="196">
        <v>0.625</v>
      </c>
      <c r="H132" s="213" t="s">
        <v>1221</v>
      </c>
      <c r="I132" s="214" t="s">
        <v>1268</v>
      </c>
    </row>
    <row r="133" spans="1:9" ht="14.4" x14ac:dyDescent="0.3">
      <c r="A133" s="197"/>
      <c r="B133" s="198" t="s">
        <v>1241</v>
      </c>
      <c r="C133" s="199" t="s">
        <v>1223</v>
      </c>
      <c r="D133" s="200"/>
      <c r="E133" s="201"/>
      <c r="F133" s="196"/>
      <c r="G133" s="201"/>
      <c r="H133" s="215"/>
      <c r="I133" s="216"/>
    </row>
    <row r="134" spans="1:9" ht="14.4" x14ac:dyDescent="0.3">
      <c r="A134" s="197"/>
      <c r="B134" s="198" t="s">
        <v>1286</v>
      </c>
      <c r="C134" s="199" t="s">
        <v>1104</v>
      </c>
      <c r="D134" s="200" t="s">
        <v>1243</v>
      </c>
      <c r="E134" s="201">
        <v>0.29166666666666669</v>
      </c>
      <c r="F134" s="196"/>
      <c r="G134" s="201">
        <v>0.35416666666666669</v>
      </c>
      <c r="H134" s="215" t="s">
        <v>1287</v>
      </c>
      <c r="I134" s="216" t="s">
        <v>1258</v>
      </c>
    </row>
    <row r="135" spans="1:9" ht="14.4" x14ac:dyDescent="0.3">
      <c r="A135" s="197"/>
      <c r="B135" s="198" t="s">
        <v>1288</v>
      </c>
      <c r="C135" s="199" t="s">
        <v>1105</v>
      </c>
      <c r="D135" s="200" t="s">
        <v>1243</v>
      </c>
      <c r="E135" s="201">
        <v>0.35416666666666669</v>
      </c>
      <c r="F135" s="196"/>
      <c r="G135" s="201">
        <v>0.41666666666666669</v>
      </c>
      <c r="H135" s="215" t="s">
        <v>1289</v>
      </c>
      <c r="I135" s="217" t="s">
        <v>1258</v>
      </c>
    </row>
    <row r="136" spans="1:9" ht="14.4" x14ac:dyDescent="0.3">
      <c r="A136" s="197"/>
      <c r="B136" s="198" t="s">
        <v>1252</v>
      </c>
      <c r="C136" s="199" t="s">
        <v>1070</v>
      </c>
      <c r="D136" s="200" t="s">
        <v>1243</v>
      </c>
      <c r="E136" s="196">
        <v>0.47916666666666669</v>
      </c>
      <c r="F136" s="196"/>
      <c r="G136" s="196">
        <v>0.54166666666666663</v>
      </c>
      <c r="H136" s="215" t="s">
        <v>1290</v>
      </c>
      <c r="I136" s="217" t="s">
        <v>1232</v>
      </c>
    </row>
    <row r="137" spans="1:9" ht="14.4" x14ac:dyDescent="0.3">
      <c r="A137" s="197"/>
      <c r="B137" s="198" t="s">
        <v>1250</v>
      </c>
      <c r="C137" s="199" t="s">
        <v>1073</v>
      </c>
      <c r="D137" s="200" t="s">
        <v>1247</v>
      </c>
      <c r="E137" s="196">
        <v>0.29166666666666669</v>
      </c>
      <c r="F137" s="196"/>
      <c r="G137" s="196">
        <v>0.35416666666666669</v>
      </c>
      <c r="H137" s="215" t="s">
        <v>1290</v>
      </c>
      <c r="I137" s="216" t="s">
        <v>1251</v>
      </c>
    </row>
    <row r="138" spans="1:9" ht="14.4" x14ac:dyDescent="0.3">
      <c r="A138" s="197"/>
      <c r="B138" s="198" t="s">
        <v>1246</v>
      </c>
      <c r="C138" s="199" t="s">
        <v>1071</v>
      </c>
      <c r="D138" s="200" t="s">
        <v>1247</v>
      </c>
      <c r="E138" s="201">
        <v>0.35416666666666669</v>
      </c>
      <c r="F138" s="196"/>
      <c r="G138" s="201">
        <v>0.41666666666666669</v>
      </c>
      <c r="H138" s="215" t="s">
        <v>1291</v>
      </c>
      <c r="I138" s="216" t="s">
        <v>1283</v>
      </c>
    </row>
    <row r="139" spans="1:9" ht="14.4" x14ac:dyDescent="0.3">
      <c r="A139" s="197"/>
      <c r="B139" s="198" t="s">
        <v>1245</v>
      </c>
      <c r="C139" s="199" t="s">
        <v>1212</v>
      </c>
      <c r="D139" s="200" t="s">
        <v>1247</v>
      </c>
      <c r="E139" s="202">
        <v>0.47916666666666669</v>
      </c>
      <c r="F139" s="196"/>
      <c r="G139" s="201">
        <v>0.54166666666666663</v>
      </c>
      <c r="H139" s="215" t="s">
        <v>1290</v>
      </c>
      <c r="I139" s="216" t="s">
        <v>1214</v>
      </c>
    </row>
    <row r="140" spans="1:9" ht="14.4" x14ac:dyDescent="0.3">
      <c r="A140" s="197"/>
      <c r="B140" s="198" t="s">
        <v>1248</v>
      </c>
      <c r="C140" s="199" t="s">
        <v>1216</v>
      </c>
      <c r="D140" s="200" t="s">
        <v>1226</v>
      </c>
      <c r="E140" s="201">
        <v>0.47916666666666669</v>
      </c>
      <c r="F140" s="196"/>
      <c r="G140" s="201">
        <v>0.60416666666666663</v>
      </c>
      <c r="H140" s="215" t="s">
        <v>1290</v>
      </c>
      <c r="I140" s="216" t="s">
        <v>1249</v>
      </c>
    </row>
    <row r="141" spans="1:9" ht="14.4" x14ac:dyDescent="0.3">
      <c r="A141" s="197"/>
      <c r="B141" s="198"/>
      <c r="C141" s="199"/>
      <c r="D141" s="200"/>
      <c r="E141" s="201"/>
      <c r="F141" s="212"/>
      <c r="G141" s="201"/>
      <c r="H141" s="215"/>
      <c r="I141" s="216"/>
    </row>
    <row r="142" spans="1:9" ht="14.4" x14ac:dyDescent="0.3">
      <c r="A142" s="197"/>
      <c r="B142" s="203"/>
      <c r="C142" s="204"/>
      <c r="D142" s="205"/>
      <c r="E142" s="206"/>
      <c r="F142" s="218"/>
      <c r="G142" s="206"/>
      <c r="H142" s="219"/>
      <c r="I142" s="220"/>
    </row>
    <row r="143" spans="1:9" ht="15" thickBot="1" x14ac:dyDescent="0.35">
      <c r="A143" s="207"/>
      <c r="B143" s="208"/>
      <c r="C143" s="209"/>
      <c r="D143" s="210"/>
      <c r="E143" s="211"/>
      <c r="F143" s="221"/>
      <c r="G143" s="211"/>
      <c r="H143" s="222"/>
      <c r="I143" s="223"/>
    </row>
    <row r="144" spans="1:9" ht="14.4" thickBot="1" x14ac:dyDescent="0.35"/>
    <row r="145" spans="1:9" x14ac:dyDescent="0.3">
      <c r="A145" s="226" t="s">
        <v>1204</v>
      </c>
      <c r="B145" s="224" t="s">
        <v>1205</v>
      </c>
      <c r="C145" s="224" t="s">
        <v>1206</v>
      </c>
      <c r="D145" s="224" t="s">
        <v>1207</v>
      </c>
      <c r="E145" s="368" t="s">
        <v>1208</v>
      </c>
      <c r="F145" s="368"/>
      <c r="G145" s="368"/>
      <c r="H145" s="224" t="s">
        <v>1209</v>
      </c>
      <c r="I145" s="225" t="s">
        <v>1210</v>
      </c>
    </row>
    <row r="146" spans="1:9" ht="14.4" x14ac:dyDescent="0.3">
      <c r="A146" s="197" t="s">
        <v>1292</v>
      </c>
      <c r="B146" s="193" t="s">
        <v>1241</v>
      </c>
      <c r="C146" s="194" t="s">
        <v>1223</v>
      </c>
      <c r="D146" s="195"/>
      <c r="E146" s="196"/>
      <c r="F146" s="196"/>
      <c r="G146" s="196"/>
      <c r="H146" s="213"/>
      <c r="I146" s="214"/>
    </row>
    <row r="147" spans="1:9" ht="14.4" x14ac:dyDescent="0.3">
      <c r="A147" s="197"/>
      <c r="B147" s="198" t="s">
        <v>1239</v>
      </c>
      <c r="C147" s="199" t="s">
        <v>1220</v>
      </c>
      <c r="D147" s="200" t="s">
        <v>1267</v>
      </c>
      <c r="E147" s="201">
        <v>0.54166666666666663</v>
      </c>
      <c r="F147" s="196"/>
      <c r="G147" s="201">
        <v>0.625</v>
      </c>
      <c r="H147" s="215" t="s">
        <v>1221</v>
      </c>
      <c r="I147" s="216" t="s">
        <v>1240</v>
      </c>
    </row>
    <row r="148" spans="1:9" ht="14.4" x14ac:dyDescent="0.3">
      <c r="A148" s="197"/>
      <c r="B148" s="198" t="s">
        <v>1288</v>
      </c>
      <c r="C148" s="199" t="s">
        <v>1105</v>
      </c>
      <c r="D148" s="200" t="s">
        <v>1226</v>
      </c>
      <c r="E148" s="201" t="s">
        <v>1293</v>
      </c>
      <c r="F148" s="196"/>
      <c r="G148" s="201" t="s">
        <v>1294</v>
      </c>
      <c r="H148" s="215" t="s">
        <v>1295</v>
      </c>
      <c r="I148" s="216" t="s">
        <v>1262</v>
      </c>
    </row>
    <row r="149" spans="1:9" ht="14.4" x14ac:dyDescent="0.3">
      <c r="A149" s="197"/>
      <c r="B149" s="198" t="s">
        <v>1286</v>
      </c>
      <c r="C149" s="199" t="s">
        <v>1104</v>
      </c>
      <c r="D149" s="200" t="s">
        <v>1243</v>
      </c>
      <c r="E149" s="201">
        <v>0.35416666666666669</v>
      </c>
      <c r="F149" s="196"/>
      <c r="G149" s="201">
        <v>0.41666666666666669</v>
      </c>
      <c r="H149" s="215" t="s">
        <v>1296</v>
      </c>
      <c r="I149" s="217" t="s">
        <v>1262</v>
      </c>
    </row>
    <row r="150" spans="1:9" ht="14.4" x14ac:dyDescent="0.3">
      <c r="A150" s="197"/>
      <c r="B150" s="198" t="s">
        <v>1250</v>
      </c>
      <c r="C150" s="199" t="s">
        <v>1073</v>
      </c>
      <c r="D150" s="200" t="s">
        <v>1243</v>
      </c>
      <c r="E150" s="196">
        <v>0.47916666666666669</v>
      </c>
      <c r="F150" s="196"/>
      <c r="G150" s="196">
        <v>0.54166666666666663</v>
      </c>
      <c r="H150" s="215" t="s">
        <v>1297</v>
      </c>
      <c r="I150" s="217" t="s">
        <v>1278</v>
      </c>
    </row>
    <row r="151" spans="1:9" ht="14.4" x14ac:dyDescent="0.3">
      <c r="A151" s="197"/>
      <c r="B151" s="198" t="s">
        <v>1252</v>
      </c>
      <c r="C151" s="199" t="s">
        <v>1070</v>
      </c>
      <c r="D151" s="200" t="s">
        <v>1247</v>
      </c>
      <c r="E151" s="196">
        <v>0.35416666666666669</v>
      </c>
      <c r="F151" s="196"/>
      <c r="G151" s="196">
        <v>0.41666666666666669</v>
      </c>
      <c r="H151" s="215" t="s">
        <v>1297</v>
      </c>
      <c r="I151" s="216" t="s">
        <v>1232</v>
      </c>
    </row>
    <row r="152" spans="1:9" ht="14.4" x14ac:dyDescent="0.3">
      <c r="A152" s="197"/>
      <c r="B152" s="198" t="s">
        <v>1248</v>
      </c>
      <c r="C152" s="199" t="s">
        <v>1216</v>
      </c>
      <c r="D152" s="200" t="s">
        <v>1247</v>
      </c>
      <c r="E152" s="201">
        <v>0.41666666666666669</v>
      </c>
      <c r="F152" s="196"/>
      <c r="G152" s="201">
        <v>0.47916666666666669</v>
      </c>
      <c r="H152" s="215" t="s">
        <v>1282</v>
      </c>
      <c r="I152" s="216" t="s">
        <v>1249</v>
      </c>
    </row>
    <row r="153" spans="1:9" ht="14.4" x14ac:dyDescent="0.3">
      <c r="A153" s="197"/>
      <c r="B153" s="198" t="s">
        <v>1245</v>
      </c>
      <c r="C153" s="199" t="s">
        <v>1212</v>
      </c>
      <c r="D153" s="200" t="s">
        <v>1247</v>
      </c>
      <c r="E153" s="202">
        <v>0.47916666666666669</v>
      </c>
      <c r="F153" s="196"/>
      <c r="G153" s="201">
        <v>0.54166666666666663</v>
      </c>
      <c r="H153" s="215" t="s">
        <v>1297</v>
      </c>
      <c r="I153" s="216" t="s">
        <v>1277</v>
      </c>
    </row>
    <row r="154" spans="1:9" ht="14.4" x14ac:dyDescent="0.3">
      <c r="A154" s="197"/>
      <c r="B154" s="198" t="s">
        <v>1246</v>
      </c>
      <c r="C154" s="199" t="s">
        <v>1071</v>
      </c>
      <c r="D154" s="200" t="s">
        <v>1226</v>
      </c>
      <c r="E154" s="201">
        <v>0.29166666666666669</v>
      </c>
      <c r="F154" s="196"/>
      <c r="G154" s="201">
        <v>0.41666666666666669</v>
      </c>
      <c r="H154" s="215" t="s">
        <v>1297</v>
      </c>
      <c r="I154" s="216" t="s">
        <v>1215</v>
      </c>
    </row>
    <row r="155" spans="1:9" ht="14.4" x14ac:dyDescent="0.3">
      <c r="A155" s="197"/>
      <c r="B155" s="198"/>
      <c r="C155" s="199"/>
      <c r="D155" s="200"/>
      <c r="E155" s="201"/>
      <c r="F155" s="212"/>
      <c r="G155" s="201"/>
      <c r="H155" s="215"/>
      <c r="I155" s="216"/>
    </row>
    <row r="156" spans="1:9" ht="14.4" x14ac:dyDescent="0.3">
      <c r="A156" s="197"/>
      <c r="B156" s="203"/>
      <c r="C156" s="204"/>
      <c r="D156" s="205"/>
      <c r="E156" s="206"/>
      <c r="F156" s="218"/>
      <c r="G156" s="206"/>
      <c r="H156" s="219"/>
      <c r="I156" s="220"/>
    </row>
    <row r="157" spans="1:9" ht="15" thickBot="1" x14ac:dyDescent="0.35">
      <c r="A157" s="207"/>
      <c r="B157" s="208"/>
      <c r="C157" s="209"/>
      <c r="D157" s="210"/>
      <c r="E157" s="211"/>
      <c r="F157" s="221"/>
      <c r="G157" s="211"/>
      <c r="H157" s="222"/>
      <c r="I157" s="223"/>
    </row>
    <row r="158" spans="1:9" ht="14.4" thickBot="1" x14ac:dyDescent="0.35"/>
    <row r="159" spans="1:9" ht="14.4" thickBot="1" x14ac:dyDescent="0.35">
      <c r="A159" s="226" t="s">
        <v>1204</v>
      </c>
      <c r="B159" s="224" t="s">
        <v>1205</v>
      </c>
      <c r="C159" s="224" t="s">
        <v>1206</v>
      </c>
      <c r="D159" s="224" t="s">
        <v>1207</v>
      </c>
      <c r="E159" s="368" t="s">
        <v>1208</v>
      </c>
      <c r="F159" s="368"/>
      <c r="G159" s="368"/>
      <c r="H159" s="224" t="s">
        <v>1209</v>
      </c>
      <c r="I159" s="225" t="s">
        <v>1210</v>
      </c>
    </row>
    <row r="160" spans="1:9" ht="14.4" x14ac:dyDescent="0.3">
      <c r="A160" s="197" t="s">
        <v>1298</v>
      </c>
      <c r="B160" s="193" t="s">
        <v>1239</v>
      </c>
      <c r="C160" s="194" t="s">
        <v>1220</v>
      </c>
      <c r="D160" s="195" t="s">
        <v>1267</v>
      </c>
      <c r="E160" s="196">
        <v>0.47916666666666669</v>
      </c>
      <c r="F160" s="212"/>
      <c r="G160" s="196">
        <v>0.60416666666666663</v>
      </c>
      <c r="H160" s="213" t="s">
        <v>1221</v>
      </c>
      <c r="I160" s="214" t="s">
        <v>1268</v>
      </c>
    </row>
    <row r="161" spans="1:9" ht="14.4" x14ac:dyDescent="0.3">
      <c r="A161" s="197"/>
      <c r="B161" s="198" t="s">
        <v>1241</v>
      </c>
      <c r="C161" s="199" t="s">
        <v>1223</v>
      </c>
      <c r="D161" s="200"/>
      <c r="E161" s="201"/>
      <c r="F161" s="212"/>
      <c r="G161" s="201"/>
      <c r="H161" s="215"/>
      <c r="I161" s="216"/>
    </row>
    <row r="162" spans="1:9" ht="14.4" x14ac:dyDescent="0.3">
      <c r="A162" s="197"/>
      <c r="B162" s="198" t="s">
        <v>1248</v>
      </c>
      <c r="C162" s="199" t="s">
        <v>1216</v>
      </c>
      <c r="D162" s="200" t="s">
        <v>1243</v>
      </c>
      <c r="E162" s="201">
        <v>0.35416666666666669</v>
      </c>
      <c r="F162" s="212"/>
      <c r="G162" s="201">
        <v>0.41666666666666669</v>
      </c>
      <c r="H162" s="215" t="s">
        <v>1299</v>
      </c>
      <c r="I162" s="216" t="s">
        <v>1300</v>
      </c>
    </row>
    <row r="163" spans="1:9" ht="14.4" x14ac:dyDescent="0.3">
      <c r="A163" s="197"/>
      <c r="B163" s="198" t="s">
        <v>1286</v>
      </c>
      <c r="C163" s="199" t="s">
        <v>1104</v>
      </c>
      <c r="D163" s="200" t="s">
        <v>1243</v>
      </c>
      <c r="E163" s="201">
        <v>0.41666666666666669</v>
      </c>
      <c r="F163" s="212"/>
      <c r="G163" s="201">
        <v>0.47916666666666669</v>
      </c>
      <c r="H163" s="215" t="s">
        <v>1301</v>
      </c>
      <c r="I163" s="217" t="s">
        <v>1258</v>
      </c>
    </row>
    <row r="164" spans="1:9" ht="14.4" x14ac:dyDescent="0.3">
      <c r="A164" s="197"/>
      <c r="B164" s="198" t="s">
        <v>1250</v>
      </c>
      <c r="C164" s="199" t="s">
        <v>1073</v>
      </c>
      <c r="D164" s="200" t="s">
        <v>1243</v>
      </c>
      <c r="E164" s="196">
        <v>0.54166666666666663</v>
      </c>
      <c r="F164" s="212"/>
      <c r="G164" s="196">
        <v>0.60416666666666663</v>
      </c>
      <c r="H164" s="215" t="s">
        <v>1299</v>
      </c>
      <c r="I164" s="217" t="s">
        <v>1278</v>
      </c>
    </row>
    <row r="165" spans="1:9" ht="14.4" x14ac:dyDescent="0.3">
      <c r="A165" s="197"/>
      <c r="B165" s="198" t="s">
        <v>1288</v>
      </c>
      <c r="C165" s="199" t="s">
        <v>1105</v>
      </c>
      <c r="D165" s="200" t="s">
        <v>1247</v>
      </c>
      <c r="E165" s="196">
        <v>0.29166666666666669</v>
      </c>
      <c r="F165" s="212"/>
      <c r="G165" s="196">
        <v>0.35416666666666669</v>
      </c>
      <c r="H165" s="215" t="s">
        <v>1301</v>
      </c>
      <c r="I165" s="216" t="s">
        <v>1258</v>
      </c>
    </row>
    <row r="166" spans="1:9" ht="14.4" x14ac:dyDescent="0.3">
      <c r="A166" s="197"/>
      <c r="B166" s="198" t="s">
        <v>1252</v>
      </c>
      <c r="C166" s="199" t="s">
        <v>1070</v>
      </c>
      <c r="D166" s="200" t="s">
        <v>1247</v>
      </c>
      <c r="E166" s="201">
        <v>0.35416666666666669</v>
      </c>
      <c r="F166" s="212"/>
      <c r="G166" s="201">
        <v>0.41666666666666669</v>
      </c>
      <c r="H166" s="215" t="s">
        <v>1299</v>
      </c>
      <c r="I166" s="216" t="s">
        <v>1281</v>
      </c>
    </row>
    <row r="167" spans="1:9" ht="14.4" x14ac:dyDescent="0.3">
      <c r="A167" s="197"/>
      <c r="B167" s="198" t="s">
        <v>1245</v>
      </c>
      <c r="C167" s="199" t="s">
        <v>1212</v>
      </c>
      <c r="D167" s="200" t="s">
        <v>1226</v>
      </c>
      <c r="E167" s="202">
        <v>0.29166666666666669</v>
      </c>
      <c r="F167" s="212"/>
      <c r="G167" s="201">
        <v>0.41666666666666669</v>
      </c>
      <c r="H167" s="215" t="s">
        <v>1299</v>
      </c>
      <c r="I167" s="216" t="s">
        <v>1234</v>
      </c>
    </row>
    <row r="168" spans="1:9" ht="14.4" x14ac:dyDescent="0.3">
      <c r="A168" s="197"/>
      <c r="B168" s="198" t="s">
        <v>1246</v>
      </c>
      <c r="C168" s="199" t="s">
        <v>1071</v>
      </c>
      <c r="D168" s="200" t="s">
        <v>1226</v>
      </c>
      <c r="E168" s="201">
        <v>0.47916666666666669</v>
      </c>
      <c r="F168" s="212"/>
      <c r="G168" s="201">
        <v>0.60416666666666663</v>
      </c>
      <c r="H168" s="215" t="s">
        <v>1299</v>
      </c>
      <c r="I168" s="216" t="s">
        <v>1215</v>
      </c>
    </row>
    <row r="169" spans="1:9" ht="14.4" x14ac:dyDescent="0.3">
      <c r="A169" s="197"/>
      <c r="B169" s="198"/>
      <c r="C169" s="199"/>
      <c r="D169" s="200"/>
      <c r="E169" s="201"/>
      <c r="F169" s="212"/>
      <c r="G169" s="201"/>
      <c r="H169" s="215"/>
      <c r="I169" s="216"/>
    </row>
    <row r="170" spans="1:9" ht="14.4" x14ac:dyDescent="0.3">
      <c r="A170" s="197"/>
      <c r="B170" s="203"/>
      <c r="C170" s="204"/>
      <c r="D170" s="205"/>
      <c r="E170" s="206"/>
      <c r="F170" s="218"/>
      <c r="G170" s="206"/>
      <c r="H170" s="219"/>
      <c r="I170" s="220"/>
    </row>
    <row r="171" spans="1:9" ht="15" thickBot="1" x14ac:dyDescent="0.35">
      <c r="A171" s="207"/>
      <c r="B171" s="208"/>
      <c r="C171" s="209"/>
      <c r="D171" s="210"/>
      <c r="E171" s="211"/>
      <c r="F171" s="221"/>
      <c r="G171" s="211"/>
      <c r="H171" s="222"/>
      <c r="I171" s="223"/>
    </row>
    <row r="172" spans="1:9" ht="14.4" thickBot="1" x14ac:dyDescent="0.35"/>
    <row r="173" spans="1:9" ht="14.4" thickBot="1" x14ac:dyDescent="0.35">
      <c r="A173" s="226" t="s">
        <v>1204</v>
      </c>
      <c r="B173" s="224" t="s">
        <v>1205</v>
      </c>
      <c r="C173" s="224" t="s">
        <v>1206</v>
      </c>
      <c r="D173" s="224" t="s">
        <v>1207</v>
      </c>
      <c r="E173" s="368" t="s">
        <v>1208</v>
      </c>
      <c r="F173" s="368"/>
      <c r="G173" s="368"/>
      <c r="H173" s="224" t="s">
        <v>1209</v>
      </c>
      <c r="I173" s="225" t="s">
        <v>1210</v>
      </c>
    </row>
    <row r="174" spans="1:9" ht="14.4" x14ac:dyDescent="0.3">
      <c r="A174" s="197" t="s">
        <v>1302</v>
      </c>
      <c r="B174" s="193" t="s">
        <v>1239</v>
      </c>
      <c r="C174" s="194" t="s">
        <v>1220</v>
      </c>
      <c r="D174" s="195" t="s">
        <v>1285</v>
      </c>
      <c r="E174" s="196">
        <v>0.47916666666666669</v>
      </c>
      <c r="F174" s="212"/>
      <c r="G174" s="196">
        <v>0.5625</v>
      </c>
      <c r="H174" s="213" t="s">
        <v>1221</v>
      </c>
      <c r="I174" s="214" t="s">
        <v>1240</v>
      </c>
    </row>
    <row r="175" spans="1:9" ht="14.4" x14ac:dyDescent="0.3">
      <c r="A175" s="197"/>
      <c r="B175" s="198" t="s">
        <v>1241</v>
      </c>
      <c r="C175" s="199" t="s">
        <v>1223</v>
      </c>
      <c r="D175" s="200"/>
      <c r="E175" s="201"/>
      <c r="F175" s="212"/>
      <c r="G175" s="201"/>
      <c r="H175" s="215"/>
      <c r="I175" s="216"/>
    </row>
    <row r="176" spans="1:9" ht="14.4" x14ac:dyDescent="0.3">
      <c r="A176" s="197"/>
      <c r="B176" s="198" t="s">
        <v>1246</v>
      </c>
      <c r="C176" s="199" t="s">
        <v>1071</v>
      </c>
      <c r="D176" s="200" t="s">
        <v>1243</v>
      </c>
      <c r="E176" s="201">
        <v>0.29166666666666669</v>
      </c>
      <c r="F176" s="212"/>
      <c r="G176" s="201">
        <v>0.35416666666666669</v>
      </c>
      <c r="H176" s="215" t="s">
        <v>1303</v>
      </c>
      <c r="I176" s="216" t="s">
        <v>1215</v>
      </c>
    </row>
    <row r="177" spans="1:9" ht="14.4" x14ac:dyDescent="0.3">
      <c r="A177" s="197"/>
      <c r="B177" s="198" t="s">
        <v>1304</v>
      </c>
      <c r="C177" s="199" t="s">
        <v>1093</v>
      </c>
      <c r="D177" s="200" t="s">
        <v>1243</v>
      </c>
      <c r="E177" s="201">
        <v>0.35416666666666669</v>
      </c>
      <c r="F177" s="212"/>
      <c r="G177" s="201">
        <v>0.41666666666666669</v>
      </c>
      <c r="H177" s="215" t="s">
        <v>1305</v>
      </c>
      <c r="I177" s="217" t="s">
        <v>1306</v>
      </c>
    </row>
    <row r="178" spans="1:9" ht="14.4" x14ac:dyDescent="0.3">
      <c r="A178" s="197"/>
      <c r="B178" s="198" t="s">
        <v>1248</v>
      </c>
      <c r="C178" s="199" t="s">
        <v>1216</v>
      </c>
      <c r="D178" s="200" t="s">
        <v>1243</v>
      </c>
      <c r="E178" s="196">
        <v>0.47916666666666669</v>
      </c>
      <c r="F178" s="212"/>
      <c r="G178" s="196">
        <v>0.54166666666666663</v>
      </c>
      <c r="H178" s="215" t="s">
        <v>1303</v>
      </c>
      <c r="I178" s="217" t="s">
        <v>1249</v>
      </c>
    </row>
    <row r="179" spans="1:9" ht="14.4" x14ac:dyDescent="0.3">
      <c r="A179" s="197"/>
      <c r="B179" s="198" t="s">
        <v>1250</v>
      </c>
      <c r="C179" s="199" t="s">
        <v>1073</v>
      </c>
      <c r="D179" s="200" t="s">
        <v>1247</v>
      </c>
      <c r="E179" s="196">
        <v>0.29166666666666669</v>
      </c>
      <c r="F179" s="212"/>
      <c r="G179" s="196">
        <v>0.35416666666666669</v>
      </c>
      <c r="H179" s="215" t="s">
        <v>1303</v>
      </c>
      <c r="I179" s="216" t="s">
        <v>1278</v>
      </c>
    </row>
    <row r="180" spans="1:9" ht="14.4" x14ac:dyDescent="0.3">
      <c r="A180" s="197"/>
      <c r="B180" s="198" t="s">
        <v>1252</v>
      </c>
      <c r="C180" s="199" t="s">
        <v>1070</v>
      </c>
      <c r="D180" s="200" t="s">
        <v>1247</v>
      </c>
      <c r="E180" s="201">
        <v>0.35416666666666669</v>
      </c>
      <c r="F180" s="212"/>
      <c r="G180" s="201">
        <v>0.41666666666666669</v>
      </c>
      <c r="H180" s="215" t="s">
        <v>1303</v>
      </c>
      <c r="I180" s="216" t="s">
        <v>1232</v>
      </c>
    </row>
    <row r="181" spans="1:9" ht="14.4" x14ac:dyDescent="0.3">
      <c r="A181" s="197"/>
      <c r="B181" s="198" t="s">
        <v>1307</v>
      </c>
      <c r="C181" s="199" t="s">
        <v>1092</v>
      </c>
      <c r="D181" s="200" t="s">
        <v>1226</v>
      </c>
      <c r="E181" s="202">
        <v>0.29166666666666669</v>
      </c>
      <c r="F181" s="212"/>
      <c r="G181" s="201">
        <v>0.41666666666666669</v>
      </c>
      <c r="H181" s="215" t="s">
        <v>1303</v>
      </c>
      <c r="I181" s="216" t="s">
        <v>1219</v>
      </c>
    </row>
    <row r="182" spans="1:9" ht="14.4" x14ac:dyDescent="0.3">
      <c r="A182" s="197"/>
      <c r="B182" s="198" t="s">
        <v>1245</v>
      </c>
      <c r="C182" s="199" t="s">
        <v>1212</v>
      </c>
      <c r="D182" s="200" t="s">
        <v>1226</v>
      </c>
      <c r="E182" s="201">
        <v>0.47916666666666669</v>
      </c>
      <c r="F182" s="212"/>
      <c r="G182" s="201">
        <v>0.60416666666666663</v>
      </c>
      <c r="H182" s="215" t="s">
        <v>1303</v>
      </c>
      <c r="I182" s="216" t="s">
        <v>1234</v>
      </c>
    </row>
    <row r="183" spans="1:9" ht="14.4" x14ac:dyDescent="0.3">
      <c r="A183" s="197"/>
      <c r="B183" s="198"/>
      <c r="C183" s="199"/>
      <c r="D183" s="200"/>
      <c r="E183" s="201"/>
      <c r="F183" s="212"/>
      <c r="G183" s="201"/>
      <c r="H183" s="215"/>
      <c r="I183" s="216"/>
    </row>
    <row r="184" spans="1:9" ht="14.4" x14ac:dyDescent="0.3">
      <c r="A184" s="197"/>
      <c r="B184" s="203"/>
      <c r="C184" s="204"/>
      <c r="D184" s="205"/>
      <c r="E184" s="206"/>
      <c r="F184" s="218"/>
      <c r="G184" s="206"/>
      <c r="H184" s="219"/>
      <c r="I184" s="220"/>
    </row>
    <row r="185" spans="1:9" ht="15" thickBot="1" x14ac:dyDescent="0.35">
      <c r="A185" s="207"/>
      <c r="B185" s="208"/>
      <c r="C185" s="209"/>
      <c r="D185" s="210"/>
      <c r="E185" s="211"/>
      <c r="F185" s="221"/>
      <c r="G185" s="211"/>
      <c r="H185" s="222"/>
      <c r="I185" s="223"/>
    </row>
    <row r="186" spans="1:9" ht="14.4" thickBot="1" x14ac:dyDescent="0.35"/>
    <row r="187" spans="1:9" ht="14.4" thickBot="1" x14ac:dyDescent="0.35">
      <c r="A187" s="226" t="s">
        <v>1204</v>
      </c>
      <c r="B187" s="224" t="s">
        <v>1205</v>
      </c>
      <c r="C187" s="224" t="s">
        <v>1206</v>
      </c>
      <c r="D187" s="224" t="s">
        <v>1207</v>
      </c>
      <c r="E187" s="368" t="s">
        <v>1208</v>
      </c>
      <c r="F187" s="368"/>
      <c r="G187" s="368"/>
      <c r="H187" s="224" t="s">
        <v>1209</v>
      </c>
      <c r="I187" s="225" t="s">
        <v>1210</v>
      </c>
    </row>
    <row r="188" spans="1:9" ht="14.4" x14ac:dyDescent="0.3">
      <c r="A188" s="197" t="s">
        <v>1308</v>
      </c>
      <c r="B188" s="193" t="s">
        <v>1239</v>
      </c>
      <c r="C188" s="194" t="s">
        <v>1220</v>
      </c>
      <c r="D188" s="195" t="s">
        <v>1285</v>
      </c>
      <c r="E188" s="196">
        <v>0.625</v>
      </c>
      <c r="F188" s="212"/>
      <c r="G188" s="196">
        <v>0.70833333333333337</v>
      </c>
      <c r="H188" s="213" t="s">
        <v>1221</v>
      </c>
      <c r="I188" s="214" t="s">
        <v>1268</v>
      </c>
    </row>
    <row r="189" spans="1:9" ht="14.4" x14ac:dyDescent="0.3">
      <c r="A189" s="197"/>
      <c r="B189" s="198" t="s">
        <v>1241</v>
      </c>
      <c r="C189" s="199" t="s">
        <v>1223</v>
      </c>
      <c r="D189" s="200"/>
      <c r="E189" s="201"/>
      <c r="F189" s="212"/>
      <c r="G189" s="201"/>
      <c r="H189" s="215"/>
      <c r="I189" s="216"/>
    </row>
    <row r="190" spans="1:9" ht="14.4" x14ac:dyDescent="0.3">
      <c r="A190" s="197"/>
      <c r="B190" s="198" t="s">
        <v>1246</v>
      </c>
      <c r="C190" s="199" t="s">
        <v>1071</v>
      </c>
      <c r="D190" s="200" t="s">
        <v>1243</v>
      </c>
      <c r="E190" s="201">
        <v>0.35416666666666669</v>
      </c>
      <c r="F190" s="212"/>
      <c r="G190" s="201">
        <v>0.41666666666666669</v>
      </c>
      <c r="H190" s="215" t="s">
        <v>1309</v>
      </c>
      <c r="I190" s="216" t="s">
        <v>1310</v>
      </c>
    </row>
    <row r="191" spans="1:9" ht="14.4" x14ac:dyDescent="0.3">
      <c r="A191" s="197"/>
      <c r="B191" s="198" t="s">
        <v>1304</v>
      </c>
      <c r="C191" s="199" t="s">
        <v>1093</v>
      </c>
      <c r="D191" s="200" t="s">
        <v>1243</v>
      </c>
      <c r="E191" s="201">
        <v>0.47916666666666669</v>
      </c>
      <c r="F191" s="212"/>
      <c r="G191" s="201">
        <v>0.54166666666666663</v>
      </c>
      <c r="H191" s="215" t="s">
        <v>1305</v>
      </c>
      <c r="I191" s="217" t="s">
        <v>1306</v>
      </c>
    </row>
    <row r="192" spans="1:9" ht="14.4" x14ac:dyDescent="0.3">
      <c r="A192" s="197"/>
      <c r="B192" s="198" t="s">
        <v>1250</v>
      </c>
      <c r="C192" s="199" t="s">
        <v>1073</v>
      </c>
      <c r="D192" s="200" t="s">
        <v>1247</v>
      </c>
      <c r="E192" s="196">
        <v>0.35416666666666669</v>
      </c>
      <c r="F192" s="212"/>
      <c r="G192" s="196">
        <v>0.41666666666666669</v>
      </c>
      <c r="H192" s="215" t="s">
        <v>1309</v>
      </c>
      <c r="I192" s="217" t="s">
        <v>1251</v>
      </c>
    </row>
    <row r="193" spans="1:9" ht="14.4" x14ac:dyDescent="0.3">
      <c r="A193" s="197"/>
      <c r="B193" s="198" t="s">
        <v>1252</v>
      </c>
      <c r="C193" s="199" t="s">
        <v>1070</v>
      </c>
      <c r="D193" s="200" t="s">
        <v>1247</v>
      </c>
      <c r="E193" s="196">
        <v>0.41666666666666669</v>
      </c>
      <c r="F193" s="212"/>
      <c r="G193" s="196">
        <v>0.47916666666666669</v>
      </c>
      <c r="H193" s="215" t="s">
        <v>1309</v>
      </c>
      <c r="I193" s="216" t="s">
        <v>1232</v>
      </c>
    </row>
    <row r="194" spans="1:9" ht="14.4" x14ac:dyDescent="0.3">
      <c r="A194" s="197"/>
      <c r="B194" s="198" t="s">
        <v>1248</v>
      </c>
      <c r="C194" s="199" t="s">
        <v>1216</v>
      </c>
      <c r="D194" s="200" t="s">
        <v>1247</v>
      </c>
      <c r="E194" s="201">
        <v>0.54166666666666663</v>
      </c>
      <c r="F194" s="212"/>
      <c r="G194" s="201" t="s">
        <v>1294</v>
      </c>
      <c r="H194" s="215" t="s">
        <v>1309</v>
      </c>
      <c r="I194" s="216" t="s">
        <v>1278</v>
      </c>
    </row>
    <row r="195" spans="1:9" ht="14.4" x14ac:dyDescent="0.3">
      <c r="A195" s="197"/>
      <c r="B195" s="198" t="s">
        <v>1245</v>
      </c>
      <c r="C195" s="199" t="s">
        <v>1212</v>
      </c>
      <c r="D195" s="200" t="s">
        <v>1226</v>
      </c>
      <c r="E195" s="202">
        <v>0.29166666666666669</v>
      </c>
      <c r="F195" s="212"/>
      <c r="G195" s="201" t="s">
        <v>1311</v>
      </c>
      <c r="H195" s="215" t="s">
        <v>1309</v>
      </c>
      <c r="I195" s="216" t="s">
        <v>1312</v>
      </c>
    </row>
    <row r="196" spans="1:9" ht="14.4" x14ac:dyDescent="0.3">
      <c r="A196" s="197"/>
      <c r="B196" s="198" t="s">
        <v>1307</v>
      </c>
      <c r="C196" s="199" t="s">
        <v>1092</v>
      </c>
      <c r="D196" s="200" t="s">
        <v>1226</v>
      </c>
      <c r="E196" s="201">
        <v>0.47916666666666669</v>
      </c>
      <c r="F196" s="212"/>
      <c r="G196" s="201" t="s">
        <v>1294</v>
      </c>
      <c r="H196" s="215" t="s">
        <v>1309</v>
      </c>
      <c r="I196" s="216" t="s">
        <v>1219</v>
      </c>
    </row>
    <row r="197" spans="1:9" ht="14.4" x14ac:dyDescent="0.3">
      <c r="A197" s="197"/>
      <c r="B197" s="198"/>
      <c r="C197" s="199"/>
      <c r="D197" s="200"/>
      <c r="E197" s="201"/>
      <c r="F197" s="212"/>
      <c r="G197" s="201"/>
      <c r="H197" s="215"/>
      <c r="I197" s="216"/>
    </row>
    <row r="198" spans="1:9" ht="14.4" x14ac:dyDescent="0.3">
      <c r="A198" s="197"/>
      <c r="B198" s="203"/>
      <c r="C198" s="204"/>
      <c r="D198" s="205"/>
      <c r="E198" s="206"/>
      <c r="F198" s="218"/>
      <c r="G198" s="206"/>
      <c r="H198" s="219"/>
      <c r="I198" s="220"/>
    </row>
    <row r="199" spans="1:9" ht="15" thickBot="1" x14ac:dyDescent="0.35">
      <c r="A199" s="207"/>
      <c r="B199" s="208"/>
      <c r="C199" s="209"/>
      <c r="D199" s="210"/>
      <c r="E199" s="211"/>
      <c r="F199" s="221"/>
      <c r="G199" s="211"/>
      <c r="H199" s="222"/>
      <c r="I199" s="223"/>
    </row>
    <row r="200" spans="1:9" ht="14.4" thickBot="1" x14ac:dyDescent="0.35"/>
    <row r="201" spans="1:9" ht="14.4" thickBot="1" x14ac:dyDescent="0.35">
      <c r="A201" s="226" t="s">
        <v>1204</v>
      </c>
      <c r="B201" s="224" t="s">
        <v>1205</v>
      </c>
      <c r="C201" s="224" t="s">
        <v>1206</v>
      </c>
      <c r="D201" s="224" t="s">
        <v>1207</v>
      </c>
      <c r="E201" s="368" t="s">
        <v>1208</v>
      </c>
      <c r="F201" s="368"/>
      <c r="G201" s="368"/>
      <c r="H201" s="224" t="s">
        <v>1209</v>
      </c>
      <c r="I201" s="225" t="s">
        <v>1210</v>
      </c>
    </row>
    <row r="202" spans="1:9" ht="14.4" x14ac:dyDescent="0.3">
      <c r="A202" s="197" t="s">
        <v>1313</v>
      </c>
      <c r="B202" s="193" t="s">
        <v>1241</v>
      </c>
      <c r="C202" s="194" t="s">
        <v>1223</v>
      </c>
      <c r="D202" s="195"/>
      <c r="E202" s="196"/>
      <c r="F202" s="212"/>
      <c r="G202" s="196"/>
      <c r="H202" s="213"/>
      <c r="I202" s="214"/>
    </row>
    <row r="203" spans="1:9" ht="14.4" x14ac:dyDescent="0.3">
      <c r="A203" s="197"/>
      <c r="B203" s="198" t="s">
        <v>1239</v>
      </c>
      <c r="C203" s="199" t="s">
        <v>1220</v>
      </c>
      <c r="D203" s="200" t="s">
        <v>1280</v>
      </c>
      <c r="E203" s="201">
        <v>0.54166666666666663</v>
      </c>
      <c r="F203" s="212"/>
      <c r="G203" s="201">
        <v>0.625</v>
      </c>
      <c r="H203" s="215" t="s">
        <v>1221</v>
      </c>
      <c r="I203" s="216" t="s">
        <v>1240</v>
      </c>
    </row>
    <row r="204" spans="1:9" ht="14.4" x14ac:dyDescent="0.3">
      <c r="A204" s="197"/>
      <c r="B204" s="198" t="s">
        <v>1245</v>
      </c>
      <c r="C204" s="199" t="s">
        <v>1212</v>
      </c>
      <c r="D204" s="200" t="s">
        <v>1243</v>
      </c>
      <c r="E204" s="201" t="s">
        <v>1314</v>
      </c>
      <c r="F204" s="212"/>
      <c r="G204" s="201" t="s">
        <v>1311</v>
      </c>
      <c r="H204" s="215" t="s">
        <v>1315</v>
      </c>
      <c r="I204" s="216" t="s">
        <v>1277</v>
      </c>
    </row>
    <row r="205" spans="1:9" ht="14.4" x14ac:dyDescent="0.3">
      <c r="A205" s="197"/>
      <c r="B205" s="198" t="s">
        <v>1246</v>
      </c>
      <c r="C205" s="199" t="s">
        <v>1071</v>
      </c>
      <c r="D205" s="200" t="s">
        <v>1243</v>
      </c>
      <c r="E205" s="201" t="s">
        <v>1311</v>
      </c>
      <c r="F205" s="212"/>
      <c r="G205" s="201" t="s">
        <v>1293</v>
      </c>
      <c r="H205" s="215" t="s">
        <v>1315</v>
      </c>
      <c r="I205" s="217" t="s">
        <v>1283</v>
      </c>
    </row>
    <row r="206" spans="1:9" ht="14.4" x14ac:dyDescent="0.3">
      <c r="A206" s="197"/>
      <c r="B206" s="198" t="s">
        <v>1304</v>
      </c>
      <c r="C206" s="199" t="s">
        <v>1093</v>
      </c>
      <c r="D206" s="200" t="s">
        <v>1243</v>
      </c>
      <c r="E206" s="196" t="s">
        <v>1316</v>
      </c>
      <c r="F206" s="212"/>
      <c r="G206" s="196" t="s">
        <v>1294</v>
      </c>
      <c r="H206" s="215" t="s">
        <v>1305</v>
      </c>
      <c r="I206" s="217" t="s">
        <v>1306</v>
      </c>
    </row>
    <row r="207" spans="1:9" ht="14.4" x14ac:dyDescent="0.3">
      <c r="A207" s="197"/>
      <c r="B207" s="198" t="s">
        <v>1250</v>
      </c>
      <c r="C207" s="199" t="s">
        <v>1073</v>
      </c>
      <c r="D207" s="200" t="s">
        <v>1247</v>
      </c>
      <c r="E207" s="196" t="s">
        <v>1314</v>
      </c>
      <c r="F207" s="212"/>
      <c r="G207" s="196" t="s">
        <v>1311</v>
      </c>
      <c r="H207" s="215" t="s">
        <v>1315</v>
      </c>
      <c r="I207" s="216" t="s">
        <v>1251</v>
      </c>
    </row>
    <row r="208" spans="1:9" ht="14.4" x14ac:dyDescent="0.3">
      <c r="A208" s="197"/>
      <c r="B208" s="198" t="s">
        <v>1307</v>
      </c>
      <c r="C208" s="199" t="s">
        <v>1092</v>
      </c>
      <c r="D208" s="200" t="s">
        <v>1247</v>
      </c>
      <c r="E208" s="201" t="s">
        <v>1293</v>
      </c>
      <c r="F208" s="212"/>
      <c r="G208" s="201" t="s">
        <v>1316</v>
      </c>
      <c r="H208" s="215" t="s">
        <v>1315</v>
      </c>
      <c r="I208" s="216" t="s">
        <v>1219</v>
      </c>
    </row>
    <row r="209" spans="1:9" ht="14.4" x14ac:dyDescent="0.3">
      <c r="A209" s="197"/>
      <c r="B209" s="198" t="s">
        <v>1248</v>
      </c>
      <c r="C209" s="199" t="s">
        <v>1216</v>
      </c>
      <c r="D209" s="200" t="s">
        <v>1226</v>
      </c>
      <c r="E209" s="202" t="s">
        <v>1317</v>
      </c>
      <c r="F209" s="212"/>
      <c r="G209" s="201" t="s">
        <v>1311</v>
      </c>
      <c r="H209" s="215" t="s">
        <v>1315</v>
      </c>
      <c r="I209" s="216" t="s">
        <v>1278</v>
      </c>
    </row>
    <row r="210" spans="1:9" ht="14.4" x14ac:dyDescent="0.3">
      <c r="A210" s="197"/>
      <c r="B210" s="198" t="s">
        <v>1252</v>
      </c>
      <c r="C210" s="199" t="s">
        <v>1070</v>
      </c>
      <c r="D210" s="200" t="s">
        <v>1226</v>
      </c>
      <c r="E210" s="201" t="s">
        <v>1293</v>
      </c>
      <c r="F210" s="212"/>
      <c r="G210" s="201" t="s">
        <v>1294</v>
      </c>
      <c r="H210" s="215" t="s">
        <v>1315</v>
      </c>
      <c r="I210" s="216" t="s">
        <v>1214</v>
      </c>
    </row>
    <row r="211" spans="1:9" ht="14.4" x14ac:dyDescent="0.3">
      <c r="A211" s="197"/>
      <c r="B211" s="198"/>
      <c r="C211" s="199"/>
      <c r="D211" s="200"/>
      <c r="E211" s="201"/>
      <c r="F211" s="212"/>
      <c r="G211" s="201"/>
      <c r="H211" s="215"/>
      <c r="I211" s="216"/>
    </row>
    <row r="212" spans="1:9" ht="14.4" x14ac:dyDescent="0.3">
      <c r="A212" s="197"/>
      <c r="B212" s="203"/>
      <c r="C212" s="204"/>
      <c r="D212" s="205"/>
      <c r="E212" s="206"/>
      <c r="F212" s="218"/>
      <c r="G212" s="206"/>
      <c r="H212" s="219"/>
      <c r="I212" s="220"/>
    </row>
    <row r="213" spans="1:9" ht="15" thickBot="1" x14ac:dyDescent="0.35">
      <c r="A213" s="207"/>
      <c r="B213" s="208"/>
      <c r="C213" s="209"/>
      <c r="D213" s="210"/>
      <c r="E213" s="211"/>
      <c r="F213" s="221"/>
      <c r="G213" s="211"/>
      <c r="H213" s="222"/>
      <c r="I213" s="223"/>
    </row>
    <row r="214" spans="1:9" ht="14.4" thickBot="1" x14ac:dyDescent="0.35"/>
    <row r="215" spans="1:9" ht="14.4" thickBot="1" x14ac:dyDescent="0.35">
      <c r="A215" s="226" t="s">
        <v>1204</v>
      </c>
      <c r="B215" s="224" t="s">
        <v>1205</v>
      </c>
      <c r="C215" s="224" t="s">
        <v>1206</v>
      </c>
      <c r="D215" s="224" t="s">
        <v>1207</v>
      </c>
      <c r="E215" s="368" t="s">
        <v>1208</v>
      </c>
      <c r="F215" s="368"/>
      <c r="G215" s="368"/>
      <c r="H215" s="224" t="s">
        <v>1209</v>
      </c>
      <c r="I215" s="225" t="s">
        <v>1210</v>
      </c>
    </row>
    <row r="216" spans="1:9" ht="14.4" x14ac:dyDescent="0.3">
      <c r="A216" s="197" t="s">
        <v>1318</v>
      </c>
      <c r="B216" s="193" t="s">
        <v>1239</v>
      </c>
      <c r="C216" s="194" t="s">
        <v>1220</v>
      </c>
      <c r="D216" s="195" t="s">
        <v>1285</v>
      </c>
      <c r="E216" s="196">
        <v>0.5625</v>
      </c>
      <c r="F216" s="212"/>
      <c r="G216" s="196">
        <v>0.64583333333333337</v>
      </c>
      <c r="H216" s="213" t="s">
        <v>1221</v>
      </c>
      <c r="I216" s="214" t="s">
        <v>1240</v>
      </c>
    </row>
    <row r="217" spans="1:9" ht="14.4" x14ac:dyDescent="0.3">
      <c r="A217" s="197"/>
      <c r="B217" s="198" t="s">
        <v>1241</v>
      </c>
      <c r="C217" s="199" t="s">
        <v>1223</v>
      </c>
      <c r="D217" s="200"/>
      <c r="E217" s="201"/>
      <c r="F217" s="212"/>
      <c r="G217" s="201"/>
      <c r="H217" s="215"/>
      <c r="I217" s="216"/>
    </row>
    <row r="218" spans="1:9" ht="14.4" x14ac:dyDescent="0.3">
      <c r="A218" s="197"/>
      <c r="B218" s="198" t="s">
        <v>1307</v>
      </c>
      <c r="C218" s="199" t="s">
        <v>1092</v>
      </c>
      <c r="D218" s="200" t="s">
        <v>1243</v>
      </c>
      <c r="E218" s="201" t="s">
        <v>1314</v>
      </c>
      <c r="F218" s="212"/>
      <c r="G218" s="201" t="s">
        <v>1311</v>
      </c>
      <c r="H218" s="215" t="s">
        <v>1291</v>
      </c>
      <c r="I218" s="216" t="s">
        <v>1219</v>
      </c>
    </row>
    <row r="219" spans="1:9" ht="14.4" x14ac:dyDescent="0.3">
      <c r="A219" s="197"/>
      <c r="B219" s="198" t="s">
        <v>1246</v>
      </c>
      <c r="C219" s="199" t="s">
        <v>1071</v>
      </c>
      <c r="D219" s="200" t="s">
        <v>1243</v>
      </c>
      <c r="E219" s="201" t="s">
        <v>1293</v>
      </c>
      <c r="F219" s="212"/>
      <c r="G219" s="201" t="s">
        <v>1316</v>
      </c>
      <c r="H219" s="215" t="s">
        <v>1291</v>
      </c>
      <c r="I219" s="217" t="s">
        <v>1283</v>
      </c>
    </row>
    <row r="220" spans="1:9" ht="14.4" x14ac:dyDescent="0.3">
      <c r="A220" s="197"/>
      <c r="B220" s="198" t="s">
        <v>1248</v>
      </c>
      <c r="C220" s="199" t="s">
        <v>1216</v>
      </c>
      <c r="D220" s="200" t="s">
        <v>1247</v>
      </c>
      <c r="E220" s="196" t="s">
        <v>1317</v>
      </c>
      <c r="F220" s="212"/>
      <c r="G220" s="196" t="s">
        <v>1314</v>
      </c>
      <c r="H220" s="215" t="s">
        <v>1291</v>
      </c>
      <c r="I220" s="217" t="s">
        <v>1278</v>
      </c>
    </row>
    <row r="221" spans="1:9" ht="14.4" x14ac:dyDescent="0.3">
      <c r="A221" s="197"/>
      <c r="B221" s="198" t="s">
        <v>1304</v>
      </c>
      <c r="C221" s="199" t="s">
        <v>1093</v>
      </c>
      <c r="D221" s="200" t="s">
        <v>1247</v>
      </c>
      <c r="E221" s="196" t="s">
        <v>1314</v>
      </c>
      <c r="F221" s="212"/>
      <c r="G221" s="196" t="s">
        <v>1311</v>
      </c>
      <c r="H221" s="215" t="s">
        <v>1291</v>
      </c>
      <c r="I221" s="216" t="s">
        <v>1306</v>
      </c>
    </row>
    <row r="222" spans="1:9" ht="14.4" x14ac:dyDescent="0.3">
      <c r="A222" s="197"/>
      <c r="B222" s="198" t="s">
        <v>1250</v>
      </c>
      <c r="C222" s="199" t="s">
        <v>1073</v>
      </c>
      <c r="D222" s="200" t="s">
        <v>1247</v>
      </c>
      <c r="E222" s="201" t="s">
        <v>1293</v>
      </c>
      <c r="F222" s="212"/>
      <c r="G222" s="201" t="s">
        <v>1316</v>
      </c>
      <c r="H222" s="215" t="s">
        <v>1291</v>
      </c>
      <c r="I222" s="216" t="s">
        <v>1278</v>
      </c>
    </row>
    <row r="223" spans="1:9" ht="14.4" x14ac:dyDescent="0.3">
      <c r="A223" s="197"/>
      <c r="B223" s="198" t="s">
        <v>1252</v>
      </c>
      <c r="C223" s="199" t="s">
        <v>1070</v>
      </c>
      <c r="D223" s="200" t="s">
        <v>1226</v>
      </c>
      <c r="E223" s="202" t="s">
        <v>1317</v>
      </c>
      <c r="F223" s="212"/>
      <c r="G223" s="201" t="s">
        <v>1311</v>
      </c>
      <c r="H223" s="215" t="s">
        <v>1291</v>
      </c>
      <c r="I223" s="216" t="s">
        <v>1232</v>
      </c>
    </row>
    <row r="224" spans="1:9" ht="14.4" x14ac:dyDescent="0.3">
      <c r="A224" s="197"/>
      <c r="B224" s="198" t="s">
        <v>1245</v>
      </c>
      <c r="C224" s="199" t="s">
        <v>1212</v>
      </c>
      <c r="D224" s="200" t="s">
        <v>1226</v>
      </c>
      <c r="E224" s="201" t="s">
        <v>1293</v>
      </c>
      <c r="F224" s="212"/>
      <c r="G224" s="201" t="s">
        <v>1316</v>
      </c>
      <c r="H224" s="215" t="s">
        <v>1291</v>
      </c>
      <c r="I224" s="216" t="s">
        <v>1312</v>
      </c>
    </row>
    <row r="225" spans="1:9" ht="14.4" x14ac:dyDescent="0.3">
      <c r="A225" s="197"/>
      <c r="B225" s="198"/>
      <c r="C225" s="199"/>
      <c r="D225" s="200"/>
      <c r="E225" s="201"/>
      <c r="F225" s="212"/>
      <c r="G225" s="201"/>
      <c r="H225" s="215"/>
      <c r="I225" s="216"/>
    </row>
    <row r="226" spans="1:9" ht="14.4" x14ac:dyDescent="0.3">
      <c r="A226" s="197"/>
      <c r="B226" s="203"/>
      <c r="C226" s="204"/>
      <c r="D226" s="205"/>
      <c r="E226" s="206"/>
      <c r="F226" s="218"/>
      <c r="G226" s="206"/>
      <c r="H226" s="219"/>
      <c r="I226" s="220"/>
    </row>
    <row r="227" spans="1:9" ht="15" thickBot="1" x14ac:dyDescent="0.35">
      <c r="A227" s="207"/>
      <c r="B227" s="208"/>
      <c r="C227" s="209"/>
      <c r="D227" s="210"/>
      <c r="E227" s="211"/>
      <c r="F227" s="221"/>
      <c r="G227" s="211"/>
      <c r="H227" s="222"/>
      <c r="I227" s="223"/>
    </row>
    <row r="228" spans="1:9" ht="14.4" thickBot="1" x14ac:dyDescent="0.35"/>
    <row r="229" spans="1:9" ht="14.4" thickBot="1" x14ac:dyDescent="0.35">
      <c r="A229" s="226" t="s">
        <v>1204</v>
      </c>
      <c r="B229" s="224" t="s">
        <v>1205</v>
      </c>
      <c r="C229" s="224" t="s">
        <v>1206</v>
      </c>
      <c r="D229" s="224" t="s">
        <v>1207</v>
      </c>
      <c r="E229" s="368" t="s">
        <v>1208</v>
      </c>
      <c r="F229" s="368"/>
      <c r="G229" s="368"/>
      <c r="H229" s="224" t="s">
        <v>1209</v>
      </c>
      <c r="I229" s="225" t="s">
        <v>1210</v>
      </c>
    </row>
    <row r="230" spans="1:9" ht="14.4" x14ac:dyDescent="0.3">
      <c r="A230" s="197" t="s">
        <v>1319</v>
      </c>
      <c r="B230" s="193" t="s">
        <v>1250</v>
      </c>
      <c r="C230" s="194" t="s">
        <v>1073</v>
      </c>
      <c r="D230" s="195" t="s">
        <v>1218</v>
      </c>
      <c r="E230" s="196">
        <v>0.54166666666666663</v>
      </c>
      <c r="F230" s="212"/>
      <c r="G230" s="196">
        <v>0.60416666666666663</v>
      </c>
      <c r="H230" s="213" t="s">
        <v>1320</v>
      </c>
      <c r="I230" s="214" t="s">
        <v>1278</v>
      </c>
    </row>
    <row r="231" spans="1:9" ht="14.4" x14ac:dyDescent="0.3">
      <c r="A231" s="197"/>
      <c r="B231" s="198" t="s">
        <v>1239</v>
      </c>
      <c r="C231" s="199" t="s">
        <v>1220</v>
      </c>
      <c r="D231" s="200" t="s">
        <v>1267</v>
      </c>
      <c r="E231" s="201">
        <v>0.33333333333333331</v>
      </c>
      <c r="F231" s="212"/>
      <c r="G231" s="201">
        <v>0.41666666666666669</v>
      </c>
      <c r="H231" s="215" t="s">
        <v>1221</v>
      </c>
      <c r="I231" s="216" t="s">
        <v>1240</v>
      </c>
    </row>
    <row r="232" spans="1:9" ht="14.4" x14ac:dyDescent="0.3">
      <c r="A232" s="197"/>
      <c r="B232" s="198" t="s">
        <v>1241</v>
      </c>
      <c r="C232" s="199" t="s">
        <v>1223</v>
      </c>
      <c r="D232" s="200"/>
      <c r="E232" s="201"/>
      <c r="F232" s="212"/>
      <c r="G232" s="201"/>
      <c r="H232" s="215"/>
      <c r="I232" s="216"/>
    </row>
    <row r="233" spans="1:9" ht="14.4" x14ac:dyDescent="0.3">
      <c r="A233" s="197"/>
      <c r="B233" s="198" t="s">
        <v>1307</v>
      </c>
      <c r="C233" s="199" t="s">
        <v>1092</v>
      </c>
      <c r="D233" s="200" t="s">
        <v>1243</v>
      </c>
      <c r="E233" s="201" t="s">
        <v>1293</v>
      </c>
      <c r="F233" s="212"/>
      <c r="G233" s="201" t="s">
        <v>1316</v>
      </c>
      <c r="H233" s="215" t="s">
        <v>1320</v>
      </c>
      <c r="I233" s="217" t="s">
        <v>1219</v>
      </c>
    </row>
    <row r="234" spans="1:9" ht="14.4" x14ac:dyDescent="0.3">
      <c r="A234" s="197"/>
      <c r="B234" s="198" t="s">
        <v>1246</v>
      </c>
      <c r="C234" s="199" t="s">
        <v>1071</v>
      </c>
      <c r="D234" s="200" t="s">
        <v>1243</v>
      </c>
      <c r="E234" s="196" t="s">
        <v>1316</v>
      </c>
      <c r="F234" s="212"/>
      <c r="G234" s="196" t="s">
        <v>1294</v>
      </c>
      <c r="H234" s="215" t="s">
        <v>1320</v>
      </c>
      <c r="I234" s="217" t="s">
        <v>1283</v>
      </c>
    </row>
    <row r="235" spans="1:9" ht="14.4" x14ac:dyDescent="0.3">
      <c r="A235" s="197"/>
      <c r="B235" s="198" t="s">
        <v>1248</v>
      </c>
      <c r="C235" s="199" t="s">
        <v>1216</v>
      </c>
      <c r="D235" s="200" t="s">
        <v>1247</v>
      </c>
      <c r="E235" s="196" t="s">
        <v>1314</v>
      </c>
      <c r="F235" s="212"/>
      <c r="G235" s="196" t="s">
        <v>1311</v>
      </c>
      <c r="H235" s="215" t="s">
        <v>1320</v>
      </c>
      <c r="I235" s="216" t="s">
        <v>1300</v>
      </c>
    </row>
    <row r="236" spans="1:9" ht="14.4" x14ac:dyDescent="0.3">
      <c r="A236" s="197"/>
      <c r="B236" s="198" t="s">
        <v>1304</v>
      </c>
      <c r="C236" s="199" t="s">
        <v>1093</v>
      </c>
      <c r="D236" s="200" t="s">
        <v>1247</v>
      </c>
      <c r="E236" s="201" t="s">
        <v>1293</v>
      </c>
      <c r="F236" s="212"/>
      <c r="G236" s="201" t="s">
        <v>1316</v>
      </c>
      <c r="H236" s="215" t="s">
        <v>1305</v>
      </c>
      <c r="I236" s="216" t="s">
        <v>1306</v>
      </c>
    </row>
    <row r="237" spans="1:9" ht="14.4" x14ac:dyDescent="0.3">
      <c r="A237" s="197"/>
      <c r="B237" s="198" t="s">
        <v>1245</v>
      </c>
      <c r="C237" s="199" t="s">
        <v>1212</v>
      </c>
      <c r="D237" s="200" t="s">
        <v>1226</v>
      </c>
      <c r="E237" s="202" t="s">
        <v>1317</v>
      </c>
      <c r="F237" s="212"/>
      <c r="G237" s="201" t="s">
        <v>1311</v>
      </c>
      <c r="H237" s="215" t="s">
        <v>1320</v>
      </c>
      <c r="I237" s="216" t="s">
        <v>1277</v>
      </c>
    </row>
    <row r="238" spans="1:9" ht="14.4" x14ac:dyDescent="0.3">
      <c r="A238" s="197"/>
      <c r="B238" s="198" t="s">
        <v>1252</v>
      </c>
      <c r="C238" s="199" t="s">
        <v>1070</v>
      </c>
      <c r="D238" s="200" t="s">
        <v>1226</v>
      </c>
      <c r="E238" s="201" t="s">
        <v>1293</v>
      </c>
      <c r="F238" s="212"/>
      <c r="G238" s="201" t="s">
        <v>1294</v>
      </c>
      <c r="H238" s="215" t="s">
        <v>1320</v>
      </c>
      <c r="I238" s="216" t="s">
        <v>1281</v>
      </c>
    </row>
    <row r="239" spans="1:9" ht="14.4" x14ac:dyDescent="0.3">
      <c r="A239" s="197"/>
      <c r="B239" s="198"/>
      <c r="C239" s="199"/>
      <c r="D239" s="200"/>
      <c r="E239" s="201"/>
      <c r="F239" s="212"/>
      <c r="G239" s="201"/>
      <c r="H239" s="215"/>
      <c r="I239" s="216"/>
    </row>
    <row r="240" spans="1:9" ht="14.4" x14ac:dyDescent="0.3">
      <c r="A240" s="197"/>
      <c r="B240" s="203"/>
      <c r="C240" s="204"/>
      <c r="D240" s="205"/>
      <c r="E240" s="206"/>
      <c r="F240" s="218"/>
      <c r="G240" s="206"/>
      <c r="H240" s="219"/>
      <c r="I240" s="220"/>
    </row>
    <row r="241" spans="1:9" ht="15" thickBot="1" x14ac:dyDescent="0.35">
      <c r="A241" s="207"/>
      <c r="B241" s="208"/>
      <c r="C241" s="209"/>
      <c r="D241" s="210"/>
      <c r="E241" s="211"/>
      <c r="F241" s="221"/>
      <c r="G241" s="211"/>
      <c r="H241" s="222"/>
      <c r="I241" s="223"/>
    </row>
    <row r="242" spans="1:9" ht="14.4" thickBot="1" x14ac:dyDescent="0.35"/>
    <row r="243" spans="1:9" ht="14.4" thickBot="1" x14ac:dyDescent="0.35">
      <c r="A243" s="226" t="s">
        <v>1204</v>
      </c>
      <c r="B243" s="224" t="s">
        <v>1205</v>
      </c>
      <c r="C243" s="224" t="s">
        <v>1206</v>
      </c>
      <c r="D243" s="224" t="s">
        <v>1207</v>
      </c>
      <c r="E243" s="368" t="s">
        <v>1208</v>
      </c>
      <c r="F243" s="368"/>
      <c r="G243" s="368"/>
      <c r="H243" s="224" t="s">
        <v>1209</v>
      </c>
      <c r="I243" s="225" t="s">
        <v>1210</v>
      </c>
    </row>
    <row r="244" spans="1:9" ht="14.4" x14ac:dyDescent="0.3">
      <c r="A244" s="197" t="s">
        <v>1321</v>
      </c>
      <c r="B244" s="193" t="s">
        <v>1239</v>
      </c>
      <c r="C244" s="194" t="s">
        <v>1220</v>
      </c>
      <c r="D244" s="195" t="s">
        <v>1226</v>
      </c>
      <c r="E244" s="196">
        <v>0.60416666666666663</v>
      </c>
      <c r="F244" s="212"/>
      <c r="G244" s="196">
        <v>0.6875</v>
      </c>
      <c r="H244" s="213" t="s">
        <v>1221</v>
      </c>
      <c r="I244" s="214" t="s">
        <v>1268</v>
      </c>
    </row>
    <row r="245" spans="1:9" ht="14.4" x14ac:dyDescent="0.3">
      <c r="A245" s="197"/>
      <c r="B245" s="198" t="s">
        <v>1241</v>
      </c>
      <c r="C245" s="199" t="s">
        <v>1223</v>
      </c>
      <c r="D245" s="200"/>
      <c r="E245" s="201"/>
      <c r="F245" s="212"/>
      <c r="G245" s="201"/>
      <c r="H245" s="215"/>
      <c r="I245" s="216"/>
    </row>
    <row r="246" spans="1:9" ht="14.4" x14ac:dyDescent="0.3">
      <c r="A246" s="197"/>
      <c r="B246" s="198" t="s">
        <v>1252</v>
      </c>
      <c r="C246" s="199" t="s">
        <v>1070</v>
      </c>
      <c r="D246" s="200" t="s">
        <v>1243</v>
      </c>
      <c r="E246" s="201" t="s">
        <v>1317</v>
      </c>
      <c r="F246" s="212"/>
      <c r="G246" s="201" t="s">
        <v>1314</v>
      </c>
      <c r="H246" s="215" t="s">
        <v>1322</v>
      </c>
      <c r="I246" s="216" t="s">
        <v>1232</v>
      </c>
    </row>
    <row r="247" spans="1:9" ht="14.4" x14ac:dyDescent="0.3">
      <c r="A247" s="197"/>
      <c r="B247" s="198" t="s">
        <v>1304</v>
      </c>
      <c r="C247" s="199" t="s">
        <v>1093</v>
      </c>
      <c r="D247" s="200" t="s">
        <v>1243</v>
      </c>
      <c r="E247" s="201" t="s">
        <v>1311</v>
      </c>
      <c r="F247" s="212"/>
      <c r="G247" s="201" t="s">
        <v>1293</v>
      </c>
      <c r="H247" s="215" t="s">
        <v>1305</v>
      </c>
      <c r="I247" s="217" t="s">
        <v>1306</v>
      </c>
    </row>
    <row r="248" spans="1:9" ht="14.4" x14ac:dyDescent="0.3">
      <c r="A248" s="197"/>
      <c r="B248" s="198" t="s">
        <v>1245</v>
      </c>
      <c r="C248" s="199" t="s">
        <v>1212</v>
      </c>
      <c r="D248" s="200" t="s">
        <v>1243</v>
      </c>
      <c r="E248" s="196" t="s">
        <v>1293</v>
      </c>
      <c r="F248" s="212"/>
      <c r="G248" s="196" t="s">
        <v>1316</v>
      </c>
      <c r="H248" s="215" t="s">
        <v>1322</v>
      </c>
      <c r="I248" s="217" t="s">
        <v>1214</v>
      </c>
    </row>
    <row r="249" spans="1:9" ht="14.4" x14ac:dyDescent="0.3">
      <c r="A249" s="197"/>
      <c r="B249" s="198" t="s">
        <v>1246</v>
      </c>
      <c r="C249" s="199" t="s">
        <v>1071</v>
      </c>
      <c r="D249" s="200" t="s">
        <v>1247</v>
      </c>
      <c r="E249" s="196" t="s">
        <v>1317</v>
      </c>
      <c r="F249" s="212"/>
      <c r="G249" s="196" t="s">
        <v>1314</v>
      </c>
      <c r="H249" s="215" t="s">
        <v>1322</v>
      </c>
      <c r="I249" s="216" t="s">
        <v>1219</v>
      </c>
    </row>
    <row r="250" spans="1:9" ht="14.4" x14ac:dyDescent="0.3">
      <c r="A250" s="197"/>
      <c r="B250" s="198" t="s">
        <v>1307</v>
      </c>
      <c r="C250" s="199" t="s">
        <v>1092</v>
      </c>
      <c r="D250" s="200" t="s">
        <v>1247</v>
      </c>
      <c r="E250" s="201" t="s">
        <v>1311</v>
      </c>
      <c r="F250" s="212"/>
      <c r="G250" s="201" t="s">
        <v>1293</v>
      </c>
      <c r="H250" s="215" t="s">
        <v>1322</v>
      </c>
      <c r="I250" s="216" t="s">
        <v>1219</v>
      </c>
    </row>
    <row r="251" spans="1:9" ht="14.4" x14ac:dyDescent="0.3">
      <c r="A251" s="197"/>
      <c r="B251" s="198" t="s">
        <v>1250</v>
      </c>
      <c r="C251" s="199" t="s">
        <v>1073</v>
      </c>
      <c r="D251" s="200" t="s">
        <v>1226</v>
      </c>
      <c r="E251" s="202" t="s">
        <v>1317</v>
      </c>
      <c r="F251" s="212"/>
      <c r="G251" s="201" t="s">
        <v>1311</v>
      </c>
      <c r="H251" s="215" t="s">
        <v>1322</v>
      </c>
      <c r="I251" s="216" t="s">
        <v>1264</v>
      </c>
    </row>
    <row r="252" spans="1:9" ht="14.4" x14ac:dyDescent="0.3">
      <c r="A252" s="197"/>
      <c r="B252" s="198" t="s">
        <v>1248</v>
      </c>
      <c r="C252" s="199" t="s">
        <v>1216</v>
      </c>
      <c r="D252" s="200" t="s">
        <v>1226</v>
      </c>
      <c r="E252" s="201" t="s">
        <v>1293</v>
      </c>
      <c r="F252" s="212"/>
      <c r="G252" s="201" t="s">
        <v>1294</v>
      </c>
      <c r="H252" s="215" t="s">
        <v>1322</v>
      </c>
      <c r="I252" s="216" t="s">
        <v>1264</v>
      </c>
    </row>
    <row r="253" spans="1:9" ht="14.4" x14ac:dyDescent="0.3">
      <c r="A253" s="197"/>
      <c r="B253" s="198"/>
      <c r="C253" s="199"/>
      <c r="D253" s="200"/>
      <c r="E253" s="201"/>
      <c r="F253" s="212"/>
      <c r="G253" s="201"/>
      <c r="H253" s="215"/>
      <c r="I253" s="216"/>
    </row>
    <row r="254" spans="1:9" ht="14.4" x14ac:dyDescent="0.3">
      <c r="A254" s="197"/>
      <c r="B254" s="203"/>
      <c r="C254" s="204"/>
      <c r="D254" s="205"/>
      <c r="E254" s="206"/>
      <c r="F254" s="218"/>
      <c r="G254" s="206"/>
      <c r="H254" s="219"/>
      <c r="I254" s="220"/>
    </row>
    <row r="255" spans="1:9" ht="15" thickBot="1" x14ac:dyDescent="0.35">
      <c r="A255" s="207"/>
      <c r="B255" s="208"/>
      <c r="C255" s="209"/>
      <c r="D255" s="210"/>
      <c r="E255" s="211"/>
      <c r="F255" s="221"/>
      <c r="G255" s="211"/>
      <c r="H255" s="222"/>
      <c r="I255" s="223"/>
    </row>
    <row r="256" spans="1:9" ht="14.4" thickBot="1" x14ac:dyDescent="0.35"/>
    <row r="257" spans="1:9" ht="14.4" thickBot="1" x14ac:dyDescent="0.35">
      <c r="A257" s="226" t="s">
        <v>1204</v>
      </c>
      <c r="B257" s="224" t="s">
        <v>1205</v>
      </c>
      <c r="C257" s="224" t="s">
        <v>1206</v>
      </c>
      <c r="D257" s="224" t="s">
        <v>1207</v>
      </c>
      <c r="E257" s="368" t="s">
        <v>1208</v>
      </c>
      <c r="F257" s="368"/>
      <c r="G257" s="368"/>
      <c r="H257" s="224" t="s">
        <v>1209</v>
      </c>
      <c r="I257" s="225" t="s">
        <v>1210</v>
      </c>
    </row>
    <row r="258" spans="1:9" ht="14.4" x14ac:dyDescent="0.3">
      <c r="A258" s="197" t="s">
        <v>1323</v>
      </c>
      <c r="B258" s="193" t="s">
        <v>1239</v>
      </c>
      <c r="C258" s="194" t="s">
        <v>1220</v>
      </c>
      <c r="D258" s="195" t="s">
        <v>1280</v>
      </c>
      <c r="E258" s="196">
        <v>0.625</v>
      </c>
      <c r="F258" s="212"/>
      <c r="G258" s="196">
        <v>0.70833333333333337</v>
      </c>
      <c r="H258" s="213" t="s">
        <v>1221</v>
      </c>
      <c r="I258" s="214" t="s">
        <v>1240</v>
      </c>
    </row>
    <row r="259" spans="1:9" ht="14.4" x14ac:dyDescent="0.3">
      <c r="A259" s="197"/>
      <c r="B259" s="198" t="s">
        <v>1241</v>
      </c>
      <c r="C259" s="199" t="s">
        <v>1223</v>
      </c>
      <c r="D259" s="200"/>
      <c r="E259" s="201"/>
      <c r="F259" s="212"/>
      <c r="G259" s="201"/>
      <c r="H259" s="215"/>
      <c r="I259" s="216"/>
    </row>
    <row r="260" spans="1:9" ht="14.4" x14ac:dyDescent="0.3">
      <c r="A260" s="197"/>
      <c r="B260" s="198" t="s">
        <v>1307</v>
      </c>
      <c r="C260" s="199" t="s">
        <v>1092</v>
      </c>
      <c r="D260" s="200" t="s">
        <v>1243</v>
      </c>
      <c r="E260" s="201" t="s">
        <v>1314</v>
      </c>
      <c r="F260" s="212"/>
      <c r="G260" s="201" t="s">
        <v>1311</v>
      </c>
      <c r="H260" s="215" t="s">
        <v>1324</v>
      </c>
      <c r="I260" s="216" t="s">
        <v>1219</v>
      </c>
    </row>
    <row r="261" spans="1:9" ht="14.4" x14ac:dyDescent="0.3">
      <c r="A261" s="197"/>
      <c r="B261" s="198" t="s">
        <v>1245</v>
      </c>
      <c r="C261" s="199" t="s">
        <v>1212</v>
      </c>
      <c r="D261" s="200" t="s">
        <v>1243</v>
      </c>
      <c r="E261" s="201" t="s">
        <v>1293</v>
      </c>
      <c r="F261" s="212"/>
      <c r="G261" s="201" t="s">
        <v>1316</v>
      </c>
      <c r="H261" s="215" t="s">
        <v>1324</v>
      </c>
      <c r="I261" s="217" t="s">
        <v>1277</v>
      </c>
    </row>
    <row r="262" spans="1:9" ht="14.4" x14ac:dyDescent="0.3">
      <c r="A262" s="197"/>
      <c r="B262" s="198" t="s">
        <v>1246</v>
      </c>
      <c r="C262" s="199" t="s">
        <v>1071</v>
      </c>
      <c r="D262" s="200" t="s">
        <v>1247</v>
      </c>
      <c r="E262" s="196" t="s">
        <v>1314</v>
      </c>
      <c r="F262" s="212"/>
      <c r="G262" s="196" t="s">
        <v>1311</v>
      </c>
      <c r="H262" s="215" t="s">
        <v>1324</v>
      </c>
      <c r="I262" s="217" t="s">
        <v>1219</v>
      </c>
    </row>
    <row r="263" spans="1:9" ht="14.4" x14ac:dyDescent="0.3">
      <c r="A263" s="197"/>
      <c r="B263" s="198" t="s">
        <v>1304</v>
      </c>
      <c r="C263" s="199" t="s">
        <v>1093</v>
      </c>
      <c r="D263" s="200" t="s">
        <v>1247</v>
      </c>
      <c r="E263" s="196" t="s">
        <v>1311</v>
      </c>
      <c r="F263" s="212"/>
      <c r="G263" s="196" t="s">
        <v>1293</v>
      </c>
      <c r="H263" s="215" t="s">
        <v>1325</v>
      </c>
      <c r="I263" s="216" t="s">
        <v>1306</v>
      </c>
    </row>
    <row r="264" spans="1:9" ht="14.4" x14ac:dyDescent="0.3">
      <c r="A264" s="197"/>
      <c r="B264" s="198" t="s">
        <v>1252</v>
      </c>
      <c r="C264" s="199" t="s">
        <v>1070</v>
      </c>
      <c r="D264" s="200" t="s">
        <v>1247</v>
      </c>
      <c r="E264" s="201" t="s">
        <v>1316</v>
      </c>
      <c r="F264" s="212"/>
      <c r="G264" s="201" t="s">
        <v>1294</v>
      </c>
      <c r="H264" s="215" t="s">
        <v>1324</v>
      </c>
      <c r="I264" s="216" t="s">
        <v>1232</v>
      </c>
    </row>
    <row r="265" spans="1:9" ht="14.4" x14ac:dyDescent="0.3">
      <c r="A265" s="197"/>
      <c r="B265" s="198" t="s">
        <v>1248</v>
      </c>
      <c r="C265" s="199" t="s">
        <v>1216</v>
      </c>
      <c r="D265" s="200" t="s">
        <v>1226</v>
      </c>
      <c r="E265" s="202" t="s">
        <v>1317</v>
      </c>
      <c r="F265" s="212"/>
      <c r="G265" s="201" t="s">
        <v>1311</v>
      </c>
      <c r="H265" s="215" t="s">
        <v>1324</v>
      </c>
      <c r="I265" s="216" t="s">
        <v>1278</v>
      </c>
    </row>
    <row r="266" spans="1:9" ht="14.4" x14ac:dyDescent="0.3">
      <c r="A266" s="197"/>
      <c r="B266" s="198" t="s">
        <v>1250</v>
      </c>
      <c r="C266" s="199" t="s">
        <v>1073</v>
      </c>
      <c r="D266" s="200" t="s">
        <v>1226</v>
      </c>
      <c r="E266" s="201" t="s">
        <v>1293</v>
      </c>
      <c r="F266" s="212"/>
      <c r="G266" s="201" t="s">
        <v>1294</v>
      </c>
      <c r="H266" s="215" t="s">
        <v>1326</v>
      </c>
      <c r="I266" s="216" t="s">
        <v>1264</v>
      </c>
    </row>
    <row r="267" spans="1:9" ht="14.4" x14ac:dyDescent="0.3">
      <c r="A267" s="197"/>
      <c r="B267" s="198"/>
      <c r="C267" s="199"/>
      <c r="D267" s="200"/>
      <c r="E267" s="201"/>
      <c r="F267" s="212"/>
      <c r="G267" s="201"/>
      <c r="H267" s="215"/>
      <c r="I267" s="216"/>
    </row>
    <row r="268" spans="1:9" ht="14.4" x14ac:dyDescent="0.3">
      <c r="A268" s="197"/>
      <c r="B268" s="203"/>
      <c r="C268" s="204"/>
      <c r="D268" s="205"/>
      <c r="E268" s="206"/>
      <c r="F268" s="218"/>
      <c r="G268" s="206"/>
      <c r="H268" s="219"/>
      <c r="I268" s="220"/>
    </row>
    <row r="269" spans="1:9" ht="15" thickBot="1" x14ac:dyDescent="0.35">
      <c r="A269" s="207"/>
      <c r="B269" s="208"/>
      <c r="C269" s="209"/>
      <c r="D269" s="210"/>
      <c r="E269" s="211"/>
      <c r="F269" s="221"/>
      <c r="G269" s="211"/>
      <c r="H269" s="222"/>
      <c r="I269" s="223"/>
    </row>
    <row r="270" spans="1:9" ht="14.4" thickBot="1" x14ac:dyDescent="0.35"/>
    <row r="271" spans="1:9" ht="14.4" thickBot="1" x14ac:dyDescent="0.35">
      <c r="A271" s="226" t="s">
        <v>1204</v>
      </c>
      <c r="B271" s="224" t="s">
        <v>1205</v>
      </c>
      <c r="C271" s="224" t="s">
        <v>1206</v>
      </c>
      <c r="D271" s="224" t="s">
        <v>1207</v>
      </c>
      <c r="E271" s="368" t="s">
        <v>1208</v>
      </c>
      <c r="F271" s="368"/>
      <c r="G271" s="368"/>
      <c r="H271" s="224" t="s">
        <v>1209</v>
      </c>
      <c r="I271" s="225" t="s">
        <v>1210</v>
      </c>
    </row>
    <row r="272" spans="1:9" ht="14.4" x14ac:dyDescent="0.3">
      <c r="A272" s="197" t="s">
        <v>1327</v>
      </c>
      <c r="B272" s="193" t="s">
        <v>1239</v>
      </c>
      <c r="C272" s="194" t="s">
        <v>1220</v>
      </c>
      <c r="D272" s="195" t="s">
        <v>1280</v>
      </c>
      <c r="E272" s="196">
        <v>0.33333333333333331</v>
      </c>
      <c r="F272" s="212"/>
      <c r="G272" s="196">
        <v>0.41666666666666669</v>
      </c>
      <c r="H272" s="213" t="s">
        <v>1221</v>
      </c>
      <c r="I272" s="214" t="s">
        <v>1240</v>
      </c>
    </row>
    <row r="273" spans="1:9" ht="14.4" x14ac:dyDescent="0.3">
      <c r="A273" s="197"/>
      <c r="B273" s="198" t="s">
        <v>1241</v>
      </c>
      <c r="C273" s="199" t="s">
        <v>1223</v>
      </c>
      <c r="D273" s="200"/>
      <c r="E273" s="201"/>
      <c r="F273" s="212"/>
      <c r="G273" s="201"/>
      <c r="H273" s="215"/>
      <c r="I273" s="216"/>
    </row>
    <row r="274" spans="1:9" ht="14.4" x14ac:dyDescent="0.3">
      <c r="A274" s="197"/>
      <c r="B274" s="198" t="s">
        <v>1250</v>
      </c>
      <c r="C274" s="199" t="s">
        <v>1073</v>
      </c>
      <c r="D274" s="200" t="s">
        <v>1243</v>
      </c>
      <c r="E274" s="201" t="s">
        <v>1314</v>
      </c>
      <c r="F274" s="212"/>
      <c r="G274" s="201" t="s">
        <v>1311</v>
      </c>
      <c r="H274" s="215" t="s">
        <v>1326</v>
      </c>
      <c r="I274" s="216" t="s">
        <v>1264</v>
      </c>
    </row>
    <row r="275" spans="1:9" ht="14.4" x14ac:dyDescent="0.3">
      <c r="A275" s="197"/>
      <c r="B275" s="198" t="s">
        <v>1252</v>
      </c>
      <c r="C275" s="199" t="s">
        <v>1070</v>
      </c>
      <c r="D275" s="200" t="s">
        <v>1243</v>
      </c>
      <c r="E275" s="201" t="s">
        <v>1311</v>
      </c>
      <c r="F275" s="212"/>
      <c r="G275" s="201" t="s">
        <v>1293</v>
      </c>
      <c r="H275" s="215" t="s">
        <v>1326</v>
      </c>
      <c r="I275" s="217" t="s">
        <v>1232</v>
      </c>
    </row>
    <row r="276" spans="1:9" ht="15" customHeight="1" x14ac:dyDescent="0.3">
      <c r="A276" s="197"/>
      <c r="B276" s="198" t="s">
        <v>1307</v>
      </c>
      <c r="C276" s="199" t="s">
        <v>1092</v>
      </c>
      <c r="D276" s="200" t="s">
        <v>1243</v>
      </c>
      <c r="E276" s="196" t="s">
        <v>1316</v>
      </c>
      <c r="F276" s="212"/>
      <c r="G276" s="196" t="s">
        <v>1294</v>
      </c>
      <c r="H276" s="215" t="s">
        <v>1326</v>
      </c>
      <c r="I276" s="217" t="s">
        <v>1219</v>
      </c>
    </row>
    <row r="277" spans="1:9" ht="14.4" x14ac:dyDescent="0.3">
      <c r="A277" s="197"/>
      <c r="B277" s="198" t="s">
        <v>1246</v>
      </c>
      <c r="C277" s="199" t="s">
        <v>1071</v>
      </c>
      <c r="D277" s="200" t="s">
        <v>1247</v>
      </c>
      <c r="E277" s="196" t="s">
        <v>1311</v>
      </c>
      <c r="F277" s="212"/>
      <c r="G277" s="196" t="s">
        <v>1293</v>
      </c>
      <c r="H277" s="215" t="s">
        <v>1326</v>
      </c>
      <c r="I277" s="216" t="s">
        <v>1283</v>
      </c>
    </row>
    <row r="278" spans="1:9" ht="14.4" x14ac:dyDescent="0.3">
      <c r="A278" s="197"/>
      <c r="B278" s="198" t="s">
        <v>1304</v>
      </c>
      <c r="C278" s="199" t="s">
        <v>1093</v>
      </c>
      <c r="D278" s="200" t="s">
        <v>1247</v>
      </c>
      <c r="E278" s="201" t="s">
        <v>1316</v>
      </c>
      <c r="F278" s="212"/>
      <c r="G278" s="201" t="s">
        <v>1294</v>
      </c>
      <c r="H278" s="215" t="s">
        <v>1305</v>
      </c>
      <c r="I278" s="216" t="s">
        <v>1306</v>
      </c>
    </row>
    <row r="279" spans="1:9" ht="14.4" x14ac:dyDescent="0.3">
      <c r="A279" s="197"/>
      <c r="B279" s="198" t="s">
        <v>1245</v>
      </c>
      <c r="C279" s="199" t="s">
        <v>1212</v>
      </c>
      <c r="D279" s="200" t="s">
        <v>1226</v>
      </c>
      <c r="E279" s="202" t="s">
        <v>1317</v>
      </c>
      <c r="F279" s="212"/>
      <c r="G279" s="201" t="s">
        <v>1328</v>
      </c>
      <c r="H279" s="215" t="s">
        <v>1326</v>
      </c>
      <c r="I279" s="216" t="s">
        <v>1214</v>
      </c>
    </row>
    <row r="280" spans="1:9" ht="14.4" x14ac:dyDescent="0.3">
      <c r="A280" s="197"/>
      <c r="B280" s="198" t="s">
        <v>1248</v>
      </c>
      <c r="C280" s="199" t="s">
        <v>1216</v>
      </c>
      <c r="D280" s="200" t="s">
        <v>1226</v>
      </c>
      <c r="E280" s="201" t="s">
        <v>1293</v>
      </c>
      <c r="F280" s="212"/>
      <c r="G280" s="201" t="s">
        <v>1294</v>
      </c>
      <c r="H280" s="215" t="s">
        <v>1326</v>
      </c>
      <c r="I280" s="216" t="s">
        <v>1217</v>
      </c>
    </row>
    <row r="281" spans="1:9" ht="14.4" x14ac:dyDescent="0.3">
      <c r="A281" s="197"/>
      <c r="B281" s="198"/>
      <c r="C281" s="199"/>
      <c r="D281" s="200"/>
      <c r="E281" s="201"/>
      <c r="F281" s="212"/>
      <c r="G281" s="201"/>
      <c r="H281" s="215"/>
      <c r="I281" s="216"/>
    </row>
    <row r="282" spans="1:9" ht="14.4" x14ac:dyDescent="0.3">
      <c r="A282" s="197"/>
      <c r="B282" s="203"/>
      <c r="C282" s="204"/>
      <c r="D282" s="205"/>
      <c r="E282" s="206"/>
      <c r="F282" s="218"/>
      <c r="G282" s="206"/>
      <c r="H282" s="219"/>
      <c r="I282" s="220"/>
    </row>
    <row r="283" spans="1:9" ht="15" thickBot="1" x14ac:dyDescent="0.35">
      <c r="A283" s="207"/>
      <c r="B283" s="208"/>
      <c r="C283" s="209"/>
      <c r="D283" s="210"/>
      <c r="E283" s="211"/>
      <c r="F283" s="221"/>
      <c r="G283" s="211"/>
      <c r="H283" s="222"/>
      <c r="I283" s="223"/>
    </row>
    <row r="284" spans="1:9" ht="14.4" thickBot="1" x14ac:dyDescent="0.35"/>
    <row r="285" spans="1:9" ht="14.4" thickBot="1" x14ac:dyDescent="0.35">
      <c r="A285" s="226" t="s">
        <v>1204</v>
      </c>
      <c r="B285" s="224" t="s">
        <v>1205</v>
      </c>
      <c r="C285" s="224" t="s">
        <v>1206</v>
      </c>
      <c r="D285" s="224" t="s">
        <v>1207</v>
      </c>
      <c r="E285" s="368" t="s">
        <v>1208</v>
      </c>
      <c r="F285" s="368"/>
      <c r="G285" s="368"/>
      <c r="H285" s="224" t="s">
        <v>1209</v>
      </c>
      <c r="I285" s="225" t="s">
        <v>1210</v>
      </c>
    </row>
    <row r="286" spans="1:9" ht="14.4" x14ac:dyDescent="0.3">
      <c r="A286" s="197" t="s">
        <v>1329</v>
      </c>
      <c r="B286" s="193" t="s">
        <v>1239</v>
      </c>
      <c r="C286" s="194" t="s">
        <v>1220</v>
      </c>
      <c r="D286" s="195" t="s">
        <v>1285</v>
      </c>
      <c r="E286" s="196">
        <v>0.375</v>
      </c>
      <c r="F286" s="212"/>
      <c r="G286" s="196">
        <v>0.45833333333333331</v>
      </c>
      <c r="H286" s="213" t="s">
        <v>1221</v>
      </c>
      <c r="I286" s="214" t="s">
        <v>1240</v>
      </c>
    </row>
    <row r="287" spans="1:9" ht="14.4" x14ac:dyDescent="0.3">
      <c r="A287" s="197"/>
      <c r="B287" s="198" t="s">
        <v>1241</v>
      </c>
      <c r="C287" s="199" t="s">
        <v>1223</v>
      </c>
      <c r="D287" s="200"/>
      <c r="E287" s="201"/>
      <c r="F287" s="212"/>
      <c r="G287" s="201"/>
      <c r="H287" s="215"/>
      <c r="I287" s="216"/>
    </row>
    <row r="288" spans="1:9" ht="14.4" x14ac:dyDescent="0.3">
      <c r="A288" s="197"/>
      <c r="B288" s="198" t="s">
        <v>1250</v>
      </c>
      <c r="C288" s="199" t="s">
        <v>1073</v>
      </c>
      <c r="D288" s="200" t="s">
        <v>1243</v>
      </c>
      <c r="E288" s="201" t="s">
        <v>1311</v>
      </c>
      <c r="F288" s="212"/>
      <c r="G288" s="201" t="s">
        <v>1293</v>
      </c>
      <c r="H288" s="215" t="s">
        <v>1263</v>
      </c>
      <c r="I288" s="216" t="s">
        <v>1229</v>
      </c>
    </row>
    <row r="289" spans="1:9" ht="14.4" x14ac:dyDescent="0.3">
      <c r="A289" s="197"/>
      <c r="B289" s="198" t="s">
        <v>1252</v>
      </c>
      <c r="C289" s="199" t="s">
        <v>1070</v>
      </c>
      <c r="D289" s="200" t="s">
        <v>1243</v>
      </c>
      <c r="E289" s="201" t="s">
        <v>1316</v>
      </c>
      <c r="F289" s="212"/>
      <c r="G289" s="201" t="s">
        <v>1294</v>
      </c>
      <c r="H289" s="215" t="s">
        <v>1263</v>
      </c>
      <c r="I289" s="217" t="s">
        <v>1232</v>
      </c>
    </row>
    <row r="290" spans="1:9" ht="14.4" x14ac:dyDescent="0.3">
      <c r="A290" s="197"/>
      <c r="B290" s="198" t="s">
        <v>1330</v>
      </c>
      <c r="C290" s="199" t="s">
        <v>1127</v>
      </c>
      <c r="D290" s="200" t="s">
        <v>1243</v>
      </c>
      <c r="E290" s="196" t="s">
        <v>1294</v>
      </c>
      <c r="F290" s="212"/>
      <c r="G290" s="196" t="s">
        <v>1331</v>
      </c>
      <c r="H290" s="215" t="s">
        <v>1290</v>
      </c>
      <c r="I290" s="217" t="s">
        <v>1236</v>
      </c>
    </row>
    <row r="291" spans="1:9" ht="14.4" x14ac:dyDescent="0.3">
      <c r="A291" s="197"/>
      <c r="B291" s="198" t="s">
        <v>1245</v>
      </c>
      <c r="C291" s="199" t="s">
        <v>1212</v>
      </c>
      <c r="D291" s="200" t="s">
        <v>1247</v>
      </c>
      <c r="E291" s="196" t="s">
        <v>1293</v>
      </c>
      <c r="F291" s="212"/>
      <c r="G291" s="196" t="s">
        <v>1316</v>
      </c>
      <c r="H291" s="215" t="s">
        <v>1271</v>
      </c>
      <c r="I291" s="216" t="s">
        <v>1277</v>
      </c>
    </row>
    <row r="292" spans="1:9" ht="14.4" x14ac:dyDescent="0.3">
      <c r="A292" s="197"/>
      <c r="B292" s="198" t="s">
        <v>1246</v>
      </c>
      <c r="C292" s="199" t="s">
        <v>1071</v>
      </c>
      <c r="D292" s="200" t="s">
        <v>1247</v>
      </c>
      <c r="E292" s="201" t="s">
        <v>1316</v>
      </c>
      <c r="F292" s="212"/>
      <c r="G292" s="201" t="s">
        <v>1294</v>
      </c>
      <c r="H292" s="215" t="s">
        <v>1299</v>
      </c>
      <c r="I292" s="216" t="s">
        <v>1215</v>
      </c>
    </row>
    <row r="293" spans="1:9" ht="14.4" x14ac:dyDescent="0.3">
      <c r="A293" s="197"/>
      <c r="B293" s="198" t="s">
        <v>1332</v>
      </c>
      <c r="C293" s="199" t="s">
        <v>1333</v>
      </c>
      <c r="D293" s="200" t="s">
        <v>1226</v>
      </c>
      <c r="E293" s="202" t="s">
        <v>1317</v>
      </c>
      <c r="F293" s="212"/>
      <c r="G293" s="201" t="s">
        <v>1311</v>
      </c>
      <c r="H293" s="215" t="s">
        <v>1263</v>
      </c>
      <c r="I293" s="216" t="s">
        <v>1334</v>
      </c>
    </row>
    <row r="294" spans="1:9" ht="14.4" x14ac:dyDescent="0.3">
      <c r="A294" s="197"/>
      <c r="B294" s="198" t="s">
        <v>1248</v>
      </c>
      <c r="C294" s="199" t="s">
        <v>1216</v>
      </c>
      <c r="D294" s="200" t="s">
        <v>1226</v>
      </c>
      <c r="E294" s="201" t="s">
        <v>1293</v>
      </c>
      <c r="F294" s="212"/>
      <c r="G294" s="201" t="s">
        <v>1294</v>
      </c>
      <c r="H294" s="215" t="s">
        <v>1297</v>
      </c>
      <c r="I294" s="216" t="s">
        <v>1264</v>
      </c>
    </row>
    <row r="295" spans="1:9" ht="14.4" x14ac:dyDescent="0.3">
      <c r="A295" s="197"/>
      <c r="B295" s="198"/>
      <c r="C295" s="199"/>
      <c r="D295" s="200"/>
      <c r="E295" s="201"/>
      <c r="F295" s="212"/>
      <c r="G295" s="201"/>
      <c r="H295" s="215"/>
      <c r="I295" s="216"/>
    </row>
    <row r="296" spans="1:9" ht="14.4" x14ac:dyDescent="0.3">
      <c r="A296" s="197"/>
      <c r="B296" s="203"/>
      <c r="C296" s="204"/>
      <c r="D296" s="205"/>
      <c r="E296" s="206"/>
      <c r="F296" s="218"/>
      <c r="G296" s="206"/>
      <c r="H296" s="219"/>
      <c r="I296" s="220"/>
    </row>
    <row r="297" spans="1:9" ht="15" thickBot="1" x14ac:dyDescent="0.35">
      <c r="A297" s="207"/>
      <c r="B297" s="208"/>
      <c r="C297" s="209"/>
      <c r="D297" s="210"/>
      <c r="E297" s="211"/>
      <c r="F297" s="221"/>
      <c r="G297" s="211"/>
      <c r="H297" s="222"/>
      <c r="I297" s="223"/>
    </row>
    <row r="298" spans="1:9" ht="14.4" thickBot="1" x14ac:dyDescent="0.35"/>
    <row r="299" spans="1:9" ht="14.4" thickBot="1" x14ac:dyDescent="0.35">
      <c r="A299" s="226" t="s">
        <v>1204</v>
      </c>
      <c r="B299" s="224" t="s">
        <v>1205</v>
      </c>
      <c r="C299" s="224" t="s">
        <v>1206</v>
      </c>
      <c r="D299" s="224" t="s">
        <v>1207</v>
      </c>
      <c r="E299" s="368" t="s">
        <v>1208</v>
      </c>
      <c r="F299" s="368"/>
      <c r="G299" s="368"/>
      <c r="H299" s="224" t="s">
        <v>1209</v>
      </c>
      <c r="I299" s="225" t="s">
        <v>1210</v>
      </c>
    </row>
    <row r="300" spans="1:9" ht="14.4" x14ac:dyDescent="0.3">
      <c r="A300" s="197"/>
      <c r="B300" s="193"/>
      <c r="C300" s="194"/>
      <c r="D300" s="195"/>
      <c r="E300" s="196"/>
      <c r="F300" s="212"/>
      <c r="G300" s="196"/>
      <c r="H300" s="213"/>
      <c r="I300" s="214"/>
    </row>
    <row r="301" spans="1:9" ht="14.4" x14ac:dyDescent="0.3">
      <c r="A301" s="197"/>
      <c r="B301" s="198"/>
      <c r="C301" s="199"/>
      <c r="D301" s="200"/>
      <c r="E301" s="201"/>
      <c r="F301" s="212"/>
      <c r="G301" s="201"/>
      <c r="H301" s="215"/>
      <c r="I301" s="216"/>
    </row>
    <row r="302" spans="1:9" ht="14.4" x14ac:dyDescent="0.3">
      <c r="A302" s="197"/>
      <c r="B302" s="198"/>
      <c r="C302" s="199"/>
      <c r="D302" s="200"/>
      <c r="E302" s="201"/>
      <c r="F302" s="212"/>
      <c r="G302" s="201"/>
      <c r="H302" s="215"/>
      <c r="I302" s="216"/>
    </row>
    <row r="303" spans="1:9" ht="14.4" x14ac:dyDescent="0.3">
      <c r="A303" s="197"/>
      <c r="B303" s="198"/>
      <c r="C303" s="199"/>
      <c r="D303" s="200"/>
      <c r="E303" s="201"/>
      <c r="F303" s="212"/>
      <c r="G303" s="201"/>
      <c r="H303" s="215"/>
      <c r="I303" s="217"/>
    </row>
    <row r="304" spans="1:9" ht="14.4" x14ac:dyDescent="0.3">
      <c r="A304" s="197"/>
      <c r="B304" s="198"/>
      <c r="C304" s="199"/>
      <c r="D304" s="200"/>
      <c r="E304" s="196"/>
      <c r="F304" s="212"/>
      <c r="G304" s="196"/>
      <c r="H304" s="215"/>
      <c r="I304" s="217"/>
    </row>
    <row r="305" spans="1:9" ht="14.4" x14ac:dyDescent="0.3">
      <c r="A305" s="197"/>
      <c r="B305" s="198"/>
      <c r="C305" s="199"/>
      <c r="D305" s="200"/>
      <c r="E305" s="196"/>
      <c r="F305" s="212"/>
      <c r="G305" s="196"/>
      <c r="H305" s="215"/>
      <c r="I305" s="216"/>
    </row>
    <row r="306" spans="1:9" ht="14.4" x14ac:dyDescent="0.3">
      <c r="A306" s="197"/>
      <c r="B306" s="198"/>
      <c r="C306" s="199"/>
      <c r="D306" s="200"/>
      <c r="E306" s="201"/>
      <c r="F306" s="212"/>
      <c r="G306" s="201"/>
      <c r="H306" s="215"/>
      <c r="I306" s="216"/>
    </row>
    <row r="307" spans="1:9" ht="14.4" x14ac:dyDescent="0.3">
      <c r="A307" s="197"/>
      <c r="B307" s="198"/>
      <c r="C307" s="199"/>
      <c r="D307" s="200"/>
      <c r="E307" s="202"/>
      <c r="F307" s="212"/>
      <c r="G307" s="201"/>
      <c r="H307" s="215"/>
      <c r="I307" s="216"/>
    </row>
    <row r="308" spans="1:9" ht="14.4" x14ac:dyDescent="0.3">
      <c r="A308" s="197"/>
      <c r="B308" s="198"/>
      <c r="C308" s="199"/>
      <c r="D308" s="200"/>
      <c r="E308" s="201"/>
      <c r="F308" s="212"/>
      <c r="G308" s="201"/>
      <c r="H308" s="215"/>
      <c r="I308" s="216"/>
    </row>
    <row r="309" spans="1:9" ht="14.4" x14ac:dyDescent="0.3">
      <c r="A309" s="197"/>
      <c r="B309" s="198"/>
      <c r="C309" s="199"/>
      <c r="D309" s="200"/>
      <c r="E309" s="201"/>
      <c r="F309" s="212"/>
      <c r="G309" s="201"/>
      <c r="H309" s="215"/>
      <c r="I309" s="216"/>
    </row>
    <row r="310" spans="1:9" ht="14.4" x14ac:dyDescent="0.3">
      <c r="A310" s="197"/>
      <c r="B310" s="203"/>
      <c r="C310" s="204"/>
      <c r="D310" s="205"/>
      <c r="E310" s="206"/>
      <c r="F310" s="218"/>
      <c r="G310" s="206"/>
      <c r="H310" s="219"/>
      <c r="I310" s="220"/>
    </row>
    <row r="311" spans="1:9" ht="15" thickBot="1" x14ac:dyDescent="0.35">
      <c r="A311" s="207"/>
      <c r="B311" s="208"/>
      <c r="C311" s="209"/>
      <c r="D311" s="210"/>
      <c r="E311" s="211"/>
      <c r="F311" s="221"/>
      <c r="G311" s="211"/>
      <c r="H311" s="222"/>
      <c r="I311" s="223"/>
    </row>
    <row r="312" spans="1:9" ht="14.4" thickBot="1" x14ac:dyDescent="0.35"/>
    <row r="313" spans="1:9" ht="14.4" thickBot="1" x14ac:dyDescent="0.35">
      <c r="A313" s="226" t="s">
        <v>1204</v>
      </c>
      <c r="B313" s="224" t="s">
        <v>1205</v>
      </c>
      <c r="C313" s="224" t="s">
        <v>1206</v>
      </c>
      <c r="D313" s="224" t="s">
        <v>1207</v>
      </c>
      <c r="E313" s="368" t="s">
        <v>1208</v>
      </c>
      <c r="F313" s="368"/>
      <c r="G313" s="368"/>
      <c r="H313" s="224" t="s">
        <v>1209</v>
      </c>
      <c r="I313" s="225" t="s">
        <v>1210</v>
      </c>
    </row>
    <row r="314" spans="1:9" ht="14.4" x14ac:dyDescent="0.3">
      <c r="A314" s="197" t="s">
        <v>1335</v>
      </c>
      <c r="B314" s="193" t="s">
        <v>1336</v>
      </c>
      <c r="C314" s="194" t="s">
        <v>1337</v>
      </c>
      <c r="D314" s="195" t="s">
        <v>1243</v>
      </c>
      <c r="E314" s="196" t="s">
        <v>1311</v>
      </c>
      <c r="F314" s="212"/>
      <c r="G314" s="196" t="s">
        <v>1293</v>
      </c>
      <c r="H314" s="213" t="s">
        <v>1338</v>
      </c>
      <c r="I314" s="214" t="s">
        <v>1339</v>
      </c>
    </row>
    <row r="315" spans="1:9" ht="14.4" x14ac:dyDescent="0.3">
      <c r="A315" s="197"/>
      <c r="B315" s="198" t="s">
        <v>1340</v>
      </c>
      <c r="C315" s="199" t="s">
        <v>1081</v>
      </c>
      <c r="D315" s="200" t="s">
        <v>1243</v>
      </c>
      <c r="E315" s="201" t="s">
        <v>1316</v>
      </c>
      <c r="F315" s="212"/>
      <c r="G315" s="201" t="s">
        <v>1294</v>
      </c>
      <c r="H315" s="215" t="s">
        <v>1338</v>
      </c>
      <c r="I315" s="216" t="s">
        <v>1217</v>
      </c>
    </row>
    <row r="316" spans="1:9" ht="14.4" x14ac:dyDescent="0.3">
      <c r="A316" s="197"/>
      <c r="B316" s="198" t="s">
        <v>1341</v>
      </c>
      <c r="C316" s="199" t="s">
        <v>1086</v>
      </c>
      <c r="D316" s="200" t="s">
        <v>1243</v>
      </c>
      <c r="E316" s="201" t="s">
        <v>1294</v>
      </c>
      <c r="F316" s="212"/>
      <c r="G316" s="201" t="s">
        <v>1331</v>
      </c>
      <c r="H316" s="215" t="s">
        <v>1338</v>
      </c>
      <c r="I316" s="216" t="s">
        <v>1342</v>
      </c>
    </row>
    <row r="317" spans="1:9" ht="14.4" x14ac:dyDescent="0.3">
      <c r="A317" s="197"/>
      <c r="B317" s="198" t="s">
        <v>1343</v>
      </c>
      <c r="C317" s="199" t="s">
        <v>1344</v>
      </c>
      <c r="D317" s="200" t="s">
        <v>1247</v>
      </c>
      <c r="E317" s="201" t="s">
        <v>1311</v>
      </c>
      <c r="F317" s="212"/>
      <c r="G317" s="201" t="s">
        <v>1293</v>
      </c>
      <c r="H317" s="215" t="s">
        <v>1338</v>
      </c>
      <c r="I317" s="217" t="s">
        <v>1234</v>
      </c>
    </row>
    <row r="318" spans="1:9" ht="14.4" x14ac:dyDescent="0.3">
      <c r="A318" s="197"/>
      <c r="B318" s="198" t="s">
        <v>1345</v>
      </c>
      <c r="C318" s="199" t="s">
        <v>1346</v>
      </c>
      <c r="D318" s="200" t="s">
        <v>1247</v>
      </c>
      <c r="E318" s="196" t="s">
        <v>1293</v>
      </c>
      <c r="F318" s="212"/>
      <c r="G318" s="196" t="s">
        <v>1316</v>
      </c>
      <c r="H318" s="215" t="s">
        <v>1338</v>
      </c>
      <c r="I318" s="217" t="s">
        <v>1339</v>
      </c>
    </row>
    <row r="319" spans="1:9" ht="14.4" x14ac:dyDescent="0.3">
      <c r="A319" s="197"/>
      <c r="B319" s="198" t="s">
        <v>1347</v>
      </c>
      <c r="C319" s="199" t="s">
        <v>1348</v>
      </c>
      <c r="D319" s="200" t="s">
        <v>1247</v>
      </c>
      <c r="E319" s="196" t="s">
        <v>1294</v>
      </c>
      <c r="F319" s="212"/>
      <c r="G319" s="196" t="s">
        <v>1331</v>
      </c>
      <c r="H319" s="215" t="s">
        <v>1338</v>
      </c>
      <c r="I319" s="216" t="s">
        <v>1349</v>
      </c>
    </row>
    <row r="320" spans="1:9" ht="14.4" x14ac:dyDescent="0.3">
      <c r="A320" s="197"/>
      <c r="B320" s="198" t="s">
        <v>1350</v>
      </c>
      <c r="C320" s="199" t="s">
        <v>1089</v>
      </c>
      <c r="D320" s="200" t="s">
        <v>1247</v>
      </c>
      <c r="E320" s="201" t="s">
        <v>1331</v>
      </c>
      <c r="F320" s="212"/>
      <c r="G320" s="201" t="s">
        <v>1351</v>
      </c>
      <c r="H320" s="215" t="s">
        <v>1338</v>
      </c>
      <c r="I320" s="216" t="s">
        <v>1227</v>
      </c>
    </row>
    <row r="321" spans="1:9" ht="14.4" x14ac:dyDescent="0.3">
      <c r="A321" s="197"/>
      <c r="B321" s="198" t="s">
        <v>1352</v>
      </c>
      <c r="C321" s="199" t="s">
        <v>1083</v>
      </c>
      <c r="D321" s="200" t="s">
        <v>1226</v>
      </c>
      <c r="E321" s="202" t="s">
        <v>1353</v>
      </c>
      <c r="F321" s="212"/>
      <c r="G321" s="201" t="s">
        <v>1354</v>
      </c>
      <c r="H321" s="215" t="s">
        <v>1338</v>
      </c>
      <c r="I321" s="216" t="s">
        <v>1355</v>
      </c>
    </row>
    <row r="322" spans="1:9" ht="14.4" x14ac:dyDescent="0.3">
      <c r="A322" s="197"/>
      <c r="B322" s="198" t="s">
        <v>1356</v>
      </c>
      <c r="C322" s="199" t="s">
        <v>1357</v>
      </c>
      <c r="D322" s="200" t="s">
        <v>1226</v>
      </c>
      <c r="E322" s="201" t="s">
        <v>1311</v>
      </c>
      <c r="F322" s="212"/>
      <c r="G322" s="201" t="s">
        <v>1358</v>
      </c>
      <c r="H322" s="215"/>
      <c r="I322" s="216"/>
    </row>
    <row r="323" spans="1:9" ht="14.4" x14ac:dyDescent="0.3">
      <c r="A323" s="197"/>
      <c r="B323" s="198" t="s">
        <v>1359</v>
      </c>
      <c r="C323" s="199" t="s">
        <v>1360</v>
      </c>
      <c r="D323" s="200" t="s">
        <v>1226</v>
      </c>
      <c r="E323" s="201" t="s">
        <v>1361</v>
      </c>
      <c r="F323" s="212"/>
      <c r="G323" s="201" t="s">
        <v>1362</v>
      </c>
      <c r="H323" s="215" t="s">
        <v>1363</v>
      </c>
      <c r="I323" s="216" t="s">
        <v>1222</v>
      </c>
    </row>
    <row r="324" spans="1:9" ht="14.4" x14ac:dyDescent="0.3">
      <c r="A324" s="197"/>
      <c r="B324" s="203"/>
      <c r="C324" s="204"/>
      <c r="D324" s="205"/>
      <c r="E324" s="206"/>
      <c r="F324" s="218"/>
      <c r="G324" s="206"/>
      <c r="H324" s="219"/>
      <c r="I324" s="220"/>
    </row>
    <row r="325" spans="1:9" ht="15" thickBot="1" x14ac:dyDescent="0.35">
      <c r="A325" s="207"/>
      <c r="B325" s="208"/>
      <c r="C325" s="209"/>
      <c r="D325" s="210"/>
      <c r="E325" s="211"/>
      <c r="F325" s="221"/>
      <c r="G325" s="211"/>
      <c r="H325" s="222"/>
      <c r="I325" s="223"/>
    </row>
    <row r="326" spans="1:9" ht="14.4" thickBot="1" x14ac:dyDescent="0.35"/>
    <row r="327" spans="1:9" ht="14.4" thickBot="1" x14ac:dyDescent="0.35">
      <c r="A327" s="226" t="s">
        <v>1204</v>
      </c>
      <c r="B327" s="224" t="s">
        <v>1205</v>
      </c>
      <c r="C327" s="224" t="s">
        <v>1206</v>
      </c>
      <c r="D327" s="224" t="s">
        <v>1207</v>
      </c>
      <c r="E327" s="368" t="s">
        <v>1208</v>
      </c>
      <c r="F327" s="368"/>
      <c r="G327" s="368"/>
      <c r="H327" s="224" t="s">
        <v>1209</v>
      </c>
      <c r="I327" s="225" t="s">
        <v>1210</v>
      </c>
    </row>
    <row r="328" spans="1:9" ht="14.4" x14ac:dyDescent="0.3">
      <c r="A328" s="197" t="s">
        <v>1364</v>
      </c>
      <c r="B328" s="193" t="s">
        <v>1356</v>
      </c>
      <c r="C328" s="194" t="s">
        <v>1357</v>
      </c>
      <c r="D328" s="195"/>
      <c r="E328" s="196"/>
      <c r="F328" s="212"/>
      <c r="G328" s="196"/>
      <c r="H328" s="213"/>
      <c r="I328" s="214"/>
    </row>
    <row r="329" spans="1:9" ht="14.4" x14ac:dyDescent="0.3">
      <c r="A329" s="197"/>
      <c r="B329" s="198" t="s">
        <v>1359</v>
      </c>
      <c r="C329" s="199" t="s">
        <v>1360</v>
      </c>
      <c r="D329" s="200" t="s">
        <v>1224</v>
      </c>
      <c r="E329" s="201" t="s">
        <v>1328</v>
      </c>
      <c r="F329" s="212"/>
      <c r="G329" s="201" t="s">
        <v>1358</v>
      </c>
      <c r="H329" s="215" t="s">
        <v>1221</v>
      </c>
      <c r="I329" s="216" t="s">
        <v>1222</v>
      </c>
    </row>
    <row r="330" spans="1:9" ht="14.4" x14ac:dyDescent="0.3">
      <c r="A330" s="197"/>
      <c r="B330" s="198" t="s">
        <v>1336</v>
      </c>
      <c r="C330" s="199" t="s">
        <v>1337</v>
      </c>
      <c r="D330" s="200" t="s">
        <v>1243</v>
      </c>
      <c r="E330" s="201" t="s">
        <v>1293</v>
      </c>
      <c r="F330" s="212"/>
      <c r="G330" s="201" t="s">
        <v>1316</v>
      </c>
      <c r="H330" s="215" t="s">
        <v>1265</v>
      </c>
      <c r="I330" s="216" t="s">
        <v>1339</v>
      </c>
    </row>
    <row r="331" spans="1:9" ht="14.4" x14ac:dyDescent="0.3">
      <c r="A331" s="197"/>
      <c r="B331" s="198" t="s">
        <v>1340</v>
      </c>
      <c r="C331" s="199" t="s">
        <v>1081</v>
      </c>
      <c r="D331" s="200" t="s">
        <v>1243</v>
      </c>
      <c r="E331" s="201" t="s">
        <v>1294</v>
      </c>
      <c r="F331" s="212"/>
      <c r="G331" s="201" t="s">
        <v>1331</v>
      </c>
      <c r="H331" s="215" t="s">
        <v>1265</v>
      </c>
      <c r="I331" s="217" t="s">
        <v>1229</v>
      </c>
    </row>
    <row r="332" spans="1:9" ht="14.4" x14ac:dyDescent="0.3">
      <c r="A332" s="197"/>
      <c r="B332" s="198" t="s">
        <v>1341</v>
      </c>
      <c r="C332" s="199" t="s">
        <v>1086</v>
      </c>
      <c r="D332" s="200" t="s">
        <v>1243</v>
      </c>
      <c r="E332" s="196" t="s">
        <v>1331</v>
      </c>
      <c r="F332" s="212"/>
      <c r="G332" s="196" t="s">
        <v>1351</v>
      </c>
      <c r="H332" s="215" t="s">
        <v>1265</v>
      </c>
      <c r="I332" s="217" t="s">
        <v>1342</v>
      </c>
    </row>
    <row r="333" spans="1:9" ht="14.4" x14ac:dyDescent="0.3">
      <c r="A333" s="197"/>
      <c r="B333" s="198" t="s">
        <v>1343</v>
      </c>
      <c r="C333" s="199" t="s">
        <v>1344</v>
      </c>
      <c r="D333" s="200" t="s">
        <v>1247</v>
      </c>
      <c r="E333" s="196" t="s">
        <v>1293</v>
      </c>
      <c r="F333" s="212"/>
      <c r="G333" s="196" t="s">
        <v>1316</v>
      </c>
      <c r="H333" s="215" t="s">
        <v>1265</v>
      </c>
      <c r="I333" s="216" t="s">
        <v>1234</v>
      </c>
    </row>
    <row r="334" spans="1:9" ht="14.4" x14ac:dyDescent="0.3">
      <c r="A334" s="197"/>
      <c r="B334" s="198" t="s">
        <v>1345</v>
      </c>
      <c r="C334" s="199" t="s">
        <v>1346</v>
      </c>
      <c r="D334" s="200" t="s">
        <v>1247</v>
      </c>
      <c r="E334" s="201" t="s">
        <v>1294</v>
      </c>
      <c r="F334" s="212"/>
      <c r="G334" s="201" t="s">
        <v>1331</v>
      </c>
      <c r="H334" s="215" t="s">
        <v>1265</v>
      </c>
      <c r="I334" s="216" t="s">
        <v>1365</v>
      </c>
    </row>
    <row r="335" spans="1:9" ht="14.4" x14ac:dyDescent="0.3">
      <c r="A335" s="197"/>
      <c r="B335" s="198" t="s">
        <v>1347</v>
      </c>
      <c r="C335" s="199" t="s">
        <v>1348</v>
      </c>
      <c r="D335" s="200" t="s">
        <v>1247</v>
      </c>
      <c r="E335" s="202" t="s">
        <v>1331</v>
      </c>
      <c r="F335" s="212"/>
      <c r="G335" s="201" t="s">
        <v>1351</v>
      </c>
      <c r="H335" s="215" t="s">
        <v>1265</v>
      </c>
      <c r="I335" s="216" t="s">
        <v>1349</v>
      </c>
    </row>
    <row r="336" spans="1:9" ht="14.4" x14ac:dyDescent="0.3">
      <c r="A336" s="197"/>
      <c r="B336" s="198" t="s">
        <v>1352</v>
      </c>
      <c r="C336" s="199" t="s">
        <v>1083</v>
      </c>
      <c r="D336" s="200" t="s">
        <v>1226</v>
      </c>
      <c r="E336" s="201" t="s">
        <v>1311</v>
      </c>
      <c r="F336" s="212"/>
      <c r="G336" s="201" t="s">
        <v>1316</v>
      </c>
      <c r="H336" s="215" t="s">
        <v>1305</v>
      </c>
      <c r="I336" s="216" t="s">
        <v>1355</v>
      </c>
    </row>
    <row r="337" spans="1:9" ht="14.4" x14ac:dyDescent="0.3">
      <c r="A337" s="197"/>
      <c r="B337" s="198" t="s">
        <v>1350</v>
      </c>
      <c r="C337" s="199" t="s">
        <v>1089</v>
      </c>
      <c r="D337" s="200" t="s">
        <v>1226</v>
      </c>
      <c r="E337" s="201" t="s">
        <v>1294</v>
      </c>
      <c r="F337" s="212"/>
      <c r="G337" s="201" t="s">
        <v>1331</v>
      </c>
      <c r="H337" s="215" t="s">
        <v>1265</v>
      </c>
      <c r="I337" s="216" t="s">
        <v>1227</v>
      </c>
    </row>
    <row r="338" spans="1:9" ht="14.4" x14ac:dyDescent="0.3">
      <c r="A338" s="197"/>
      <c r="B338" s="203"/>
      <c r="C338" s="204"/>
      <c r="D338" s="205"/>
      <c r="E338" s="206"/>
      <c r="F338" s="218"/>
      <c r="G338" s="206"/>
      <c r="H338" s="219"/>
      <c r="I338" s="220"/>
    </row>
    <row r="339" spans="1:9" ht="15" thickBot="1" x14ac:dyDescent="0.35">
      <c r="A339" s="207"/>
      <c r="B339" s="208"/>
      <c r="C339" s="209"/>
      <c r="D339" s="210"/>
      <c r="E339" s="211"/>
      <c r="F339" s="221"/>
      <c r="G339" s="211"/>
      <c r="H339" s="222"/>
      <c r="I339" s="223"/>
    </row>
    <row r="340" spans="1:9" ht="14.4" thickBot="1" x14ac:dyDescent="0.35"/>
    <row r="341" spans="1:9" ht="14.4" thickBot="1" x14ac:dyDescent="0.35">
      <c r="A341" s="226" t="s">
        <v>1204</v>
      </c>
      <c r="B341" s="224" t="s">
        <v>1205</v>
      </c>
      <c r="C341" s="224" t="s">
        <v>1206</v>
      </c>
      <c r="D341" s="224" t="s">
        <v>1207</v>
      </c>
      <c r="E341" s="368" t="s">
        <v>1208</v>
      </c>
      <c r="F341" s="368"/>
      <c r="G341" s="368"/>
      <c r="H341" s="224" t="s">
        <v>1209</v>
      </c>
      <c r="I341" s="225" t="s">
        <v>1210</v>
      </c>
    </row>
    <row r="342" spans="1:9" ht="14.4" x14ac:dyDescent="0.3">
      <c r="A342" s="197" t="s">
        <v>1366</v>
      </c>
      <c r="B342" s="193" t="s">
        <v>1356</v>
      </c>
      <c r="C342" s="194" t="s">
        <v>1357</v>
      </c>
      <c r="D342" s="195"/>
      <c r="E342" s="196"/>
      <c r="F342" s="212"/>
      <c r="G342" s="196"/>
      <c r="H342" s="213"/>
      <c r="I342" s="214"/>
    </row>
    <row r="343" spans="1:9" ht="14.4" x14ac:dyDescent="0.3">
      <c r="A343" s="197"/>
      <c r="B343" s="198" t="s">
        <v>1347</v>
      </c>
      <c r="C343" s="199" t="s">
        <v>1348</v>
      </c>
      <c r="D343" s="200" t="s">
        <v>1243</v>
      </c>
      <c r="E343" s="201" t="s">
        <v>1311</v>
      </c>
      <c r="F343" s="212"/>
      <c r="G343" s="201" t="s">
        <v>1293</v>
      </c>
      <c r="H343" s="215" t="s">
        <v>1282</v>
      </c>
      <c r="I343" s="216" t="s">
        <v>1349</v>
      </c>
    </row>
    <row r="344" spans="1:9" ht="14.4" x14ac:dyDescent="0.3">
      <c r="A344" s="197"/>
      <c r="B344" s="198" t="s">
        <v>1336</v>
      </c>
      <c r="C344" s="199" t="s">
        <v>1337</v>
      </c>
      <c r="D344" s="200" t="s">
        <v>1243</v>
      </c>
      <c r="E344" s="201" t="s">
        <v>1316</v>
      </c>
      <c r="F344" s="212"/>
      <c r="G344" s="201" t="s">
        <v>1294</v>
      </c>
      <c r="H344" s="215" t="s">
        <v>1282</v>
      </c>
      <c r="I344" s="216" t="s">
        <v>1339</v>
      </c>
    </row>
    <row r="345" spans="1:9" ht="14.4" x14ac:dyDescent="0.3">
      <c r="A345" s="197"/>
      <c r="B345" s="198" t="s">
        <v>1340</v>
      </c>
      <c r="C345" s="199" t="s">
        <v>1081</v>
      </c>
      <c r="D345" s="200" t="s">
        <v>1243</v>
      </c>
      <c r="E345" s="201" t="s">
        <v>1294</v>
      </c>
      <c r="F345" s="212"/>
      <c r="G345" s="201" t="s">
        <v>1331</v>
      </c>
      <c r="H345" s="215" t="s">
        <v>1282</v>
      </c>
      <c r="I345" s="217" t="s">
        <v>1249</v>
      </c>
    </row>
    <row r="346" spans="1:9" ht="14.4" x14ac:dyDescent="0.3">
      <c r="A346" s="197"/>
      <c r="B346" s="198" t="s">
        <v>1359</v>
      </c>
      <c r="C346" s="199" t="s">
        <v>1360</v>
      </c>
      <c r="D346" s="200" t="s">
        <v>1280</v>
      </c>
      <c r="E346" s="196" t="s">
        <v>1328</v>
      </c>
      <c r="F346" s="212"/>
      <c r="G346" s="196" t="s">
        <v>1358</v>
      </c>
      <c r="H346" s="215" t="s">
        <v>1221</v>
      </c>
      <c r="I346" s="217" t="s">
        <v>1222</v>
      </c>
    </row>
    <row r="347" spans="1:9" ht="14.4" x14ac:dyDescent="0.3">
      <c r="A347" s="197"/>
      <c r="B347" s="198" t="s">
        <v>1345</v>
      </c>
      <c r="C347" s="199" t="s">
        <v>1346</v>
      </c>
      <c r="D347" s="200" t="s">
        <v>1247</v>
      </c>
      <c r="E347" s="196" t="s">
        <v>1367</v>
      </c>
      <c r="F347" s="212"/>
      <c r="G347" s="196" t="s">
        <v>1354</v>
      </c>
      <c r="H347" s="215" t="s">
        <v>1282</v>
      </c>
      <c r="I347" s="216" t="s">
        <v>1365</v>
      </c>
    </row>
    <row r="348" spans="1:9" ht="14.4" x14ac:dyDescent="0.3">
      <c r="A348" s="197"/>
      <c r="B348" s="198" t="s">
        <v>1341</v>
      </c>
      <c r="C348" s="199" t="s">
        <v>1086</v>
      </c>
      <c r="D348" s="200" t="s">
        <v>1247</v>
      </c>
      <c r="E348" s="201" t="s">
        <v>1293</v>
      </c>
      <c r="F348" s="212"/>
      <c r="G348" s="201" t="s">
        <v>1316</v>
      </c>
      <c r="H348" s="215" t="s">
        <v>1254</v>
      </c>
      <c r="I348" s="216" t="s">
        <v>1342</v>
      </c>
    </row>
    <row r="349" spans="1:9" ht="14.4" x14ac:dyDescent="0.3">
      <c r="A349" s="197"/>
      <c r="B349" s="198" t="s">
        <v>1343</v>
      </c>
      <c r="C349" s="199" t="s">
        <v>1344</v>
      </c>
      <c r="D349" s="200" t="s">
        <v>1247</v>
      </c>
      <c r="E349" s="202" t="s">
        <v>1294</v>
      </c>
      <c r="F349" s="212"/>
      <c r="G349" s="201" t="s">
        <v>1331</v>
      </c>
      <c r="H349" s="215" t="s">
        <v>1282</v>
      </c>
      <c r="I349" s="216" t="s">
        <v>1312</v>
      </c>
    </row>
    <row r="350" spans="1:9" ht="14.4" x14ac:dyDescent="0.3">
      <c r="A350" s="197"/>
      <c r="B350" s="198" t="s">
        <v>1350</v>
      </c>
      <c r="C350" s="199" t="s">
        <v>1089</v>
      </c>
      <c r="D350" s="200" t="s">
        <v>1226</v>
      </c>
      <c r="E350" s="201" t="s">
        <v>1311</v>
      </c>
      <c r="F350" s="212"/>
      <c r="G350" s="201" t="s">
        <v>1316</v>
      </c>
      <c r="H350" s="215" t="s">
        <v>1265</v>
      </c>
      <c r="I350" s="216"/>
    </row>
    <row r="351" spans="1:9" ht="14.4" x14ac:dyDescent="0.3">
      <c r="A351" s="197"/>
      <c r="B351" s="198" t="s">
        <v>1352</v>
      </c>
      <c r="C351" s="199" t="s">
        <v>1083</v>
      </c>
      <c r="D351" s="200" t="s">
        <v>1226</v>
      </c>
      <c r="E351" s="201" t="s">
        <v>1294</v>
      </c>
      <c r="F351" s="212"/>
      <c r="G351" s="201" t="s">
        <v>1351</v>
      </c>
      <c r="H351" s="215" t="s">
        <v>1305</v>
      </c>
      <c r="I351" s="216"/>
    </row>
    <row r="352" spans="1:9" ht="14.4" x14ac:dyDescent="0.3">
      <c r="A352" s="197"/>
      <c r="B352" s="203"/>
      <c r="C352" s="204"/>
      <c r="D352" s="205"/>
      <c r="E352" s="206"/>
      <c r="F352" s="218"/>
      <c r="G352" s="206"/>
      <c r="H352" s="219"/>
      <c r="I352" s="220"/>
    </row>
    <row r="353" spans="1:9" ht="15" thickBot="1" x14ac:dyDescent="0.35">
      <c r="A353" s="207"/>
      <c r="B353" s="208"/>
      <c r="C353" s="209"/>
      <c r="D353" s="210"/>
      <c r="E353" s="211"/>
      <c r="F353" s="221"/>
      <c r="G353" s="211"/>
      <c r="H353" s="222"/>
      <c r="I353" s="223"/>
    </row>
    <row r="354" spans="1:9" ht="14.4" thickBot="1" x14ac:dyDescent="0.35"/>
    <row r="355" spans="1:9" ht="14.4" thickBot="1" x14ac:dyDescent="0.35">
      <c r="A355" s="226" t="s">
        <v>1204</v>
      </c>
      <c r="B355" s="224" t="s">
        <v>1205</v>
      </c>
      <c r="C355" s="224" t="s">
        <v>1206</v>
      </c>
      <c r="D355" s="224" t="s">
        <v>1207</v>
      </c>
      <c r="E355" s="368" t="s">
        <v>1208</v>
      </c>
      <c r="F355" s="368"/>
      <c r="G355" s="368"/>
      <c r="H355" s="224" t="s">
        <v>1209</v>
      </c>
      <c r="I355" s="225" t="s">
        <v>1210</v>
      </c>
    </row>
    <row r="356" spans="1:9" ht="14.4" x14ac:dyDescent="0.3">
      <c r="A356" s="197" t="s">
        <v>1368</v>
      </c>
      <c r="B356" s="193" t="s">
        <v>1356</v>
      </c>
      <c r="C356" s="194" t="s">
        <v>1357</v>
      </c>
      <c r="D356" s="195"/>
      <c r="E356" s="196"/>
      <c r="F356" s="212"/>
      <c r="G356" s="196"/>
      <c r="H356" s="213"/>
      <c r="I356" s="214"/>
    </row>
    <row r="357" spans="1:9" ht="14.4" x14ac:dyDescent="0.3">
      <c r="A357" s="197"/>
      <c r="B357" s="198" t="s">
        <v>1341</v>
      </c>
      <c r="C357" s="199" t="s">
        <v>1086</v>
      </c>
      <c r="D357" s="200" t="s">
        <v>1243</v>
      </c>
      <c r="E357" s="201" t="s">
        <v>1311</v>
      </c>
      <c r="F357" s="212"/>
      <c r="G357" s="201" t="s">
        <v>1293</v>
      </c>
      <c r="H357" s="215" t="s">
        <v>1254</v>
      </c>
      <c r="I357" s="216"/>
    </row>
    <row r="358" spans="1:9" ht="14.4" x14ac:dyDescent="0.3">
      <c r="A358" s="197"/>
      <c r="B358" s="198" t="s">
        <v>1336</v>
      </c>
      <c r="C358" s="199" t="s">
        <v>1337</v>
      </c>
      <c r="D358" s="200" t="s">
        <v>1243</v>
      </c>
      <c r="E358" s="201" t="s">
        <v>1316</v>
      </c>
      <c r="F358" s="212"/>
      <c r="G358" s="201" t="s">
        <v>1294</v>
      </c>
      <c r="H358" s="215" t="s">
        <v>1290</v>
      </c>
      <c r="I358" s="216"/>
    </row>
    <row r="359" spans="1:9" ht="14.4" x14ac:dyDescent="0.3">
      <c r="A359" s="197"/>
      <c r="B359" s="198" t="s">
        <v>1340</v>
      </c>
      <c r="C359" s="199" t="s">
        <v>1081</v>
      </c>
      <c r="D359" s="200" t="s">
        <v>1243</v>
      </c>
      <c r="E359" s="201" t="s">
        <v>1294</v>
      </c>
      <c r="F359" s="212"/>
      <c r="G359" s="201" t="s">
        <v>1331</v>
      </c>
      <c r="H359" s="215" t="s">
        <v>1254</v>
      </c>
      <c r="I359" s="217"/>
    </row>
    <row r="360" spans="1:9" ht="14.4" x14ac:dyDescent="0.3">
      <c r="A360" s="197"/>
      <c r="B360" s="198" t="s">
        <v>1352</v>
      </c>
      <c r="C360" s="199" t="s">
        <v>1083</v>
      </c>
      <c r="D360" s="200" t="s">
        <v>1247</v>
      </c>
      <c r="E360" s="196" t="s">
        <v>1311</v>
      </c>
      <c r="F360" s="212"/>
      <c r="G360" s="196" t="s">
        <v>1293</v>
      </c>
      <c r="H360" s="215" t="s">
        <v>1369</v>
      </c>
      <c r="I360" s="217"/>
    </row>
    <row r="361" spans="1:9" ht="14.4" x14ac:dyDescent="0.3">
      <c r="A361" s="197"/>
      <c r="B361" s="198" t="s">
        <v>1343</v>
      </c>
      <c r="C361" s="199" t="s">
        <v>1344</v>
      </c>
      <c r="D361" s="200" t="s">
        <v>1247</v>
      </c>
      <c r="E361" s="196" t="s">
        <v>1293</v>
      </c>
      <c r="F361" s="212"/>
      <c r="G361" s="196" t="s">
        <v>1316</v>
      </c>
      <c r="H361" s="215" t="s">
        <v>1299</v>
      </c>
      <c r="I361" s="216"/>
    </row>
    <row r="362" spans="1:9" ht="14.4" x14ac:dyDescent="0.3">
      <c r="A362" s="197"/>
      <c r="B362" s="198" t="s">
        <v>1370</v>
      </c>
      <c r="C362" s="199" t="s">
        <v>1371</v>
      </c>
      <c r="D362" s="200" t="s">
        <v>1247</v>
      </c>
      <c r="E362" s="201" t="s">
        <v>1294</v>
      </c>
      <c r="F362" s="212"/>
      <c r="G362" s="201" t="s">
        <v>1331</v>
      </c>
      <c r="H362" s="215" t="s">
        <v>1254</v>
      </c>
      <c r="I362" s="216"/>
    </row>
    <row r="363" spans="1:9" ht="14.4" x14ac:dyDescent="0.3">
      <c r="A363" s="197"/>
      <c r="B363" s="198" t="s">
        <v>1372</v>
      </c>
      <c r="C363" s="199" t="s">
        <v>1373</v>
      </c>
      <c r="D363" s="200" t="s">
        <v>1247</v>
      </c>
      <c r="E363" s="202" t="s">
        <v>1331</v>
      </c>
      <c r="F363" s="212"/>
      <c r="G363" s="201" t="s">
        <v>1351</v>
      </c>
      <c r="H363" s="215" t="s">
        <v>1254</v>
      </c>
      <c r="I363" s="216"/>
    </row>
    <row r="364" spans="1:9" ht="14.4" x14ac:dyDescent="0.3">
      <c r="A364" s="197"/>
      <c r="B364" s="198" t="s">
        <v>1359</v>
      </c>
      <c r="C364" s="199" t="s">
        <v>1360</v>
      </c>
      <c r="D364" s="200" t="s">
        <v>1226</v>
      </c>
      <c r="E364" s="201" t="s">
        <v>1361</v>
      </c>
      <c r="F364" s="212"/>
      <c r="G364" s="201" t="s">
        <v>1362</v>
      </c>
      <c r="H364" s="215" t="s">
        <v>1374</v>
      </c>
      <c r="I364" s="216"/>
    </row>
    <row r="365" spans="1:9" ht="14.4" x14ac:dyDescent="0.3">
      <c r="A365" s="197"/>
      <c r="B365" s="198" t="s">
        <v>1375</v>
      </c>
      <c r="C365" s="199" t="s">
        <v>1376</v>
      </c>
      <c r="D365" s="200" t="s">
        <v>1226</v>
      </c>
      <c r="E365" s="201" t="s">
        <v>1294</v>
      </c>
      <c r="F365" s="212"/>
      <c r="G365" s="201" t="s">
        <v>1351</v>
      </c>
      <c r="H365" s="215"/>
      <c r="I365" s="216"/>
    </row>
    <row r="366" spans="1:9" ht="14.4" x14ac:dyDescent="0.3">
      <c r="A366" s="197"/>
      <c r="B366" s="203"/>
      <c r="C366" s="204"/>
      <c r="D366" s="205"/>
      <c r="E366" s="206"/>
      <c r="F366" s="218"/>
      <c r="G366" s="206"/>
      <c r="H366" s="219"/>
      <c r="I366" s="220"/>
    </row>
    <row r="367" spans="1:9" ht="15" thickBot="1" x14ac:dyDescent="0.35">
      <c r="A367" s="207"/>
      <c r="B367" s="208"/>
      <c r="C367" s="209"/>
      <c r="D367" s="210"/>
      <c r="E367" s="211"/>
      <c r="F367" s="221"/>
      <c r="G367" s="211"/>
      <c r="H367" s="222"/>
      <c r="I367" s="223"/>
    </row>
    <row r="368" spans="1:9" ht="14.4" thickBot="1" x14ac:dyDescent="0.35"/>
    <row r="369" spans="1:9" ht="14.4" thickBot="1" x14ac:dyDescent="0.35">
      <c r="A369" s="226" t="s">
        <v>1204</v>
      </c>
      <c r="B369" s="224" t="s">
        <v>1205</v>
      </c>
      <c r="C369" s="224" t="s">
        <v>1206</v>
      </c>
      <c r="D369" s="224" t="s">
        <v>1207</v>
      </c>
      <c r="E369" s="368" t="s">
        <v>1208</v>
      </c>
      <c r="F369" s="368"/>
      <c r="G369" s="368"/>
      <c r="H369" s="224" t="s">
        <v>1209</v>
      </c>
      <c r="I369" s="225" t="s">
        <v>1210</v>
      </c>
    </row>
    <row r="370" spans="1:9" ht="14.4" x14ac:dyDescent="0.3">
      <c r="A370" s="197" t="s">
        <v>1377</v>
      </c>
      <c r="B370" s="193" t="s">
        <v>1352</v>
      </c>
      <c r="C370" s="194" t="s">
        <v>1083</v>
      </c>
      <c r="D370" s="195"/>
      <c r="E370" s="196"/>
      <c r="F370" s="212"/>
      <c r="G370" s="196"/>
      <c r="H370" s="213"/>
      <c r="I370" s="214"/>
    </row>
    <row r="371" spans="1:9" ht="14.4" x14ac:dyDescent="0.3">
      <c r="A371" s="197"/>
      <c r="B371" s="198" t="s">
        <v>1359</v>
      </c>
      <c r="C371" s="199" t="s">
        <v>1360</v>
      </c>
      <c r="D371" s="200"/>
      <c r="E371" s="201"/>
      <c r="F371" s="212"/>
      <c r="G371" s="201"/>
      <c r="H371" s="215"/>
      <c r="I371" s="216"/>
    </row>
    <row r="372" spans="1:9" ht="14.4" x14ac:dyDescent="0.3">
      <c r="A372" s="197"/>
      <c r="B372" s="198" t="s">
        <v>1356</v>
      </c>
      <c r="C372" s="199" t="s">
        <v>1357</v>
      </c>
      <c r="D372" s="200"/>
      <c r="E372" s="201"/>
      <c r="F372" s="212"/>
      <c r="G372" s="201"/>
      <c r="H372" s="215"/>
      <c r="I372" s="216"/>
    </row>
    <row r="373" spans="1:9" ht="14.4" x14ac:dyDescent="0.3">
      <c r="A373" s="197"/>
      <c r="B373" s="198" t="s">
        <v>1370</v>
      </c>
      <c r="C373" s="199" t="s">
        <v>1371</v>
      </c>
      <c r="D373" s="200" t="s">
        <v>1243</v>
      </c>
      <c r="E373" s="201" t="s">
        <v>1293</v>
      </c>
      <c r="F373" s="212"/>
      <c r="G373" s="201" t="s">
        <v>1316</v>
      </c>
      <c r="H373" s="215" t="s">
        <v>1271</v>
      </c>
      <c r="I373" s="217"/>
    </row>
    <row r="374" spans="1:9" ht="14.4" x14ac:dyDescent="0.3">
      <c r="A374" s="197"/>
      <c r="B374" s="198" t="s">
        <v>1372</v>
      </c>
      <c r="C374" s="199" t="s">
        <v>1373</v>
      </c>
      <c r="D374" s="200" t="s">
        <v>1243</v>
      </c>
      <c r="E374" s="196" t="s">
        <v>1316</v>
      </c>
      <c r="F374" s="212"/>
      <c r="G374" s="196" t="s">
        <v>1294</v>
      </c>
      <c r="H374" s="215" t="s">
        <v>1297</v>
      </c>
      <c r="I374" s="217"/>
    </row>
    <row r="375" spans="1:9" ht="14.4" x14ac:dyDescent="0.3">
      <c r="A375" s="197"/>
      <c r="B375" s="198" t="s">
        <v>1336</v>
      </c>
      <c r="C375" s="199" t="s">
        <v>1337</v>
      </c>
      <c r="D375" s="200" t="s">
        <v>1243</v>
      </c>
      <c r="E375" s="196" t="s">
        <v>1331</v>
      </c>
      <c r="F375" s="212"/>
      <c r="G375" s="196" t="s">
        <v>1351</v>
      </c>
      <c r="H375" s="215" t="s">
        <v>1254</v>
      </c>
      <c r="I375" s="216"/>
    </row>
    <row r="376" spans="1:9" ht="14.4" x14ac:dyDescent="0.3">
      <c r="A376" s="197"/>
      <c r="B376" s="198" t="s">
        <v>1340</v>
      </c>
      <c r="C376" s="199" t="s">
        <v>1081</v>
      </c>
      <c r="D376" s="200" t="s">
        <v>1247</v>
      </c>
      <c r="E376" s="201" t="s">
        <v>1293</v>
      </c>
      <c r="F376" s="212"/>
      <c r="G376" s="201" t="s">
        <v>1316</v>
      </c>
      <c r="H376" s="215" t="s">
        <v>1303</v>
      </c>
      <c r="I376" s="216"/>
    </row>
    <row r="377" spans="1:9" ht="14.4" x14ac:dyDescent="0.3">
      <c r="A377" s="197"/>
      <c r="B377" s="198" t="s">
        <v>1341</v>
      </c>
      <c r="C377" s="199" t="s">
        <v>1086</v>
      </c>
      <c r="D377" s="200" t="s">
        <v>1247</v>
      </c>
      <c r="E377" s="202" t="s">
        <v>1316</v>
      </c>
      <c r="F377" s="212"/>
      <c r="G377" s="201" t="s">
        <v>1294</v>
      </c>
      <c r="H377" s="215" t="s">
        <v>1338</v>
      </c>
      <c r="I377" s="216"/>
    </row>
    <row r="378" spans="1:9" ht="14.4" x14ac:dyDescent="0.3">
      <c r="A378" s="197"/>
      <c r="B378" s="198" t="s">
        <v>1343</v>
      </c>
      <c r="C378" s="199" t="s">
        <v>1344</v>
      </c>
      <c r="D378" s="200" t="s">
        <v>1247</v>
      </c>
      <c r="E378" s="201" t="s">
        <v>1331</v>
      </c>
      <c r="F378" s="212"/>
      <c r="G378" s="201" t="s">
        <v>1351</v>
      </c>
      <c r="H378" s="215" t="s">
        <v>1244</v>
      </c>
      <c r="I378" s="216"/>
    </row>
    <row r="379" spans="1:9" ht="14.4" x14ac:dyDescent="0.3">
      <c r="A379" s="197"/>
      <c r="B379" s="198" t="s">
        <v>1375</v>
      </c>
      <c r="C379" s="199" t="s">
        <v>1376</v>
      </c>
      <c r="D379" s="200" t="s">
        <v>1226</v>
      </c>
      <c r="E379" s="201" t="s">
        <v>1311</v>
      </c>
      <c r="F379" s="212"/>
      <c r="G379" s="201" t="s">
        <v>1316</v>
      </c>
      <c r="H379" s="215"/>
      <c r="I379" s="216"/>
    </row>
    <row r="380" spans="1:9" ht="14.4" x14ac:dyDescent="0.3">
      <c r="A380" s="197"/>
      <c r="B380" s="203"/>
      <c r="C380" s="204"/>
      <c r="D380" s="205"/>
      <c r="E380" s="206"/>
      <c r="F380" s="218"/>
      <c r="G380" s="206"/>
      <c r="H380" s="219"/>
      <c r="I380" s="220"/>
    </row>
    <row r="381" spans="1:9" ht="15" thickBot="1" x14ac:dyDescent="0.35">
      <c r="A381" s="207"/>
      <c r="B381" s="208"/>
      <c r="C381" s="209"/>
      <c r="D381" s="210"/>
      <c r="E381" s="211"/>
      <c r="F381" s="221"/>
      <c r="G381" s="211"/>
      <c r="H381" s="222"/>
      <c r="I381" s="223"/>
    </row>
    <row r="382" spans="1:9" ht="14.4" thickBot="1" x14ac:dyDescent="0.35"/>
    <row r="383" spans="1:9" ht="14.4" thickBot="1" x14ac:dyDescent="0.35">
      <c r="A383" s="226" t="s">
        <v>1204</v>
      </c>
      <c r="B383" s="224" t="s">
        <v>1205</v>
      </c>
      <c r="C383" s="224" t="s">
        <v>1206</v>
      </c>
      <c r="D383" s="224" t="s">
        <v>1207</v>
      </c>
      <c r="E383" s="368" t="s">
        <v>1208</v>
      </c>
      <c r="F383" s="368"/>
      <c r="G383" s="368"/>
      <c r="H383" s="224" t="s">
        <v>1209</v>
      </c>
      <c r="I383" s="225" t="s">
        <v>1210</v>
      </c>
    </row>
    <row r="384" spans="1:9" ht="14.4" x14ac:dyDescent="0.3">
      <c r="A384" s="197" t="s">
        <v>1378</v>
      </c>
      <c r="B384" s="193" t="s">
        <v>1352</v>
      </c>
      <c r="C384" s="194" t="s">
        <v>1083</v>
      </c>
      <c r="D384" s="195"/>
      <c r="E384" s="196"/>
      <c r="F384" s="212"/>
      <c r="G384" s="196"/>
      <c r="H384" s="213"/>
      <c r="I384" s="214"/>
    </row>
    <row r="385" spans="1:9" ht="14.4" x14ac:dyDescent="0.3">
      <c r="A385" s="197"/>
      <c r="B385" s="198" t="s">
        <v>1356</v>
      </c>
      <c r="C385" s="199" t="s">
        <v>1357</v>
      </c>
      <c r="D385" s="200"/>
      <c r="E385" s="201"/>
      <c r="F385" s="212"/>
      <c r="G385" s="201"/>
      <c r="H385" s="215"/>
      <c r="I385" s="216"/>
    </row>
    <row r="386" spans="1:9" ht="14.4" x14ac:dyDescent="0.3">
      <c r="A386" s="197"/>
      <c r="B386" s="198" t="s">
        <v>1379</v>
      </c>
      <c r="C386" s="199" t="s">
        <v>1110</v>
      </c>
      <c r="D386" s="200" t="s">
        <v>1243</v>
      </c>
      <c r="E386" s="201" t="s">
        <v>1314</v>
      </c>
      <c r="F386" s="212"/>
      <c r="G386" s="201" t="s">
        <v>1311</v>
      </c>
      <c r="H386" s="215" t="s">
        <v>1380</v>
      </c>
      <c r="I386" s="216"/>
    </row>
    <row r="387" spans="1:9" ht="14.4" x14ac:dyDescent="0.3">
      <c r="A387" s="197"/>
      <c r="B387" s="198" t="s">
        <v>1381</v>
      </c>
      <c r="C387" s="199" t="s">
        <v>513</v>
      </c>
      <c r="D387" s="200" t="s">
        <v>1243</v>
      </c>
      <c r="E387" s="201" t="s">
        <v>1311</v>
      </c>
      <c r="F387" s="212"/>
      <c r="G387" s="201" t="s">
        <v>1293</v>
      </c>
      <c r="H387" s="215" t="s">
        <v>1290</v>
      </c>
      <c r="I387" s="217"/>
    </row>
    <row r="388" spans="1:9" ht="14.4" x14ac:dyDescent="0.3">
      <c r="A388" s="197"/>
      <c r="B388" s="198" t="s">
        <v>1343</v>
      </c>
      <c r="C388" s="199" t="s">
        <v>1344</v>
      </c>
      <c r="D388" s="200" t="s">
        <v>1243</v>
      </c>
      <c r="E388" s="196" t="s">
        <v>1316</v>
      </c>
      <c r="F388" s="212"/>
      <c r="G388" s="196" t="s">
        <v>1294</v>
      </c>
      <c r="H388" s="215" t="s">
        <v>1303</v>
      </c>
      <c r="I388" s="217"/>
    </row>
    <row r="389" spans="1:9" ht="14.4" x14ac:dyDescent="0.3">
      <c r="A389" s="197"/>
      <c r="B389" s="198" t="s">
        <v>1336</v>
      </c>
      <c r="C389" s="199" t="s">
        <v>1337</v>
      </c>
      <c r="D389" s="200" t="s">
        <v>1247</v>
      </c>
      <c r="E389" s="196" t="s">
        <v>1311</v>
      </c>
      <c r="F389" s="212"/>
      <c r="G389" s="196" t="s">
        <v>1293</v>
      </c>
      <c r="H389" s="215" t="s">
        <v>1290</v>
      </c>
      <c r="I389" s="216"/>
    </row>
    <row r="390" spans="1:9" ht="14.4" x14ac:dyDescent="0.3">
      <c r="A390" s="197"/>
      <c r="B390" s="198" t="s">
        <v>1340</v>
      </c>
      <c r="C390" s="199" t="s">
        <v>1081</v>
      </c>
      <c r="D390" s="200" t="s">
        <v>1247</v>
      </c>
      <c r="E390" s="201" t="s">
        <v>1316</v>
      </c>
      <c r="F390" s="212"/>
      <c r="G390" s="201" t="s">
        <v>1294</v>
      </c>
      <c r="H390" s="215" t="s">
        <v>1290</v>
      </c>
      <c r="I390" s="216"/>
    </row>
    <row r="391" spans="1:9" ht="14.4" x14ac:dyDescent="0.3">
      <c r="A391" s="197"/>
      <c r="B391" s="198" t="s">
        <v>1341</v>
      </c>
      <c r="C391" s="199" t="s">
        <v>1086</v>
      </c>
      <c r="D391" s="200" t="s">
        <v>1247</v>
      </c>
      <c r="E391" s="202" t="s">
        <v>1294</v>
      </c>
      <c r="F391" s="212"/>
      <c r="G391" s="201" t="s">
        <v>1331</v>
      </c>
      <c r="H391" s="215" t="s">
        <v>1244</v>
      </c>
      <c r="I391" s="216"/>
    </row>
    <row r="392" spans="1:9" ht="14.4" x14ac:dyDescent="0.3">
      <c r="A392" s="197"/>
      <c r="B392" s="198" t="s">
        <v>1370</v>
      </c>
      <c r="C392" s="199" t="s">
        <v>1371</v>
      </c>
      <c r="D392" s="200" t="s">
        <v>1226</v>
      </c>
      <c r="E392" s="201" t="s">
        <v>1311</v>
      </c>
      <c r="F392" s="212"/>
      <c r="G392" s="201" t="s">
        <v>1316</v>
      </c>
      <c r="H392" s="215"/>
      <c r="I392" s="216"/>
    </row>
    <row r="393" spans="1:9" ht="14.4" x14ac:dyDescent="0.3">
      <c r="A393" s="197"/>
      <c r="B393" s="198" t="s">
        <v>1359</v>
      </c>
      <c r="C393" s="199" t="s">
        <v>1360</v>
      </c>
      <c r="D393" s="200" t="s">
        <v>1226</v>
      </c>
      <c r="E393" s="201" t="s">
        <v>1362</v>
      </c>
      <c r="F393" s="212"/>
      <c r="G393" s="201" t="s">
        <v>1331</v>
      </c>
      <c r="H393" s="215" t="s">
        <v>1221</v>
      </c>
      <c r="I393" s="216"/>
    </row>
    <row r="394" spans="1:9" ht="14.4" x14ac:dyDescent="0.3">
      <c r="A394" s="197"/>
      <c r="B394" s="203"/>
      <c r="C394" s="204"/>
      <c r="D394" s="205"/>
      <c r="E394" s="206"/>
      <c r="F394" s="218"/>
      <c r="G394" s="206"/>
      <c r="H394" s="219"/>
      <c r="I394" s="220"/>
    </row>
    <row r="395" spans="1:9" ht="15" thickBot="1" x14ac:dyDescent="0.35">
      <c r="A395" s="207"/>
      <c r="B395" s="208"/>
      <c r="C395" s="209"/>
      <c r="D395" s="210"/>
      <c r="E395" s="211"/>
      <c r="F395" s="221"/>
      <c r="G395" s="211"/>
      <c r="H395" s="222"/>
      <c r="I395" s="223"/>
    </row>
    <row r="396" spans="1:9" ht="14.4" thickBot="1" x14ac:dyDescent="0.35"/>
    <row r="397" spans="1:9" ht="14.4" thickBot="1" x14ac:dyDescent="0.35">
      <c r="A397" s="226" t="s">
        <v>1204</v>
      </c>
      <c r="B397" s="224" t="s">
        <v>1205</v>
      </c>
      <c r="C397" s="224" t="s">
        <v>1206</v>
      </c>
      <c r="D397" s="224" t="s">
        <v>1207</v>
      </c>
      <c r="E397" s="368" t="s">
        <v>1208</v>
      </c>
      <c r="F397" s="368"/>
      <c r="G397" s="368"/>
      <c r="H397" s="224" t="s">
        <v>1209</v>
      </c>
      <c r="I397" s="225" t="s">
        <v>1210</v>
      </c>
    </row>
    <row r="398" spans="1:9" ht="14.4" x14ac:dyDescent="0.3">
      <c r="A398" s="197" t="s">
        <v>1382</v>
      </c>
      <c r="B398" s="193" t="s">
        <v>1352</v>
      </c>
      <c r="C398" s="194" t="s">
        <v>1083</v>
      </c>
      <c r="D398" s="195"/>
      <c r="E398" s="196"/>
      <c r="F398" s="212"/>
      <c r="G398" s="196"/>
      <c r="H398" s="213"/>
      <c r="I398" s="214"/>
    </row>
    <row r="399" spans="1:9" ht="14.4" x14ac:dyDescent="0.3">
      <c r="A399" s="197"/>
      <c r="B399" s="198" t="s">
        <v>1343</v>
      </c>
      <c r="C399" s="199" t="s">
        <v>1344</v>
      </c>
      <c r="D399" s="200"/>
      <c r="E399" s="201"/>
      <c r="F399" s="212"/>
      <c r="G399" s="201"/>
      <c r="H399" s="215"/>
      <c r="I399" s="216"/>
    </row>
    <row r="400" spans="1:9" ht="14.4" x14ac:dyDescent="0.3">
      <c r="A400" s="197"/>
      <c r="B400" s="198" t="s">
        <v>1341</v>
      </c>
      <c r="C400" s="199" t="s">
        <v>1086</v>
      </c>
      <c r="D400" s="200" t="s">
        <v>1243</v>
      </c>
      <c r="E400" s="201" t="s">
        <v>1311</v>
      </c>
      <c r="F400" s="212"/>
      <c r="G400" s="201" t="s">
        <v>1293</v>
      </c>
      <c r="H400" s="215" t="s">
        <v>1322</v>
      </c>
      <c r="I400" s="216"/>
    </row>
    <row r="401" spans="1:9" ht="14.4" x14ac:dyDescent="0.3">
      <c r="A401" s="197"/>
      <c r="B401" s="198" t="s">
        <v>1340</v>
      </c>
      <c r="C401" s="199" t="s">
        <v>1081</v>
      </c>
      <c r="D401" s="314" t="s">
        <v>1243</v>
      </c>
      <c r="E401" s="323" t="s">
        <v>1316</v>
      </c>
      <c r="F401" s="316"/>
      <c r="G401" s="323" t="s">
        <v>1294</v>
      </c>
      <c r="H401" s="317" t="s">
        <v>1324</v>
      </c>
      <c r="I401" s="217"/>
    </row>
    <row r="402" spans="1:9" ht="14.4" x14ac:dyDescent="0.3">
      <c r="A402" s="197"/>
      <c r="B402" s="198" t="s">
        <v>1345</v>
      </c>
      <c r="C402" s="199" t="s">
        <v>1346</v>
      </c>
      <c r="D402" s="314" t="s">
        <v>1243</v>
      </c>
      <c r="E402" s="315" t="s">
        <v>1294</v>
      </c>
      <c r="F402" s="316"/>
      <c r="G402" s="315" t="s">
        <v>1331</v>
      </c>
      <c r="H402" s="317" t="s">
        <v>1322</v>
      </c>
      <c r="I402" s="217"/>
    </row>
    <row r="403" spans="1:9" ht="14.4" x14ac:dyDescent="0.3">
      <c r="A403" s="197"/>
      <c r="B403" s="198" t="s">
        <v>1336</v>
      </c>
      <c r="C403" s="199" t="s">
        <v>1337</v>
      </c>
      <c r="D403" s="314" t="s">
        <v>1247</v>
      </c>
      <c r="E403" s="315" t="s">
        <v>1311</v>
      </c>
      <c r="F403" s="316"/>
      <c r="G403" s="315" t="s">
        <v>1293</v>
      </c>
      <c r="H403" s="317" t="s">
        <v>1276</v>
      </c>
      <c r="I403" s="216"/>
    </row>
    <row r="404" spans="1:9" ht="14.4" x14ac:dyDescent="0.3">
      <c r="A404" s="197"/>
      <c r="B404" s="198" t="s">
        <v>1350</v>
      </c>
      <c r="C404" s="199" t="s">
        <v>1089</v>
      </c>
      <c r="D404" s="314" t="s">
        <v>1247</v>
      </c>
      <c r="E404" s="323" t="s">
        <v>1316</v>
      </c>
      <c r="F404" s="316"/>
      <c r="G404" s="323" t="s">
        <v>1294</v>
      </c>
      <c r="H404" s="317" t="s">
        <v>1383</v>
      </c>
      <c r="I404" s="216"/>
    </row>
    <row r="405" spans="1:9" ht="14.4" x14ac:dyDescent="0.3">
      <c r="A405" s="197"/>
      <c r="B405" s="198" t="s">
        <v>1384</v>
      </c>
      <c r="C405" s="199" t="s">
        <v>1385</v>
      </c>
      <c r="D405" s="200" t="s">
        <v>1247</v>
      </c>
      <c r="E405" s="202" t="s">
        <v>1294</v>
      </c>
      <c r="F405" s="212"/>
      <c r="G405" s="201" t="s">
        <v>1331</v>
      </c>
      <c r="H405" s="215" t="s">
        <v>1305</v>
      </c>
      <c r="I405" s="216"/>
    </row>
    <row r="406" spans="1:9" ht="14.4" x14ac:dyDescent="0.3">
      <c r="A406" s="197"/>
      <c r="B406" s="198" t="s">
        <v>1356</v>
      </c>
      <c r="C406" s="199" t="s">
        <v>1357</v>
      </c>
      <c r="D406" s="200" t="s">
        <v>1226</v>
      </c>
      <c r="E406" s="201" t="s">
        <v>1311</v>
      </c>
      <c r="F406" s="212"/>
      <c r="G406" s="201" t="s">
        <v>1358</v>
      </c>
      <c r="H406" s="215"/>
      <c r="I406" s="216"/>
    </row>
    <row r="407" spans="1:9" ht="14.4" x14ac:dyDescent="0.3">
      <c r="A407" s="197"/>
      <c r="B407" s="198" t="s">
        <v>1359</v>
      </c>
      <c r="C407" s="199" t="s">
        <v>1360</v>
      </c>
      <c r="D407" s="200" t="s">
        <v>1226</v>
      </c>
      <c r="E407" s="201" t="s">
        <v>1361</v>
      </c>
      <c r="F407" s="212"/>
      <c r="G407" s="201" t="s">
        <v>1362</v>
      </c>
      <c r="H407" s="215" t="s">
        <v>1386</v>
      </c>
      <c r="I407" s="216"/>
    </row>
    <row r="408" spans="1:9" ht="14.4" x14ac:dyDescent="0.3">
      <c r="A408" s="197"/>
      <c r="B408" s="203"/>
      <c r="C408" s="204"/>
      <c r="D408" s="205"/>
      <c r="E408" s="206"/>
      <c r="F408" s="218"/>
      <c r="G408" s="206"/>
      <c r="H408" s="219"/>
      <c r="I408" s="220"/>
    </row>
    <row r="409" spans="1:9" ht="15" thickBot="1" x14ac:dyDescent="0.35">
      <c r="A409" s="207"/>
      <c r="B409" s="208"/>
      <c r="C409" s="209"/>
      <c r="D409" s="210"/>
      <c r="E409" s="211"/>
      <c r="F409" s="221"/>
      <c r="G409" s="211"/>
      <c r="H409" s="222"/>
      <c r="I409" s="223"/>
    </row>
    <row r="410" spans="1:9" ht="14.4" thickBot="1" x14ac:dyDescent="0.35"/>
    <row r="411" spans="1:9" ht="14.4" thickBot="1" x14ac:dyDescent="0.35">
      <c r="A411" s="226" t="s">
        <v>1204</v>
      </c>
      <c r="B411" s="224" t="s">
        <v>1205</v>
      </c>
      <c r="C411" s="224" t="s">
        <v>1206</v>
      </c>
      <c r="D411" s="224" t="s">
        <v>1207</v>
      </c>
      <c r="E411" s="368" t="s">
        <v>1208</v>
      </c>
      <c r="F411" s="368"/>
      <c r="G411" s="368"/>
      <c r="H411" s="224" t="s">
        <v>1209</v>
      </c>
      <c r="I411" s="225" t="s">
        <v>1210</v>
      </c>
    </row>
    <row r="412" spans="1:9" ht="14.4" x14ac:dyDescent="0.3">
      <c r="A412" s="197" t="s">
        <v>1387</v>
      </c>
      <c r="B412" s="193" t="s">
        <v>1345</v>
      </c>
      <c r="C412" s="194" t="s">
        <v>1346</v>
      </c>
      <c r="D412" s="195" t="s">
        <v>1243</v>
      </c>
      <c r="E412" s="196" t="s">
        <v>1311</v>
      </c>
      <c r="F412" s="212"/>
      <c r="G412" s="196" t="s">
        <v>1293</v>
      </c>
      <c r="H412" s="213" t="s">
        <v>1297</v>
      </c>
      <c r="I412" s="214"/>
    </row>
    <row r="413" spans="1:9" ht="14.4" x14ac:dyDescent="0.3">
      <c r="A413" s="197"/>
      <c r="B413" s="198" t="s">
        <v>1343</v>
      </c>
      <c r="C413" s="199" t="s">
        <v>1344</v>
      </c>
      <c r="D413" s="200" t="s">
        <v>1243</v>
      </c>
      <c r="E413" s="201" t="s">
        <v>1316</v>
      </c>
      <c r="F413" s="212"/>
      <c r="G413" s="201" t="s">
        <v>1294</v>
      </c>
      <c r="H413" s="215" t="s">
        <v>1309</v>
      </c>
      <c r="I413" s="216"/>
    </row>
    <row r="414" spans="1:9" ht="14.4" x14ac:dyDescent="0.3">
      <c r="A414" s="197"/>
      <c r="B414" s="198" t="s">
        <v>1388</v>
      </c>
      <c r="C414" s="199" t="s">
        <v>1389</v>
      </c>
      <c r="D414" s="200" t="s">
        <v>1243</v>
      </c>
      <c r="E414" s="201" t="s">
        <v>1294</v>
      </c>
      <c r="F414" s="212"/>
      <c r="G414" s="201" t="s">
        <v>1331</v>
      </c>
      <c r="H414" s="215" t="s">
        <v>1309</v>
      </c>
      <c r="I414" s="216"/>
    </row>
    <row r="415" spans="1:9" ht="14.4" x14ac:dyDescent="0.3">
      <c r="A415" s="197"/>
      <c r="B415" s="198" t="s">
        <v>1352</v>
      </c>
      <c r="C415" s="199" t="s">
        <v>1083</v>
      </c>
      <c r="D415" s="200" t="s">
        <v>1247</v>
      </c>
      <c r="E415" s="201" t="s">
        <v>1314</v>
      </c>
      <c r="F415" s="212"/>
      <c r="G415" s="201" t="s">
        <v>1311</v>
      </c>
      <c r="H415" s="215" t="s">
        <v>1390</v>
      </c>
      <c r="I415" s="217"/>
    </row>
    <row r="416" spans="1:9" ht="14.4" x14ac:dyDescent="0.3">
      <c r="A416" s="197"/>
      <c r="B416" s="198" t="s">
        <v>1341</v>
      </c>
      <c r="C416" s="199" t="s">
        <v>1086</v>
      </c>
      <c r="D416" s="200" t="s">
        <v>1247</v>
      </c>
      <c r="E416" s="196" t="s">
        <v>1311</v>
      </c>
      <c r="F416" s="212"/>
      <c r="G416" s="196" t="s">
        <v>1293</v>
      </c>
      <c r="H416" s="215" t="s">
        <v>1297</v>
      </c>
      <c r="I416" s="217"/>
    </row>
    <row r="417" spans="1:9" ht="14.4" x14ac:dyDescent="0.3">
      <c r="A417" s="197"/>
      <c r="B417" s="198" t="s">
        <v>1336</v>
      </c>
      <c r="C417" s="199" t="s">
        <v>1337</v>
      </c>
      <c r="D417" s="200" t="s">
        <v>1247</v>
      </c>
      <c r="E417" s="196" t="s">
        <v>1316</v>
      </c>
      <c r="F417" s="212"/>
      <c r="G417" s="196" t="s">
        <v>1294</v>
      </c>
      <c r="H417" s="215" t="s">
        <v>1303</v>
      </c>
      <c r="I417" s="216"/>
    </row>
    <row r="418" spans="1:9" ht="14.4" x14ac:dyDescent="0.3">
      <c r="A418" s="197"/>
      <c r="B418" s="198" t="s">
        <v>1340</v>
      </c>
      <c r="C418" s="199" t="s">
        <v>1081</v>
      </c>
      <c r="D418" s="200" t="s">
        <v>1247</v>
      </c>
      <c r="E418" s="201" t="s">
        <v>1294</v>
      </c>
      <c r="F418" s="212"/>
      <c r="G418" s="201" t="s">
        <v>1331</v>
      </c>
      <c r="H418" s="215" t="s">
        <v>1309</v>
      </c>
      <c r="I418" s="216"/>
    </row>
    <row r="419" spans="1:9" ht="14.4" x14ac:dyDescent="0.3">
      <c r="A419" s="197"/>
      <c r="B419" s="198" t="s">
        <v>1356</v>
      </c>
      <c r="C419" s="199" t="s">
        <v>1357</v>
      </c>
      <c r="D419" s="200" t="s">
        <v>1226</v>
      </c>
      <c r="E419" s="202" t="s">
        <v>1314</v>
      </c>
      <c r="F419" s="212"/>
      <c r="G419" s="201" t="s">
        <v>1391</v>
      </c>
      <c r="H419" s="215"/>
      <c r="I419" s="216"/>
    </row>
    <row r="420" spans="1:9" ht="14.4" x14ac:dyDescent="0.3">
      <c r="A420" s="197"/>
      <c r="B420" s="198" t="s">
        <v>1392</v>
      </c>
      <c r="C420" s="199" t="s">
        <v>1102</v>
      </c>
      <c r="D420" s="200" t="s">
        <v>1226</v>
      </c>
      <c r="E420" s="201" t="s">
        <v>1311</v>
      </c>
      <c r="F420" s="212"/>
      <c r="G420" s="201" t="s">
        <v>1316</v>
      </c>
      <c r="H420" s="215"/>
      <c r="I420" s="216"/>
    </row>
    <row r="421" spans="1:9" ht="14.4" x14ac:dyDescent="0.3">
      <c r="A421" s="197"/>
      <c r="B421" s="198" t="s">
        <v>1359</v>
      </c>
      <c r="C421" s="199" t="s">
        <v>1360</v>
      </c>
      <c r="D421" s="200" t="s">
        <v>1226</v>
      </c>
      <c r="E421" s="201" t="s">
        <v>1294</v>
      </c>
      <c r="F421" s="212"/>
      <c r="G421" s="201" t="s">
        <v>1393</v>
      </c>
      <c r="H421" s="215" t="s">
        <v>1363</v>
      </c>
      <c r="I421" s="216"/>
    </row>
    <row r="422" spans="1:9" ht="14.4" x14ac:dyDescent="0.3">
      <c r="A422" s="197"/>
      <c r="B422" s="203"/>
      <c r="C422" s="204"/>
      <c r="D422" s="205"/>
      <c r="E422" s="206"/>
      <c r="F422" s="218"/>
      <c r="G422" s="206"/>
      <c r="H422" s="219"/>
      <c r="I422" s="220"/>
    </row>
    <row r="423" spans="1:9" ht="15" thickBot="1" x14ac:dyDescent="0.35">
      <c r="A423" s="207"/>
      <c r="B423" s="208"/>
      <c r="C423" s="209"/>
      <c r="D423" s="210"/>
      <c r="E423" s="211"/>
      <c r="F423" s="221"/>
      <c r="G423" s="211"/>
      <c r="H423" s="222"/>
      <c r="I423" s="223"/>
    </row>
    <row r="424" spans="1:9" ht="14.4" thickBot="1" x14ac:dyDescent="0.35"/>
    <row r="425" spans="1:9" ht="14.4" thickBot="1" x14ac:dyDescent="0.35">
      <c r="A425" s="226" t="s">
        <v>1204</v>
      </c>
      <c r="B425" s="224" t="s">
        <v>1205</v>
      </c>
      <c r="C425" s="224" t="s">
        <v>1206</v>
      </c>
      <c r="D425" s="224" t="s">
        <v>1207</v>
      </c>
      <c r="E425" s="368" t="s">
        <v>1208</v>
      </c>
      <c r="F425" s="368"/>
      <c r="G425" s="368"/>
      <c r="H425" s="224" t="s">
        <v>1209</v>
      </c>
      <c r="I425" s="225" t="s">
        <v>1210</v>
      </c>
    </row>
    <row r="426" spans="1:9" ht="14.4" x14ac:dyDescent="0.3">
      <c r="A426" s="197" t="s">
        <v>1394</v>
      </c>
      <c r="B426" s="193" t="s">
        <v>1356</v>
      </c>
      <c r="C426" s="194" t="s">
        <v>1357</v>
      </c>
      <c r="D426" s="195"/>
      <c r="E426" s="196"/>
      <c r="F426" s="212"/>
      <c r="G426" s="196"/>
      <c r="H426" s="213"/>
      <c r="I426" s="214"/>
    </row>
    <row r="427" spans="1:9" ht="14.4" x14ac:dyDescent="0.3">
      <c r="A427" s="197"/>
      <c r="B427" s="198" t="s">
        <v>1352</v>
      </c>
      <c r="C427" s="199" t="s">
        <v>1083</v>
      </c>
      <c r="D427" s="200" t="s">
        <v>1243</v>
      </c>
      <c r="E427" s="201" t="s">
        <v>1311</v>
      </c>
      <c r="F427" s="212"/>
      <c r="G427" s="201" t="s">
        <v>1293</v>
      </c>
      <c r="H427" s="215" t="s">
        <v>1390</v>
      </c>
      <c r="I427" s="216"/>
    </row>
    <row r="428" spans="1:9" ht="14.4" x14ac:dyDescent="0.3">
      <c r="A428" s="197"/>
      <c r="B428" s="198" t="s">
        <v>1340</v>
      </c>
      <c r="C428" s="199" t="s">
        <v>1081</v>
      </c>
      <c r="D428" s="200" t="s">
        <v>1243</v>
      </c>
      <c r="E428" s="201" t="s">
        <v>1293</v>
      </c>
      <c r="F428" s="212"/>
      <c r="G428" s="201" t="s">
        <v>1316</v>
      </c>
      <c r="H428" s="215" t="s">
        <v>1299</v>
      </c>
      <c r="I428" s="216"/>
    </row>
    <row r="429" spans="1:9" ht="14.4" x14ac:dyDescent="0.3">
      <c r="A429" s="197"/>
      <c r="B429" s="198" t="s">
        <v>1345</v>
      </c>
      <c r="C429" s="199" t="s">
        <v>1346</v>
      </c>
      <c r="D429" s="200" t="s">
        <v>1243</v>
      </c>
      <c r="E429" s="201" t="s">
        <v>1294</v>
      </c>
      <c r="F429" s="212"/>
      <c r="G429" s="201" t="s">
        <v>1331</v>
      </c>
      <c r="H429" s="215" t="s">
        <v>1299</v>
      </c>
      <c r="I429" s="217"/>
    </row>
    <row r="430" spans="1:9" ht="14.4" x14ac:dyDescent="0.3">
      <c r="A430" s="197"/>
      <c r="B430" s="198" t="s">
        <v>1343</v>
      </c>
      <c r="C430" s="199" t="s">
        <v>1344</v>
      </c>
      <c r="D430" s="200" t="s">
        <v>1243</v>
      </c>
      <c r="E430" s="196" t="s">
        <v>1331</v>
      </c>
      <c r="F430" s="212"/>
      <c r="G430" s="196" t="s">
        <v>1351</v>
      </c>
      <c r="H430" s="215" t="s">
        <v>1299</v>
      </c>
      <c r="I430" s="217"/>
    </row>
    <row r="431" spans="1:9" ht="14.4" x14ac:dyDescent="0.3">
      <c r="A431" s="197"/>
      <c r="B431" s="198" t="s">
        <v>1388</v>
      </c>
      <c r="C431" s="199" t="s">
        <v>1389</v>
      </c>
      <c r="D431" s="200" t="s">
        <v>1247</v>
      </c>
      <c r="E431" s="196" t="s">
        <v>1293</v>
      </c>
      <c r="F431" s="212"/>
      <c r="G431" s="196" t="s">
        <v>1316</v>
      </c>
      <c r="H431" s="215" t="s">
        <v>1309</v>
      </c>
      <c r="I431" s="216"/>
    </row>
    <row r="432" spans="1:9" ht="14.4" x14ac:dyDescent="0.3">
      <c r="A432" s="197"/>
      <c r="B432" s="198" t="s">
        <v>1336</v>
      </c>
      <c r="C432" s="199" t="s">
        <v>1337</v>
      </c>
      <c r="D432" s="200" t="s">
        <v>1247</v>
      </c>
      <c r="E432" s="201" t="s">
        <v>1294</v>
      </c>
      <c r="F432" s="212"/>
      <c r="G432" s="201" t="s">
        <v>1331</v>
      </c>
      <c r="H432" s="215" t="s">
        <v>1299</v>
      </c>
      <c r="I432" s="216"/>
    </row>
    <row r="433" spans="1:9" ht="14.4" x14ac:dyDescent="0.3">
      <c r="A433" s="197"/>
      <c r="B433" s="198" t="s">
        <v>1341</v>
      </c>
      <c r="C433" s="199" t="s">
        <v>1086</v>
      </c>
      <c r="D433" s="200" t="s">
        <v>1247</v>
      </c>
      <c r="E433" s="202" t="s">
        <v>1331</v>
      </c>
      <c r="F433" s="212"/>
      <c r="G433" s="201" t="s">
        <v>1351</v>
      </c>
      <c r="H433" s="215" t="s">
        <v>1299</v>
      </c>
      <c r="I433" s="216"/>
    </row>
    <row r="434" spans="1:9" ht="14.4" x14ac:dyDescent="0.3">
      <c r="A434" s="197"/>
      <c r="B434" s="198" t="s">
        <v>1359</v>
      </c>
      <c r="C434" s="199" t="s">
        <v>1360</v>
      </c>
      <c r="D434" s="200" t="s">
        <v>1226</v>
      </c>
      <c r="E434" s="201" t="s">
        <v>1358</v>
      </c>
      <c r="F434" s="212"/>
      <c r="G434" s="201" t="s">
        <v>1316</v>
      </c>
      <c r="H434" s="215" t="s">
        <v>1395</v>
      </c>
      <c r="I434" s="216"/>
    </row>
    <row r="435" spans="1:9" ht="14.4" x14ac:dyDescent="0.3">
      <c r="A435" s="197"/>
      <c r="B435" s="198" t="s">
        <v>1392</v>
      </c>
      <c r="C435" s="199" t="s">
        <v>1102</v>
      </c>
      <c r="D435" s="200" t="s">
        <v>1226</v>
      </c>
      <c r="E435" s="201" t="s">
        <v>1294</v>
      </c>
      <c r="F435" s="212"/>
      <c r="G435" s="201" t="s">
        <v>1351</v>
      </c>
      <c r="H435" s="215" t="s">
        <v>1299</v>
      </c>
      <c r="I435" s="216"/>
    </row>
    <row r="436" spans="1:9" ht="14.4" x14ac:dyDescent="0.3">
      <c r="A436" s="197"/>
      <c r="B436" s="203"/>
      <c r="C436" s="204"/>
      <c r="D436" s="205"/>
      <c r="E436" s="206"/>
      <c r="F436" s="218"/>
      <c r="G436" s="206"/>
      <c r="H436" s="219"/>
      <c r="I436" s="220"/>
    </row>
    <row r="437" spans="1:9" ht="15" thickBot="1" x14ac:dyDescent="0.35">
      <c r="A437" s="207"/>
      <c r="B437" s="208"/>
      <c r="C437" s="209"/>
      <c r="D437" s="210"/>
      <c r="E437" s="211"/>
      <c r="F437" s="221"/>
      <c r="G437" s="211"/>
      <c r="H437" s="222"/>
      <c r="I437" s="223"/>
    </row>
    <row r="438" spans="1:9" ht="14.4" thickBot="1" x14ac:dyDescent="0.35"/>
    <row r="439" spans="1:9" ht="14.4" thickBot="1" x14ac:dyDescent="0.35">
      <c r="A439" s="226" t="s">
        <v>1204</v>
      </c>
      <c r="B439" s="224" t="s">
        <v>1205</v>
      </c>
      <c r="C439" s="224" t="s">
        <v>1206</v>
      </c>
      <c r="D439" s="224" t="s">
        <v>1207</v>
      </c>
      <c r="E439" s="368" t="s">
        <v>1208</v>
      </c>
      <c r="F439" s="368"/>
      <c r="G439" s="368"/>
      <c r="H439" s="224" t="s">
        <v>1209</v>
      </c>
      <c r="I439" s="225" t="s">
        <v>1210</v>
      </c>
    </row>
    <row r="440" spans="1:9" ht="14.4" x14ac:dyDescent="0.3">
      <c r="A440" s="197" t="s">
        <v>1396</v>
      </c>
      <c r="B440" s="193" t="s">
        <v>1356</v>
      </c>
      <c r="C440" s="194" t="s">
        <v>1357</v>
      </c>
      <c r="D440" s="195"/>
      <c r="E440" s="196"/>
      <c r="F440" s="212"/>
      <c r="G440" s="196"/>
      <c r="H440" s="213"/>
      <c r="I440" s="214"/>
    </row>
    <row r="441" spans="1:9" ht="14.4" x14ac:dyDescent="0.3">
      <c r="A441" s="197"/>
      <c r="B441" s="198" t="s">
        <v>1340</v>
      </c>
      <c r="C441" s="199" t="s">
        <v>1081</v>
      </c>
      <c r="D441" s="200" t="s">
        <v>1243</v>
      </c>
      <c r="E441" s="201" t="s">
        <v>1314</v>
      </c>
      <c r="F441" s="212"/>
      <c r="G441" s="201" t="s">
        <v>1311</v>
      </c>
      <c r="H441" s="215" t="s">
        <v>1320</v>
      </c>
      <c r="I441" s="216"/>
    </row>
    <row r="442" spans="1:9" ht="14.4" x14ac:dyDescent="0.3">
      <c r="A442" s="197"/>
      <c r="B442" s="198" t="s">
        <v>1397</v>
      </c>
      <c r="C442" s="199" t="s">
        <v>1106</v>
      </c>
      <c r="D442" s="200" t="s">
        <v>1243</v>
      </c>
      <c r="E442" s="201" t="s">
        <v>1293</v>
      </c>
      <c r="F442" s="212"/>
      <c r="G442" s="201" t="s">
        <v>1316</v>
      </c>
      <c r="H442" s="215" t="s">
        <v>1315</v>
      </c>
      <c r="I442" s="216"/>
    </row>
    <row r="443" spans="1:9" ht="14.4" x14ac:dyDescent="0.3">
      <c r="A443" s="197"/>
      <c r="B443" s="198" t="s">
        <v>1398</v>
      </c>
      <c r="C443" s="199" t="s">
        <v>1107</v>
      </c>
      <c r="D443" s="200" t="s">
        <v>1243</v>
      </c>
      <c r="E443" s="201" t="s">
        <v>1316</v>
      </c>
      <c r="F443" s="212"/>
      <c r="G443" s="201" t="s">
        <v>1294</v>
      </c>
      <c r="H443" s="215" t="s">
        <v>1315</v>
      </c>
      <c r="I443" s="217"/>
    </row>
    <row r="444" spans="1:9" ht="14.4" x14ac:dyDescent="0.3">
      <c r="A444" s="197"/>
      <c r="B444" s="198" t="s">
        <v>1336</v>
      </c>
      <c r="C444" s="199" t="s">
        <v>1337</v>
      </c>
      <c r="D444" s="200" t="s">
        <v>1247</v>
      </c>
      <c r="E444" s="196" t="s">
        <v>1314</v>
      </c>
      <c r="F444" s="212"/>
      <c r="G444" s="196" t="s">
        <v>1311</v>
      </c>
      <c r="H444" s="215" t="s">
        <v>1326</v>
      </c>
      <c r="I444" s="217"/>
    </row>
    <row r="445" spans="1:9" ht="14.4" x14ac:dyDescent="0.3">
      <c r="A445" s="197"/>
      <c r="B445" s="198" t="s">
        <v>1352</v>
      </c>
      <c r="C445" s="199" t="s">
        <v>1083</v>
      </c>
      <c r="D445" s="200" t="s">
        <v>1247</v>
      </c>
      <c r="E445" s="196" t="s">
        <v>1311</v>
      </c>
      <c r="F445" s="212"/>
      <c r="G445" s="196" t="s">
        <v>1293</v>
      </c>
      <c r="H445" s="215" t="s">
        <v>1390</v>
      </c>
      <c r="I445" s="216"/>
    </row>
    <row r="446" spans="1:9" ht="14.4" x14ac:dyDescent="0.3">
      <c r="A446" s="197"/>
      <c r="B446" s="198" t="s">
        <v>1343</v>
      </c>
      <c r="C446" s="199" t="s">
        <v>1344</v>
      </c>
      <c r="D446" s="200" t="s">
        <v>1247</v>
      </c>
      <c r="E446" s="201" t="s">
        <v>1316</v>
      </c>
      <c r="F446" s="212"/>
      <c r="G446" s="201" t="s">
        <v>1294</v>
      </c>
      <c r="H446" s="215" t="s">
        <v>1315</v>
      </c>
      <c r="I446" s="216"/>
    </row>
    <row r="447" spans="1:9" ht="14.4" x14ac:dyDescent="0.3">
      <c r="A447" s="197"/>
      <c r="B447" s="198" t="s">
        <v>1370</v>
      </c>
      <c r="C447" s="199" t="s">
        <v>1371</v>
      </c>
      <c r="D447" s="200" t="s">
        <v>1247</v>
      </c>
      <c r="E447" s="202" t="s">
        <v>1294</v>
      </c>
      <c r="F447" s="212"/>
      <c r="G447" s="201" t="s">
        <v>1331</v>
      </c>
      <c r="H447" s="215" t="s">
        <v>1315</v>
      </c>
      <c r="I447" s="216"/>
    </row>
    <row r="448" spans="1:9" ht="14.4" x14ac:dyDescent="0.3">
      <c r="A448" s="197"/>
      <c r="B448" s="198" t="s">
        <v>1359</v>
      </c>
      <c r="C448" s="199" t="s">
        <v>1360</v>
      </c>
      <c r="D448" s="200" t="s">
        <v>1226</v>
      </c>
      <c r="E448" s="201" t="s">
        <v>1358</v>
      </c>
      <c r="F448" s="212"/>
      <c r="G448" s="201" t="s">
        <v>1316</v>
      </c>
      <c r="H448" s="215" t="s">
        <v>1399</v>
      </c>
      <c r="I448" s="216"/>
    </row>
    <row r="449" spans="1:9" ht="14.4" x14ac:dyDescent="0.3">
      <c r="A449" s="197"/>
      <c r="B449" s="198" t="s">
        <v>1341</v>
      </c>
      <c r="C449" s="199" t="s">
        <v>1086</v>
      </c>
      <c r="D449" s="200" t="s">
        <v>1226</v>
      </c>
      <c r="E449" s="201" t="s">
        <v>1294</v>
      </c>
      <c r="F449" s="212"/>
      <c r="G449" s="201" t="s">
        <v>1351</v>
      </c>
      <c r="H449" s="215" t="s">
        <v>1315</v>
      </c>
      <c r="I449" s="216"/>
    </row>
    <row r="450" spans="1:9" ht="14.4" x14ac:dyDescent="0.3">
      <c r="A450" s="197"/>
      <c r="B450" s="203"/>
      <c r="C450" s="204"/>
      <c r="D450" s="205"/>
      <c r="E450" s="206"/>
      <c r="F450" s="218"/>
      <c r="G450" s="206"/>
      <c r="H450" s="219"/>
      <c r="I450" s="220"/>
    </row>
    <row r="451" spans="1:9" ht="15" thickBot="1" x14ac:dyDescent="0.35">
      <c r="A451" s="207"/>
      <c r="B451" s="208"/>
      <c r="C451" s="209"/>
      <c r="D451" s="210"/>
      <c r="E451" s="211"/>
      <c r="F451" s="221"/>
      <c r="G451" s="211"/>
      <c r="H451" s="222"/>
      <c r="I451" s="223"/>
    </row>
    <row r="452" spans="1:9" ht="14.4" thickBot="1" x14ac:dyDescent="0.35"/>
    <row r="453" spans="1:9" ht="14.4" thickBot="1" x14ac:dyDescent="0.35">
      <c r="A453" s="226" t="s">
        <v>1204</v>
      </c>
      <c r="B453" s="224" t="s">
        <v>1205</v>
      </c>
      <c r="C453" s="224" t="s">
        <v>1206</v>
      </c>
      <c r="D453" s="224" t="s">
        <v>1207</v>
      </c>
      <c r="E453" s="368" t="s">
        <v>1208</v>
      </c>
      <c r="F453" s="368"/>
      <c r="G453" s="368"/>
      <c r="H453" s="224" t="s">
        <v>1209</v>
      </c>
      <c r="I453" s="225" t="s">
        <v>1210</v>
      </c>
    </row>
    <row r="454" spans="1:9" ht="14.4" x14ac:dyDescent="0.3">
      <c r="A454" s="197" t="s">
        <v>1400</v>
      </c>
      <c r="B454" s="193" t="s">
        <v>1356</v>
      </c>
      <c r="C454" s="194" t="s">
        <v>1357</v>
      </c>
      <c r="D454" s="195"/>
      <c r="E454" s="196"/>
      <c r="F454" s="212"/>
      <c r="G454" s="196"/>
      <c r="H454" s="213"/>
      <c r="I454" s="214"/>
    </row>
    <row r="455" spans="1:9" ht="14.4" x14ac:dyDescent="0.3">
      <c r="A455" s="197"/>
      <c r="B455" s="198" t="s">
        <v>1352</v>
      </c>
      <c r="C455" s="199" t="s">
        <v>1083</v>
      </c>
      <c r="D455" s="200" t="s">
        <v>1243</v>
      </c>
      <c r="E455" s="201" t="s">
        <v>1314</v>
      </c>
      <c r="F455" s="212"/>
      <c r="G455" s="201" t="s">
        <v>1311</v>
      </c>
      <c r="H455" s="215" t="s">
        <v>1390</v>
      </c>
      <c r="I455" s="216"/>
    </row>
    <row r="456" spans="1:9" ht="14.4" x14ac:dyDescent="0.3">
      <c r="A456" s="197"/>
      <c r="B456" s="198" t="s">
        <v>1397</v>
      </c>
      <c r="C456" s="199" t="s">
        <v>1106</v>
      </c>
      <c r="D456" s="200" t="s">
        <v>1243</v>
      </c>
      <c r="E456" s="201" t="s">
        <v>1293</v>
      </c>
      <c r="F456" s="212"/>
      <c r="G456" s="201" t="s">
        <v>1316</v>
      </c>
      <c r="H456" s="215" t="s">
        <v>1401</v>
      </c>
      <c r="I456" s="216"/>
    </row>
    <row r="457" spans="1:9" ht="14.4" x14ac:dyDescent="0.3">
      <c r="A457" s="197"/>
      <c r="B457" s="198" t="s">
        <v>1398</v>
      </c>
      <c r="C457" s="199" t="s">
        <v>1107</v>
      </c>
      <c r="D457" s="200" t="s">
        <v>1243</v>
      </c>
      <c r="E457" s="201" t="s">
        <v>1316</v>
      </c>
      <c r="F457" s="212"/>
      <c r="G457" s="201" t="s">
        <v>1294</v>
      </c>
      <c r="H457" s="215" t="s">
        <v>1401</v>
      </c>
      <c r="I457" s="217"/>
    </row>
    <row r="458" spans="1:9" ht="14.4" x14ac:dyDescent="0.3">
      <c r="A458" s="197"/>
      <c r="B458" s="198" t="s">
        <v>1343</v>
      </c>
      <c r="C458" s="199" t="s">
        <v>1344</v>
      </c>
      <c r="D458" s="200" t="s">
        <v>1247</v>
      </c>
      <c r="E458" s="196" t="s">
        <v>1314</v>
      </c>
      <c r="F458" s="212"/>
      <c r="G458" s="196" t="s">
        <v>1311</v>
      </c>
      <c r="H458" s="215" t="s">
        <v>1322</v>
      </c>
      <c r="I458" s="217"/>
    </row>
    <row r="459" spans="1:9" ht="14.4" x14ac:dyDescent="0.3">
      <c r="A459" s="197"/>
      <c r="B459" s="198" t="s">
        <v>1370</v>
      </c>
      <c r="C459" s="199" t="s">
        <v>1371</v>
      </c>
      <c r="D459" s="200" t="s">
        <v>1247</v>
      </c>
      <c r="E459" s="196" t="s">
        <v>1311</v>
      </c>
      <c r="F459" s="212"/>
      <c r="G459" s="196" t="s">
        <v>1293</v>
      </c>
      <c r="H459" s="215" t="s">
        <v>1291</v>
      </c>
      <c r="I459" s="216"/>
    </row>
    <row r="460" spans="1:9" ht="14.4" x14ac:dyDescent="0.3">
      <c r="A460" s="197"/>
      <c r="B460" s="198" t="s">
        <v>1340</v>
      </c>
      <c r="C460" s="199" t="s">
        <v>1081</v>
      </c>
      <c r="D460" s="200" t="s">
        <v>1247</v>
      </c>
      <c r="E460" s="201" t="s">
        <v>1316</v>
      </c>
      <c r="F460" s="212"/>
      <c r="G460" s="201" t="s">
        <v>1294</v>
      </c>
      <c r="H460" s="215" t="s">
        <v>1291</v>
      </c>
      <c r="I460" s="216"/>
    </row>
    <row r="461" spans="1:9" ht="14.4" x14ac:dyDescent="0.3">
      <c r="A461" s="197"/>
      <c r="B461" s="198" t="s">
        <v>1341</v>
      </c>
      <c r="C461" s="199" t="s">
        <v>1086</v>
      </c>
      <c r="D461" s="200" t="s">
        <v>1247</v>
      </c>
      <c r="E461" s="202" t="s">
        <v>1294</v>
      </c>
      <c r="F461" s="212"/>
      <c r="G461" s="201" t="s">
        <v>1331</v>
      </c>
      <c r="H461" s="215" t="s">
        <v>1291</v>
      </c>
      <c r="I461" s="216"/>
    </row>
    <row r="462" spans="1:9" ht="14.4" x14ac:dyDescent="0.3">
      <c r="A462" s="197"/>
      <c r="B462" s="198" t="s">
        <v>1336</v>
      </c>
      <c r="C462" s="199" t="s">
        <v>1337</v>
      </c>
      <c r="D462" s="200" t="s">
        <v>1226</v>
      </c>
      <c r="E462" s="201" t="s">
        <v>1314</v>
      </c>
      <c r="F462" s="212"/>
      <c r="G462" s="201" t="s">
        <v>1293</v>
      </c>
      <c r="H462" s="215" t="s">
        <v>1290</v>
      </c>
      <c r="I462" s="216"/>
    </row>
    <row r="463" spans="1:9" ht="14.4" x14ac:dyDescent="0.3">
      <c r="A463" s="197"/>
      <c r="B463" s="198" t="s">
        <v>1359</v>
      </c>
      <c r="C463" s="199" t="s">
        <v>1360</v>
      </c>
      <c r="D463" s="200" t="s">
        <v>1226</v>
      </c>
      <c r="E463" s="201" t="s">
        <v>1316</v>
      </c>
      <c r="F463" s="212"/>
      <c r="G463" s="201" t="s">
        <v>1402</v>
      </c>
      <c r="H463" s="215" t="s">
        <v>1399</v>
      </c>
      <c r="I463" s="216"/>
    </row>
    <row r="464" spans="1:9" ht="14.4" x14ac:dyDescent="0.3">
      <c r="A464" s="197"/>
      <c r="B464" s="203"/>
      <c r="C464" s="204"/>
      <c r="D464" s="205"/>
      <c r="E464" s="206"/>
      <c r="F464" s="218"/>
      <c r="G464" s="206"/>
      <c r="H464" s="219"/>
      <c r="I464" s="220"/>
    </row>
    <row r="465" spans="1:9" ht="15" thickBot="1" x14ac:dyDescent="0.35">
      <c r="A465" s="207"/>
      <c r="B465" s="208"/>
      <c r="C465" s="209"/>
      <c r="D465" s="210"/>
      <c r="E465" s="211"/>
      <c r="F465" s="221"/>
      <c r="G465" s="211"/>
      <c r="H465" s="222"/>
      <c r="I465" s="223"/>
    </row>
    <row r="466" spans="1:9" ht="14.4" thickBot="1" x14ac:dyDescent="0.35"/>
    <row r="467" spans="1:9" x14ac:dyDescent="0.3">
      <c r="A467" s="226" t="s">
        <v>1204</v>
      </c>
      <c r="B467" s="224" t="s">
        <v>1205</v>
      </c>
      <c r="C467" s="224" t="s">
        <v>1206</v>
      </c>
      <c r="D467" s="224" t="s">
        <v>1207</v>
      </c>
      <c r="E467" s="368" t="s">
        <v>1208</v>
      </c>
      <c r="F467" s="368"/>
      <c r="G467" s="368"/>
      <c r="H467" s="224" t="s">
        <v>1209</v>
      </c>
      <c r="I467" s="225" t="s">
        <v>1210</v>
      </c>
    </row>
    <row r="468" spans="1:9" ht="15" customHeight="1" x14ac:dyDescent="0.3">
      <c r="A468" s="197" t="s">
        <v>1403</v>
      </c>
      <c r="B468" s="193" t="s">
        <v>1397</v>
      </c>
      <c r="C468" s="194" t="s">
        <v>1106</v>
      </c>
      <c r="D468" s="195"/>
      <c r="E468" s="196"/>
      <c r="F468" s="212"/>
      <c r="G468" s="196"/>
      <c r="H468" s="213"/>
      <c r="I468" s="214"/>
    </row>
    <row r="469" spans="1:9" ht="15" customHeight="1" x14ac:dyDescent="0.3">
      <c r="A469" s="197"/>
      <c r="B469" s="198" t="s">
        <v>1336</v>
      </c>
      <c r="C469" s="199" t="s">
        <v>1337</v>
      </c>
      <c r="D469" s="200" t="s">
        <v>1243</v>
      </c>
      <c r="E469" s="201" t="s">
        <v>1311</v>
      </c>
      <c r="F469" s="212"/>
      <c r="G469" s="201" t="s">
        <v>1293</v>
      </c>
      <c r="H469" s="215" t="s">
        <v>1303</v>
      </c>
      <c r="I469" s="216"/>
    </row>
    <row r="470" spans="1:9" ht="15" customHeight="1" x14ac:dyDescent="0.3">
      <c r="A470" s="197"/>
      <c r="B470" s="198" t="s">
        <v>1352</v>
      </c>
      <c r="C470" s="199" t="s">
        <v>1083</v>
      </c>
      <c r="D470" s="200" t="s">
        <v>1243</v>
      </c>
      <c r="E470" s="201" t="s">
        <v>1293</v>
      </c>
      <c r="F470" s="212"/>
      <c r="G470" s="201" t="s">
        <v>1316</v>
      </c>
      <c r="H470" s="215" t="s">
        <v>1390</v>
      </c>
      <c r="I470" s="216"/>
    </row>
    <row r="471" spans="1:9" ht="15" customHeight="1" x14ac:dyDescent="0.3">
      <c r="A471" s="197"/>
      <c r="B471" s="198" t="s">
        <v>1343</v>
      </c>
      <c r="C471" s="199" t="s">
        <v>1344</v>
      </c>
      <c r="D471" s="200" t="s">
        <v>1243</v>
      </c>
      <c r="E471" s="201" t="s">
        <v>1294</v>
      </c>
      <c r="F471" s="212"/>
      <c r="G471" s="201" t="s">
        <v>1331</v>
      </c>
      <c r="H471" s="215" t="s">
        <v>1303</v>
      </c>
      <c r="I471" s="217"/>
    </row>
    <row r="472" spans="1:9" ht="15" customHeight="1" x14ac:dyDescent="0.3">
      <c r="A472" s="197"/>
      <c r="B472" s="198" t="s">
        <v>1398</v>
      </c>
      <c r="C472" s="199" t="s">
        <v>1107</v>
      </c>
      <c r="D472" s="200" t="s">
        <v>1247</v>
      </c>
      <c r="E472" s="196" t="s">
        <v>1314</v>
      </c>
      <c r="F472" s="212"/>
      <c r="G472" s="196" t="s">
        <v>1311</v>
      </c>
      <c r="H472" s="215" t="s">
        <v>1401</v>
      </c>
      <c r="I472" s="217"/>
    </row>
    <row r="473" spans="1:9" ht="15" customHeight="1" x14ac:dyDescent="0.3">
      <c r="A473" s="197"/>
      <c r="B473" s="198" t="s">
        <v>1340</v>
      </c>
      <c r="C473" s="199" t="s">
        <v>1081</v>
      </c>
      <c r="D473" s="200" t="s">
        <v>1247</v>
      </c>
      <c r="E473" s="196" t="s">
        <v>1316</v>
      </c>
      <c r="F473" s="212"/>
      <c r="G473" s="196" t="s">
        <v>1294</v>
      </c>
      <c r="H473" s="215" t="s">
        <v>1297</v>
      </c>
      <c r="I473" s="216"/>
    </row>
    <row r="474" spans="1:9" ht="15" customHeight="1" x14ac:dyDescent="0.3">
      <c r="A474" s="197"/>
      <c r="B474" s="198" t="s">
        <v>1370</v>
      </c>
      <c r="C474" s="199" t="s">
        <v>1371</v>
      </c>
      <c r="D474" s="200" t="s">
        <v>1247</v>
      </c>
      <c r="E474" s="201" t="s">
        <v>1294</v>
      </c>
      <c r="F474" s="212"/>
      <c r="G474" s="201" t="s">
        <v>1331</v>
      </c>
      <c r="H474" s="215" t="s">
        <v>1297</v>
      </c>
      <c r="I474" s="216"/>
    </row>
    <row r="475" spans="1:9" ht="15" customHeight="1" x14ac:dyDescent="0.3">
      <c r="A475" s="197"/>
      <c r="B475" s="198" t="s">
        <v>1359</v>
      </c>
      <c r="C475" s="199" t="s">
        <v>1360</v>
      </c>
      <c r="D475" s="200" t="s">
        <v>1226</v>
      </c>
      <c r="E475" s="202" t="s">
        <v>1311</v>
      </c>
      <c r="F475" s="212"/>
      <c r="G475" s="201" t="s">
        <v>1361</v>
      </c>
      <c r="H475" s="215" t="s">
        <v>1363</v>
      </c>
      <c r="I475" s="216"/>
    </row>
    <row r="476" spans="1:9" ht="15" customHeight="1" x14ac:dyDescent="0.3">
      <c r="A476" s="197"/>
      <c r="B476" s="198" t="s">
        <v>1356</v>
      </c>
      <c r="C476" s="199" t="s">
        <v>1357</v>
      </c>
      <c r="D476" s="200" t="s">
        <v>1226</v>
      </c>
      <c r="E476" s="201" t="s">
        <v>1361</v>
      </c>
      <c r="F476" s="212"/>
      <c r="G476" s="201" t="s">
        <v>1316</v>
      </c>
      <c r="H476" s="215"/>
      <c r="I476" s="216"/>
    </row>
    <row r="477" spans="1:9" ht="15" customHeight="1" x14ac:dyDescent="0.3">
      <c r="A477" s="197"/>
      <c r="B477" s="198" t="s">
        <v>1341</v>
      </c>
      <c r="C477" s="199" t="s">
        <v>1086</v>
      </c>
      <c r="D477" s="200" t="s">
        <v>1226</v>
      </c>
      <c r="E477" s="201" t="s">
        <v>1294</v>
      </c>
      <c r="F477" s="212"/>
      <c r="G477" s="201" t="s">
        <v>1331</v>
      </c>
      <c r="H477" s="215" t="s">
        <v>1297</v>
      </c>
      <c r="I477" s="216"/>
    </row>
    <row r="478" spans="1:9" ht="14.4" x14ac:dyDescent="0.3">
      <c r="A478" s="197"/>
      <c r="B478" s="203"/>
      <c r="C478" s="204"/>
      <c r="D478" s="205"/>
      <c r="E478" s="206"/>
      <c r="F478" s="218"/>
      <c r="G478" s="206"/>
      <c r="H478" s="219"/>
      <c r="I478" s="220"/>
    </row>
    <row r="479" spans="1:9" ht="15" thickBot="1" x14ac:dyDescent="0.35">
      <c r="A479" s="207"/>
      <c r="B479" s="208"/>
      <c r="C479" s="209"/>
      <c r="D479" s="210"/>
      <c r="E479" s="211"/>
      <c r="F479" s="221"/>
      <c r="G479" s="211"/>
      <c r="H479" s="222"/>
      <c r="I479" s="223"/>
    </row>
    <row r="480" spans="1:9" ht="14.4" thickBot="1" x14ac:dyDescent="0.35"/>
    <row r="481" spans="1:9" ht="14.4" thickBot="1" x14ac:dyDescent="0.35">
      <c r="A481" s="226" t="s">
        <v>1204</v>
      </c>
      <c r="B481" s="224" t="s">
        <v>1205</v>
      </c>
      <c r="C481" s="224" t="s">
        <v>1206</v>
      </c>
      <c r="D481" s="224" t="s">
        <v>1207</v>
      </c>
      <c r="E481" s="368" t="s">
        <v>1208</v>
      </c>
      <c r="F481" s="368"/>
      <c r="G481" s="368"/>
      <c r="H481" s="224" t="s">
        <v>1209</v>
      </c>
      <c r="I481" s="225" t="s">
        <v>1210</v>
      </c>
    </row>
    <row r="482" spans="1:9" ht="14.4" x14ac:dyDescent="0.3">
      <c r="A482" s="197" t="s">
        <v>1404</v>
      </c>
      <c r="B482" s="193" t="s">
        <v>1336</v>
      </c>
      <c r="C482" s="194" t="s">
        <v>1337</v>
      </c>
      <c r="D482" s="195" t="s">
        <v>1243</v>
      </c>
      <c r="E482" s="196" t="s">
        <v>1311</v>
      </c>
      <c r="F482" s="212"/>
      <c r="G482" s="196" t="s">
        <v>1293</v>
      </c>
      <c r="H482" s="213" t="s">
        <v>1309</v>
      </c>
      <c r="I482" s="214"/>
    </row>
    <row r="483" spans="1:9" ht="14.4" x14ac:dyDescent="0.3">
      <c r="A483" s="197"/>
      <c r="B483" s="198" t="s">
        <v>1405</v>
      </c>
      <c r="C483" s="199" t="s">
        <v>1385</v>
      </c>
      <c r="D483" s="200" t="s">
        <v>1243</v>
      </c>
      <c r="E483" s="201" t="s">
        <v>1316</v>
      </c>
      <c r="F483" s="212"/>
      <c r="G483" s="201" t="s">
        <v>1294</v>
      </c>
      <c r="H483" s="215" t="s">
        <v>1390</v>
      </c>
      <c r="I483" s="216"/>
    </row>
    <row r="484" spans="1:9" ht="14.4" x14ac:dyDescent="0.3">
      <c r="A484" s="197"/>
      <c r="B484" s="198" t="s">
        <v>1343</v>
      </c>
      <c r="C484" s="199" t="s">
        <v>1344</v>
      </c>
      <c r="D484" s="200" t="s">
        <v>1243</v>
      </c>
      <c r="E484" s="201" t="s">
        <v>1294</v>
      </c>
      <c r="F484" s="212"/>
      <c r="G484" s="201" t="s">
        <v>1331</v>
      </c>
      <c r="H484" s="215" t="s">
        <v>1315</v>
      </c>
      <c r="I484" s="216"/>
    </row>
    <row r="485" spans="1:9" ht="14.4" x14ac:dyDescent="0.3">
      <c r="A485" s="197"/>
      <c r="B485" s="198" t="s">
        <v>1345</v>
      </c>
      <c r="C485" s="199" t="s">
        <v>1346</v>
      </c>
      <c r="D485" s="200" t="s">
        <v>1247</v>
      </c>
      <c r="E485" s="201" t="s">
        <v>1311</v>
      </c>
      <c r="F485" s="212"/>
      <c r="G485" s="201" t="s">
        <v>1293</v>
      </c>
      <c r="H485" s="215" t="s">
        <v>1315</v>
      </c>
      <c r="I485" s="217"/>
    </row>
    <row r="486" spans="1:9" ht="14.4" x14ac:dyDescent="0.3">
      <c r="A486" s="197"/>
      <c r="B486" s="198" t="s">
        <v>1406</v>
      </c>
      <c r="C486" s="199" t="s">
        <v>1407</v>
      </c>
      <c r="D486" s="200" t="s">
        <v>1247</v>
      </c>
      <c r="E486" s="196" t="s">
        <v>1293</v>
      </c>
      <c r="F486" s="212"/>
      <c r="G486" s="196" t="s">
        <v>1316</v>
      </c>
      <c r="H486" s="215" t="s">
        <v>1390</v>
      </c>
      <c r="I486" s="217"/>
    </row>
    <row r="487" spans="1:9" ht="14.4" x14ac:dyDescent="0.3">
      <c r="A487" s="197"/>
      <c r="B487" s="198" t="s">
        <v>1408</v>
      </c>
      <c r="C487" s="199" t="s">
        <v>1096</v>
      </c>
      <c r="D487" s="200" t="s">
        <v>1247</v>
      </c>
      <c r="E487" s="196" t="s">
        <v>1294</v>
      </c>
      <c r="F487" s="212"/>
      <c r="G487" s="196" t="s">
        <v>1331</v>
      </c>
      <c r="H487" s="215" t="s">
        <v>1390</v>
      </c>
      <c r="I487" s="216"/>
    </row>
    <row r="488" spans="1:9" ht="14.4" x14ac:dyDescent="0.3">
      <c r="A488" s="197"/>
      <c r="B488" s="198" t="s">
        <v>1340</v>
      </c>
      <c r="C488" s="199" t="s">
        <v>1081</v>
      </c>
      <c r="D488" s="200" t="s">
        <v>1247</v>
      </c>
      <c r="E488" s="201" t="s">
        <v>1331</v>
      </c>
      <c r="F488" s="212"/>
      <c r="G488" s="201" t="s">
        <v>1351</v>
      </c>
      <c r="H488" s="215" t="s">
        <v>1315</v>
      </c>
      <c r="I488" s="216"/>
    </row>
    <row r="489" spans="1:9" ht="14.4" x14ac:dyDescent="0.3">
      <c r="A489" s="197"/>
      <c r="B489" s="198" t="s">
        <v>1359</v>
      </c>
      <c r="C489" s="199" t="s">
        <v>1360</v>
      </c>
      <c r="D489" s="200" t="s">
        <v>1226</v>
      </c>
      <c r="E489" s="202" t="s">
        <v>1311</v>
      </c>
      <c r="F489" s="212"/>
      <c r="G489" s="201" t="s">
        <v>1361</v>
      </c>
      <c r="H489" s="215" t="s">
        <v>1374</v>
      </c>
      <c r="I489" s="216"/>
    </row>
    <row r="490" spans="1:9" ht="14.4" x14ac:dyDescent="0.3">
      <c r="A490" s="197"/>
      <c r="B490" s="198" t="s">
        <v>1356</v>
      </c>
      <c r="C490" s="199" t="s">
        <v>1357</v>
      </c>
      <c r="D490" s="200" t="s">
        <v>1226</v>
      </c>
      <c r="E490" s="201" t="s">
        <v>1361</v>
      </c>
      <c r="F490" s="212"/>
      <c r="G490" s="201" t="s">
        <v>1316</v>
      </c>
      <c r="H490" s="215"/>
      <c r="I490" s="216"/>
    </row>
    <row r="491" spans="1:9" ht="14.4" x14ac:dyDescent="0.3">
      <c r="A491" s="197"/>
      <c r="B491" s="198" t="s">
        <v>1341</v>
      </c>
      <c r="C491" s="199" t="s">
        <v>1086</v>
      </c>
      <c r="D491" s="200" t="s">
        <v>1226</v>
      </c>
      <c r="E491" s="201" t="s">
        <v>1294</v>
      </c>
      <c r="F491" s="212"/>
      <c r="G491" s="201" t="s">
        <v>1351</v>
      </c>
      <c r="H491" s="215" t="s">
        <v>1291</v>
      </c>
      <c r="I491" s="216"/>
    </row>
    <row r="492" spans="1:9" ht="14.4" x14ac:dyDescent="0.3">
      <c r="A492" s="197"/>
      <c r="B492" s="203"/>
      <c r="C492" s="204"/>
      <c r="D492" s="205"/>
      <c r="E492" s="206"/>
      <c r="F492" s="218"/>
      <c r="G492" s="206"/>
      <c r="H492" s="219"/>
      <c r="I492" s="220"/>
    </row>
    <row r="493" spans="1:9" ht="15" thickBot="1" x14ac:dyDescent="0.35">
      <c r="A493" s="207"/>
      <c r="B493" s="208"/>
      <c r="C493" s="209"/>
      <c r="D493" s="210"/>
      <c r="E493" s="211"/>
      <c r="F493" s="221"/>
      <c r="G493" s="211"/>
      <c r="H493" s="222"/>
      <c r="I493" s="223"/>
    </row>
    <row r="494" spans="1:9" ht="14.4" thickBot="1" x14ac:dyDescent="0.35"/>
    <row r="495" spans="1:9" ht="14.4" thickBot="1" x14ac:dyDescent="0.35">
      <c r="A495" s="226" t="s">
        <v>1204</v>
      </c>
      <c r="B495" s="224" t="s">
        <v>1205</v>
      </c>
      <c r="C495" s="224" t="s">
        <v>1206</v>
      </c>
      <c r="D495" s="224" t="s">
        <v>1207</v>
      </c>
      <c r="E495" s="368" t="s">
        <v>1208</v>
      </c>
      <c r="F495" s="368"/>
      <c r="G495" s="368"/>
      <c r="H495" s="224" t="s">
        <v>1209</v>
      </c>
      <c r="I495" s="225" t="s">
        <v>1210</v>
      </c>
    </row>
    <row r="496" spans="1:9" ht="14.4" x14ac:dyDescent="0.3">
      <c r="A496" s="197" t="s">
        <v>1409</v>
      </c>
      <c r="B496" s="193" t="s">
        <v>1336</v>
      </c>
      <c r="C496" s="194" t="s">
        <v>1337</v>
      </c>
      <c r="D496" s="195" t="s">
        <v>1243</v>
      </c>
      <c r="E496" s="196" t="s">
        <v>1293</v>
      </c>
      <c r="F496" s="212"/>
      <c r="G496" s="196" t="s">
        <v>1316</v>
      </c>
      <c r="H496" s="213" t="s">
        <v>1309</v>
      </c>
      <c r="I496" s="214"/>
    </row>
    <row r="497" spans="1:9" ht="14.4" x14ac:dyDescent="0.3">
      <c r="A497" s="197"/>
      <c r="B497" s="198" t="s">
        <v>1405</v>
      </c>
      <c r="C497" s="199" t="s">
        <v>1385</v>
      </c>
      <c r="D497" s="200" t="s">
        <v>1243</v>
      </c>
      <c r="E497" s="201" t="s">
        <v>1294</v>
      </c>
      <c r="F497" s="212"/>
      <c r="G497" s="201" t="s">
        <v>1331</v>
      </c>
      <c r="H497" s="215" t="s">
        <v>1390</v>
      </c>
      <c r="I497" s="216"/>
    </row>
    <row r="498" spans="1:9" ht="14.4" x14ac:dyDescent="0.3">
      <c r="A498" s="197"/>
      <c r="B498" s="198" t="s">
        <v>1343</v>
      </c>
      <c r="C498" s="199" t="s">
        <v>1344</v>
      </c>
      <c r="D498" s="200" t="s">
        <v>1243</v>
      </c>
      <c r="E498" s="201" t="s">
        <v>1331</v>
      </c>
      <c r="F498" s="212"/>
      <c r="G498" s="201" t="s">
        <v>1351</v>
      </c>
      <c r="H498" s="215" t="s">
        <v>1309</v>
      </c>
      <c r="I498" s="216"/>
    </row>
    <row r="499" spans="1:9" ht="14.4" x14ac:dyDescent="0.3">
      <c r="A499" s="197"/>
      <c r="B499" s="198" t="s">
        <v>1340</v>
      </c>
      <c r="C499" s="199" t="s">
        <v>1081</v>
      </c>
      <c r="D499" s="200" t="s">
        <v>1247</v>
      </c>
      <c r="E499" s="201" t="s">
        <v>1311</v>
      </c>
      <c r="F499" s="212"/>
      <c r="G499" s="201" t="s">
        <v>1293</v>
      </c>
      <c r="H499" s="215"/>
      <c r="I499" s="217"/>
    </row>
    <row r="500" spans="1:9" ht="14.4" x14ac:dyDescent="0.3">
      <c r="A500" s="197"/>
      <c r="B500" s="198" t="s">
        <v>1345</v>
      </c>
      <c r="C500" s="199" t="s">
        <v>1346</v>
      </c>
      <c r="D500" s="200" t="s">
        <v>1247</v>
      </c>
      <c r="E500" s="196" t="s">
        <v>1293</v>
      </c>
      <c r="F500" s="212"/>
      <c r="G500" s="196" t="s">
        <v>1316</v>
      </c>
      <c r="H500" s="215" t="s">
        <v>1322</v>
      </c>
      <c r="I500" s="217"/>
    </row>
    <row r="501" spans="1:9" ht="14.4" x14ac:dyDescent="0.3">
      <c r="A501" s="197"/>
      <c r="B501" s="198" t="s">
        <v>1406</v>
      </c>
      <c r="C501" s="199" t="s">
        <v>1407</v>
      </c>
      <c r="D501" s="200" t="s">
        <v>1247</v>
      </c>
      <c r="E501" s="196" t="s">
        <v>1294</v>
      </c>
      <c r="F501" s="212"/>
      <c r="G501" s="196" t="s">
        <v>1331</v>
      </c>
      <c r="H501" s="215" t="s">
        <v>1369</v>
      </c>
      <c r="I501" s="216"/>
    </row>
    <row r="502" spans="1:9" ht="14.4" x14ac:dyDescent="0.3">
      <c r="A502" s="197"/>
      <c r="B502" s="198" t="s">
        <v>1408</v>
      </c>
      <c r="C502" s="199" t="s">
        <v>1096</v>
      </c>
      <c r="D502" s="200" t="s">
        <v>1247</v>
      </c>
      <c r="E502" s="201" t="s">
        <v>1331</v>
      </c>
      <c r="F502" s="212"/>
      <c r="G502" s="201" t="s">
        <v>1351</v>
      </c>
      <c r="H502" s="215" t="s">
        <v>1390</v>
      </c>
      <c r="I502" s="216"/>
    </row>
    <row r="503" spans="1:9" ht="14.4" x14ac:dyDescent="0.3">
      <c r="A503" s="197"/>
      <c r="B503" s="198" t="s">
        <v>1359</v>
      </c>
      <c r="C503" s="199" t="s">
        <v>1360</v>
      </c>
      <c r="D503" s="200" t="s">
        <v>1226</v>
      </c>
      <c r="E503" s="202" t="s">
        <v>1311</v>
      </c>
      <c r="F503" s="212"/>
      <c r="G503" s="201" t="s">
        <v>1361</v>
      </c>
      <c r="H503" s="215" t="s">
        <v>1386</v>
      </c>
      <c r="I503" s="216"/>
    </row>
    <row r="504" spans="1:9" ht="14.4" x14ac:dyDescent="0.3">
      <c r="A504" s="197"/>
      <c r="B504" s="198" t="s">
        <v>1356</v>
      </c>
      <c r="C504" s="199" t="s">
        <v>1357</v>
      </c>
      <c r="D504" s="200" t="s">
        <v>1226</v>
      </c>
      <c r="E504" s="201" t="s">
        <v>1361</v>
      </c>
      <c r="F504" s="212"/>
      <c r="G504" s="201" t="s">
        <v>1316</v>
      </c>
      <c r="H504" s="215"/>
      <c r="I504" s="216"/>
    </row>
    <row r="505" spans="1:9" ht="14.4" x14ac:dyDescent="0.3">
      <c r="A505" s="197"/>
      <c r="B505" s="198" t="s">
        <v>1341</v>
      </c>
      <c r="C505" s="199" t="s">
        <v>1086</v>
      </c>
      <c r="D505" s="200" t="s">
        <v>1226</v>
      </c>
      <c r="E505" s="201" t="s">
        <v>1294</v>
      </c>
      <c r="F505" s="212"/>
      <c r="G505" s="201" t="s">
        <v>1351</v>
      </c>
      <c r="H505" s="215"/>
      <c r="I505" s="216"/>
    </row>
    <row r="506" spans="1:9" ht="14.4" x14ac:dyDescent="0.3">
      <c r="A506" s="197"/>
      <c r="B506" s="203"/>
      <c r="C506" s="204"/>
      <c r="D506" s="205"/>
      <c r="E506" s="206"/>
      <c r="F506" s="218"/>
      <c r="G506" s="206"/>
      <c r="H506" s="219"/>
      <c r="I506" s="220"/>
    </row>
    <row r="507" spans="1:9" ht="15" thickBot="1" x14ac:dyDescent="0.35">
      <c r="A507" s="207"/>
      <c r="B507" s="208"/>
      <c r="C507" s="209"/>
      <c r="D507" s="210"/>
      <c r="E507" s="211"/>
      <c r="F507" s="221"/>
      <c r="G507" s="211"/>
      <c r="H507" s="222"/>
      <c r="I507" s="223"/>
    </row>
    <row r="508" spans="1:9" ht="14.4" thickBot="1" x14ac:dyDescent="0.35"/>
    <row r="509" spans="1:9" ht="14.4" thickBot="1" x14ac:dyDescent="0.35">
      <c r="A509" s="226" t="s">
        <v>1204</v>
      </c>
      <c r="B509" s="224" t="s">
        <v>1205</v>
      </c>
      <c r="C509" s="224" t="s">
        <v>1206</v>
      </c>
      <c r="D509" s="224" t="s">
        <v>1207</v>
      </c>
      <c r="E509" s="368" t="s">
        <v>1208</v>
      </c>
      <c r="F509" s="368"/>
      <c r="G509" s="368"/>
      <c r="H509" s="224" t="s">
        <v>1209</v>
      </c>
      <c r="I509" s="225" t="s">
        <v>1210</v>
      </c>
    </row>
    <row r="510" spans="1:9" ht="14.4" x14ac:dyDescent="0.3">
      <c r="A510" s="197" t="s">
        <v>1410</v>
      </c>
      <c r="B510" s="193" t="s">
        <v>1408</v>
      </c>
      <c r="C510" s="194" t="s">
        <v>1096</v>
      </c>
      <c r="D510" s="195" t="s">
        <v>1243</v>
      </c>
      <c r="E510" s="196" t="s">
        <v>1311</v>
      </c>
      <c r="F510" s="212"/>
      <c r="G510" s="196" t="s">
        <v>1293</v>
      </c>
      <c r="H510" s="213" t="s">
        <v>1369</v>
      </c>
      <c r="I510" s="214"/>
    </row>
    <row r="511" spans="1:9" ht="14.4" x14ac:dyDescent="0.3">
      <c r="A511" s="197"/>
      <c r="B511" s="198" t="s">
        <v>1345</v>
      </c>
      <c r="C511" s="199" t="s">
        <v>1346</v>
      </c>
      <c r="D511" s="200" t="s">
        <v>1243</v>
      </c>
      <c r="E511" s="201" t="s">
        <v>1293</v>
      </c>
      <c r="F511" s="212"/>
      <c r="G511" s="201" t="s">
        <v>1316</v>
      </c>
      <c r="H511" s="215" t="s">
        <v>1326</v>
      </c>
      <c r="I511" s="216"/>
    </row>
    <row r="512" spans="1:9" ht="14.4" x14ac:dyDescent="0.3">
      <c r="A512" s="197"/>
      <c r="B512" s="198" t="s">
        <v>1343</v>
      </c>
      <c r="C512" s="199" t="s">
        <v>1344</v>
      </c>
      <c r="D512" s="200" t="s">
        <v>1243</v>
      </c>
      <c r="E512" s="201" t="s">
        <v>1294</v>
      </c>
      <c r="F512" s="212"/>
      <c r="G512" s="201" t="s">
        <v>1331</v>
      </c>
      <c r="H512" s="215" t="s">
        <v>1326</v>
      </c>
      <c r="I512" s="216"/>
    </row>
    <row r="513" spans="1:9" ht="14.4" x14ac:dyDescent="0.3">
      <c r="A513" s="197"/>
      <c r="B513" s="198" t="s">
        <v>1405</v>
      </c>
      <c r="C513" s="199" t="s">
        <v>1385</v>
      </c>
      <c r="D513" s="200" t="s">
        <v>1243</v>
      </c>
      <c r="E513" s="201" t="s">
        <v>1331</v>
      </c>
      <c r="F513" s="212"/>
      <c r="G513" s="201" t="s">
        <v>1351</v>
      </c>
      <c r="H513" s="215" t="s">
        <v>1390</v>
      </c>
      <c r="I513" s="217"/>
    </row>
    <row r="514" spans="1:9" ht="14.4" x14ac:dyDescent="0.3">
      <c r="A514" s="197"/>
      <c r="B514" s="198" t="s">
        <v>1336</v>
      </c>
      <c r="C514" s="199" t="s">
        <v>1337</v>
      </c>
      <c r="D514" s="200" t="s">
        <v>1247</v>
      </c>
      <c r="E514" s="196" t="s">
        <v>1293</v>
      </c>
      <c r="F514" s="212"/>
      <c r="G514" s="196" t="s">
        <v>1316</v>
      </c>
      <c r="H514" s="215" t="s">
        <v>1326</v>
      </c>
      <c r="I514" s="217"/>
    </row>
    <row r="515" spans="1:9" ht="14.4" x14ac:dyDescent="0.3">
      <c r="A515" s="197"/>
      <c r="B515" s="198" t="s">
        <v>1406</v>
      </c>
      <c r="C515" s="199" t="s">
        <v>1407</v>
      </c>
      <c r="D515" s="200" t="s">
        <v>1247</v>
      </c>
      <c r="E515" s="196" t="s">
        <v>1316</v>
      </c>
      <c r="F515" s="212"/>
      <c r="G515" s="196" t="s">
        <v>1294</v>
      </c>
      <c r="H515" s="215" t="s">
        <v>1390</v>
      </c>
      <c r="I515" s="216"/>
    </row>
    <row r="516" spans="1:9" ht="14.4" x14ac:dyDescent="0.3">
      <c r="A516" s="197"/>
      <c r="B516" s="198" t="s">
        <v>1340</v>
      </c>
      <c r="C516" s="199" t="s">
        <v>1081</v>
      </c>
      <c r="D516" s="200" t="s">
        <v>1247</v>
      </c>
      <c r="E516" s="201" t="s">
        <v>1331</v>
      </c>
      <c r="F516" s="212"/>
      <c r="G516" s="201" t="s">
        <v>1351</v>
      </c>
      <c r="H516" s="215" t="s">
        <v>1326</v>
      </c>
      <c r="I516" s="216"/>
    </row>
    <row r="517" spans="1:9" ht="14.4" x14ac:dyDescent="0.3">
      <c r="A517" s="197"/>
      <c r="B517" s="198" t="s">
        <v>1359</v>
      </c>
      <c r="C517" s="199" t="s">
        <v>1360</v>
      </c>
      <c r="D517" s="200" t="s">
        <v>1226</v>
      </c>
      <c r="E517" s="202" t="s">
        <v>1311</v>
      </c>
      <c r="F517" s="212"/>
      <c r="G517" s="201" t="s">
        <v>1361</v>
      </c>
      <c r="H517" s="215"/>
      <c r="I517" s="216"/>
    </row>
    <row r="518" spans="1:9" ht="14.4" x14ac:dyDescent="0.3">
      <c r="A518" s="197"/>
      <c r="B518" s="198" t="s">
        <v>1356</v>
      </c>
      <c r="C518" s="199" t="s">
        <v>1357</v>
      </c>
      <c r="D518" s="200" t="s">
        <v>1226</v>
      </c>
      <c r="E518" s="201" t="s">
        <v>1361</v>
      </c>
      <c r="F518" s="212"/>
      <c r="G518" s="201" t="s">
        <v>1316</v>
      </c>
      <c r="H518" s="215"/>
      <c r="I518" s="216"/>
    </row>
    <row r="519" spans="1:9" ht="14.4" x14ac:dyDescent="0.3">
      <c r="A519" s="197"/>
      <c r="B519" s="198" t="s">
        <v>1341</v>
      </c>
      <c r="C519" s="199" t="s">
        <v>1086</v>
      </c>
      <c r="D519" s="200" t="s">
        <v>1226</v>
      </c>
      <c r="E519" s="201" t="s">
        <v>1294</v>
      </c>
      <c r="F519" s="212"/>
      <c r="G519" s="201" t="s">
        <v>1351</v>
      </c>
      <c r="H519" s="215"/>
      <c r="I519" s="216"/>
    </row>
    <row r="520" spans="1:9" ht="14.4" x14ac:dyDescent="0.3">
      <c r="A520" s="197"/>
      <c r="B520" s="203"/>
      <c r="C520" s="204"/>
      <c r="D520" s="205"/>
      <c r="E520" s="206"/>
      <c r="F520" s="218"/>
      <c r="G520" s="206"/>
      <c r="H520" s="219"/>
      <c r="I520" s="220"/>
    </row>
    <row r="521" spans="1:9" ht="15" thickBot="1" x14ac:dyDescent="0.35">
      <c r="A521" s="207"/>
      <c r="B521" s="208"/>
      <c r="C521" s="209"/>
      <c r="D521" s="210"/>
      <c r="E521" s="211"/>
      <c r="F521" s="221"/>
      <c r="G521" s="211"/>
      <c r="H521" s="222"/>
      <c r="I521" s="223"/>
    </row>
    <row r="522" spans="1:9" ht="14.4" thickBot="1" x14ac:dyDescent="0.35"/>
    <row r="523" spans="1:9" ht="14.4" thickBot="1" x14ac:dyDescent="0.35">
      <c r="A523" s="226" t="s">
        <v>1204</v>
      </c>
      <c r="B523" s="224" t="s">
        <v>1205</v>
      </c>
      <c r="C523" s="224" t="s">
        <v>1206</v>
      </c>
      <c r="D523" s="224" t="s">
        <v>1207</v>
      </c>
      <c r="E523" s="368" t="s">
        <v>1208</v>
      </c>
      <c r="F523" s="368"/>
      <c r="G523" s="368"/>
      <c r="H523" s="224" t="s">
        <v>1209</v>
      </c>
      <c r="I523" s="225" t="s">
        <v>1210</v>
      </c>
    </row>
    <row r="524" spans="1:9" ht="14.4" x14ac:dyDescent="0.3">
      <c r="A524" s="197" t="s">
        <v>1411</v>
      </c>
      <c r="B524" s="193" t="s">
        <v>1341</v>
      </c>
      <c r="C524" s="194" t="s">
        <v>1086</v>
      </c>
      <c r="D524" s="195" t="s">
        <v>1243</v>
      </c>
      <c r="E524" s="196" t="s">
        <v>1311</v>
      </c>
      <c r="F524" s="212"/>
      <c r="G524" s="196" t="s">
        <v>1293</v>
      </c>
      <c r="H524" s="213" t="s">
        <v>1324</v>
      </c>
      <c r="I524" s="214"/>
    </row>
    <row r="525" spans="1:9" ht="14.4" x14ac:dyDescent="0.3">
      <c r="A525" s="197"/>
      <c r="B525" s="198" t="s">
        <v>1408</v>
      </c>
      <c r="C525" s="199" t="s">
        <v>1096</v>
      </c>
      <c r="D525" s="200" t="s">
        <v>1243</v>
      </c>
      <c r="E525" s="201" t="s">
        <v>1316</v>
      </c>
      <c r="F525" s="212"/>
      <c r="G525" s="201" t="s">
        <v>1294</v>
      </c>
      <c r="H525" s="215" t="s">
        <v>1369</v>
      </c>
      <c r="I525" s="216"/>
    </row>
    <row r="526" spans="1:9" ht="14.4" x14ac:dyDescent="0.3">
      <c r="A526" s="197"/>
      <c r="B526" s="198" t="s">
        <v>1340</v>
      </c>
      <c r="C526" s="199" t="s">
        <v>1081</v>
      </c>
      <c r="D526" s="200" t="s">
        <v>1243</v>
      </c>
      <c r="E526" s="201" t="s">
        <v>1294</v>
      </c>
      <c r="F526" s="212"/>
      <c r="G526" s="201" t="s">
        <v>1331</v>
      </c>
      <c r="H526" s="215" t="s">
        <v>1324</v>
      </c>
      <c r="I526" s="216"/>
    </row>
    <row r="527" spans="1:9" ht="14.4" x14ac:dyDescent="0.3">
      <c r="A527" s="197"/>
      <c r="B527" s="198" t="s">
        <v>1405</v>
      </c>
      <c r="C527" s="199" t="s">
        <v>1385</v>
      </c>
      <c r="D527" s="200" t="s">
        <v>1247</v>
      </c>
      <c r="E527" s="201" t="s">
        <v>1311</v>
      </c>
      <c r="F527" s="212"/>
      <c r="G527" s="201" t="s">
        <v>1293</v>
      </c>
      <c r="H527" s="215" t="s">
        <v>1324</v>
      </c>
      <c r="I527" s="217"/>
    </row>
    <row r="528" spans="1:9" ht="14.4" x14ac:dyDescent="0.3">
      <c r="A528" s="197"/>
      <c r="B528" s="198" t="s">
        <v>1336</v>
      </c>
      <c r="C528" s="199" t="s">
        <v>1337</v>
      </c>
      <c r="D528" s="200" t="s">
        <v>1247</v>
      </c>
      <c r="E528" s="196" t="s">
        <v>1293</v>
      </c>
      <c r="F528" s="212"/>
      <c r="G528" s="196" t="s">
        <v>1316</v>
      </c>
      <c r="H528" s="215" t="s">
        <v>1324</v>
      </c>
      <c r="I528" s="217"/>
    </row>
    <row r="529" spans="1:9" ht="14.4" x14ac:dyDescent="0.3">
      <c r="A529" s="197"/>
      <c r="B529" s="198" t="s">
        <v>1406</v>
      </c>
      <c r="C529" s="199" t="s">
        <v>1407</v>
      </c>
      <c r="D529" s="200" t="s">
        <v>1247</v>
      </c>
      <c r="E529" s="196" t="s">
        <v>1294</v>
      </c>
      <c r="F529" s="212"/>
      <c r="G529" s="196" t="s">
        <v>1331</v>
      </c>
      <c r="H529" s="215" t="s">
        <v>1324</v>
      </c>
      <c r="I529" s="216"/>
    </row>
    <row r="530" spans="1:9" ht="14.4" x14ac:dyDescent="0.3">
      <c r="A530" s="197"/>
      <c r="B530" s="198" t="s">
        <v>1343</v>
      </c>
      <c r="C530" s="199" t="s">
        <v>1344</v>
      </c>
      <c r="D530" s="200" t="s">
        <v>1247</v>
      </c>
      <c r="E530" s="201" t="s">
        <v>1331</v>
      </c>
      <c r="F530" s="212"/>
      <c r="G530" s="201" t="s">
        <v>1351</v>
      </c>
      <c r="H530" s="215" t="s">
        <v>1324</v>
      </c>
      <c r="I530" s="216"/>
    </row>
    <row r="531" spans="1:9" ht="14.4" x14ac:dyDescent="0.3">
      <c r="A531" s="197"/>
      <c r="B531" s="198" t="s">
        <v>1359</v>
      </c>
      <c r="C531" s="199" t="s">
        <v>1360</v>
      </c>
      <c r="D531" s="200" t="s">
        <v>1226</v>
      </c>
      <c r="E531" s="202" t="s">
        <v>1311</v>
      </c>
      <c r="F531" s="212"/>
      <c r="G531" s="201" t="s">
        <v>1361</v>
      </c>
      <c r="H531" s="215"/>
      <c r="I531" s="216"/>
    </row>
    <row r="532" spans="1:9" ht="14.4" x14ac:dyDescent="0.3">
      <c r="A532" s="197"/>
      <c r="B532" s="198" t="s">
        <v>1356</v>
      </c>
      <c r="C532" s="199" t="s">
        <v>1357</v>
      </c>
      <c r="D532" s="200" t="s">
        <v>1226</v>
      </c>
      <c r="E532" s="201" t="s">
        <v>1361</v>
      </c>
      <c r="F532" s="212"/>
      <c r="G532" s="201" t="s">
        <v>1316</v>
      </c>
      <c r="H532" s="215"/>
      <c r="I532" s="216"/>
    </row>
    <row r="533" spans="1:9" ht="14.4" x14ac:dyDescent="0.3">
      <c r="A533" s="197"/>
      <c r="B533" s="198" t="s">
        <v>1345</v>
      </c>
      <c r="C533" s="199" t="s">
        <v>1346</v>
      </c>
      <c r="D533" s="200" t="s">
        <v>1226</v>
      </c>
      <c r="E533" s="201" t="s">
        <v>1294</v>
      </c>
      <c r="F533" s="212"/>
      <c r="G533" s="201" t="s">
        <v>1351</v>
      </c>
      <c r="H533" s="215" t="s">
        <v>1324</v>
      </c>
      <c r="I533" s="216"/>
    </row>
    <row r="534" spans="1:9" ht="14.4" x14ac:dyDescent="0.3">
      <c r="A534" s="197"/>
      <c r="B534" s="203"/>
      <c r="C534" s="204"/>
      <c r="D534" s="205"/>
      <c r="E534" s="206"/>
      <c r="F534" s="218"/>
      <c r="G534" s="206"/>
      <c r="H534" s="219"/>
      <c r="I534" s="220"/>
    </row>
    <row r="535" spans="1:9" ht="15" thickBot="1" x14ac:dyDescent="0.35">
      <c r="A535" s="207"/>
      <c r="B535" s="208"/>
      <c r="C535" s="209"/>
      <c r="D535" s="210"/>
      <c r="E535" s="211"/>
      <c r="F535" s="221"/>
      <c r="G535" s="211"/>
      <c r="H535" s="222"/>
      <c r="I535" s="223"/>
    </row>
    <row r="536" spans="1:9" ht="14.4" thickBot="1" x14ac:dyDescent="0.35"/>
    <row r="537" spans="1:9" ht="14.4" thickBot="1" x14ac:dyDescent="0.35">
      <c r="A537" s="226" t="s">
        <v>1204</v>
      </c>
      <c r="B537" s="224" t="s">
        <v>1205</v>
      </c>
      <c r="C537" s="224" t="s">
        <v>1206</v>
      </c>
      <c r="D537" s="224" t="s">
        <v>1207</v>
      </c>
      <c r="E537" s="368" t="s">
        <v>1208</v>
      </c>
      <c r="F537" s="368"/>
      <c r="G537" s="368"/>
      <c r="H537" s="224" t="s">
        <v>1209</v>
      </c>
      <c r="I537" s="225" t="s">
        <v>1210</v>
      </c>
    </row>
    <row r="538" spans="1:9" ht="14.4" x14ac:dyDescent="0.3">
      <c r="A538" s="197" t="s">
        <v>1412</v>
      </c>
      <c r="B538" s="193" t="s">
        <v>1341</v>
      </c>
      <c r="C538" s="194" t="s">
        <v>1086</v>
      </c>
      <c r="D538" s="195" t="s">
        <v>1243</v>
      </c>
      <c r="E538" s="196" t="s">
        <v>1314</v>
      </c>
      <c r="F538" s="212"/>
      <c r="G538" s="196" t="s">
        <v>1311</v>
      </c>
      <c r="H538" s="213" t="s">
        <v>1303</v>
      </c>
      <c r="I538" s="214"/>
    </row>
    <row r="539" spans="1:9" ht="14.4" x14ac:dyDescent="0.3">
      <c r="A539" s="197"/>
      <c r="B539" s="198" t="s">
        <v>1345</v>
      </c>
      <c r="C539" s="199" t="s">
        <v>1346</v>
      </c>
      <c r="D539" s="200" t="s">
        <v>1243</v>
      </c>
      <c r="E539" s="201" t="s">
        <v>1311</v>
      </c>
      <c r="F539" s="212"/>
      <c r="G539" s="201" t="s">
        <v>1293</v>
      </c>
      <c r="H539" s="215" t="s">
        <v>1291</v>
      </c>
      <c r="I539" s="216"/>
    </row>
    <row r="540" spans="1:9" ht="14.4" x14ac:dyDescent="0.3">
      <c r="A540" s="197"/>
      <c r="B540" s="198" t="s">
        <v>1340</v>
      </c>
      <c r="C540" s="199" t="s">
        <v>1081</v>
      </c>
      <c r="D540" s="200" t="s">
        <v>1243</v>
      </c>
      <c r="E540" s="201" t="s">
        <v>1316</v>
      </c>
      <c r="F540" s="212"/>
      <c r="G540" s="201" t="s">
        <v>1294</v>
      </c>
      <c r="H540" s="215" t="s">
        <v>1291</v>
      </c>
      <c r="I540" s="216"/>
    </row>
    <row r="541" spans="1:9" ht="14.4" x14ac:dyDescent="0.3">
      <c r="A541" s="197"/>
      <c r="B541" s="198" t="s">
        <v>1408</v>
      </c>
      <c r="C541" s="199" t="s">
        <v>1096</v>
      </c>
      <c r="D541" s="200" t="s">
        <v>1243</v>
      </c>
      <c r="E541" s="201" t="s">
        <v>1294</v>
      </c>
      <c r="F541" s="212"/>
      <c r="G541" s="201" t="s">
        <v>1331</v>
      </c>
      <c r="H541" s="215" t="s">
        <v>1305</v>
      </c>
      <c r="I541" s="217"/>
    </row>
    <row r="542" spans="1:9" ht="14.4" x14ac:dyDescent="0.3">
      <c r="A542" s="197"/>
      <c r="B542" s="198" t="s">
        <v>1405</v>
      </c>
      <c r="C542" s="199" t="s">
        <v>1385</v>
      </c>
      <c r="D542" s="200" t="s">
        <v>1247</v>
      </c>
      <c r="E542" s="196" t="s">
        <v>1293</v>
      </c>
      <c r="F542" s="212"/>
      <c r="G542" s="196" t="s">
        <v>1316</v>
      </c>
      <c r="H542" s="215" t="s">
        <v>1320</v>
      </c>
      <c r="I542" s="217"/>
    </row>
    <row r="543" spans="1:9" ht="14.4" x14ac:dyDescent="0.3">
      <c r="A543" s="197"/>
      <c r="B543" s="198" t="s">
        <v>1343</v>
      </c>
      <c r="C543" s="199" t="s">
        <v>1344</v>
      </c>
      <c r="D543" s="200" t="s">
        <v>1247</v>
      </c>
      <c r="E543" s="196" t="s">
        <v>1316</v>
      </c>
      <c r="F543" s="212"/>
      <c r="G543" s="196" t="s">
        <v>1294</v>
      </c>
      <c r="H543" s="215" t="s">
        <v>1326</v>
      </c>
      <c r="I543" s="216"/>
    </row>
    <row r="544" spans="1:9" ht="14.4" x14ac:dyDescent="0.3">
      <c r="A544" s="197"/>
      <c r="B544" s="198" t="s">
        <v>1406</v>
      </c>
      <c r="C544" s="199" t="s">
        <v>1407</v>
      </c>
      <c r="D544" s="200" t="s">
        <v>1247</v>
      </c>
      <c r="E544" s="201" t="s">
        <v>1331</v>
      </c>
      <c r="F544" s="212"/>
      <c r="G544" s="201" t="s">
        <v>1351</v>
      </c>
      <c r="H544" s="215" t="s">
        <v>1305</v>
      </c>
      <c r="I544" s="216"/>
    </row>
    <row r="545" spans="1:9" ht="14.4" x14ac:dyDescent="0.3">
      <c r="A545" s="197"/>
      <c r="B545" s="198" t="s">
        <v>1356</v>
      </c>
      <c r="C545" s="199" t="s">
        <v>1357</v>
      </c>
      <c r="D545" s="200" t="s">
        <v>1226</v>
      </c>
      <c r="E545" s="202" t="s">
        <v>1311</v>
      </c>
      <c r="F545" s="212"/>
      <c r="G545" s="201" t="s">
        <v>1358</v>
      </c>
      <c r="H545" s="215"/>
      <c r="I545" s="216"/>
    </row>
    <row r="546" spans="1:9" ht="14.4" x14ac:dyDescent="0.3">
      <c r="A546" s="197"/>
      <c r="B546" s="198" t="s">
        <v>1359</v>
      </c>
      <c r="C546" s="199" t="s">
        <v>1360</v>
      </c>
      <c r="D546" s="200" t="s">
        <v>1226</v>
      </c>
      <c r="E546" s="201" t="s">
        <v>1361</v>
      </c>
      <c r="F546" s="212"/>
      <c r="G546" s="201" t="s">
        <v>1362</v>
      </c>
      <c r="H546" s="215"/>
      <c r="I546" s="216"/>
    </row>
    <row r="547" spans="1:9" ht="14.4" x14ac:dyDescent="0.3">
      <c r="A547" s="197"/>
      <c r="B547" s="198" t="s">
        <v>1336</v>
      </c>
      <c r="C547" s="199" t="s">
        <v>1337</v>
      </c>
      <c r="D547" s="200" t="s">
        <v>1226</v>
      </c>
      <c r="E547" s="201" t="s">
        <v>1294</v>
      </c>
      <c r="F547" s="212"/>
      <c r="G547" s="201" t="s">
        <v>1351</v>
      </c>
      <c r="H547" s="215" t="s">
        <v>1303</v>
      </c>
      <c r="I547" s="216"/>
    </row>
    <row r="548" spans="1:9" ht="14.4" x14ac:dyDescent="0.3">
      <c r="A548" s="197"/>
      <c r="B548" s="203"/>
      <c r="C548" s="204"/>
      <c r="D548" s="205"/>
      <c r="E548" s="206"/>
      <c r="F548" s="218"/>
      <c r="G548" s="206"/>
      <c r="H548" s="219"/>
      <c r="I548" s="220"/>
    </row>
    <row r="549" spans="1:9" ht="15" thickBot="1" x14ac:dyDescent="0.35">
      <c r="A549" s="207"/>
      <c r="B549" s="208"/>
      <c r="C549" s="209"/>
      <c r="D549" s="210"/>
      <c r="E549" s="211"/>
      <c r="F549" s="221"/>
      <c r="G549" s="211"/>
      <c r="H549" s="222"/>
      <c r="I549" s="223"/>
    </row>
    <row r="550" spans="1:9" ht="14.4" thickBot="1" x14ac:dyDescent="0.35"/>
    <row r="551" spans="1:9" ht="14.4" thickBot="1" x14ac:dyDescent="0.35">
      <c r="A551" s="226" t="s">
        <v>1204</v>
      </c>
      <c r="B551" s="224" t="s">
        <v>1205</v>
      </c>
      <c r="C551" s="224" t="s">
        <v>1206</v>
      </c>
      <c r="D551" s="224" t="s">
        <v>1207</v>
      </c>
      <c r="E551" s="368" t="s">
        <v>1208</v>
      </c>
      <c r="F551" s="368"/>
      <c r="G551" s="368"/>
      <c r="H551" s="224" t="s">
        <v>1209</v>
      </c>
      <c r="I551" s="225" t="s">
        <v>1210</v>
      </c>
    </row>
    <row r="552" spans="1:9" ht="14.4" x14ac:dyDescent="0.3">
      <c r="A552" s="197" t="s">
        <v>1413</v>
      </c>
      <c r="B552" s="193" t="s">
        <v>1405</v>
      </c>
      <c r="C552" s="194" t="s">
        <v>1385</v>
      </c>
      <c r="D552" s="195" t="s">
        <v>1243</v>
      </c>
      <c r="E552" s="196" t="s">
        <v>1317</v>
      </c>
      <c r="F552" s="212"/>
      <c r="G552" s="196" t="s">
        <v>1314</v>
      </c>
      <c r="H552" s="213" t="s">
        <v>1305</v>
      </c>
      <c r="I552" s="214"/>
    </row>
    <row r="553" spans="1:9" ht="14.4" x14ac:dyDescent="0.3">
      <c r="A553" s="197"/>
      <c r="B553" s="198" t="s">
        <v>1336</v>
      </c>
      <c r="C553" s="199" t="s">
        <v>1337</v>
      </c>
      <c r="D553" s="200" t="s">
        <v>1243</v>
      </c>
      <c r="E553" s="201" t="s">
        <v>1314</v>
      </c>
      <c r="F553" s="212"/>
      <c r="G553" s="201" t="s">
        <v>1311</v>
      </c>
      <c r="H553" s="215" t="s">
        <v>1244</v>
      </c>
      <c r="I553" s="216"/>
    </row>
    <row r="554" spans="1:9" ht="14.4" x14ac:dyDescent="0.3">
      <c r="A554" s="197"/>
      <c r="B554" s="198" t="s">
        <v>1341</v>
      </c>
      <c r="C554" s="199" t="s">
        <v>1086</v>
      </c>
      <c r="D554" s="200" t="s">
        <v>1243</v>
      </c>
      <c r="E554" s="201" t="s">
        <v>1293</v>
      </c>
      <c r="F554" s="212"/>
      <c r="G554" s="201" t="s">
        <v>1316</v>
      </c>
      <c r="H554" s="215" t="s">
        <v>1244</v>
      </c>
      <c r="I554" s="216"/>
    </row>
    <row r="555" spans="1:9" ht="14.4" x14ac:dyDescent="0.3">
      <c r="A555" s="197"/>
      <c r="B555" s="198" t="s">
        <v>1345</v>
      </c>
      <c r="C555" s="199" t="s">
        <v>1346</v>
      </c>
      <c r="D555" s="200" t="s">
        <v>1243</v>
      </c>
      <c r="E555" s="201" t="s">
        <v>1316</v>
      </c>
      <c r="F555" s="212"/>
      <c r="G555" s="201" t="s">
        <v>1294</v>
      </c>
      <c r="H555" s="215" t="s">
        <v>1414</v>
      </c>
      <c r="I555" s="217"/>
    </row>
    <row r="556" spans="1:9" ht="14.4" x14ac:dyDescent="0.3">
      <c r="A556" s="197"/>
      <c r="B556" s="198" t="s">
        <v>1359</v>
      </c>
      <c r="C556" s="199" t="s">
        <v>1360</v>
      </c>
      <c r="D556" s="200" t="s">
        <v>1280</v>
      </c>
      <c r="E556" s="196" t="s">
        <v>1415</v>
      </c>
      <c r="F556" s="212"/>
      <c r="G556" s="196" t="s">
        <v>1311</v>
      </c>
      <c r="H556" s="215" t="s">
        <v>1363</v>
      </c>
      <c r="I556" s="217"/>
    </row>
    <row r="557" spans="1:9" ht="14.4" x14ac:dyDescent="0.3">
      <c r="A557" s="197"/>
      <c r="B557" s="198" t="s">
        <v>1340</v>
      </c>
      <c r="C557" s="199" t="s">
        <v>1081</v>
      </c>
      <c r="D557" s="200" t="s">
        <v>1247</v>
      </c>
      <c r="E557" s="196" t="s">
        <v>1293</v>
      </c>
      <c r="F557" s="212"/>
      <c r="G557" s="196" t="s">
        <v>1316</v>
      </c>
      <c r="H557" s="215" t="s">
        <v>1416</v>
      </c>
      <c r="I557" s="216"/>
    </row>
    <row r="558" spans="1:9" ht="14.4" x14ac:dyDescent="0.3">
      <c r="A558" s="197"/>
      <c r="B558" s="198" t="s">
        <v>1343</v>
      </c>
      <c r="C558" s="199" t="s">
        <v>1344</v>
      </c>
      <c r="D558" s="200" t="s">
        <v>1247</v>
      </c>
      <c r="E558" s="201" t="s">
        <v>1316</v>
      </c>
      <c r="F558" s="212"/>
      <c r="G558" s="201" t="s">
        <v>1294</v>
      </c>
      <c r="H558" s="215" t="s">
        <v>1417</v>
      </c>
      <c r="I558" s="216"/>
    </row>
    <row r="559" spans="1:9" ht="14.4" x14ac:dyDescent="0.3">
      <c r="A559" s="197"/>
      <c r="B559" s="198" t="s">
        <v>1408</v>
      </c>
      <c r="C559" s="199" t="s">
        <v>1096</v>
      </c>
      <c r="D559" s="200" t="s">
        <v>1247</v>
      </c>
      <c r="E559" s="202" t="s">
        <v>1331</v>
      </c>
      <c r="F559" s="212"/>
      <c r="G559" s="201" t="s">
        <v>1351</v>
      </c>
      <c r="H559" s="215" t="s">
        <v>1369</v>
      </c>
      <c r="I559" s="216"/>
    </row>
    <row r="560" spans="1:9" ht="14.4" x14ac:dyDescent="0.3">
      <c r="A560" s="197"/>
      <c r="B560" s="198" t="s">
        <v>1406</v>
      </c>
      <c r="C560" s="199" t="s">
        <v>1407</v>
      </c>
      <c r="D560" s="200" t="s">
        <v>1226</v>
      </c>
      <c r="E560" s="201" t="s">
        <v>1293</v>
      </c>
      <c r="F560" s="212"/>
      <c r="G560" s="201" t="s">
        <v>1294</v>
      </c>
      <c r="H560" s="215" t="s">
        <v>1390</v>
      </c>
      <c r="I560" s="216"/>
    </row>
    <row r="561" spans="1:9" ht="14.4" x14ac:dyDescent="0.3">
      <c r="A561" s="197"/>
      <c r="B561" s="198" t="s">
        <v>1356</v>
      </c>
      <c r="C561" s="199" t="s">
        <v>1357</v>
      </c>
      <c r="D561" s="200" t="s">
        <v>1226</v>
      </c>
      <c r="E561" s="201" t="s">
        <v>1294</v>
      </c>
      <c r="F561" s="212"/>
      <c r="G561" s="201" t="s">
        <v>1418</v>
      </c>
      <c r="H561" s="215"/>
      <c r="I561" s="216"/>
    </row>
    <row r="562" spans="1:9" ht="14.4" x14ac:dyDescent="0.3">
      <c r="A562" s="197"/>
      <c r="B562" s="203"/>
      <c r="C562" s="204"/>
      <c r="D562" s="205"/>
      <c r="E562" s="206"/>
      <c r="F562" s="218"/>
      <c r="G562" s="206"/>
      <c r="H562" s="219"/>
      <c r="I562" s="220"/>
    </row>
    <row r="563" spans="1:9" ht="15" thickBot="1" x14ac:dyDescent="0.35">
      <c r="A563" s="207"/>
      <c r="B563" s="208"/>
      <c r="C563" s="209"/>
      <c r="D563" s="210"/>
      <c r="E563" s="211"/>
      <c r="F563" s="221"/>
      <c r="G563" s="211"/>
      <c r="H563" s="222"/>
      <c r="I563" s="223"/>
    </row>
    <row r="564" spans="1:9" ht="14.4" thickBot="1" x14ac:dyDescent="0.35"/>
    <row r="565" spans="1:9" ht="14.4" thickBot="1" x14ac:dyDescent="0.35">
      <c r="A565" s="226" t="s">
        <v>1204</v>
      </c>
      <c r="B565" s="224" t="s">
        <v>1205</v>
      </c>
      <c r="C565" s="224" t="s">
        <v>1206</v>
      </c>
      <c r="D565" s="224" t="s">
        <v>1207</v>
      </c>
      <c r="E565" s="368" t="s">
        <v>1208</v>
      </c>
      <c r="F565" s="368"/>
      <c r="G565" s="368"/>
      <c r="H565" s="224" t="s">
        <v>1209</v>
      </c>
      <c r="I565" s="225" t="s">
        <v>1210</v>
      </c>
    </row>
    <row r="566" spans="1:9" ht="14.4" x14ac:dyDescent="0.3">
      <c r="A566" s="197" t="s">
        <v>1419</v>
      </c>
      <c r="B566" s="193" t="s">
        <v>1359</v>
      </c>
      <c r="C566" s="194" t="s">
        <v>1360</v>
      </c>
      <c r="D566" s="195" t="s">
        <v>1224</v>
      </c>
      <c r="E566" s="196" t="s">
        <v>1358</v>
      </c>
      <c r="F566" s="212"/>
      <c r="G566" s="196" t="s">
        <v>1316</v>
      </c>
      <c r="H566" s="213" t="s">
        <v>1221</v>
      </c>
      <c r="I566" s="214"/>
    </row>
    <row r="567" spans="1:9" ht="14.4" x14ac:dyDescent="0.3">
      <c r="A567" s="197"/>
      <c r="B567" s="198" t="s">
        <v>1405</v>
      </c>
      <c r="C567" s="199" t="s">
        <v>1385</v>
      </c>
      <c r="D567" s="200" t="s">
        <v>1243</v>
      </c>
      <c r="E567" s="201" t="s">
        <v>1317</v>
      </c>
      <c r="F567" s="212"/>
      <c r="G567" s="201" t="s">
        <v>1314</v>
      </c>
      <c r="H567" s="215" t="s">
        <v>1369</v>
      </c>
      <c r="I567" s="216"/>
    </row>
    <row r="568" spans="1:9" ht="14.4" x14ac:dyDescent="0.3">
      <c r="A568" s="197"/>
      <c r="B568" s="198" t="s">
        <v>1406</v>
      </c>
      <c r="C568" s="199" t="s">
        <v>1407</v>
      </c>
      <c r="D568" s="200" t="s">
        <v>1243</v>
      </c>
      <c r="E568" s="201" t="s">
        <v>1314</v>
      </c>
      <c r="F568" s="212"/>
      <c r="G568" s="201" t="s">
        <v>1311</v>
      </c>
      <c r="H568" s="215" t="s">
        <v>1369</v>
      </c>
      <c r="I568" s="216"/>
    </row>
    <row r="569" spans="1:9" ht="14.4" x14ac:dyDescent="0.3">
      <c r="A569" s="197"/>
      <c r="B569" s="198" t="s">
        <v>1408</v>
      </c>
      <c r="C569" s="199" t="s">
        <v>1096</v>
      </c>
      <c r="D569" s="200" t="s">
        <v>1247</v>
      </c>
      <c r="E569" s="201" t="s">
        <v>1317</v>
      </c>
      <c r="F569" s="212"/>
      <c r="G569" s="201" t="s">
        <v>1314</v>
      </c>
      <c r="H569" s="215" t="s">
        <v>1305</v>
      </c>
      <c r="I569" s="217"/>
    </row>
    <row r="570" spans="1:9" ht="14.4" x14ac:dyDescent="0.3">
      <c r="A570" s="197"/>
      <c r="B570" s="198" t="s">
        <v>1340</v>
      </c>
      <c r="C570" s="199" t="s">
        <v>1081</v>
      </c>
      <c r="D570" s="200" t="s">
        <v>1247</v>
      </c>
      <c r="E570" s="196" t="s">
        <v>1314</v>
      </c>
      <c r="F570" s="212"/>
      <c r="G570" s="196" t="s">
        <v>1311</v>
      </c>
      <c r="H570" s="215" t="s">
        <v>1420</v>
      </c>
      <c r="I570" s="217"/>
    </row>
    <row r="571" spans="1:9" ht="14.4" x14ac:dyDescent="0.3">
      <c r="A571" s="197"/>
      <c r="B571" s="198" t="s">
        <v>1336</v>
      </c>
      <c r="C571" s="199" t="s">
        <v>1337</v>
      </c>
      <c r="D571" s="200" t="s">
        <v>1247</v>
      </c>
      <c r="E571" s="196" t="s">
        <v>1293</v>
      </c>
      <c r="F571" s="212"/>
      <c r="G571" s="196" t="s">
        <v>1316</v>
      </c>
      <c r="H571" s="215"/>
      <c r="I571" s="216"/>
    </row>
    <row r="572" spans="1:9" ht="14.4" x14ac:dyDescent="0.3">
      <c r="A572" s="197"/>
      <c r="B572" s="198" t="s">
        <v>1345</v>
      </c>
      <c r="C572" s="199" t="s">
        <v>1346</v>
      </c>
      <c r="D572" s="200" t="s">
        <v>1247</v>
      </c>
      <c r="E572" s="201" t="s">
        <v>1316</v>
      </c>
      <c r="F572" s="212"/>
      <c r="G572" s="201" t="s">
        <v>1294</v>
      </c>
      <c r="H572" s="215" t="s">
        <v>1421</v>
      </c>
      <c r="I572" s="216"/>
    </row>
    <row r="573" spans="1:9" ht="14.4" x14ac:dyDescent="0.3">
      <c r="A573" s="197"/>
      <c r="B573" s="198" t="s">
        <v>1341</v>
      </c>
      <c r="C573" s="199" t="s">
        <v>1086</v>
      </c>
      <c r="D573" s="200" t="s">
        <v>1226</v>
      </c>
      <c r="E573" s="202" t="s">
        <v>1314</v>
      </c>
      <c r="F573" s="212"/>
      <c r="G573" s="201" t="s">
        <v>1293</v>
      </c>
      <c r="H573" s="215" t="s">
        <v>1422</v>
      </c>
      <c r="I573" s="216"/>
    </row>
    <row r="574" spans="1:9" ht="14.4" x14ac:dyDescent="0.3">
      <c r="A574" s="197"/>
      <c r="B574" s="198" t="s">
        <v>1356</v>
      </c>
      <c r="C574" s="199" t="s">
        <v>1357</v>
      </c>
      <c r="D574" s="200" t="s">
        <v>1226</v>
      </c>
      <c r="E574" s="201" t="s">
        <v>1361</v>
      </c>
      <c r="F574" s="212"/>
      <c r="G574" s="201" t="s">
        <v>1316</v>
      </c>
      <c r="H574" s="215"/>
      <c r="I574" s="216"/>
    </row>
    <row r="575" spans="1:9" ht="14.4" x14ac:dyDescent="0.3">
      <c r="A575" s="197"/>
      <c r="B575" s="198" t="s">
        <v>1343</v>
      </c>
      <c r="C575" s="199" t="s">
        <v>1344</v>
      </c>
      <c r="D575" s="200" t="s">
        <v>1226</v>
      </c>
      <c r="E575" s="201" t="s">
        <v>1294</v>
      </c>
      <c r="F575" s="212"/>
      <c r="G575" s="201" t="s">
        <v>1351</v>
      </c>
      <c r="H575" s="215" t="s">
        <v>1254</v>
      </c>
      <c r="I575" s="216"/>
    </row>
    <row r="576" spans="1:9" ht="14.4" x14ac:dyDescent="0.3">
      <c r="A576" s="197"/>
      <c r="B576" s="203"/>
      <c r="C576" s="204"/>
      <c r="D576" s="205"/>
      <c r="E576" s="206"/>
      <c r="F576" s="218"/>
      <c r="G576" s="206"/>
      <c r="H576" s="219"/>
      <c r="I576" s="220"/>
    </row>
    <row r="577" spans="1:9" ht="15" thickBot="1" x14ac:dyDescent="0.35">
      <c r="A577" s="207"/>
      <c r="B577" s="208"/>
      <c r="C577" s="209"/>
      <c r="D577" s="210"/>
      <c r="E577" s="211"/>
      <c r="F577" s="221"/>
      <c r="G577" s="211"/>
      <c r="H577" s="222"/>
      <c r="I577" s="223"/>
    </row>
    <row r="578" spans="1:9" ht="14.4" thickBot="1" x14ac:dyDescent="0.35"/>
    <row r="579" spans="1:9" ht="14.4" thickBot="1" x14ac:dyDescent="0.35">
      <c r="A579" s="226" t="s">
        <v>1204</v>
      </c>
      <c r="B579" s="224" t="s">
        <v>1205</v>
      </c>
      <c r="C579" s="224" t="s">
        <v>1206</v>
      </c>
      <c r="D579" s="224" t="s">
        <v>1207</v>
      </c>
      <c r="E579" s="368" t="s">
        <v>1208</v>
      </c>
      <c r="F579" s="368"/>
      <c r="G579" s="368"/>
      <c r="H579" s="224" t="s">
        <v>1209</v>
      </c>
      <c r="I579" s="225" t="s">
        <v>1210</v>
      </c>
    </row>
    <row r="580" spans="1:9" ht="14.4" x14ac:dyDescent="0.3">
      <c r="A580" s="197" t="s">
        <v>1423</v>
      </c>
      <c r="B580" s="193" t="s">
        <v>1336</v>
      </c>
      <c r="C580" s="194" t="s">
        <v>1337</v>
      </c>
      <c r="D580" s="195" t="s">
        <v>1243</v>
      </c>
      <c r="E580" s="196" t="s">
        <v>1314</v>
      </c>
      <c r="F580" s="212"/>
      <c r="G580" s="196" t="s">
        <v>1311</v>
      </c>
      <c r="H580" s="213" t="s">
        <v>1417</v>
      </c>
      <c r="I580" s="214"/>
    </row>
    <row r="581" spans="1:9" ht="14.4" x14ac:dyDescent="0.3">
      <c r="A581" s="197"/>
      <c r="B581" s="198" t="s">
        <v>1345</v>
      </c>
      <c r="C581" s="199" t="s">
        <v>1346</v>
      </c>
      <c r="D581" s="200" t="s">
        <v>1243</v>
      </c>
      <c r="E581" s="201" t="s">
        <v>1311</v>
      </c>
      <c r="F581" s="212"/>
      <c r="G581" s="201" t="s">
        <v>1293</v>
      </c>
      <c r="H581" s="215"/>
      <c r="I581" s="216"/>
    </row>
    <row r="582" spans="1:9" ht="14.4" x14ac:dyDescent="0.3">
      <c r="A582" s="197"/>
      <c r="B582" s="198" t="s">
        <v>1340</v>
      </c>
      <c r="C582" s="199" t="s">
        <v>1081</v>
      </c>
      <c r="D582" s="200" t="s">
        <v>1243</v>
      </c>
      <c r="E582" s="201" t="s">
        <v>1316</v>
      </c>
      <c r="F582" s="212"/>
      <c r="G582" s="201" t="s">
        <v>1294</v>
      </c>
      <c r="H582" s="215" t="s">
        <v>1421</v>
      </c>
      <c r="I582" s="216"/>
    </row>
    <row r="583" spans="1:9" ht="14.4" x14ac:dyDescent="0.3">
      <c r="A583" s="197"/>
      <c r="B583" s="198" t="s">
        <v>1341</v>
      </c>
      <c r="C583" s="199" t="s">
        <v>1086</v>
      </c>
      <c r="D583" s="200" t="s">
        <v>1243</v>
      </c>
      <c r="E583" s="201" t="s">
        <v>1294</v>
      </c>
      <c r="F583" s="212"/>
      <c r="G583" s="201" t="s">
        <v>1331</v>
      </c>
      <c r="H583" s="215" t="s">
        <v>1297</v>
      </c>
      <c r="I583" s="217"/>
    </row>
    <row r="584" spans="1:9" ht="14.4" x14ac:dyDescent="0.3">
      <c r="A584" s="197"/>
      <c r="B584" s="198" t="s">
        <v>1408</v>
      </c>
      <c r="C584" s="199" t="s">
        <v>1096</v>
      </c>
      <c r="D584" s="200" t="s">
        <v>1247</v>
      </c>
      <c r="E584" s="196" t="s">
        <v>1317</v>
      </c>
      <c r="F584" s="212"/>
      <c r="G584" s="196" t="s">
        <v>1314</v>
      </c>
      <c r="H584" s="215" t="s">
        <v>1369</v>
      </c>
      <c r="I584" s="217"/>
    </row>
    <row r="585" spans="1:9" ht="14.4" x14ac:dyDescent="0.3">
      <c r="A585" s="197"/>
      <c r="B585" s="198" t="s">
        <v>1405</v>
      </c>
      <c r="C585" s="199" t="s">
        <v>1385</v>
      </c>
      <c r="D585" s="200" t="s">
        <v>1247</v>
      </c>
      <c r="E585" s="196" t="s">
        <v>1314</v>
      </c>
      <c r="F585" s="212"/>
      <c r="G585" s="196" t="s">
        <v>1311</v>
      </c>
      <c r="H585" s="215" t="s">
        <v>1424</v>
      </c>
      <c r="I585" s="216"/>
    </row>
    <row r="586" spans="1:9" ht="14.4" x14ac:dyDescent="0.3">
      <c r="A586" s="197"/>
      <c r="B586" s="198" t="s">
        <v>1406</v>
      </c>
      <c r="C586" s="199" t="s">
        <v>1407</v>
      </c>
      <c r="D586" s="200" t="s">
        <v>1226</v>
      </c>
      <c r="E586" s="201" t="s">
        <v>1317</v>
      </c>
      <c r="F586" s="212"/>
      <c r="G586" s="201" t="s">
        <v>1311</v>
      </c>
      <c r="H586" s="215" t="s">
        <v>1369</v>
      </c>
      <c r="I586" s="216"/>
    </row>
    <row r="587" spans="1:9" ht="14.4" x14ac:dyDescent="0.3">
      <c r="A587" s="197"/>
      <c r="B587" s="198" t="s">
        <v>1343</v>
      </c>
      <c r="C587" s="199" t="s">
        <v>1344</v>
      </c>
      <c r="D587" s="200" t="s">
        <v>1226</v>
      </c>
      <c r="E587" s="202" t="s">
        <v>1293</v>
      </c>
      <c r="F587" s="212"/>
      <c r="G587" s="201" t="s">
        <v>1294</v>
      </c>
      <c r="H587" s="215" t="s">
        <v>1422</v>
      </c>
      <c r="I587" s="216"/>
    </row>
    <row r="588" spans="1:9" ht="14.4" x14ac:dyDescent="0.3">
      <c r="A588" s="197"/>
      <c r="B588" s="198" t="s">
        <v>1356</v>
      </c>
      <c r="C588" s="199" t="s">
        <v>1357</v>
      </c>
      <c r="D588" s="200" t="s">
        <v>1226</v>
      </c>
      <c r="E588" s="201" t="s">
        <v>1294</v>
      </c>
      <c r="F588" s="212"/>
      <c r="G588" s="201" t="s">
        <v>1418</v>
      </c>
      <c r="H588" s="215"/>
      <c r="I588" s="216"/>
    </row>
    <row r="589" spans="1:9" ht="14.4" x14ac:dyDescent="0.3">
      <c r="A589" s="197"/>
      <c r="B589" s="198" t="s">
        <v>1359</v>
      </c>
      <c r="C589" s="199" t="s">
        <v>1360</v>
      </c>
      <c r="D589" s="200" t="s">
        <v>1285</v>
      </c>
      <c r="E589" s="201" t="s">
        <v>1293</v>
      </c>
      <c r="F589" s="212"/>
      <c r="G589" s="201" t="s">
        <v>1425</v>
      </c>
      <c r="H589" s="215" t="s">
        <v>1363</v>
      </c>
      <c r="I589" s="216"/>
    </row>
    <row r="590" spans="1:9" ht="14.4" x14ac:dyDescent="0.3">
      <c r="A590" s="197"/>
      <c r="B590" s="203"/>
      <c r="C590" s="204"/>
      <c r="D590" s="205"/>
      <c r="E590" s="206"/>
      <c r="F590" s="218"/>
      <c r="G590" s="206"/>
      <c r="H590" s="219"/>
      <c r="I590" s="220"/>
    </row>
    <row r="591" spans="1:9" ht="15" thickBot="1" x14ac:dyDescent="0.35">
      <c r="A591" s="207"/>
      <c r="B591" s="208"/>
      <c r="C591" s="209"/>
      <c r="D591" s="210"/>
      <c r="E591" s="211"/>
      <c r="F591" s="221"/>
      <c r="G591" s="211"/>
      <c r="H591" s="222"/>
      <c r="I591" s="223"/>
    </row>
    <row r="592" spans="1:9" ht="14.4" thickBot="1" x14ac:dyDescent="0.35"/>
    <row r="593" spans="1:9" ht="14.4" thickBot="1" x14ac:dyDescent="0.35">
      <c r="A593" s="226" t="s">
        <v>1204</v>
      </c>
      <c r="B593" s="224" t="s">
        <v>1205</v>
      </c>
      <c r="C593" s="224" t="s">
        <v>1206</v>
      </c>
      <c r="D593" s="224" t="s">
        <v>1207</v>
      </c>
      <c r="E593" s="368" t="s">
        <v>1208</v>
      </c>
      <c r="F593" s="368"/>
      <c r="G593" s="368"/>
      <c r="H593" s="224" t="s">
        <v>1209</v>
      </c>
      <c r="I593" s="225" t="s">
        <v>1210</v>
      </c>
    </row>
    <row r="594" spans="1:9" ht="14.4" x14ac:dyDescent="0.3">
      <c r="A594" s="197" t="s">
        <v>1426</v>
      </c>
      <c r="B594" s="193" t="s">
        <v>1427</v>
      </c>
      <c r="C594" s="194" t="s">
        <v>1428</v>
      </c>
      <c r="D594" s="195"/>
      <c r="E594" s="196"/>
      <c r="F594" s="212"/>
      <c r="G594" s="196"/>
      <c r="H594" s="213"/>
      <c r="I594" s="214"/>
    </row>
    <row r="595" spans="1:9" ht="14.4" x14ac:dyDescent="0.3">
      <c r="A595" s="197"/>
      <c r="B595" s="198" t="s">
        <v>1429</v>
      </c>
      <c r="C595" s="199" t="s">
        <v>1430</v>
      </c>
      <c r="D595" s="200"/>
      <c r="E595" s="201"/>
      <c r="F595" s="212"/>
      <c r="G595" s="201"/>
      <c r="H595" s="215"/>
      <c r="I595" s="216"/>
    </row>
    <row r="596" spans="1:9" ht="14.4" x14ac:dyDescent="0.3">
      <c r="A596" s="197"/>
      <c r="B596" s="198" t="s">
        <v>1352</v>
      </c>
      <c r="C596" s="199" t="s">
        <v>1083</v>
      </c>
      <c r="D596" s="200" t="s">
        <v>1243</v>
      </c>
      <c r="E596" s="201" t="s">
        <v>1311</v>
      </c>
      <c r="F596" s="212"/>
      <c r="G596" s="201" t="s">
        <v>1293</v>
      </c>
      <c r="H596" s="215" t="s">
        <v>1276</v>
      </c>
      <c r="I596" s="216"/>
    </row>
    <row r="597" spans="1:9" ht="14.4" x14ac:dyDescent="0.3">
      <c r="A597" s="197"/>
      <c r="B597" s="198" t="s">
        <v>1343</v>
      </c>
      <c r="C597" s="199" t="s">
        <v>1344</v>
      </c>
      <c r="D597" s="200" t="s">
        <v>1243</v>
      </c>
      <c r="E597" s="201" t="s">
        <v>1316</v>
      </c>
      <c r="F597" s="212"/>
      <c r="G597" s="201" t="s">
        <v>1294</v>
      </c>
      <c r="H597" s="215" t="s">
        <v>1322</v>
      </c>
      <c r="I597" s="217"/>
    </row>
    <row r="598" spans="1:9" ht="14.4" x14ac:dyDescent="0.3">
      <c r="A598" s="197"/>
      <c r="B598" s="198" t="s">
        <v>1336</v>
      </c>
      <c r="C598" s="199" t="s">
        <v>1337</v>
      </c>
      <c r="D598" s="200" t="s">
        <v>1247</v>
      </c>
      <c r="E598" s="196" t="s">
        <v>1311</v>
      </c>
      <c r="F598" s="212"/>
      <c r="G598" s="196" t="s">
        <v>1293</v>
      </c>
      <c r="H598" s="215" t="s">
        <v>1320</v>
      </c>
      <c r="I598" s="217"/>
    </row>
    <row r="599" spans="1:9" ht="14.4" x14ac:dyDescent="0.3">
      <c r="A599" s="197"/>
      <c r="B599" s="198" t="s">
        <v>1370</v>
      </c>
      <c r="C599" s="199" t="s">
        <v>1371</v>
      </c>
      <c r="D599" s="200" t="s">
        <v>1247</v>
      </c>
      <c r="E599" s="196" t="s">
        <v>1316</v>
      </c>
      <c r="F599" s="212"/>
      <c r="G599" s="196" t="s">
        <v>1294</v>
      </c>
      <c r="H599" s="215" t="s">
        <v>1322</v>
      </c>
      <c r="I599" s="216"/>
    </row>
    <row r="600" spans="1:9" ht="14.4" x14ac:dyDescent="0.3">
      <c r="A600" s="197"/>
      <c r="B600" s="198" t="s">
        <v>1340</v>
      </c>
      <c r="C600" s="199" t="s">
        <v>1081</v>
      </c>
      <c r="D600" s="200" t="s">
        <v>1247</v>
      </c>
      <c r="E600" s="201" t="s">
        <v>1294</v>
      </c>
      <c r="F600" s="212"/>
      <c r="G600" s="201" t="s">
        <v>1331</v>
      </c>
      <c r="H600" s="215" t="s">
        <v>1322</v>
      </c>
      <c r="I600" s="216"/>
    </row>
    <row r="601" spans="1:9" ht="14.4" x14ac:dyDescent="0.3">
      <c r="A601" s="197"/>
      <c r="B601" s="198" t="s">
        <v>1356</v>
      </c>
      <c r="C601" s="199" t="s">
        <v>1357</v>
      </c>
      <c r="D601" s="200" t="s">
        <v>1226</v>
      </c>
      <c r="E601" s="202" t="s">
        <v>1311</v>
      </c>
      <c r="F601" s="212"/>
      <c r="G601" s="201" t="s">
        <v>1358</v>
      </c>
      <c r="H601" s="215"/>
      <c r="I601" s="216"/>
    </row>
    <row r="602" spans="1:9" ht="14.4" x14ac:dyDescent="0.3">
      <c r="A602" s="197"/>
      <c r="B602" s="198" t="s">
        <v>1359</v>
      </c>
      <c r="C602" s="199" t="s">
        <v>1360</v>
      </c>
      <c r="D602" s="200" t="s">
        <v>1226</v>
      </c>
      <c r="E602" s="201" t="s">
        <v>1361</v>
      </c>
      <c r="F602" s="212"/>
      <c r="G602" s="201" t="s">
        <v>1362</v>
      </c>
      <c r="H602" s="215"/>
      <c r="I602" s="216"/>
    </row>
    <row r="603" spans="1:9" ht="14.4" x14ac:dyDescent="0.3">
      <c r="A603" s="197"/>
      <c r="B603" s="198" t="s">
        <v>1341</v>
      </c>
      <c r="C603" s="199" t="s">
        <v>1086</v>
      </c>
      <c r="D603" s="200" t="s">
        <v>1226</v>
      </c>
      <c r="E603" s="201" t="s">
        <v>1294</v>
      </c>
      <c r="F603" s="212"/>
      <c r="G603" s="201" t="s">
        <v>1351</v>
      </c>
      <c r="H603" s="215" t="s">
        <v>1322</v>
      </c>
      <c r="I603" s="216"/>
    </row>
    <row r="604" spans="1:9" ht="14.4" x14ac:dyDescent="0.3">
      <c r="A604" s="197"/>
      <c r="B604" s="203"/>
      <c r="C604" s="204"/>
      <c r="D604" s="205"/>
      <c r="E604" s="206"/>
      <c r="F604" s="218"/>
      <c r="G604" s="206"/>
      <c r="H604" s="219"/>
      <c r="I604" s="220"/>
    </row>
    <row r="605" spans="1:9" ht="15" thickBot="1" x14ac:dyDescent="0.35">
      <c r="A605" s="207"/>
      <c r="B605" s="208"/>
      <c r="C605" s="209"/>
      <c r="D605" s="210"/>
      <c r="E605" s="211"/>
      <c r="F605" s="221"/>
      <c r="G605" s="211"/>
      <c r="H605" s="222"/>
      <c r="I605" s="223"/>
    </row>
    <row r="606" spans="1:9" ht="14.4" thickBot="1" x14ac:dyDescent="0.35"/>
    <row r="607" spans="1:9" ht="14.4" thickBot="1" x14ac:dyDescent="0.35">
      <c r="A607" s="226" t="s">
        <v>1204</v>
      </c>
      <c r="B607" s="224" t="s">
        <v>1205</v>
      </c>
      <c r="C607" s="224" t="s">
        <v>1206</v>
      </c>
      <c r="D607" s="224" t="s">
        <v>1207</v>
      </c>
      <c r="E607" s="368" t="s">
        <v>1208</v>
      </c>
      <c r="F607" s="368"/>
      <c r="G607" s="368"/>
      <c r="H607" s="224" t="s">
        <v>1209</v>
      </c>
      <c r="I607" s="225" t="s">
        <v>1210</v>
      </c>
    </row>
    <row r="608" spans="1:9" ht="14.4" x14ac:dyDescent="0.3">
      <c r="A608" s="197" t="s">
        <v>1431</v>
      </c>
      <c r="B608" s="193" t="s">
        <v>1341</v>
      </c>
      <c r="C608" s="194" t="s">
        <v>1086</v>
      </c>
      <c r="D608" s="195"/>
      <c r="E608" s="196"/>
      <c r="F608" s="212"/>
      <c r="G608" s="196"/>
      <c r="H608" s="213"/>
      <c r="I608" s="214"/>
    </row>
    <row r="609" spans="1:9" ht="14.4" x14ac:dyDescent="0.3">
      <c r="A609" s="197"/>
      <c r="B609" s="198" t="s">
        <v>1427</v>
      </c>
      <c r="C609" s="199" t="s">
        <v>1428</v>
      </c>
      <c r="D609" s="200"/>
      <c r="E609" s="201"/>
      <c r="F609" s="212"/>
      <c r="G609" s="201"/>
      <c r="H609" s="215"/>
      <c r="I609" s="216"/>
    </row>
    <row r="610" spans="1:9" ht="14.4" x14ac:dyDescent="0.3">
      <c r="A610" s="197"/>
      <c r="B610" s="198" t="s">
        <v>1429</v>
      </c>
      <c r="C610" s="199" t="s">
        <v>1430</v>
      </c>
      <c r="D610" s="200"/>
      <c r="E610" s="201"/>
      <c r="F610" s="212"/>
      <c r="G610" s="201"/>
      <c r="H610" s="215"/>
      <c r="I610" s="216"/>
    </row>
    <row r="611" spans="1:9" ht="14.4" x14ac:dyDescent="0.3">
      <c r="A611" s="197"/>
      <c r="B611" s="198" t="s">
        <v>1340</v>
      </c>
      <c r="C611" s="199" t="s">
        <v>1081</v>
      </c>
      <c r="D611" s="200" t="s">
        <v>1243</v>
      </c>
      <c r="E611" s="201" t="s">
        <v>1294</v>
      </c>
      <c r="F611" s="212"/>
      <c r="G611" s="201" t="s">
        <v>1331</v>
      </c>
      <c r="H611" s="215" t="s">
        <v>1244</v>
      </c>
      <c r="I611" s="217"/>
    </row>
    <row r="612" spans="1:9" ht="14.4" x14ac:dyDescent="0.3">
      <c r="A612" s="197"/>
      <c r="B612" s="198" t="s">
        <v>1336</v>
      </c>
      <c r="C612" s="199" t="s">
        <v>1337</v>
      </c>
      <c r="D612" s="200" t="s">
        <v>1247</v>
      </c>
      <c r="E612" s="196" t="s">
        <v>1293</v>
      </c>
      <c r="F612" s="212"/>
      <c r="G612" s="196" t="s">
        <v>1316</v>
      </c>
      <c r="H612" s="215" t="s">
        <v>1432</v>
      </c>
      <c r="I612" s="217"/>
    </row>
    <row r="613" spans="1:9" ht="14.4" x14ac:dyDescent="0.3">
      <c r="A613" s="197"/>
      <c r="B613" s="198" t="s">
        <v>1370</v>
      </c>
      <c r="C613" s="199" t="s">
        <v>1371</v>
      </c>
      <c r="D613" s="200" t="s">
        <v>1247</v>
      </c>
      <c r="E613" s="196" t="s">
        <v>1294</v>
      </c>
      <c r="F613" s="212"/>
      <c r="G613" s="196" t="s">
        <v>1331</v>
      </c>
      <c r="H613" s="215" t="s">
        <v>1263</v>
      </c>
      <c r="I613" s="216"/>
    </row>
    <row r="614" spans="1:9" ht="14.4" x14ac:dyDescent="0.3">
      <c r="A614" s="197"/>
      <c r="B614" s="198" t="s">
        <v>1343</v>
      </c>
      <c r="C614" s="199" t="s">
        <v>1344</v>
      </c>
      <c r="D614" s="200" t="s">
        <v>1247</v>
      </c>
      <c r="E614" s="201" t="s">
        <v>1331</v>
      </c>
      <c r="F614" s="212"/>
      <c r="G614" s="201" t="s">
        <v>1351</v>
      </c>
      <c r="H614" s="215" t="s">
        <v>1263</v>
      </c>
      <c r="I614" s="216"/>
    </row>
    <row r="615" spans="1:9" ht="14.4" x14ac:dyDescent="0.3">
      <c r="A615" s="197"/>
      <c r="B615" s="198" t="s">
        <v>1356</v>
      </c>
      <c r="C615" s="199" t="s">
        <v>1357</v>
      </c>
      <c r="D615" s="200" t="s">
        <v>1226</v>
      </c>
      <c r="E615" s="202" t="s">
        <v>1311</v>
      </c>
      <c r="F615" s="212"/>
      <c r="G615" s="201" t="s">
        <v>1358</v>
      </c>
      <c r="H615" s="215"/>
      <c r="I615" s="216"/>
    </row>
    <row r="616" spans="1:9" ht="14.4" x14ac:dyDescent="0.3">
      <c r="A616" s="197"/>
      <c r="B616" s="198" t="s">
        <v>1359</v>
      </c>
      <c r="C616" s="199" t="s">
        <v>1360</v>
      </c>
      <c r="D616" s="200" t="s">
        <v>1226</v>
      </c>
      <c r="E616" s="201" t="s">
        <v>1361</v>
      </c>
      <c r="F616" s="212"/>
      <c r="G616" s="201" t="s">
        <v>1362</v>
      </c>
      <c r="H616" s="215"/>
      <c r="I616" s="216"/>
    </row>
    <row r="617" spans="1:9" ht="14.4" x14ac:dyDescent="0.3">
      <c r="A617" s="197"/>
      <c r="B617" s="198" t="s">
        <v>1352</v>
      </c>
      <c r="C617" s="199" t="s">
        <v>1083</v>
      </c>
      <c r="D617" s="200" t="s">
        <v>1226</v>
      </c>
      <c r="E617" s="201" t="s">
        <v>1294</v>
      </c>
      <c r="F617" s="212"/>
      <c r="G617" s="201" t="s">
        <v>1351</v>
      </c>
      <c r="H617" s="215" t="s">
        <v>1263</v>
      </c>
      <c r="I617" s="216"/>
    </row>
    <row r="618" spans="1:9" ht="14.4" x14ac:dyDescent="0.3">
      <c r="A618" s="197"/>
      <c r="B618" s="203"/>
      <c r="C618" s="204"/>
      <c r="D618" s="205"/>
      <c r="E618" s="206"/>
      <c r="F618" s="218"/>
      <c r="G618" s="206"/>
      <c r="H618" s="219"/>
      <c r="I618" s="220"/>
    </row>
    <row r="619" spans="1:9" ht="15" thickBot="1" x14ac:dyDescent="0.35">
      <c r="A619" s="207"/>
      <c r="B619" s="208"/>
      <c r="C619" s="209"/>
      <c r="D619" s="210"/>
      <c r="E619" s="211"/>
      <c r="F619" s="221"/>
      <c r="G619" s="211"/>
      <c r="H619" s="222"/>
      <c r="I619" s="223"/>
    </row>
    <row r="620" spans="1:9" ht="14.4" thickBot="1" x14ac:dyDescent="0.35"/>
    <row r="621" spans="1:9" ht="14.4" thickBot="1" x14ac:dyDescent="0.35">
      <c r="A621" s="226" t="s">
        <v>1204</v>
      </c>
      <c r="B621" s="224" t="s">
        <v>1205</v>
      </c>
      <c r="C621" s="224" t="s">
        <v>1206</v>
      </c>
      <c r="D621" s="224" t="s">
        <v>1207</v>
      </c>
      <c r="E621" s="368" t="s">
        <v>1208</v>
      </c>
      <c r="F621" s="368"/>
      <c r="G621" s="368"/>
      <c r="H621" s="224" t="s">
        <v>1209</v>
      </c>
      <c r="I621" s="225" t="s">
        <v>1210</v>
      </c>
    </row>
    <row r="622" spans="1:9" ht="14.4" x14ac:dyDescent="0.3">
      <c r="A622" s="197"/>
      <c r="B622" s="193"/>
      <c r="C622" s="194"/>
      <c r="D622" s="195"/>
      <c r="E622" s="196"/>
      <c r="F622" s="212"/>
      <c r="G622" s="196"/>
      <c r="H622" s="213"/>
      <c r="I622" s="214"/>
    </row>
    <row r="623" spans="1:9" ht="14.4" x14ac:dyDescent="0.3">
      <c r="A623" s="197"/>
      <c r="B623" s="198"/>
      <c r="C623" s="199"/>
      <c r="D623" s="200"/>
      <c r="E623" s="201"/>
      <c r="F623" s="212"/>
      <c r="G623" s="201"/>
      <c r="H623" s="215"/>
      <c r="I623" s="216"/>
    </row>
    <row r="624" spans="1:9" ht="14.4" x14ac:dyDescent="0.3">
      <c r="A624" s="197"/>
      <c r="B624" s="198"/>
      <c r="C624" s="199"/>
      <c r="D624" s="200"/>
      <c r="E624" s="201"/>
      <c r="F624" s="212"/>
      <c r="G624" s="201"/>
      <c r="H624" s="215"/>
      <c r="I624" s="216"/>
    </row>
    <row r="625" spans="1:9" ht="14.4" x14ac:dyDescent="0.3">
      <c r="A625" s="197"/>
      <c r="B625" s="198"/>
      <c r="C625" s="199"/>
      <c r="D625" s="200"/>
      <c r="E625" s="201"/>
      <c r="F625" s="212"/>
      <c r="G625" s="201"/>
      <c r="H625" s="215"/>
      <c r="I625" s="217"/>
    </row>
    <row r="626" spans="1:9" ht="14.4" x14ac:dyDescent="0.3">
      <c r="A626" s="197"/>
      <c r="B626" s="198"/>
      <c r="C626" s="199"/>
      <c r="D626" s="200"/>
      <c r="E626" s="196"/>
      <c r="F626" s="212"/>
      <c r="G626" s="196"/>
      <c r="H626" s="215"/>
      <c r="I626" s="217"/>
    </row>
    <row r="627" spans="1:9" ht="14.4" x14ac:dyDescent="0.3">
      <c r="A627" s="197"/>
      <c r="B627" s="198"/>
      <c r="C627" s="199"/>
      <c r="D627" s="200"/>
      <c r="E627" s="196"/>
      <c r="F627" s="212"/>
      <c r="G627" s="196"/>
      <c r="H627" s="215"/>
      <c r="I627" s="216"/>
    </row>
    <row r="628" spans="1:9" ht="14.4" x14ac:dyDescent="0.3">
      <c r="A628" s="197"/>
      <c r="B628" s="198"/>
      <c r="C628" s="199"/>
      <c r="D628" s="200"/>
      <c r="E628" s="201"/>
      <c r="F628" s="212"/>
      <c r="G628" s="201"/>
      <c r="H628" s="215"/>
      <c r="I628" s="216"/>
    </row>
    <row r="629" spans="1:9" ht="14.4" x14ac:dyDescent="0.3">
      <c r="A629" s="197"/>
      <c r="B629" s="198"/>
      <c r="C629" s="199"/>
      <c r="D629" s="200"/>
      <c r="E629" s="202"/>
      <c r="F629" s="212"/>
      <c r="G629" s="201"/>
      <c r="H629" s="215"/>
      <c r="I629" s="216"/>
    </row>
    <row r="630" spans="1:9" ht="14.4" x14ac:dyDescent="0.3">
      <c r="A630" s="197"/>
      <c r="B630" s="198"/>
      <c r="C630" s="199"/>
      <c r="D630" s="200"/>
      <c r="E630" s="201"/>
      <c r="F630" s="212"/>
      <c r="G630" s="201"/>
      <c r="H630" s="215"/>
      <c r="I630" s="216"/>
    </row>
    <row r="631" spans="1:9" ht="14.4" x14ac:dyDescent="0.3">
      <c r="A631" s="197"/>
      <c r="B631" s="198"/>
      <c r="C631" s="199"/>
      <c r="D631" s="200"/>
      <c r="E631" s="201"/>
      <c r="F631" s="212"/>
      <c r="G631" s="201"/>
      <c r="H631" s="215"/>
      <c r="I631" s="216"/>
    </row>
    <row r="632" spans="1:9" ht="14.4" x14ac:dyDescent="0.3">
      <c r="A632" s="197"/>
      <c r="B632" s="203"/>
      <c r="C632" s="204"/>
      <c r="D632" s="205"/>
      <c r="E632" s="206"/>
      <c r="F632" s="218"/>
      <c r="G632" s="206"/>
      <c r="H632" s="219"/>
      <c r="I632" s="220"/>
    </row>
    <row r="633" spans="1:9" ht="15" thickBot="1" x14ac:dyDescent="0.35">
      <c r="A633" s="207"/>
      <c r="B633" s="208"/>
      <c r="C633" s="209"/>
      <c r="D633" s="210"/>
      <c r="E633" s="211"/>
      <c r="F633" s="221"/>
      <c r="G633" s="211"/>
      <c r="H633" s="222"/>
      <c r="I633" s="223"/>
    </row>
    <row r="634" spans="1:9" ht="14.4" thickBot="1" x14ac:dyDescent="0.35"/>
    <row r="635" spans="1:9" ht="14.4" thickBot="1" x14ac:dyDescent="0.35">
      <c r="A635" s="226" t="s">
        <v>1204</v>
      </c>
      <c r="B635" s="224" t="s">
        <v>1205</v>
      </c>
      <c r="C635" s="224" t="s">
        <v>1206</v>
      </c>
      <c r="D635" s="224" t="s">
        <v>1207</v>
      </c>
      <c r="E635" s="368" t="s">
        <v>1208</v>
      </c>
      <c r="F635" s="368"/>
      <c r="G635" s="368"/>
      <c r="H635" s="224" t="s">
        <v>1209</v>
      </c>
      <c r="I635" s="225" t="s">
        <v>1210</v>
      </c>
    </row>
    <row r="636" spans="1:9" ht="14.4" x14ac:dyDescent="0.3">
      <c r="A636" s="197"/>
      <c r="B636" s="193"/>
      <c r="C636" s="194"/>
      <c r="D636" s="195"/>
      <c r="E636" s="196"/>
      <c r="F636" s="212"/>
      <c r="G636" s="196"/>
      <c r="H636" s="213"/>
      <c r="I636" s="214"/>
    </row>
    <row r="637" spans="1:9" ht="14.4" x14ac:dyDescent="0.3">
      <c r="A637" s="197"/>
      <c r="B637" s="198"/>
      <c r="C637" s="199"/>
      <c r="D637" s="200"/>
      <c r="E637" s="201"/>
      <c r="F637" s="212"/>
      <c r="G637" s="201"/>
      <c r="H637" s="215"/>
      <c r="I637" s="216"/>
    </row>
    <row r="638" spans="1:9" ht="14.4" x14ac:dyDescent="0.3">
      <c r="A638" s="197"/>
      <c r="B638" s="198"/>
      <c r="C638" s="199"/>
      <c r="D638" s="200"/>
      <c r="E638" s="201"/>
      <c r="F638" s="212"/>
      <c r="G638" s="201"/>
      <c r="H638" s="215"/>
      <c r="I638" s="216"/>
    </row>
    <row r="639" spans="1:9" ht="14.4" x14ac:dyDescent="0.3">
      <c r="A639" s="197"/>
      <c r="B639" s="198"/>
      <c r="C639" s="199"/>
      <c r="D639" s="200"/>
      <c r="E639" s="201"/>
      <c r="F639" s="212"/>
      <c r="G639" s="201"/>
      <c r="H639" s="215"/>
      <c r="I639" s="217"/>
    </row>
    <row r="640" spans="1:9" ht="14.4" x14ac:dyDescent="0.3">
      <c r="A640" s="197"/>
      <c r="B640" s="198"/>
      <c r="C640" s="199"/>
      <c r="D640" s="200"/>
      <c r="E640" s="196"/>
      <c r="F640" s="212"/>
      <c r="G640" s="196"/>
      <c r="H640" s="215"/>
      <c r="I640" s="217"/>
    </row>
    <row r="641" spans="1:9" ht="14.4" x14ac:dyDescent="0.3">
      <c r="A641" s="197"/>
      <c r="B641" s="198"/>
      <c r="C641" s="199"/>
      <c r="D641" s="200"/>
      <c r="E641" s="196"/>
      <c r="F641" s="212"/>
      <c r="G641" s="196"/>
      <c r="H641" s="215"/>
      <c r="I641" s="216"/>
    </row>
    <row r="642" spans="1:9" ht="14.4" x14ac:dyDescent="0.3">
      <c r="A642" s="197"/>
      <c r="B642" s="198"/>
      <c r="C642" s="199"/>
      <c r="D642" s="200"/>
      <c r="E642" s="201"/>
      <c r="F642" s="212"/>
      <c r="G642" s="201"/>
      <c r="H642" s="215"/>
      <c r="I642" s="216"/>
    </row>
    <row r="643" spans="1:9" ht="14.4" x14ac:dyDescent="0.3">
      <c r="A643" s="197"/>
      <c r="B643" s="198"/>
      <c r="C643" s="199"/>
      <c r="D643" s="200"/>
      <c r="E643" s="202"/>
      <c r="F643" s="212"/>
      <c r="G643" s="201"/>
      <c r="H643" s="215"/>
      <c r="I643" s="216"/>
    </row>
    <row r="644" spans="1:9" ht="14.4" x14ac:dyDescent="0.3">
      <c r="A644" s="197"/>
      <c r="B644" s="198"/>
      <c r="C644" s="199"/>
      <c r="D644" s="200"/>
      <c r="E644" s="201"/>
      <c r="F644" s="212"/>
      <c r="G644" s="201"/>
      <c r="H644" s="215"/>
      <c r="I644" s="216"/>
    </row>
    <row r="645" spans="1:9" ht="14.4" x14ac:dyDescent="0.3">
      <c r="A645" s="197"/>
      <c r="B645" s="198"/>
      <c r="C645" s="199"/>
      <c r="D645" s="200"/>
      <c r="E645" s="201"/>
      <c r="F645" s="212"/>
      <c r="G645" s="201"/>
      <c r="H645" s="215"/>
      <c r="I645" s="216"/>
    </row>
    <row r="646" spans="1:9" ht="14.4" x14ac:dyDescent="0.3">
      <c r="A646" s="197"/>
      <c r="B646" s="203"/>
      <c r="C646" s="204"/>
      <c r="D646" s="205"/>
      <c r="E646" s="206"/>
      <c r="F646" s="218"/>
      <c r="G646" s="206"/>
      <c r="H646" s="219"/>
      <c r="I646" s="220"/>
    </row>
    <row r="647" spans="1:9" ht="15" thickBot="1" x14ac:dyDescent="0.35">
      <c r="A647" s="207"/>
      <c r="B647" s="208"/>
      <c r="C647" s="209"/>
      <c r="D647" s="210"/>
      <c r="E647" s="211"/>
      <c r="F647" s="221"/>
      <c r="G647" s="211"/>
      <c r="H647" s="222"/>
      <c r="I647" s="223"/>
    </row>
    <row r="648" spans="1:9" ht="14.4" thickBot="1" x14ac:dyDescent="0.35"/>
    <row r="649" spans="1:9" ht="14.4" thickBot="1" x14ac:dyDescent="0.35">
      <c r="A649" s="226" t="s">
        <v>1204</v>
      </c>
      <c r="B649" s="224" t="s">
        <v>1205</v>
      </c>
      <c r="C649" s="224" t="s">
        <v>1206</v>
      </c>
      <c r="D649" s="224" t="s">
        <v>1207</v>
      </c>
      <c r="E649" s="368" t="s">
        <v>1208</v>
      </c>
      <c r="F649" s="368"/>
      <c r="G649" s="368"/>
      <c r="H649" s="224" t="s">
        <v>1209</v>
      </c>
      <c r="I649" s="225" t="s">
        <v>1210</v>
      </c>
    </row>
    <row r="650" spans="1:9" ht="14.4" x14ac:dyDescent="0.3">
      <c r="A650" s="197"/>
      <c r="B650" s="193"/>
      <c r="C650" s="194"/>
      <c r="D650" s="195"/>
      <c r="E650" s="196"/>
      <c r="F650" s="212"/>
      <c r="G650" s="196"/>
      <c r="H650" s="213"/>
      <c r="I650" s="214"/>
    </row>
    <row r="651" spans="1:9" ht="14.4" x14ac:dyDescent="0.3">
      <c r="A651" s="197"/>
      <c r="B651" s="198"/>
      <c r="C651" s="199"/>
      <c r="D651" s="200"/>
      <c r="E651" s="201"/>
      <c r="F651" s="212"/>
      <c r="G651" s="201"/>
      <c r="H651" s="215"/>
      <c r="I651" s="216"/>
    </row>
    <row r="652" spans="1:9" ht="14.4" x14ac:dyDescent="0.3">
      <c r="A652" s="197"/>
      <c r="B652" s="198"/>
      <c r="C652" s="199"/>
      <c r="D652" s="200"/>
      <c r="E652" s="201"/>
      <c r="F652" s="212"/>
      <c r="G652" s="201"/>
      <c r="H652" s="215"/>
      <c r="I652" s="216"/>
    </row>
    <row r="653" spans="1:9" ht="14.4" x14ac:dyDescent="0.3">
      <c r="A653" s="197"/>
      <c r="B653" s="198"/>
      <c r="C653" s="199"/>
      <c r="D653" s="200"/>
      <c r="E653" s="201"/>
      <c r="F653" s="212"/>
      <c r="G653" s="201"/>
      <c r="H653" s="215"/>
      <c r="I653" s="217"/>
    </row>
    <row r="654" spans="1:9" ht="14.4" x14ac:dyDescent="0.3">
      <c r="A654" s="197"/>
      <c r="B654" s="198"/>
      <c r="C654" s="199"/>
      <c r="D654" s="200"/>
      <c r="E654" s="196"/>
      <c r="F654" s="212"/>
      <c r="G654" s="196"/>
      <c r="H654" s="215"/>
      <c r="I654" s="217"/>
    </row>
    <row r="655" spans="1:9" ht="14.4" x14ac:dyDescent="0.3">
      <c r="A655" s="197"/>
      <c r="B655" s="198"/>
      <c r="C655" s="199"/>
      <c r="D655" s="200"/>
      <c r="E655" s="196"/>
      <c r="F655" s="212"/>
      <c r="G655" s="196"/>
      <c r="H655" s="215"/>
      <c r="I655" s="216"/>
    </row>
    <row r="656" spans="1:9" ht="14.4" x14ac:dyDescent="0.3">
      <c r="A656" s="197"/>
      <c r="B656" s="198"/>
      <c r="C656" s="199"/>
      <c r="D656" s="200"/>
      <c r="E656" s="201"/>
      <c r="F656" s="212"/>
      <c r="G656" s="201"/>
      <c r="H656" s="215"/>
      <c r="I656" s="216"/>
    </row>
    <row r="657" spans="1:9" ht="14.4" x14ac:dyDescent="0.3">
      <c r="A657" s="197"/>
      <c r="B657" s="198"/>
      <c r="C657" s="199"/>
      <c r="D657" s="200"/>
      <c r="E657" s="202"/>
      <c r="F657" s="212"/>
      <c r="G657" s="201"/>
      <c r="H657" s="215"/>
      <c r="I657" s="216"/>
    </row>
    <row r="658" spans="1:9" ht="14.4" x14ac:dyDescent="0.3">
      <c r="A658" s="197"/>
      <c r="B658" s="198"/>
      <c r="C658" s="199"/>
      <c r="D658" s="200"/>
      <c r="E658" s="201"/>
      <c r="F658" s="212"/>
      <c r="G658" s="201"/>
      <c r="H658" s="215"/>
      <c r="I658" s="216"/>
    </row>
    <row r="659" spans="1:9" ht="14.4" x14ac:dyDescent="0.3">
      <c r="A659" s="197"/>
      <c r="B659" s="198"/>
      <c r="C659" s="199"/>
      <c r="D659" s="200"/>
      <c r="E659" s="201"/>
      <c r="F659" s="212"/>
      <c r="G659" s="201"/>
      <c r="H659" s="215"/>
      <c r="I659" s="216"/>
    </row>
    <row r="660" spans="1:9" ht="14.4" x14ac:dyDescent="0.3">
      <c r="A660" s="197"/>
      <c r="B660" s="203"/>
      <c r="C660" s="204"/>
      <c r="D660" s="205"/>
      <c r="E660" s="206"/>
      <c r="F660" s="218"/>
      <c r="G660" s="206"/>
      <c r="H660" s="219"/>
      <c r="I660" s="220"/>
    </row>
    <row r="661" spans="1:9" ht="15" thickBot="1" x14ac:dyDescent="0.35">
      <c r="A661" s="207"/>
      <c r="B661" s="208"/>
      <c r="C661" s="209"/>
      <c r="D661" s="210"/>
      <c r="E661" s="211"/>
      <c r="F661" s="221"/>
      <c r="G661" s="211"/>
      <c r="H661" s="222"/>
      <c r="I661" s="223"/>
    </row>
    <row r="662" spans="1:9" ht="14.4" thickBot="1" x14ac:dyDescent="0.35"/>
    <row r="663" spans="1:9" ht="14.4" thickBot="1" x14ac:dyDescent="0.35">
      <c r="A663" s="226" t="s">
        <v>1204</v>
      </c>
      <c r="B663" s="224" t="s">
        <v>1205</v>
      </c>
      <c r="C663" s="224" t="s">
        <v>1206</v>
      </c>
      <c r="D663" s="224" t="s">
        <v>1207</v>
      </c>
      <c r="E663" s="368" t="s">
        <v>1208</v>
      </c>
      <c r="F663" s="368"/>
      <c r="G663" s="368"/>
      <c r="H663" s="224" t="s">
        <v>1209</v>
      </c>
      <c r="I663" s="225" t="s">
        <v>1210</v>
      </c>
    </row>
    <row r="664" spans="1:9" ht="14.4" x14ac:dyDescent="0.3">
      <c r="A664" s="197"/>
      <c r="B664" s="193"/>
      <c r="C664" s="194"/>
      <c r="D664" s="195"/>
      <c r="E664" s="196"/>
      <c r="F664" s="212"/>
      <c r="G664" s="196"/>
      <c r="H664" s="213"/>
      <c r="I664" s="214"/>
    </row>
    <row r="665" spans="1:9" ht="14.4" x14ac:dyDescent="0.3">
      <c r="A665" s="197"/>
      <c r="B665" s="198"/>
      <c r="C665" s="199"/>
      <c r="D665" s="200"/>
      <c r="E665" s="201"/>
      <c r="F665" s="212"/>
      <c r="G665" s="201"/>
      <c r="H665" s="215"/>
      <c r="I665" s="216"/>
    </row>
    <row r="666" spans="1:9" ht="14.4" x14ac:dyDescent="0.3">
      <c r="A666" s="197"/>
      <c r="B666" s="198"/>
      <c r="C666" s="199"/>
      <c r="D666" s="200"/>
      <c r="E666" s="201"/>
      <c r="F666" s="212"/>
      <c r="G666" s="201"/>
      <c r="H666" s="215"/>
      <c r="I666" s="216"/>
    </row>
    <row r="667" spans="1:9" ht="14.4" x14ac:dyDescent="0.3">
      <c r="A667" s="197"/>
      <c r="B667" s="198"/>
      <c r="C667" s="199"/>
      <c r="D667" s="200"/>
      <c r="E667" s="201"/>
      <c r="F667" s="212"/>
      <c r="G667" s="201"/>
      <c r="H667" s="215"/>
      <c r="I667" s="217"/>
    </row>
    <row r="668" spans="1:9" ht="14.4" x14ac:dyDescent="0.3">
      <c r="A668" s="197"/>
      <c r="B668" s="198"/>
      <c r="C668" s="199"/>
      <c r="D668" s="200"/>
      <c r="E668" s="196"/>
      <c r="F668" s="212"/>
      <c r="G668" s="196"/>
      <c r="H668" s="215"/>
      <c r="I668" s="217"/>
    </row>
    <row r="669" spans="1:9" ht="14.4" x14ac:dyDescent="0.3">
      <c r="A669" s="197"/>
      <c r="B669" s="198"/>
      <c r="C669" s="199"/>
      <c r="D669" s="200"/>
      <c r="E669" s="196"/>
      <c r="F669" s="212"/>
      <c r="G669" s="196"/>
      <c r="H669" s="215"/>
      <c r="I669" s="216"/>
    </row>
    <row r="670" spans="1:9" ht="14.4" x14ac:dyDescent="0.3">
      <c r="A670" s="197"/>
      <c r="B670" s="198"/>
      <c r="C670" s="199"/>
      <c r="D670" s="200"/>
      <c r="E670" s="201"/>
      <c r="F670" s="212"/>
      <c r="G670" s="201"/>
      <c r="H670" s="215"/>
      <c r="I670" s="216"/>
    </row>
    <row r="671" spans="1:9" ht="14.4" x14ac:dyDescent="0.3">
      <c r="A671" s="197"/>
      <c r="B671" s="198"/>
      <c r="C671" s="199"/>
      <c r="D671" s="200"/>
      <c r="E671" s="202"/>
      <c r="F671" s="212"/>
      <c r="G671" s="201"/>
      <c r="H671" s="215"/>
      <c r="I671" s="216"/>
    </row>
    <row r="672" spans="1:9" ht="14.4" x14ac:dyDescent="0.3">
      <c r="A672" s="197"/>
      <c r="B672" s="198"/>
      <c r="C672" s="199"/>
      <c r="D672" s="200"/>
      <c r="E672" s="201"/>
      <c r="F672" s="212"/>
      <c r="G672" s="201"/>
      <c r="H672" s="215"/>
      <c r="I672" s="216"/>
    </row>
    <row r="673" spans="1:9" ht="14.4" x14ac:dyDescent="0.3">
      <c r="A673" s="197"/>
      <c r="B673" s="198"/>
      <c r="C673" s="199"/>
      <c r="D673" s="200"/>
      <c r="E673" s="201"/>
      <c r="F673" s="212"/>
      <c r="G673" s="201"/>
      <c r="H673" s="215"/>
      <c r="I673" s="216"/>
    </row>
    <row r="674" spans="1:9" ht="14.4" x14ac:dyDescent="0.3">
      <c r="A674" s="197"/>
      <c r="B674" s="203"/>
      <c r="C674" s="204"/>
      <c r="D674" s="205"/>
      <c r="E674" s="206"/>
      <c r="F674" s="218"/>
      <c r="G674" s="206"/>
      <c r="H674" s="219"/>
      <c r="I674" s="220"/>
    </row>
    <row r="675" spans="1:9" ht="15" thickBot="1" x14ac:dyDescent="0.35">
      <c r="A675" s="207"/>
      <c r="B675" s="208"/>
      <c r="C675" s="209"/>
      <c r="D675" s="210"/>
      <c r="E675" s="211"/>
      <c r="F675" s="221"/>
      <c r="G675" s="211"/>
      <c r="H675" s="222"/>
      <c r="I675" s="223"/>
    </row>
    <row r="676" spans="1:9" ht="14.4" thickBot="1" x14ac:dyDescent="0.35"/>
    <row r="677" spans="1:9" ht="14.4" thickBot="1" x14ac:dyDescent="0.35">
      <c r="A677" s="226" t="s">
        <v>1204</v>
      </c>
      <c r="B677" s="224" t="s">
        <v>1205</v>
      </c>
      <c r="C677" s="224" t="s">
        <v>1206</v>
      </c>
      <c r="D677" s="224" t="s">
        <v>1207</v>
      </c>
      <c r="E677" s="368" t="s">
        <v>1208</v>
      </c>
      <c r="F677" s="368"/>
      <c r="G677" s="368"/>
      <c r="H677" s="224" t="s">
        <v>1209</v>
      </c>
      <c r="I677" s="225" t="s">
        <v>1210</v>
      </c>
    </row>
    <row r="678" spans="1:9" ht="14.4" x14ac:dyDescent="0.3">
      <c r="A678" s="197"/>
      <c r="B678" s="193"/>
      <c r="C678" s="194"/>
      <c r="D678" s="195"/>
      <c r="E678" s="196"/>
      <c r="F678" s="212"/>
      <c r="G678" s="196"/>
      <c r="H678" s="213"/>
      <c r="I678" s="214"/>
    </row>
    <row r="679" spans="1:9" ht="14.4" x14ac:dyDescent="0.3">
      <c r="A679" s="197"/>
      <c r="B679" s="198"/>
      <c r="C679" s="199"/>
      <c r="D679" s="200"/>
      <c r="E679" s="201"/>
      <c r="F679" s="212"/>
      <c r="G679" s="201"/>
      <c r="H679" s="215"/>
      <c r="I679" s="216"/>
    </row>
    <row r="680" spans="1:9" ht="14.4" x14ac:dyDescent="0.3">
      <c r="A680" s="197"/>
      <c r="B680" s="198"/>
      <c r="C680" s="199"/>
      <c r="D680" s="200"/>
      <c r="E680" s="201"/>
      <c r="F680" s="212"/>
      <c r="G680" s="201"/>
      <c r="H680" s="215"/>
      <c r="I680" s="216"/>
    </row>
    <row r="681" spans="1:9" ht="14.4" x14ac:dyDescent="0.3">
      <c r="A681" s="197"/>
      <c r="B681" s="198"/>
      <c r="C681" s="199"/>
      <c r="D681" s="200"/>
      <c r="E681" s="201"/>
      <c r="F681" s="212"/>
      <c r="G681" s="201"/>
      <c r="H681" s="215"/>
      <c r="I681" s="217"/>
    </row>
    <row r="682" spans="1:9" ht="14.4" x14ac:dyDescent="0.3">
      <c r="A682" s="197"/>
      <c r="B682" s="198"/>
      <c r="C682" s="199"/>
      <c r="D682" s="200"/>
      <c r="E682" s="196"/>
      <c r="F682" s="212"/>
      <c r="G682" s="196"/>
      <c r="H682" s="215"/>
      <c r="I682" s="217"/>
    </row>
    <row r="683" spans="1:9" ht="14.4" x14ac:dyDescent="0.3">
      <c r="A683" s="197"/>
      <c r="B683" s="198"/>
      <c r="C683" s="199"/>
      <c r="D683" s="200"/>
      <c r="E683" s="196"/>
      <c r="F683" s="212"/>
      <c r="G683" s="196"/>
      <c r="H683" s="215"/>
      <c r="I683" s="216"/>
    </row>
    <row r="684" spans="1:9" ht="14.4" x14ac:dyDescent="0.3">
      <c r="A684" s="197"/>
      <c r="B684" s="198"/>
      <c r="C684" s="199"/>
      <c r="D684" s="200"/>
      <c r="E684" s="201"/>
      <c r="F684" s="212"/>
      <c r="G684" s="201"/>
      <c r="H684" s="215"/>
      <c r="I684" s="216"/>
    </row>
    <row r="685" spans="1:9" ht="14.4" x14ac:dyDescent="0.3">
      <c r="A685" s="197"/>
      <c r="B685" s="198"/>
      <c r="C685" s="199"/>
      <c r="D685" s="200"/>
      <c r="E685" s="202"/>
      <c r="F685" s="212"/>
      <c r="G685" s="201"/>
      <c r="H685" s="215"/>
      <c r="I685" s="216"/>
    </row>
    <row r="686" spans="1:9" ht="14.4" x14ac:dyDescent="0.3">
      <c r="A686" s="197"/>
      <c r="B686" s="198"/>
      <c r="C686" s="199"/>
      <c r="D686" s="200"/>
      <c r="E686" s="201"/>
      <c r="F686" s="212"/>
      <c r="G686" s="201"/>
      <c r="H686" s="215"/>
      <c r="I686" s="216"/>
    </row>
    <row r="687" spans="1:9" ht="14.4" x14ac:dyDescent="0.3">
      <c r="A687" s="197"/>
      <c r="B687" s="198"/>
      <c r="C687" s="199"/>
      <c r="D687" s="200"/>
      <c r="E687" s="201"/>
      <c r="F687" s="212"/>
      <c r="G687" s="201"/>
      <c r="H687" s="215"/>
      <c r="I687" s="216"/>
    </row>
    <row r="688" spans="1:9" ht="14.4" x14ac:dyDescent="0.3">
      <c r="A688" s="197"/>
      <c r="B688" s="203"/>
      <c r="C688" s="204"/>
      <c r="D688" s="205"/>
      <c r="E688" s="206"/>
      <c r="F688" s="218"/>
      <c r="G688" s="206"/>
      <c r="H688" s="219"/>
      <c r="I688" s="220"/>
    </row>
    <row r="689" spans="1:9" ht="15" thickBot="1" x14ac:dyDescent="0.35">
      <c r="A689" s="207"/>
      <c r="B689" s="208"/>
      <c r="C689" s="209"/>
      <c r="D689" s="210"/>
      <c r="E689" s="211"/>
      <c r="F689" s="221"/>
      <c r="G689" s="211"/>
      <c r="H689" s="222"/>
      <c r="I689" s="223"/>
    </row>
    <row r="690" spans="1:9" ht="14.4" thickBot="1" x14ac:dyDescent="0.35"/>
    <row r="691" spans="1:9" ht="14.4" thickBot="1" x14ac:dyDescent="0.35">
      <c r="A691" s="226" t="s">
        <v>1204</v>
      </c>
      <c r="B691" s="224" t="s">
        <v>1205</v>
      </c>
      <c r="C691" s="224" t="s">
        <v>1206</v>
      </c>
      <c r="D691" s="224" t="s">
        <v>1207</v>
      </c>
      <c r="E691" s="368" t="s">
        <v>1208</v>
      </c>
      <c r="F691" s="368"/>
      <c r="G691" s="368"/>
      <c r="H691" s="224" t="s">
        <v>1209</v>
      </c>
      <c r="I691" s="225" t="s">
        <v>1210</v>
      </c>
    </row>
    <row r="692" spans="1:9" ht="14.4" x14ac:dyDescent="0.3">
      <c r="A692" s="197"/>
      <c r="B692" s="193"/>
      <c r="C692" s="194"/>
      <c r="D692" s="195"/>
      <c r="E692" s="196"/>
      <c r="F692" s="212"/>
      <c r="G692" s="196"/>
      <c r="H692" s="213"/>
      <c r="I692" s="214"/>
    </row>
    <row r="693" spans="1:9" ht="14.4" x14ac:dyDescent="0.3">
      <c r="A693" s="197"/>
      <c r="B693" s="198"/>
      <c r="C693" s="199"/>
      <c r="D693" s="200"/>
      <c r="E693" s="201"/>
      <c r="F693" s="212"/>
      <c r="G693" s="201"/>
      <c r="H693" s="215"/>
      <c r="I693" s="216"/>
    </row>
    <row r="694" spans="1:9" ht="14.4" x14ac:dyDescent="0.3">
      <c r="A694" s="197"/>
      <c r="B694" s="198"/>
      <c r="C694" s="199"/>
      <c r="D694" s="200"/>
      <c r="E694" s="201"/>
      <c r="F694" s="212"/>
      <c r="G694" s="201"/>
      <c r="H694" s="215"/>
      <c r="I694" s="216"/>
    </row>
    <row r="695" spans="1:9" ht="14.4" x14ac:dyDescent="0.3">
      <c r="A695" s="197"/>
      <c r="B695" s="198"/>
      <c r="C695" s="199"/>
      <c r="D695" s="200"/>
      <c r="E695" s="201"/>
      <c r="F695" s="212"/>
      <c r="G695" s="201"/>
      <c r="H695" s="215"/>
      <c r="I695" s="217"/>
    </row>
    <row r="696" spans="1:9" ht="14.4" x14ac:dyDescent="0.3">
      <c r="A696" s="197"/>
      <c r="B696" s="198"/>
      <c r="C696" s="199"/>
      <c r="D696" s="200"/>
      <c r="E696" s="196"/>
      <c r="F696" s="212"/>
      <c r="G696" s="196"/>
      <c r="H696" s="215"/>
      <c r="I696" s="217"/>
    </row>
    <row r="697" spans="1:9" ht="14.4" x14ac:dyDescent="0.3">
      <c r="A697" s="197"/>
      <c r="B697" s="198"/>
      <c r="C697" s="199"/>
      <c r="D697" s="200"/>
      <c r="E697" s="196"/>
      <c r="F697" s="212"/>
      <c r="G697" s="196"/>
      <c r="H697" s="215"/>
      <c r="I697" s="216"/>
    </row>
    <row r="698" spans="1:9" ht="14.4" x14ac:dyDescent="0.3">
      <c r="A698" s="197"/>
      <c r="B698" s="198"/>
      <c r="C698" s="199"/>
      <c r="D698" s="200"/>
      <c r="E698" s="201"/>
      <c r="F698" s="212"/>
      <c r="G698" s="201"/>
      <c r="H698" s="215"/>
      <c r="I698" s="216"/>
    </row>
    <row r="699" spans="1:9" ht="14.4" x14ac:dyDescent="0.3">
      <c r="A699" s="197"/>
      <c r="B699" s="198"/>
      <c r="C699" s="199"/>
      <c r="D699" s="200"/>
      <c r="E699" s="202"/>
      <c r="F699" s="212"/>
      <c r="G699" s="201"/>
      <c r="H699" s="215"/>
      <c r="I699" s="216"/>
    </row>
    <row r="700" spans="1:9" ht="14.4" x14ac:dyDescent="0.3">
      <c r="A700" s="197"/>
      <c r="B700" s="198"/>
      <c r="C700" s="199"/>
      <c r="D700" s="200"/>
      <c r="E700" s="201"/>
      <c r="F700" s="212"/>
      <c r="G700" s="201"/>
      <c r="H700" s="215"/>
      <c r="I700" s="216"/>
    </row>
    <row r="701" spans="1:9" ht="14.4" x14ac:dyDescent="0.3">
      <c r="A701" s="197"/>
      <c r="B701" s="198"/>
      <c r="C701" s="199"/>
      <c r="D701" s="200"/>
      <c r="E701" s="201"/>
      <c r="F701" s="212"/>
      <c r="G701" s="201"/>
      <c r="H701" s="215"/>
      <c r="I701" s="216"/>
    </row>
    <row r="702" spans="1:9" ht="14.4" x14ac:dyDescent="0.3">
      <c r="A702" s="197"/>
      <c r="B702" s="203"/>
      <c r="C702" s="204"/>
      <c r="D702" s="205"/>
      <c r="E702" s="206"/>
      <c r="F702" s="218"/>
      <c r="G702" s="206"/>
      <c r="H702" s="219"/>
      <c r="I702" s="220"/>
    </row>
    <row r="703" spans="1:9" ht="15" thickBot="1" x14ac:dyDescent="0.35">
      <c r="A703" s="207"/>
      <c r="B703" s="208"/>
      <c r="C703" s="209"/>
      <c r="D703" s="210"/>
      <c r="E703" s="211"/>
      <c r="F703" s="221"/>
      <c r="G703" s="211"/>
      <c r="H703" s="222"/>
      <c r="I703" s="223"/>
    </row>
    <row r="704" spans="1:9" ht="14.4" thickBot="1" x14ac:dyDescent="0.35"/>
    <row r="705" spans="1:9" ht="14.4" thickBot="1" x14ac:dyDescent="0.35">
      <c r="A705" s="226" t="s">
        <v>1204</v>
      </c>
      <c r="B705" s="224" t="s">
        <v>1205</v>
      </c>
      <c r="C705" s="224" t="s">
        <v>1206</v>
      </c>
      <c r="D705" s="224" t="s">
        <v>1207</v>
      </c>
      <c r="E705" s="368" t="s">
        <v>1208</v>
      </c>
      <c r="F705" s="368"/>
      <c r="G705" s="368"/>
      <c r="H705" s="224" t="s">
        <v>1209</v>
      </c>
      <c r="I705" s="225" t="s">
        <v>1210</v>
      </c>
    </row>
    <row r="706" spans="1:9" ht="14.4" x14ac:dyDescent="0.3">
      <c r="A706" s="197"/>
      <c r="B706" s="193"/>
      <c r="C706" s="194"/>
      <c r="D706" s="195"/>
      <c r="E706" s="196"/>
      <c r="F706" s="212"/>
      <c r="G706" s="196"/>
      <c r="H706" s="213"/>
      <c r="I706" s="214"/>
    </row>
    <row r="707" spans="1:9" ht="14.4" x14ac:dyDescent="0.3">
      <c r="A707" s="197"/>
      <c r="B707" s="198"/>
      <c r="C707" s="199"/>
      <c r="D707" s="200"/>
      <c r="E707" s="201"/>
      <c r="F707" s="212"/>
      <c r="G707" s="201"/>
      <c r="H707" s="215"/>
      <c r="I707" s="216"/>
    </row>
    <row r="708" spans="1:9" ht="14.4" x14ac:dyDescent="0.3">
      <c r="A708" s="197"/>
      <c r="B708" s="198"/>
      <c r="C708" s="199"/>
      <c r="D708" s="200"/>
      <c r="E708" s="201"/>
      <c r="F708" s="212"/>
      <c r="G708" s="201"/>
      <c r="H708" s="215"/>
      <c r="I708" s="216"/>
    </row>
    <row r="709" spans="1:9" ht="14.4" x14ac:dyDescent="0.3">
      <c r="A709" s="197"/>
      <c r="B709" s="198"/>
      <c r="C709" s="199"/>
      <c r="D709" s="200"/>
      <c r="E709" s="201"/>
      <c r="F709" s="212"/>
      <c r="G709" s="201"/>
      <c r="H709" s="215"/>
      <c r="I709" s="217"/>
    </row>
    <row r="710" spans="1:9" ht="14.4" x14ac:dyDescent="0.3">
      <c r="A710" s="197"/>
      <c r="B710" s="198"/>
      <c r="C710" s="199"/>
      <c r="D710" s="200"/>
      <c r="E710" s="196"/>
      <c r="F710" s="212"/>
      <c r="G710" s="196"/>
      <c r="H710" s="215"/>
      <c r="I710" s="217"/>
    </row>
    <row r="711" spans="1:9" ht="14.4" x14ac:dyDescent="0.3">
      <c r="A711" s="197"/>
      <c r="B711" s="198"/>
      <c r="C711" s="199"/>
      <c r="D711" s="200"/>
      <c r="E711" s="196"/>
      <c r="F711" s="212"/>
      <c r="G711" s="196"/>
      <c r="H711" s="215"/>
      <c r="I711" s="216"/>
    </row>
    <row r="712" spans="1:9" ht="14.4" x14ac:dyDescent="0.3">
      <c r="A712" s="197"/>
      <c r="B712" s="198"/>
      <c r="C712" s="199"/>
      <c r="D712" s="200"/>
      <c r="E712" s="201"/>
      <c r="F712" s="212"/>
      <c r="G712" s="201"/>
      <c r="H712" s="215"/>
      <c r="I712" s="216"/>
    </row>
    <row r="713" spans="1:9" ht="14.4" x14ac:dyDescent="0.3">
      <c r="A713" s="197"/>
      <c r="B713" s="198"/>
      <c r="C713" s="199"/>
      <c r="D713" s="200"/>
      <c r="E713" s="202"/>
      <c r="F713" s="212"/>
      <c r="G713" s="201"/>
      <c r="H713" s="215"/>
      <c r="I713" s="216"/>
    </row>
    <row r="714" spans="1:9" ht="14.4" x14ac:dyDescent="0.3">
      <c r="A714" s="197"/>
      <c r="B714" s="198"/>
      <c r="C714" s="199"/>
      <c r="D714" s="200"/>
      <c r="E714" s="201"/>
      <c r="F714" s="212"/>
      <c r="G714" s="201"/>
      <c r="H714" s="215"/>
      <c r="I714" s="216"/>
    </row>
    <row r="715" spans="1:9" ht="14.4" x14ac:dyDescent="0.3">
      <c r="A715" s="197"/>
      <c r="B715" s="198"/>
      <c r="C715" s="199"/>
      <c r="D715" s="200"/>
      <c r="E715" s="201"/>
      <c r="F715" s="212"/>
      <c r="G715" s="201"/>
      <c r="H715" s="215"/>
      <c r="I715" s="216"/>
    </row>
    <row r="716" spans="1:9" ht="14.4" x14ac:dyDescent="0.3">
      <c r="A716" s="197"/>
      <c r="B716" s="203"/>
      <c r="C716" s="204"/>
      <c r="D716" s="205"/>
      <c r="E716" s="206"/>
      <c r="F716" s="218"/>
      <c r="G716" s="206"/>
      <c r="H716" s="219"/>
      <c r="I716" s="220"/>
    </row>
    <row r="717" spans="1:9" ht="15" thickBot="1" x14ac:dyDescent="0.35">
      <c r="A717" s="207"/>
      <c r="B717" s="208"/>
      <c r="C717" s="209"/>
      <c r="D717" s="210"/>
      <c r="E717" s="211"/>
      <c r="F717" s="221"/>
      <c r="G717" s="211"/>
      <c r="H717" s="222"/>
      <c r="I717" s="223"/>
    </row>
    <row r="718" spans="1:9" ht="14.4" thickBot="1" x14ac:dyDescent="0.35"/>
    <row r="719" spans="1:9" ht="14.4" thickBot="1" x14ac:dyDescent="0.35">
      <c r="A719" s="226" t="s">
        <v>1204</v>
      </c>
      <c r="B719" s="224" t="s">
        <v>1205</v>
      </c>
      <c r="C719" s="224" t="s">
        <v>1206</v>
      </c>
      <c r="D719" s="224" t="s">
        <v>1207</v>
      </c>
      <c r="E719" s="368" t="s">
        <v>1208</v>
      </c>
      <c r="F719" s="368"/>
      <c r="G719" s="368"/>
      <c r="H719" s="224" t="s">
        <v>1209</v>
      </c>
      <c r="I719" s="225" t="s">
        <v>1210</v>
      </c>
    </row>
    <row r="720" spans="1:9" ht="14.4" x14ac:dyDescent="0.3">
      <c r="A720" s="197"/>
      <c r="B720" s="193"/>
      <c r="C720" s="194"/>
      <c r="D720" s="195"/>
      <c r="E720" s="196"/>
      <c r="F720" s="212"/>
      <c r="G720" s="196"/>
      <c r="H720" s="213"/>
      <c r="I720" s="214"/>
    </row>
    <row r="721" spans="1:9" ht="14.4" x14ac:dyDescent="0.3">
      <c r="A721" s="197"/>
      <c r="B721" s="198"/>
      <c r="C721" s="199"/>
      <c r="D721" s="200"/>
      <c r="E721" s="201"/>
      <c r="F721" s="212"/>
      <c r="G721" s="201"/>
      <c r="H721" s="215"/>
      <c r="I721" s="216"/>
    </row>
    <row r="722" spans="1:9" ht="14.4" x14ac:dyDescent="0.3">
      <c r="A722" s="197"/>
      <c r="B722" s="198"/>
      <c r="C722" s="199"/>
      <c r="D722" s="200"/>
      <c r="E722" s="201"/>
      <c r="F722" s="212"/>
      <c r="G722" s="201"/>
      <c r="H722" s="215"/>
      <c r="I722" s="216"/>
    </row>
    <row r="723" spans="1:9" ht="14.4" x14ac:dyDescent="0.3">
      <c r="A723" s="197"/>
      <c r="B723" s="198"/>
      <c r="C723" s="199"/>
      <c r="D723" s="200"/>
      <c r="E723" s="201"/>
      <c r="F723" s="212"/>
      <c r="G723" s="201"/>
      <c r="H723" s="215"/>
      <c r="I723" s="217"/>
    </row>
    <row r="724" spans="1:9" ht="14.4" x14ac:dyDescent="0.3">
      <c r="A724" s="197"/>
      <c r="B724" s="198"/>
      <c r="C724" s="199"/>
      <c r="D724" s="200"/>
      <c r="E724" s="196"/>
      <c r="F724" s="212"/>
      <c r="G724" s="196"/>
      <c r="H724" s="215"/>
      <c r="I724" s="217"/>
    </row>
    <row r="725" spans="1:9" ht="14.4" x14ac:dyDescent="0.3">
      <c r="A725" s="197"/>
      <c r="B725" s="198"/>
      <c r="C725" s="199"/>
      <c r="D725" s="200"/>
      <c r="E725" s="196"/>
      <c r="F725" s="212"/>
      <c r="G725" s="196"/>
      <c r="H725" s="215"/>
      <c r="I725" s="216"/>
    </row>
    <row r="726" spans="1:9" ht="14.4" x14ac:dyDescent="0.3">
      <c r="A726" s="197"/>
      <c r="B726" s="198"/>
      <c r="C726" s="199"/>
      <c r="D726" s="200"/>
      <c r="E726" s="201"/>
      <c r="F726" s="212"/>
      <c r="G726" s="201"/>
      <c r="H726" s="215"/>
      <c r="I726" s="216"/>
    </row>
    <row r="727" spans="1:9" ht="14.4" x14ac:dyDescent="0.3">
      <c r="A727" s="197"/>
      <c r="B727" s="198"/>
      <c r="C727" s="199"/>
      <c r="D727" s="200"/>
      <c r="E727" s="202"/>
      <c r="F727" s="212"/>
      <c r="G727" s="201"/>
      <c r="H727" s="215"/>
      <c r="I727" s="216"/>
    </row>
    <row r="728" spans="1:9" ht="14.4" x14ac:dyDescent="0.3">
      <c r="A728" s="197"/>
      <c r="B728" s="198"/>
      <c r="C728" s="199"/>
      <c r="D728" s="200"/>
      <c r="E728" s="201"/>
      <c r="F728" s="212"/>
      <c r="G728" s="201"/>
      <c r="H728" s="215"/>
      <c r="I728" s="216"/>
    </row>
    <row r="729" spans="1:9" ht="14.4" x14ac:dyDescent="0.3">
      <c r="A729" s="197"/>
      <c r="B729" s="198"/>
      <c r="C729" s="199"/>
      <c r="D729" s="200"/>
      <c r="E729" s="201"/>
      <c r="F729" s="212"/>
      <c r="G729" s="201"/>
      <c r="H729" s="215"/>
      <c r="I729" s="216"/>
    </row>
    <row r="730" spans="1:9" ht="14.4" x14ac:dyDescent="0.3">
      <c r="A730" s="197"/>
      <c r="B730" s="203"/>
      <c r="C730" s="204"/>
      <c r="D730" s="205"/>
      <c r="E730" s="206"/>
      <c r="F730" s="218"/>
      <c r="G730" s="206"/>
      <c r="H730" s="219"/>
      <c r="I730" s="220"/>
    </row>
    <row r="731" spans="1:9" ht="15" thickBot="1" x14ac:dyDescent="0.35">
      <c r="A731" s="207"/>
      <c r="B731" s="208"/>
      <c r="C731" s="209"/>
      <c r="D731" s="210"/>
      <c r="E731" s="211"/>
      <c r="F731" s="221"/>
      <c r="G731" s="211"/>
      <c r="H731" s="222"/>
      <c r="I731" s="223"/>
    </row>
    <row r="732" spans="1:9" ht="14.4" thickBot="1" x14ac:dyDescent="0.35"/>
    <row r="733" spans="1:9" ht="14.4" thickBot="1" x14ac:dyDescent="0.35">
      <c r="A733" s="226" t="s">
        <v>1204</v>
      </c>
      <c r="B733" s="224" t="s">
        <v>1205</v>
      </c>
      <c r="C733" s="224" t="s">
        <v>1206</v>
      </c>
      <c r="D733" s="224" t="s">
        <v>1207</v>
      </c>
      <c r="E733" s="368" t="s">
        <v>1208</v>
      </c>
      <c r="F733" s="368"/>
      <c r="G733" s="368"/>
      <c r="H733" s="224" t="s">
        <v>1209</v>
      </c>
      <c r="I733" s="225" t="s">
        <v>1210</v>
      </c>
    </row>
    <row r="734" spans="1:9" ht="14.4" x14ac:dyDescent="0.3">
      <c r="A734" s="197"/>
      <c r="B734" s="193"/>
      <c r="C734" s="194"/>
      <c r="D734" s="195"/>
      <c r="E734" s="196"/>
      <c r="F734" s="212"/>
      <c r="G734" s="196"/>
      <c r="H734" s="213"/>
      <c r="I734" s="214"/>
    </row>
    <row r="735" spans="1:9" ht="14.4" x14ac:dyDescent="0.3">
      <c r="A735" s="197"/>
      <c r="B735" s="198"/>
      <c r="C735" s="199"/>
      <c r="D735" s="200"/>
      <c r="E735" s="201"/>
      <c r="F735" s="212"/>
      <c r="G735" s="201"/>
      <c r="H735" s="215"/>
      <c r="I735" s="216"/>
    </row>
    <row r="736" spans="1:9" ht="14.4" x14ac:dyDescent="0.3">
      <c r="A736" s="197"/>
      <c r="B736" s="198"/>
      <c r="C736" s="199"/>
      <c r="D736" s="200"/>
      <c r="E736" s="201"/>
      <c r="F736" s="212"/>
      <c r="G736" s="201"/>
      <c r="H736" s="215"/>
      <c r="I736" s="216"/>
    </row>
    <row r="737" spans="1:9" ht="14.4" x14ac:dyDescent="0.3">
      <c r="A737" s="197"/>
      <c r="B737" s="198"/>
      <c r="C737" s="199"/>
      <c r="D737" s="200"/>
      <c r="E737" s="201"/>
      <c r="F737" s="212"/>
      <c r="G737" s="201"/>
      <c r="H737" s="215"/>
      <c r="I737" s="217"/>
    </row>
    <row r="738" spans="1:9" ht="14.4" x14ac:dyDescent="0.3">
      <c r="A738" s="197"/>
      <c r="B738" s="198"/>
      <c r="C738" s="199"/>
      <c r="D738" s="200"/>
      <c r="E738" s="196"/>
      <c r="F738" s="212"/>
      <c r="G738" s="196"/>
      <c r="H738" s="215"/>
      <c r="I738" s="217"/>
    </row>
    <row r="739" spans="1:9" ht="14.4" x14ac:dyDescent="0.3">
      <c r="A739" s="197"/>
      <c r="B739" s="198"/>
      <c r="C739" s="199"/>
      <c r="D739" s="200"/>
      <c r="E739" s="196"/>
      <c r="F739" s="212"/>
      <c r="G739" s="196"/>
      <c r="H739" s="215"/>
      <c r="I739" s="216"/>
    </row>
    <row r="740" spans="1:9" ht="14.4" x14ac:dyDescent="0.3">
      <c r="A740" s="197"/>
      <c r="B740" s="198"/>
      <c r="C740" s="199"/>
      <c r="D740" s="200"/>
      <c r="E740" s="201"/>
      <c r="F740" s="212"/>
      <c r="G740" s="201"/>
      <c r="H740" s="215"/>
      <c r="I740" s="216"/>
    </row>
    <row r="741" spans="1:9" ht="14.4" x14ac:dyDescent="0.3">
      <c r="A741" s="197"/>
      <c r="B741" s="198"/>
      <c r="C741" s="199"/>
      <c r="D741" s="200"/>
      <c r="E741" s="202"/>
      <c r="F741" s="212"/>
      <c r="G741" s="201"/>
      <c r="H741" s="215"/>
      <c r="I741" s="216"/>
    </row>
    <row r="742" spans="1:9" ht="14.4" x14ac:dyDescent="0.3">
      <c r="A742" s="197"/>
      <c r="B742" s="198"/>
      <c r="C742" s="199"/>
      <c r="D742" s="200"/>
      <c r="E742" s="201"/>
      <c r="F742" s="212"/>
      <c r="G742" s="201"/>
      <c r="H742" s="215"/>
      <c r="I742" s="216"/>
    </row>
    <row r="743" spans="1:9" ht="14.4" x14ac:dyDescent="0.3">
      <c r="A743" s="197"/>
      <c r="B743" s="198"/>
      <c r="C743" s="199"/>
      <c r="D743" s="200"/>
      <c r="E743" s="201"/>
      <c r="F743" s="212"/>
      <c r="G743" s="201"/>
      <c r="H743" s="215"/>
      <c r="I743" s="216"/>
    </row>
    <row r="744" spans="1:9" ht="14.4" x14ac:dyDescent="0.3">
      <c r="A744" s="197"/>
      <c r="B744" s="203"/>
      <c r="C744" s="204"/>
      <c r="D744" s="205"/>
      <c r="E744" s="206"/>
      <c r="F744" s="218"/>
      <c r="G744" s="206"/>
      <c r="H744" s="219"/>
      <c r="I744" s="220"/>
    </row>
    <row r="745" spans="1:9" ht="15" thickBot="1" x14ac:dyDescent="0.35">
      <c r="A745" s="207"/>
      <c r="B745" s="208"/>
      <c r="C745" s="209"/>
      <c r="D745" s="210"/>
      <c r="E745" s="211"/>
      <c r="F745" s="221"/>
      <c r="G745" s="211"/>
      <c r="H745" s="222"/>
      <c r="I745" s="223"/>
    </row>
    <row r="746" spans="1:9" ht="14.4" thickBot="1" x14ac:dyDescent="0.35"/>
    <row r="747" spans="1:9" ht="14.4" thickBot="1" x14ac:dyDescent="0.35">
      <c r="A747" s="226" t="s">
        <v>1204</v>
      </c>
      <c r="B747" s="224" t="s">
        <v>1205</v>
      </c>
      <c r="C747" s="224" t="s">
        <v>1206</v>
      </c>
      <c r="D747" s="224" t="s">
        <v>1207</v>
      </c>
      <c r="E747" s="368" t="s">
        <v>1208</v>
      </c>
      <c r="F747" s="368"/>
      <c r="G747" s="368"/>
      <c r="H747" s="224" t="s">
        <v>1209</v>
      </c>
      <c r="I747" s="225" t="s">
        <v>1210</v>
      </c>
    </row>
    <row r="748" spans="1:9" ht="14.4" x14ac:dyDescent="0.3">
      <c r="A748" s="197"/>
      <c r="B748" s="193"/>
      <c r="C748" s="194"/>
      <c r="D748" s="195"/>
      <c r="E748" s="196"/>
      <c r="F748" s="212"/>
      <c r="G748" s="196"/>
      <c r="H748" s="213"/>
      <c r="I748" s="214"/>
    </row>
    <row r="749" spans="1:9" ht="14.4" x14ac:dyDescent="0.3">
      <c r="A749" s="197"/>
      <c r="B749" s="198"/>
      <c r="C749" s="199"/>
      <c r="D749" s="200"/>
      <c r="E749" s="201"/>
      <c r="F749" s="212"/>
      <c r="G749" s="201"/>
      <c r="H749" s="215"/>
      <c r="I749" s="216"/>
    </row>
    <row r="750" spans="1:9" ht="14.4" x14ac:dyDescent="0.3">
      <c r="A750" s="197"/>
      <c r="B750" s="198"/>
      <c r="C750" s="199"/>
      <c r="D750" s="200"/>
      <c r="E750" s="201"/>
      <c r="F750" s="212"/>
      <c r="G750" s="201"/>
      <c r="H750" s="215"/>
      <c r="I750" s="216"/>
    </row>
    <row r="751" spans="1:9" ht="14.4" x14ac:dyDescent="0.3">
      <c r="A751" s="197"/>
      <c r="B751" s="198"/>
      <c r="C751" s="199"/>
      <c r="D751" s="200"/>
      <c r="E751" s="201"/>
      <c r="F751" s="212"/>
      <c r="G751" s="201"/>
      <c r="H751" s="215"/>
      <c r="I751" s="217"/>
    </row>
    <row r="752" spans="1:9" ht="14.4" x14ac:dyDescent="0.3">
      <c r="A752" s="197"/>
      <c r="B752" s="198"/>
      <c r="C752" s="199"/>
      <c r="D752" s="200"/>
      <c r="E752" s="196"/>
      <c r="F752" s="212"/>
      <c r="G752" s="196"/>
      <c r="H752" s="215"/>
      <c r="I752" s="217"/>
    </row>
    <row r="753" spans="1:9" ht="14.4" x14ac:dyDescent="0.3">
      <c r="A753" s="197"/>
      <c r="B753" s="198"/>
      <c r="C753" s="199"/>
      <c r="D753" s="200"/>
      <c r="E753" s="196"/>
      <c r="F753" s="212"/>
      <c r="G753" s="196"/>
      <c r="H753" s="215"/>
      <c r="I753" s="216"/>
    </row>
    <row r="754" spans="1:9" ht="14.4" x14ac:dyDescent="0.3">
      <c r="A754" s="197"/>
      <c r="B754" s="198"/>
      <c r="C754" s="199"/>
      <c r="D754" s="200"/>
      <c r="E754" s="201"/>
      <c r="F754" s="212"/>
      <c r="G754" s="201"/>
      <c r="H754" s="215"/>
      <c r="I754" s="216"/>
    </row>
    <row r="755" spans="1:9" ht="14.4" x14ac:dyDescent="0.3">
      <c r="A755" s="197"/>
      <c r="B755" s="198"/>
      <c r="C755" s="199"/>
      <c r="D755" s="200"/>
      <c r="E755" s="202"/>
      <c r="F755" s="212"/>
      <c r="G755" s="201"/>
      <c r="H755" s="215"/>
      <c r="I755" s="216"/>
    </row>
    <row r="756" spans="1:9" ht="14.4" x14ac:dyDescent="0.3">
      <c r="A756" s="197"/>
      <c r="B756" s="198"/>
      <c r="C756" s="199"/>
      <c r="D756" s="200"/>
      <c r="E756" s="201"/>
      <c r="F756" s="212"/>
      <c r="G756" s="201"/>
      <c r="H756" s="215"/>
      <c r="I756" s="216"/>
    </row>
    <row r="757" spans="1:9" ht="14.4" x14ac:dyDescent="0.3">
      <c r="A757" s="197"/>
      <c r="B757" s="198"/>
      <c r="C757" s="199"/>
      <c r="D757" s="200"/>
      <c r="E757" s="201"/>
      <c r="F757" s="212"/>
      <c r="G757" s="201"/>
      <c r="H757" s="215"/>
      <c r="I757" s="216"/>
    </row>
    <row r="758" spans="1:9" ht="14.4" x14ac:dyDescent="0.3">
      <c r="A758" s="197"/>
      <c r="B758" s="203"/>
      <c r="C758" s="204"/>
      <c r="D758" s="205"/>
      <c r="E758" s="206"/>
      <c r="F758" s="218"/>
      <c r="G758" s="206"/>
      <c r="H758" s="219"/>
      <c r="I758" s="220"/>
    </row>
    <row r="759" spans="1:9" ht="15" thickBot="1" x14ac:dyDescent="0.35">
      <c r="A759" s="207"/>
      <c r="B759" s="208"/>
      <c r="C759" s="209"/>
      <c r="D759" s="210"/>
      <c r="E759" s="211"/>
      <c r="F759" s="221"/>
      <c r="G759" s="211"/>
      <c r="H759" s="222"/>
      <c r="I759" s="223"/>
    </row>
    <row r="760" spans="1:9" ht="14.4" thickBot="1" x14ac:dyDescent="0.35"/>
    <row r="761" spans="1:9" ht="14.4" thickBot="1" x14ac:dyDescent="0.35">
      <c r="A761" s="226" t="s">
        <v>1204</v>
      </c>
      <c r="B761" s="224" t="s">
        <v>1205</v>
      </c>
      <c r="C761" s="224" t="s">
        <v>1206</v>
      </c>
      <c r="D761" s="224" t="s">
        <v>1207</v>
      </c>
      <c r="E761" s="368" t="s">
        <v>1208</v>
      </c>
      <c r="F761" s="368"/>
      <c r="G761" s="368"/>
      <c r="H761" s="224" t="s">
        <v>1209</v>
      </c>
      <c r="I761" s="225" t="s">
        <v>1210</v>
      </c>
    </row>
    <row r="762" spans="1:9" ht="14.4" x14ac:dyDescent="0.3">
      <c r="A762" s="197"/>
      <c r="B762" s="193"/>
      <c r="C762" s="194"/>
      <c r="D762" s="195"/>
      <c r="E762" s="196"/>
      <c r="F762" s="212"/>
      <c r="G762" s="196"/>
      <c r="H762" s="213"/>
      <c r="I762" s="214"/>
    </row>
    <row r="763" spans="1:9" ht="14.4" x14ac:dyDescent="0.3">
      <c r="A763" s="197"/>
      <c r="B763" s="198"/>
      <c r="C763" s="199"/>
      <c r="D763" s="200"/>
      <c r="E763" s="201"/>
      <c r="F763" s="212"/>
      <c r="G763" s="201"/>
      <c r="H763" s="215"/>
      <c r="I763" s="216"/>
    </row>
    <row r="764" spans="1:9" ht="14.4" x14ac:dyDescent="0.3">
      <c r="A764" s="197"/>
      <c r="B764" s="198"/>
      <c r="C764" s="199"/>
      <c r="D764" s="200"/>
      <c r="E764" s="201"/>
      <c r="F764" s="212"/>
      <c r="G764" s="201"/>
      <c r="H764" s="215"/>
      <c r="I764" s="216"/>
    </row>
    <row r="765" spans="1:9" ht="14.4" x14ac:dyDescent="0.3">
      <c r="A765" s="197"/>
      <c r="B765" s="198"/>
      <c r="C765" s="199"/>
      <c r="D765" s="200"/>
      <c r="E765" s="201"/>
      <c r="F765" s="212"/>
      <c r="G765" s="201"/>
      <c r="H765" s="215"/>
      <c r="I765" s="217"/>
    </row>
    <row r="766" spans="1:9" ht="14.4" x14ac:dyDescent="0.3">
      <c r="A766" s="197"/>
      <c r="B766" s="198"/>
      <c r="C766" s="199"/>
      <c r="D766" s="200"/>
      <c r="E766" s="196"/>
      <c r="F766" s="212"/>
      <c r="G766" s="196"/>
      <c r="H766" s="215"/>
      <c r="I766" s="217"/>
    </row>
    <row r="767" spans="1:9" ht="14.4" x14ac:dyDescent="0.3">
      <c r="A767" s="197"/>
      <c r="B767" s="198"/>
      <c r="C767" s="199"/>
      <c r="D767" s="200"/>
      <c r="E767" s="196"/>
      <c r="F767" s="212"/>
      <c r="G767" s="196"/>
      <c r="H767" s="215"/>
      <c r="I767" s="216"/>
    </row>
    <row r="768" spans="1:9" ht="14.4" x14ac:dyDescent="0.3">
      <c r="A768" s="197"/>
      <c r="B768" s="198"/>
      <c r="C768" s="199"/>
      <c r="D768" s="200"/>
      <c r="E768" s="201"/>
      <c r="F768" s="212"/>
      <c r="G768" s="201"/>
      <c r="H768" s="215"/>
      <c r="I768" s="216"/>
    </row>
    <row r="769" spans="1:9" ht="14.4" x14ac:dyDescent="0.3">
      <c r="A769" s="197"/>
      <c r="B769" s="198"/>
      <c r="C769" s="199"/>
      <c r="D769" s="200"/>
      <c r="E769" s="202"/>
      <c r="F769" s="212"/>
      <c r="G769" s="201"/>
      <c r="H769" s="215"/>
      <c r="I769" s="216"/>
    </row>
    <row r="770" spans="1:9" ht="14.4" x14ac:dyDescent="0.3">
      <c r="A770" s="197"/>
      <c r="B770" s="198"/>
      <c r="C770" s="199"/>
      <c r="D770" s="200"/>
      <c r="E770" s="201"/>
      <c r="F770" s="212"/>
      <c r="G770" s="201"/>
      <c r="H770" s="215"/>
      <c r="I770" s="216"/>
    </row>
    <row r="771" spans="1:9" ht="14.4" x14ac:dyDescent="0.3">
      <c r="A771" s="197"/>
      <c r="B771" s="198"/>
      <c r="C771" s="199"/>
      <c r="D771" s="200"/>
      <c r="E771" s="201"/>
      <c r="F771" s="212"/>
      <c r="G771" s="201"/>
      <c r="H771" s="215"/>
      <c r="I771" s="216"/>
    </row>
    <row r="772" spans="1:9" ht="14.4" x14ac:dyDescent="0.3">
      <c r="A772" s="197"/>
      <c r="B772" s="203"/>
      <c r="C772" s="204"/>
      <c r="D772" s="205"/>
      <c r="E772" s="206"/>
      <c r="F772" s="218"/>
      <c r="G772" s="206"/>
      <c r="H772" s="219"/>
      <c r="I772" s="220"/>
    </row>
    <row r="773" spans="1:9" ht="15" thickBot="1" x14ac:dyDescent="0.35">
      <c r="A773" s="207"/>
      <c r="B773" s="208"/>
      <c r="C773" s="209"/>
      <c r="D773" s="210"/>
      <c r="E773" s="211"/>
      <c r="F773" s="221"/>
      <c r="G773" s="211"/>
      <c r="H773" s="222"/>
      <c r="I773" s="223"/>
    </row>
    <row r="774" spans="1:9" ht="14.4" thickBot="1" x14ac:dyDescent="0.35"/>
    <row r="775" spans="1:9" ht="14.4" thickBot="1" x14ac:dyDescent="0.35">
      <c r="A775" s="226" t="s">
        <v>1204</v>
      </c>
      <c r="B775" s="224" t="s">
        <v>1205</v>
      </c>
      <c r="C775" s="224" t="s">
        <v>1206</v>
      </c>
      <c r="D775" s="224" t="s">
        <v>1207</v>
      </c>
      <c r="E775" s="368" t="s">
        <v>1208</v>
      </c>
      <c r="F775" s="368"/>
      <c r="G775" s="368"/>
      <c r="H775" s="224" t="s">
        <v>1209</v>
      </c>
      <c r="I775" s="225" t="s">
        <v>1210</v>
      </c>
    </row>
    <row r="776" spans="1:9" ht="14.4" x14ac:dyDescent="0.3">
      <c r="A776" s="197"/>
      <c r="B776" s="193"/>
      <c r="C776" s="194"/>
      <c r="D776" s="195"/>
      <c r="E776" s="196"/>
      <c r="F776" s="212"/>
      <c r="G776" s="196"/>
      <c r="H776" s="213"/>
      <c r="I776" s="214"/>
    </row>
    <row r="777" spans="1:9" ht="14.4" x14ac:dyDescent="0.3">
      <c r="A777" s="197"/>
      <c r="B777" s="198"/>
      <c r="C777" s="199"/>
      <c r="D777" s="200"/>
      <c r="E777" s="201"/>
      <c r="F777" s="212"/>
      <c r="G777" s="201"/>
      <c r="H777" s="215"/>
      <c r="I777" s="216"/>
    </row>
    <row r="778" spans="1:9" ht="14.4" x14ac:dyDescent="0.3">
      <c r="A778" s="197"/>
      <c r="B778" s="198"/>
      <c r="C778" s="199"/>
      <c r="D778" s="200"/>
      <c r="E778" s="201"/>
      <c r="F778" s="212"/>
      <c r="G778" s="201"/>
      <c r="H778" s="215"/>
      <c r="I778" s="216"/>
    </row>
    <row r="779" spans="1:9" ht="14.4" x14ac:dyDescent="0.3">
      <c r="A779" s="197"/>
      <c r="B779" s="198"/>
      <c r="C779" s="199"/>
      <c r="D779" s="200"/>
      <c r="E779" s="201"/>
      <c r="F779" s="212"/>
      <c r="G779" s="201"/>
      <c r="H779" s="215"/>
      <c r="I779" s="217"/>
    </row>
    <row r="780" spans="1:9" ht="14.4" x14ac:dyDescent="0.3">
      <c r="A780" s="197"/>
      <c r="B780" s="198"/>
      <c r="C780" s="199"/>
      <c r="D780" s="200"/>
      <c r="E780" s="196"/>
      <c r="F780" s="212"/>
      <c r="G780" s="196"/>
      <c r="H780" s="215"/>
      <c r="I780" s="217"/>
    </row>
    <row r="781" spans="1:9" ht="14.4" x14ac:dyDescent="0.3">
      <c r="A781" s="197"/>
      <c r="B781" s="198"/>
      <c r="C781" s="199"/>
      <c r="D781" s="200"/>
      <c r="E781" s="196"/>
      <c r="F781" s="212"/>
      <c r="G781" s="196"/>
      <c r="H781" s="215"/>
      <c r="I781" s="216"/>
    </row>
    <row r="782" spans="1:9" ht="14.4" x14ac:dyDescent="0.3">
      <c r="A782" s="197"/>
      <c r="B782" s="198"/>
      <c r="C782" s="199"/>
      <c r="D782" s="200"/>
      <c r="E782" s="201"/>
      <c r="F782" s="212"/>
      <c r="G782" s="201"/>
      <c r="H782" s="215"/>
      <c r="I782" s="216"/>
    </row>
    <row r="783" spans="1:9" ht="14.4" x14ac:dyDescent="0.3">
      <c r="A783" s="197"/>
      <c r="B783" s="198"/>
      <c r="C783" s="199"/>
      <c r="D783" s="200"/>
      <c r="E783" s="202"/>
      <c r="F783" s="212"/>
      <c r="G783" s="201"/>
      <c r="H783" s="215"/>
      <c r="I783" s="216"/>
    </row>
    <row r="784" spans="1:9" ht="14.4" x14ac:dyDescent="0.3">
      <c r="A784" s="197"/>
      <c r="B784" s="198"/>
      <c r="C784" s="199"/>
      <c r="D784" s="200"/>
      <c r="E784" s="201"/>
      <c r="F784" s="212"/>
      <c r="G784" s="201"/>
      <c r="H784" s="215"/>
      <c r="I784" s="216"/>
    </row>
    <row r="785" spans="1:9" ht="14.4" x14ac:dyDescent="0.3">
      <c r="A785" s="197"/>
      <c r="B785" s="198"/>
      <c r="C785" s="199"/>
      <c r="D785" s="200"/>
      <c r="E785" s="201"/>
      <c r="F785" s="212"/>
      <c r="G785" s="201"/>
      <c r="H785" s="215"/>
      <c r="I785" s="216"/>
    </row>
    <row r="786" spans="1:9" ht="14.4" x14ac:dyDescent="0.3">
      <c r="A786" s="197"/>
      <c r="B786" s="203"/>
      <c r="C786" s="204"/>
      <c r="D786" s="205"/>
      <c r="E786" s="206"/>
      <c r="F786" s="218"/>
      <c r="G786" s="206"/>
      <c r="H786" s="219"/>
      <c r="I786" s="220"/>
    </row>
    <row r="787" spans="1:9" ht="15" thickBot="1" x14ac:dyDescent="0.35">
      <c r="A787" s="207"/>
      <c r="B787" s="208"/>
      <c r="C787" s="209"/>
      <c r="D787" s="210"/>
      <c r="E787" s="211"/>
      <c r="F787" s="221"/>
      <c r="G787" s="211"/>
      <c r="H787" s="222"/>
      <c r="I787" s="223"/>
    </row>
    <row r="788" spans="1:9" ht="14.4" thickBot="1" x14ac:dyDescent="0.35"/>
    <row r="789" spans="1:9" ht="14.4" thickBot="1" x14ac:dyDescent="0.35">
      <c r="A789" s="226" t="s">
        <v>1204</v>
      </c>
      <c r="B789" s="224" t="s">
        <v>1205</v>
      </c>
      <c r="C789" s="224" t="s">
        <v>1206</v>
      </c>
      <c r="D789" s="224" t="s">
        <v>1207</v>
      </c>
      <c r="E789" s="368" t="s">
        <v>1208</v>
      </c>
      <c r="F789" s="368"/>
      <c r="G789" s="368"/>
      <c r="H789" s="224" t="s">
        <v>1209</v>
      </c>
      <c r="I789" s="225" t="s">
        <v>1210</v>
      </c>
    </row>
    <row r="790" spans="1:9" ht="14.4" x14ac:dyDescent="0.3">
      <c r="A790" s="197"/>
      <c r="B790" s="193"/>
      <c r="C790" s="194"/>
      <c r="D790" s="195"/>
      <c r="E790" s="196"/>
      <c r="F790" s="212"/>
      <c r="G790" s="196"/>
      <c r="H790" s="213"/>
      <c r="I790" s="214"/>
    </row>
    <row r="791" spans="1:9" ht="14.4" x14ac:dyDescent="0.3">
      <c r="A791" s="197"/>
      <c r="B791" s="198"/>
      <c r="C791" s="199"/>
      <c r="D791" s="200"/>
      <c r="E791" s="201"/>
      <c r="F791" s="212"/>
      <c r="G791" s="201"/>
      <c r="H791" s="215"/>
      <c r="I791" s="216"/>
    </row>
    <row r="792" spans="1:9" ht="14.4" x14ac:dyDescent="0.3">
      <c r="A792" s="197"/>
      <c r="B792" s="198"/>
      <c r="C792" s="199"/>
      <c r="D792" s="200"/>
      <c r="E792" s="201"/>
      <c r="F792" s="212"/>
      <c r="G792" s="201"/>
      <c r="H792" s="215"/>
      <c r="I792" s="216"/>
    </row>
    <row r="793" spans="1:9" ht="14.4" x14ac:dyDescent="0.3">
      <c r="A793" s="197"/>
      <c r="B793" s="198"/>
      <c r="C793" s="199"/>
      <c r="D793" s="200"/>
      <c r="E793" s="201"/>
      <c r="F793" s="212"/>
      <c r="G793" s="201"/>
      <c r="H793" s="215"/>
      <c r="I793" s="217"/>
    </row>
    <row r="794" spans="1:9" ht="14.4" x14ac:dyDescent="0.3">
      <c r="A794" s="197"/>
      <c r="B794" s="198"/>
      <c r="C794" s="199"/>
      <c r="D794" s="200"/>
      <c r="E794" s="196"/>
      <c r="F794" s="212"/>
      <c r="G794" s="196"/>
      <c r="H794" s="215"/>
      <c r="I794" s="217"/>
    </row>
    <row r="795" spans="1:9" ht="14.4" x14ac:dyDescent="0.3">
      <c r="A795" s="197"/>
      <c r="B795" s="198"/>
      <c r="C795" s="199"/>
      <c r="D795" s="200"/>
      <c r="E795" s="196"/>
      <c r="F795" s="212"/>
      <c r="G795" s="196"/>
      <c r="H795" s="215"/>
      <c r="I795" s="216"/>
    </row>
    <row r="796" spans="1:9" ht="14.4" x14ac:dyDescent="0.3">
      <c r="A796" s="197"/>
      <c r="B796" s="198"/>
      <c r="C796" s="199"/>
      <c r="D796" s="200"/>
      <c r="E796" s="201"/>
      <c r="F796" s="212"/>
      <c r="G796" s="201"/>
      <c r="H796" s="215"/>
      <c r="I796" s="216"/>
    </row>
    <row r="797" spans="1:9" ht="14.4" x14ac:dyDescent="0.3">
      <c r="A797" s="197"/>
      <c r="B797" s="198"/>
      <c r="C797" s="199"/>
      <c r="D797" s="200"/>
      <c r="E797" s="202"/>
      <c r="F797" s="212"/>
      <c r="G797" s="201"/>
      <c r="H797" s="215"/>
      <c r="I797" s="216"/>
    </row>
    <row r="798" spans="1:9" ht="14.4" x14ac:dyDescent="0.3">
      <c r="A798" s="197"/>
      <c r="B798" s="198"/>
      <c r="C798" s="199"/>
      <c r="D798" s="200"/>
      <c r="E798" s="201"/>
      <c r="F798" s="212"/>
      <c r="G798" s="201"/>
      <c r="H798" s="215"/>
      <c r="I798" s="216"/>
    </row>
    <row r="799" spans="1:9" ht="14.4" x14ac:dyDescent="0.3">
      <c r="A799" s="197"/>
      <c r="B799" s="198"/>
      <c r="C799" s="199"/>
      <c r="D799" s="200"/>
      <c r="E799" s="201"/>
      <c r="F799" s="212"/>
      <c r="G799" s="201"/>
      <c r="H799" s="215"/>
      <c r="I799" s="216"/>
    </row>
    <row r="800" spans="1:9" ht="14.4" x14ac:dyDescent="0.3">
      <c r="A800" s="197"/>
      <c r="B800" s="203"/>
      <c r="C800" s="204"/>
      <c r="D800" s="205"/>
      <c r="E800" s="206"/>
      <c r="F800" s="218"/>
      <c r="G800" s="206"/>
      <c r="H800" s="219"/>
      <c r="I800" s="220"/>
    </row>
    <row r="801" spans="1:9" ht="15" thickBot="1" x14ac:dyDescent="0.35">
      <c r="A801" s="207"/>
      <c r="B801" s="208"/>
      <c r="C801" s="209"/>
      <c r="D801" s="210"/>
      <c r="E801" s="211"/>
      <c r="F801" s="221"/>
      <c r="G801" s="211"/>
      <c r="H801" s="222"/>
      <c r="I801" s="223"/>
    </row>
    <row r="802" spans="1:9" ht="14.4" thickBot="1" x14ac:dyDescent="0.35"/>
    <row r="803" spans="1:9" ht="14.4" thickBot="1" x14ac:dyDescent="0.35">
      <c r="A803" s="226" t="s">
        <v>1204</v>
      </c>
      <c r="B803" s="224" t="s">
        <v>1205</v>
      </c>
      <c r="C803" s="224" t="s">
        <v>1206</v>
      </c>
      <c r="D803" s="224" t="s">
        <v>1207</v>
      </c>
      <c r="E803" s="368" t="s">
        <v>1208</v>
      </c>
      <c r="F803" s="368"/>
      <c r="G803" s="368"/>
      <c r="H803" s="224" t="s">
        <v>1209</v>
      </c>
      <c r="I803" s="225" t="s">
        <v>1210</v>
      </c>
    </row>
    <row r="804" spans="1:9" ht="14.4" x14ac:dyDescent="0.3">
      <c r="A804" s="197"/>
      <c r="B804" s="193"/>
      <c r="C804" s="194"/>
      <c r="D804" s="195"/>
      <c r="E804" s="196"/>
      <c r="F804" s="212"/>
      <c r="G804" s="196"/>
      <c r="H804" s="213"/>
      <c r="I804" s="214"/>
    </row>
    <row r="805" spans="1:9" ht="14.4" x14ac:dyDescent="0.3">
      <c r="A805" s="197"/>
      <c r="B805" s="198"/>
      <c r="C805" s="199"/>
      <c r="D805" s="200"/>
      <c r="E805" s="201"/>
      <c r="F805" s="212"/>
      <c r="G805" s="201"/>
      <c r="H805" s="215"/>
      <c r="I805" s="216"/>
    </row>
    <row r="806" spans="1:9" ht="14.4" x14ac:dyDescent="0.3">
      <c r="A806" s="197"/>
      <c r="B806" s="198"/>
      <c r="C806" s="199"/>
      <c r="D806" s="200"/>
      <c r="E806" s="201"/>
      <c r="F806" s="212"/>
      <c r="G806" s="201"/>
      <c r="H806" s="215"/>
      <c r="I806" s="216"/>
    </row>
    <row r="807" spans="1:9" ht="14.4" x14ac:dyDescent="0.3">
      <c r="A807" s="197"/>
      <c r="B807" s="198"/>
      <c r="C807" s="199"/>
      <c r="D807" s="200"/>
      <c r="E807" s="201"/>
      <c r="F807" s="212"/>
      <c r="G807" s="201"/>
      <c r="H807" s="215"/>
      <c r="I807" s="217"/>
    </row>
    <row r="808" spans="1:9" ht="14.4" x14ac:dyDescent="0.3">
      <c r="A808" s="197"/>
      <c r="B808" s="198"/>
      <c r="C808" s="199"/>
      <c r="D808" s="200"/>
      <c r="E808" s="196"/>
      <c r="F808" s="212"/>
      <c r="G808" s="196"/>
      <c r="H808" s="215"/>
      <c r="I808" s="217"/>
    </row>
    <row r="809" spans="1:9" ht="14.4" x14ac:dyDescent="0.3">
      <c r="A809" s="197"/>
      <c r="B809" s="198"/>
      <c r="C809" s="199"/>
      <c r="D809" s="200"/>
      <c r="E809" s="196"/>
      <c r="F809" s="212"/>
      <c r="G809" s="196"/>
      <c r="H809" s="215"/>
      <c r="I809" s="216"/>
    </row>
    <row r="810" spans="1:9" ht="14.4" x14ac:dyDescent="0.3">
      <c r="A810" s="197"/>
      <c r="B810" s="198"/>
      <c r="C810" s="199"/>
      <c r="D810" s="200"/>
      <c r="E810" s="201"/>
      <c r="F810" s="212"/>
      <c r="G810" s="201"/>
      <c r="H810" s="215"/>
      <c r="I810" s="216"/>
    </row>
    <row r="811" spans="1:9" ht="14.4" x14ac:dyDescent="0.3">
      <c r="A811" s="197"/>
      <c r="B811" s="198"/>
      <c r="C811" s="199"/>
      <c r="D811" s="200"/>
      <c r="E811" s="202"/>
      <c r="F811" s="212"/>
      <c r="G811" s="201"/>
      <c r="H811" s="215"/>
      <c r="I811" s="216"/>
    </row>
    <row r="812" spans="1:9" ht="14.4" x14ac:dyDescent="0.3">
      <c r="A812" s="197"/>
      <c r="B812" s="198"/>
      <c r="C812" s="199"/>
      <c r="D812" s="200"/>
      <c r="E812" s="201"/>
      <c r="F812" s="212"/>
      <c r="G812" s="201"/>
      <c r="H812" s="215"/>
      <c r="I812" s="216"/>
    </row>
    <row r="813" spans="1:9" ht="14.4" x14ac:dyDescent="0.3">
      <c r="A813" s="197"/>
      <c r="B813" s="198"/>
      <c r="C813" s="199"/>
      <c r="D813" s="200"/>
      <c r="E813" s="201"/>
      <c r="F813" s="212"/>
      <c r="G813" s="201"/>
      <c r="H813" s="215"/>
      <c r="I813" s="216"/>
    </row>
    <row r="814" spans="1:9" ht="14.4" x14ac:dyDescent="0.3">
      <c r="A814" s="197"/>
      <c r="B814" s="203"/>
      <c r="C814" s="204"/>
      <c r="D814" s="205"/>
      <c r="E814" s="206"/>
      <c r="F814" s="218"/>
      <c r="G814" s="206"/>
      <c r="H814" s="219"/>
      <c r="I814" s="220"/>
    </row>
    <row r="815" spans="1:9" ht="15" thickBot="1" x14ac:dyDescent="0.35">
      <c r="A815" s="207"/>
      <c r="B815" s="208"/>
      <c r="C815" s="209"/>
      <c r="D815" s="210"/>
      <c r="E815" s="211"/>
      <c r="F815" s="221"/>
      <c r="G815" s="211"/>
      <c r="H815" s="222"/>
      <c r="I815" s="223"/>
    </row>
    <row r="816" spans="1:9" ht="14.4" thickBot="1" x14ac:dyDescent="0.35"/>
    <row r="817" spans="1:9" ht="14.4" thickBot="1" x14ac:dyDescent="0.35">
      <c r="A817" s="226" t="s">
        <v>1204</v>
      </c>
      <c r="B817" s="224" t="s">
        <v>1205</v>
      </c>
      <c r="C817" s="224" t="s">
        <v>1206</v>
      </c>
      <c r="D817" s="224" t="s">
        <v>1207</v>
      </c>
      <c r="E817" s="368" t="s">
        <v>1208</v>
      </c>
      <c r="F817" s="368"/>
      <c r="G817" s="368"/>
      <c r="H817" s="224" t="s">
        <v>1209</v>
      </c>
      <c r="I817" s="225" t="s">
        <v>1210</v>
      </c>
    </row>
    <row r="818" spans="1:9" ht="14.4" x14ac:dyDescent="0.3">
      <c r="A818" s="197"/>
      <c r="B818" s="193"/>
      <c r="C818" s="194"/>
      <c r="D818" s="195"/>
      <c r="E818" s="196"/>
      <c r="F818" s="212"/>
      <c r="G818" s="196"/>
      <c r="H818" s="213"/>
      <c r="I818" s="214"/>
    </row>
    <row r="819" spans="1:9" ht="14.4" x14ac:dyDescent="0.3">
      <c r="A819" s="197"/>
      <c r="B819" s="198"/>
      <c r="C819" s="199"/>
      <c r="D819" s="200"/>
      <c r="E819" s="201"/>
      <c r="F819" s="212"/>
      <c r="G819" s="201"/>
      <c r="H819" s="215"/>
      <c r="I819" s="216"/>
    </row>
    <row r="820" spans="1:9" ht="14.4" x14ac:dyDescent="0.3">
      <c r="A820" s="197"/>
      <c r="B820" s="198"/>
      <c r="C820" s="199"/>
      <c r="D820" s="200"/>
      <c r="E820" s="201"/>
      <c r="F820" s="212"/>
      <c r="G820" s="201"/>
      <c r="H820" s="215"/>
      <c r="I820" s="216"/>
    </row>
    <row r="821" spans="1:9" ht="14.4" x14ac:dyDescent="0.3">
      <c r="A821" s="197"/>
      <c r="B821" s="198"/>
      <c r="C821" s="199"/>
      <c r="D821" s="200"/>
      <c r="E821" s="201"/>
      <c r="F821" s="212"/>
      <c r="G821" s="201"/>
      <c r="H821" s="215"/>
      <c r="I821" s="217"/>
    </row>
    <row r="822" spans="1:9" ht="14.4" x14ac:dyDescent="0.3">
      <c r="A822" s="197"/>
      <c r="B822" s="198"/>
      <c r="C822" s="199"/>
      <c r="D822" s="200"/>
      <c r="E822" s="196"/>
      <c r="F822" s="212"/>
      <c r="G822" s="196"/>
      <c r="H822" s="215"/>
      <c r="I822" s="217"/>
    </row>
    <row r="823" spans="1:9" ht="14.4" x14ac:dyDescent="0.3">
      <c r="A823" s="197"/>
      <c r="B823" s="198"/>
      <c r="C823" s="199"/>
      <c r="D823" s="200"/>
      <c r="E823" s="196"/>
      <c r="F823" s="212"/>
      <c r="G823" s="196"/>
      <c r="H823" s="215"/>
      <c r="I823" s="216"/>
    </row>
    <row r="824" spans="1:9" ht="14.4" x14ac:dyDescent="0.3">
      <c r="A824" s="197"/>
      <c r="B824" s="198"/>
      <c r="C824" s="199"/>
      <c r="D824" s="200"/>
      <c r="E824" s="201"/>
      <c r="F824" s="212"/>
      <c r="G824" s="201"/>
      <c r="H824" s="215"/>
      <c r="I824" s="216"/>
    </row>
    <row r="825" spans="1:9" ht="14.4" x14ac:dyDescent="0.3">
      <c r="A825" s="197"/>
      <c r="B825" s="198"/>
      <c r="C825" s="199"/>
      <c r="D825" s="200"/>
      <c r="E825" s="202"/>
      <c r="F825" s="212"/>
      <c r="G825" s="201"/>
      <c r="H825" s="215"/>
      <c r="I825" s="216"/>
    </row>
    <row r="826" spans="1:9" ht="14.4" x14ac:dyDescent="0.3">
      <c r="A826" s="197"/>
      <c r="B826" s="198"/>
      <c r="C826" s="199"/>
      <c r="D826" s="200"/>
      <c r="E826" s="201"/>
      <c r="F826" s="212"/>
      <c r="G826" s="201"/>
      <c r="H826" s="215"/>
      <c r="I826" s="216"/>
    </row>
    <row r="827" spans="1:9" ht="14.4" x14ac:dyDescent="0.3">
      <c r="A827" s="197"/>
      <c r="B827" s="198"/>
      <c r="C827" s="199"/>
      <c r="D827" s="200"/>
      <c r="E827" s="201"/>
      <c r="F827" s="212"/>
      <c r="G827" s="201"/>
      <c r="H827" s="215"/>
      <c r="I827" s="216"/>
    </row>
    <row r="828" spans="1:9" ht="14.4" x14ac:dyDescent="0.3">
      <c r="A828" s="197"/>
      <c r="B828" s="203"/>
      <c r="C828" s="204"/>
      <c r="D828" s="205"/>
      <c r="E828" s="206"/>
      <c r="F828" s="218"/>
      <c r="G828" s="206"/>
      <c r="H828" s="219"/>
      <c r="I828" s="220"/>
    </row>
    <row r="829" spans="1:9" ht="15" thickBot="1" x14ac:dyDescent="0.35">
      <c r="A829" s="207"/>
      <c r="B829" s="208"/>
      <c r="C829" s="209"/>
      <c r="D829" s="210"/>
      <c r="E829" s="211"/>
      <c r="F829" s="221"/>
      <c r="G829" s="211"/>
      <c r="H829" s="222"/>
      <c r="I829" s="223"/>
    </row>
    <row r="830" spans="1:9" ht="14.4" thickBot="1" x14ac:dyDescent="0.35"/>
    <row r="831" spans="1:9" ht="14.4" thickBot="1" x14ac:dyDescent="0.35">
      <c r="A831" s="226" t="s">
        <v>1204</v>
      </c>
      <c r="B831" s="224" t="s">
        <v>1205</v>
      </c>
      <c r="C831" s="224" t="s">
        <v>1206</v>
      </c>
      <c r="D831" s="224" t="s">
        <v>1207</v>
      </c>
      <c r="E831" s="368" t="s">
        <v>1208</v>
      </c>
      <c r="F831" s="368"/>
      <c r="G831" s="368"/>
      <c r="H831" s="224" t="s">
        <v>1209</v>
      </c>
      <c r="I831" s="225" t="s">
        <v>1210</v>
      </c>
    </row>
    <row r="832" spans="1:9" ht="14.4" x14ac:dyDescent="0.3">
      <c r="A832" s="197"/>
      <c r="B832" s="193"/>
      <c r="C832" s="194"/>
      <c r="D832" s="195"/>
      <c r="E832" s="196"/>
      <c r="F832" s="212"/>
      <c r="G832" s="196"/>
      <c r="H832" s="213"/>
      <c r="I832" s="214"/>
    </row>
    <row r="833" spans="1:9" ht="14.4" x14ac:dyDescent="0.3">
      <c r="A833" s="197"/>
      <c r="B833" s="198"/>
      <c r="C833" s="199"/>
      <c r="D833" s="200"/>
      <c r="E833" s="201"/>
      <c r="F833" s="212"/>
      <c r="G833" s="201"/>
      <c r="H833" s="215"/>
      <c r="I833" s="216"/>
    </row>
    <row r="834" spans="1:9" ht="14.4" x14ac:dyDescent="0.3">
      <c r="A834" s="197"/>
      <c r="B834" s="198"/>
      <c r="C834" s="199"/>
      <c r="D834" s="200"/>
      <c r="E834" s="201"/>
      <c r="F834" s="212"/>
      <c r="G834" s="201"/>
      <c r="H834" s="215"/>
      <c r="I834" s="216"/>
    </row>
    <row r="835" spans="1:9" ht="14.4" x14ac:dyDescent="0.3">
      <c r="A835" s="197"/>
      <c r="B835" s="198"/>
      <c r="C835" s="199"/>
      <c r="D835" s="200"/>
      <c r="E835" s="201"/>
      <c r="F835" s="212"/>
      <c r="G835" s="201"/>
      <c r="H835" s="215"/>
      <c r="I835" s="217"/>
    </row>
    <row r="836" spans="1:9" ht="14.4" x14ac:dyDescent="0.3">
      <c r="A836" s="197"/>
      <c r="B836" s="198"/>
      <c r="C836" s="199"/>
      <c r="D836" s="200"/>
      <c r="E836" s="196"/>
      <c r="F836" s="212"/>
      <c r="G836" s="196"/>
      <c r="H836" s="215"/>
      <c r="I836" s="217"/>
    </row>
    <row r="837" spans="1:9" ht="14.4" x14ac:dyDescent="0.3">
      <c r="A837" s="197"/>
      <c r="B837" s="198"/>
      <c r="C837" s="199"/>
      <c r="D837" s="200"/>
      <c r="E837" s="196"/>
      <c r="F837" s="212"/>
      <c r="G837" s="196"/>
      <c r="H837" s="215"/>
      <c r="I837" s="216"/>
    </row>
    <row r="838" spans="1:9" ht="14.4" x14ac:dyDescent="0.3">
      <c r="A838" s="197"/>
      <c r="B838" s="198"/>
      <c r="C838" s="199"/>
      <c r="D838" s="200"/>
      <c r="E838" s="201"/>
      <c r="F838" s="212"/>
      <c r="G838" s="201"/>
      <c r="H838" s="215"/>
      <c r="I838" s="216"/>
    </row>
    <row r="839" spans="1:9" ht="14.4" x14ac:dyDescent="0.3">
      <c r="A839" s="197"/>
      <c r="B839" s="198"/>
      <c r="C839" s="199"/>
      <c r="D839" s="200"/>
      <c r="E839" s="202"/>
      <c r="F839" s="212"/>
      <c r="G839" s="201"/>
      <c r="H839" s="215"/>
      <c r="I839" s="216"/>
    </row>
    <row r="840" spans="1:9" ht="14.4" x14ac:dyDescent="0.3">
      <c r="A840" s="197"/>
      <c r="B840" s="198"/>
      <c r="C840" s="199"/>
      <c r="D840" s="200"/>
      <c r="E840" s="201"/>
      <c r="F840" s="212"/>
      <c r="G840" s="201"/>
      <c r="H840" s="215"/>
      <c r="I840" s="216"/>
    </row>
    <row r="841" spans="1:9" ht="14.4" x14ac:dyDescent="0.3">
      <c r="A841" s="197"/>
      <c r="B841" s="198"/>
      <c r="C841" s="199"/>
      <c r="D841" s="200"/>
      <c r="E841" s="201"/>
      <c r="F841" s="212"/>
      <c r="G841" s="201"/>
      <c r="H841" s="215"/>
      <c r="I841" s="216"/>
    </row>
    <row r="842" spans="1:9" ht="14.4" x14ac:dyDescent="0.3">
      <c r="A842" s="197"/>
      <c r="B842" s="203"/>
      <c r="C842" s="204"/>
      <c r="D842" s="205"/>
      <c r="E842" s="206"/>
      <c r="F842" s="218"/>
      <c r="G842" s="206"/>
      <c r="H842" s="219"/>
      <c r="I842" s="220"/>
    </row>
    <row r="843" spans="1:9" ht="15" thickBot="1" x14ac:dyDescent="0.35">
      <c r="A843" s="207"/>
      <c r="B843" s="208"/>
      <c r="C843" s="209"/>
      <c r="D843" s="210"/>
      <c r="E843" s="211"/>
      <c r="F843" s="221"/>
      <c r="G843" s="211"/>
      <c r="H843" s="222"/>
      <c r="I843" s="223"/>
    </row>
    <row r="844" spans="1:9" ht="14.4" thickBot="1" x14ac:dyDescent="0.35"/>
    <row r="845" spans="1:9" ht="14.4" thickBot="1" x14ac:dyDescent="0.35">
      <c r="A845" s="226" t="s">
        <v>1204</v>
      </c>
      <c r="B845" s="224" t="s">
        <v>1205</v>
      </c>
      <c r="C845" s="224" t="s">
        <v>1206</v>
      </c>
      <c r="D845" s="224" t="s">
        <v>1207</v>
      </c>
      <c r="E845" s="368" t="s">
        <v>1208</v>
      </c>
      <c r="F845" s="368"/>
      <c r="G845" s="368"/>
      <c r="H845" s="224" t="s">
        <v>1209</v>
      </c>
      <c r="I845" s="225" t="s">
        <v>1210</v>
      </c>
    </row>
    <row r="846" spans="1:9" ht="14.4" x14ac:dyDescent="0.3">
      <c r="A846" s="197"/>
      <c r="B846" s="193"/>
      <c r="C846" s="194"/>
      <c r="D846" s="195"/>
      <c r="E846" s="196"/>
      <c r="F846" s="212"/>
      <c r="G846" s="196"/>
      <c r="H846" s="213"/>
      <c r="I846" s="214"/>
    </row>
    <row r="847" spans="1:9" ht="14.4" x14ac:dyDescent="0.3">
      <c r="A847" s="197"/>
      <c r="B847" s="198"/>
      <c r="C847" s="199"/>
      <c r="D847" s="200"/>
      <c r="E847" s="201"/>
      <c r="F847" s="212"/>
      <c r="G847" s="201"/>
      <c r="H847" s="215"/>
      <c r="I847" s="216"/>
    </row>
    <row r="848" spans="1:9" ht="14.4" x14ac:dyDescent="0.3">
      <c r="A848" s="197"/>
      <c r="B848" s="198"/>
      <c r="C848" s="199"/>
      <c r="D848" s="200"/>
      <c r="E848" s="201"/>
      <c r="F848" s="212"/>
      <c r="G848" s="201"/>
      <c r="H848" s="215"/>
      <c r="I848" s="216"/>
    </row>
    <row r="849" spans="1:9" ht="14.4" x14ac:dyDescent="0.3">
      <c r="A849" s="197"/>
      <c r="B849" s="198"/>
      <c r="C849" s="199"/>
      <c r="D849" s="200"/>
      <c r="E849" s="201"/>
      <c r="F849" s="212"/>
      <c r="G849" s="201"/>
      <c r="H849" s="215"/>
      <c r="I849" s="217"/>
    </row>
    <row r="850" spans="1:9" ht="14.4" x14ac:dyDescent="0.3">
      <c r="A850" s="197"/>
      <c r="B850" s="198"/>
      <c r="C850" s="199"/>
      <c r="D850" s="200"/>
      <c r="E850" s="196"/>
      <c r="F850" s="212"/>
      <c r="G850" s="196"/>
      <c r="H850" s="215"/>
      <c r="I850" s="217"/>
    </row>
    <row r="851" spans="1:9" ht="14.4" x14ac:dyDescent="0.3">
      <c r="A851" s="197"/>
      <c r="B851" s="198"/>
      <c r="C851" s="199"/>
      <c r="D851" s="200"/>
      <c r="E851" s="196"/>
      <c r="F851" s="212"/>
      <c r="G851" s="196"/>
      <c r="H851" s="215"/>
      <c r="I851" s="216"/>
    </row>
    <row r="852" spans="1:9" ht="14.4" x14ac:dyDescent="0.3">
      <c r="A852" s="197"/>
      <c r="B852" s="198"/>
      <c r="C852" s="199"/>
      <c r="D852" s="200"/>
      <c r="E852" s="201"/>
      <c r="F852" s="212"/>
      <c r="G852" s="201"/>
      <c r="H852" s="215"/>
      <c r="I852" s="216"/>
    </row>
    <row r="853" spans="1:9" ht="14.4" x14ac:dyDescent="0.3">
      <c r="A853" s="197"/>
      <c r="B853" s="198"/>
      <c r="C853" s="199"/>
      <c r="D853" s="200"/>
      <c r="E853" s="202"/>
      <c r="F853" s="212"/>
      <c r="G853" s="201"/>
      <c r="H853" s="215"/>
      <c r="I853" s="216"/>
    </row>
    <row r="854" spans="1:9" ht="14.4" x14ac:dyDescent="0.3">
      <c r="A854" s="197"/>
      <c r="B854" s="198"/>
      <c r="C854" s="199"/>
      <c r="D854" s="200"/>
      <c r="E854" s="201"/>
      <c r="F854" s="212"/>
      <c r="G854" s="201"/>
      <c r="H854" s="215"/>
      <c r="I854" s="216"/>
    </row>
    <row r="855" spans="1:9" ht="14.4" x14ac:dyDescent="0.3">
      <c r="A855" s="197"/>
      <c r="B855" s="198"/>
      <c r="C855" s="199"/>
      <c r="D855" s="200"/>
      <c r="E855" s="201"/>
      <c r="F855" s="212"/>
      <c r="G855" s="201"/>
      <c r="H855" s="215"/>
      <c r="I855" s="216"/>
    </row>
    <row r="856" spans="1:9" ht="14.4" x14ac:dyDescent="0.3">
      <c r="A856" s="197"/>
      <c r="B856" s="203"/>
      <c r="C856" s="204"/>
      <c r="D856" s="205"/>
      <c r="E856" s="206"/>
      <c r="F856" s="218"/>
      <c r="G856" s="206"/>
      <c r="H856" s="219"/>
      <c r="I856" s="220"/>
    </row>
    <row r="857" spans="1:9" ht="15" thickBot="1" x14ac:dyDescent="0.35">
      <c r="A857" s="207"/>
      <c r="B857" s="208"/>
      <c r="C857" s="209"/>
      <c r="D857" s="210"/>
      <c r="E857" s="211"/>
      <c r="F857" s="221"/>
      <c r="G857" s="211"/>
      <c r="H857" s="222"/>
      <c r="I857" s="223"/>
    </row>
    <row r="858" spans="1:9" ht="14.4" thickBot="1" x14ac:dyDescent="0.35"/>
    <row r="859" spans="1:9" ht="14.4" thickBot="1" x14ac:dyDescent="0.35">
      <c r="A859" s="226" t="s">
        <v>1204</v>
      </c>
      <c r="B859" s="224" t="s">
        <v>1205</v>
      </c>
      <c r="C859" s="224" t="s">
        <v>1206</v>
      </c>
      <c r="D859" s="224" t="s">
        <v>1207</v>
      </c>
      <c r="E859" s="368" t="s">
        <v>1208</v>
      </c>
      <c r="F859" s="368"/>
      <c r="G859" s="368"/>
      <c r="H859" s="224" t="s">
        <v>1209</v>
      </c>
      <c r="I859" s="225" t="s">
        <v>1210</v>
      </c>
    </row>
    <row r="860" spans="1:9" ht="14.4" x14ac:dyDescent="0.3">
      <c r="A860" s="197"/>
      <c r="B860" s="193"/>
      <c r="C860" s="194"/>
      <c r="D860" s="195"/>
      <c r="E860" s="196"/>
      <c r="F860" s="212"/>
      <c r="G860" s="196"/>
      <c r="H860" s="213"/>
      <c r="I860" s="214"/>
    </row>
    <row r="861" spans="1:9" ht="14.4" x14ac:dyDescent="0.3">
      <c r="A861" s="197"/>
      <c r="B861" s="198"/>
      <c r="C861" s="199"/>
      <c r="D861" s="200"/>
      <c r="E861" s="201"/>
      <c r="F861" s="212"/>
      <c r="G861" s="201"/>
      <c r="H861" s="215"/>
      <c r="I861" s="216"/>
    </row>
    <row r="862" spans="1:9" ht="14.4" x14ac:dyDescent="0.3">
      <c r="A862" s="197"/>
      <c r="B862" s="198"/>
      <c r="C862" s="199"/>
      <c r="D862" s="200"/>
      <c r="E862" s="201"/>
      <c r="F862" s="212"/>
      <c r="G862" s="201"/>
      <c r="H862" s="215"/>
      <c r="I862" s="216"/>
    </row>
    <row r="863" spans="1:9" ht="14.4" x14ac:dyDescent="0.3">
      <c r="A863" s="197"/>
      <c r="B863" s="198"/>
      <c r="C863" s="199"/>
      <c r="D863" s="200"/>
      <c r="E863" s="201"/>
      <c r="F863" s="212"/>
      <c r="G863" s="201"/>
      <c r="H863" s="215"/>
      <c r="I863" s="217"/>
    </row>
    <row r="864" spans="1:9" ht="14.4" x14ac:dyDescent="0.3">
      <c r="A864" s="197"/>
      <c r="B864" s="198"/>
      <c r="C864" s="199"/>
      <c r="D864" s="200"/>
      <c r="E864" s="196"/>
      <c r="F864" s="212"/>
      <c r="G864" s="196"/>
      <c r="H864" s="215"/>
      <c r="I864" s="217"/>
    </row>
    <row r="865" spans="1:9" ht="14.4" x14ac:dyDescent="0.3">
      <c r="A865" s="197"/>
      <c r="B865" s="198"/>
      <c r="C865" s="199"/>
      <c r="D865" s="200"/>
      <c r="E865" s="196"/>
      <c r="F865" s="212"/>
      <c r="G865" s="196"/>
      <c r="H865" s="215"/>
      <c r="I865" s="216"/>
    </row>
    <row r="866" spans="1:9" ht="14.4" x14ac:dyDescent="0.3">
      <c r="A866" s="197"/>
      <c r="B866" s="198"/>
      <c r="C866" s="199"/>
      <c r="D866" s="200"/>
      <c r="E866" s="201"/>
      <c r="F866" s="212"/>
      <c r="G866" s="201"/>
      <c r="H866" s="215"/>
      <c r="I866" s="216"/>
    </row>
    <row r="867" spans="1:9" ht="14.4" x14ac:dyDescent="0.3">
      <c r="A867" s="197"/>
      <c r="B867" s="198"/>
      <c r="C867" s="199"/>
      <c r="D867" s="200"/>
      <c r="E867" s="202"/>
      <c r="F867" s="212"/>
      <c r="G867" s="201"/>
      <c r="H867" s="215"/>
      <c r="I867" s="216"/>
    </row>
    <row r="868" spans="1:9" ht="14.4" x14ac:dyDescent="0.3">
      <c r="A868" s="197"/>
      <c r="B868" s="198"/>
      <c r="C868" s="199"/>
      <c r="D868" s="200"/>
      <c r="E868" s="201"/>
      <c r="F868" s="212"/>
      <c r="G868" s="201"/>
      <c r="H868" s="215"/>
      <c r="I868" s="216"/>
    </row>
    <row r="869" spans="1:9" ht="14.4" x14ac:dyDescent="0.3">
      <c r="A869" s="197"/>
      <c r="B869" s="198"/>
      <c r="C869" s="199"/>
      <c r="D869" s="200"/>
      <c r="E869" s="201"/>
      <c r="F869" s="212"/>
      <c r="G869" s="201"/>
      <c r="H869" s="215"/>
      <c r="I869" s="216"/>
    </row>
    <row r="870" spans="1:9" ht="14.4" x14ac:dyDescent="0.3">
      <c r="A870" s="197"/>
      <c r="B870" s="203"/>
      <c r="C870" s="204"/>
      <c r="D870" s="205"/>
      <c r="E870" s="206"/>
      <c r="F870" s="218"/>
      <c r="G870" s="206"/>
      <c r="H870" s="219"/>
      <c r="I870" s="220"/>
    </row>
    <row r="871" spans="1:9" ht="15" thickBot="1" x14ac:dyDescent="0.35">
      <c r="A871" s="207"/>
      <c r="B871" s="208"/>
      <c r="C871" s="209"/>
      <c r="D871" s="210"/>
      <c r="E871" s="211"/>
      <c r="F871" s="221"/>
      <c r="G871" s="211"/>
      <c r="H871" s="222"/>
      <c r="I871" s="223"/>
    </row>
    <row r="872" spans="1:9" ht="14.4" thickBot="1" x14ac:dyDescent="0.35"/>
    <row r="873" spans="1:9" ht="14.4" thickBot="1" x14ac:dyDescent="0.35">
      <c r="A873" s="226" t="s">
        <v>1204</v>
      </c>
      <c r="B873" s="224" t="s">
        <v>1205</v>
      </c>
      <c r="C873" s="224" t="s">
        <v>1206</v>
      </c>
      <c r="D873" s="224" t="s">
        <v>1207</v>
      </c>
      <c r="E873" s="368" t="s">
        <v>1208</v>
      </c>
      <c r="F873" s="368"/>
      <c r="G873" s="368"/>
      <c r="H873" s="224" t="s">
        <v>1209</v>
      </c>
      <c r="I873" s="225" t="s">
        <v>1210</v>
      </c>
    </row>
    <row r="874" spans="1:9" ht="14.4" x14ac:dyDescent="0.3">
      <c r="A874" s="197"/>
      <c r="B874" s="193"/>
      <c r="C874" s="194"/>
      <c r="D874" s="195"/>
      <c r="E874" s="196"/>
      <c r="F874" s="212"/>
      <c r="G874" s="196"/>
      <c r="H874" s="213"/>
      <c r="I874" s="214"/>
    </row>
    <row r="875" spans="1:9" ht="14.4" x14ac:dyDescent="0.3">
      <c r="A875" s="197"/>
      <c r="B875" s="198"/>
      <c r="C875" s="199"/>
      <c r="D875" s="200"/>
      <c r="E875" s="201"/>
      <c r="F875" s="212"/>
      <c r="G875" s="201"/>
      <c r="H875" s="215"/>
      <c r="I875" s="216"/>
    </row>
    <row r="876" spans="1:9" ht="14.4" x14ac:dyDescent="0.3">
      <c r="A876" s="197"/>
      <c r="B876" s="198"/>
      <c r="C876" s="199"/>
      <c r="D876" s="200"/>
      <c r="E876" s="201"/>
      <c r="F876" s="212"/>
      <c r="G876" s="201"/>
      <c r="H876" s="215"/>
      <c r="I876" s="216"/>
    </row>
    <row r="877" spans="1:9" ht="14.4" x14ac:dyDescent="0.3">
      <c r="A877" s="197"/>
      <c r="B877" s="198"/>
      <c r="C877" s="199"/>
      <c r="D877" s="200"/>
      <c r="E877" s="201"/>
      <c r="F877" s="212"/>
      <c r="G877" s="201"/>
      <c r="H877" s="215"/>
      <c r="I877" s="217"/>
    </row>
    <row r="878" spans="1:9" ht="14.4" x14ac:dyDescent="0.3">
      <c r="A878" s="197"/>
      <c r="B878" s="198"/>
      <c r="C878" s="199"/>
      <c r="D878" s="200"/>
      <c r="E878" s="196"/>
      <c r="F878" s="212"/>
      <c r="G878" s="196"/>
      <c r="H878" s="215"/>
      <c r="I878" s="217"/>
    </row>
    <row r="879" spans="1:9" ht="14.4" x14ac:dyDescent="0.3">
      <c r="A879" s="197"/>
      <c r="B879" s="198"/>
      <c r="C879" s="199"/>
      <c r="D879" s="200"/>
      <c r="E879" s="196"/>
      <c r="F879" s="212"/>
      <c r="G879" s="196"/>
      <c r="H879" s="215"/>
      <c r="I879" s="216"/>
    </row>
    <row r="880" spans="1:9" ht="14.4" x14ac:dyDescent="0.3">
      <c r="A880" s="197"/>
      <c r="B880" s="198"/>
      <c r="C880" s="199"/>
      <c r="D880" s="200"/>
      <c r="E880" s="201"/>
      <c r="F880" s="212"/>
      <c r="G880" s="201"/>
      <c r="H880" s="215"/>
      <c r="I880" s="216"/>
    </row>
    <row r="881" spans="1:9" ht="14.4" x14ac:dyDescent="0.3">
      <c r="A881" s="197"/>
      <c r="B881" s="198"/>
      <c r="C881" s="199"/>
      <c r="D881" s="200"/>
      <c r="E881" s="202"/>
      <c r="F881" s="212"/>
      <c r="G881" s="201"/>
      <c r="H881" s="215"/>
      <c r="I881" s="216"/>
    </row>
    <row r="882" spans="1:9" ht="14.4" x14ac:dyDescent="0.3">
      <c r="A882" s="197"/>
      <c r="B882" s="198"/>
      <c r="C882" s="199"/>
      <c r="D882" s="200"/>
      <c r="E882" s="201"/>
      <c r="F882" s="212"/>
      <c r="G882" s="201"/>
      <c r="H882" s="215"/>
      <c r="I882" s="216"/>
    </row>
    <row r="883" spans="1:9" ht="14.4" x14ac:dyDescent="0.3">
      <c r="A883" s="197"/>
      <c r="B883" s="198"/>
      <c r="C883" s="199"/>
      <c r="D883" s="200"/>
      <c r="E883" s="201"/>
      <c r="F883" s="212"/>
      <c r="G883" s="201"/>
      <c r="H883" s="215"/>
      <c r="I883" s="216"/>
    </row>
    <row r="884" spans="1:9" ht="14.4" x14ac:dyDescent="0.3">
      <c r="A884" s="197"/>
      <c r="B884" s="203"/>
      <c r="C884" s="204"/>
      <c r="D884" s="205"/>
      <c r="E884" s="206"/>
      <c r="F884" s="218"/>
      <c r="G884" s="206"/>
      <c r="H884" s="219"/>
      <c r="I884" s="220"/>
    </row>
    <row r="885" spans="1:9" ht="15" thickBot="1" x14ac:dyDescent="0.35">
      <c r="A885" s="207"/>
      <c r="B885" s="208"/>
      <c r="C885" s="209"/>
      <c r="D885" s="210"/>
      <c r="E885" s="211"/>
      <c r="F885" s="221"/>
      <c r="G885" s="211"/>
      <c r="H885" s="222"/>
      <c r="I885" s="223"/>
    </row>
    <row r="886" spans="1:9" ht="14.4" thickBot="1" x14ac:dyDescent="0.35"/>
    <row r="887" spans="1:9" ht="14.4" thickBot="1" x14ac:dyDescent="0.35">
      <c r="A887" s="226" t="s">
        <v>1204</v>
      </c>
      <c r="B887" s="224" t="s">
        <v>1205</v>
      </c>
      <c r="C887" s="224" t="s">
        <v>1206</v>
      </c>
      <c r="D887" s="224" t="s">
        <v>1207</v>
      </c>
      <c r="E887" s="368" t="s">
        <v>1208</v>
      </c>
      <c r="F887" s="368"/>
      <c r="G887" s="368"/>
      <c r="H887" s="224" t="s">
        <v>1209</v>
      </c>
      <c r="I887" s="225" t="s">
        <v>1210</v>
      </c>
    </row>
    <row r="888" spans="1:9" ht="14.4" x14ac:dyDescent="0.3">
      <c r="A888" s="197"/>
      <c r="B888" s="193"/>
      <c r="C888" s="194"/>
      <c r="D888" s="195"/>
      <c r="E888" s="196"/>
      <c r="F888" s="212"/>
      <c r="G888" s="196"/>
      <c r="H888" s="213"/>
      <c r="I888" s="214"/>
    </row>
    <row r="889" spans="1:9" ht="14.4" x14ac:dyDescent="0.3">
      <c r="A889" s="197"/>
      <c r="B889" s="198"/>
      <c r="C889" s="199"/>
      <c r="D889" s="200"/>
      <c r="E889" s="201"/>
      <c r="F889" s="212"/>
      <c r="G889" s="201"/>
      <c r="H889" s="215"/>
      <c r="I889" s="216"/>
    </row>
    <row r="890" spans="1:9" ht="14.4" x14ac:dyDescent="0.3">
      <c r="A890" s="197"/>
      <c r="B890" s="198"/>
      <c r="C890" s="199"/>
      <c r="D890" s="200"/>
      <c r="E890" s="201"/>
      <c r="F890" s="212"/>
      <c r="G890" s="201"/>
      <c r="H890" s="215"/>
      <c r="I890" s="216"/>
    </row>
    <row r="891" spans="1:9" ht="14.4" x14ac:dyDescent="0.3">
      <c r="A891" s="197"/>
      <c r="B891" s="198"/>
      <c r="C891" s="199"/>
      <c r="D891" s="200"/>
      <c r="E891" s="201"/>
      <c r="F891" s="212"/>
      <c r="G891" s="201"/>
      <c r="H891" s="215"/>
      <c r="I891" s="217"/>
    </row>
    <row r="892" spans="1:9" ht="14.4" x14ac:dyDescent="0.3">
      <c r="A892" s="197"/>
      <c r="B892" s="198"/>
      <c r="C892" s="199"/>
      <c r="D892" s="200"/>
      <c r="E892" s="196"/>
      <c r="F892" s="212"/>
      <c r="G892" s="196"/>
      <c r="H892" s="215"/>
      <c r="I892" s="217"/>
    </row>
    <row r="893" spans="1:9" ht="14.4" x14ac:dyDescent="0.3">
      <c r="A893" s="197"/>
      <c r="B893" s="198"/>
      <c r="C893" s="199"/>
      <c r="D893" s="200"/>
      <c r="E893" s="196"/>
      <c r="F893" s="212"/>
      <c r="G893" s="196"/>
      <c r="H893" s="215"/>
      <c r="I893" s="216"/>
    </row>
    <row r="894" spans="1:9" ht="14.4" x14ac:dyDescent="0.3">
      <c r="A894" s="197"/>
      <c r="B894" s="198"/>
      <c r="C894" s="199"/>
      <c r="D894" s="200"/>
      <c r="E894" s="201"/>
      <c r="F894" s="212"/>
      <c r="G894" s="201"/>
      <c r="H894" s="215"/>
      <c r="I894" s="216"/>
    </row>
    <row r="895" spans="1:9" ht="14.4" x14ac:dyDescent="0.3">
      <c r="A895" s="197"/>
      <c r="B895" s="198"/>
      <c r="C895" s="199"/>
      <c r="D895" s="200"/>
      <c r="E895" s="202"/>
      <c r="F895" s="212"/>
      <c r="G895" s="201"/>
      <c r="H895" s="215"/>
      <c r="I895" s="216"/>
    </row>
    <row r="896" spans="1:9" ht="14.4" x14ac:dyDescent="0.3">
      <c r="A896" s="197"/>
      <c r="B896" s="198"/>
      <c r="C896" s="199"/>
      <c r="D896" s="200"/>
      <c r="E896" s="201"/>
      <c r="F896" s="212"/>
      <c r="G896" s="201"/>
      <c r="H896" s="215"/>
      <c r="I896" s="216"/>
    </row>
    <row r="897" spans="1:9" ht="14.4" x14ac:dyDescent="0.3">
      <c r="A897" s="197"/>
      <c r="B897" s="198"/>
      <c r="C897" s="199"/>
      <c r="D897" s="200"/>
      <c r="E897" s="201"/>
      <c r="F897" s="212"/>
      <c r="G897" s="201"/>
      <c r="H897" s="215"/>
      <c r="I897" s="216"/>
    </row>
    <row r="898" spans="1:9" ht="14.4" x14ac:dyDescent="0.3">
      <c r="A898" s="197"/>
      <c r="B898" s="203"/>
      <c r="C898" s="204"/>
      <c r="D898" s="205"/>
      <c r="E898" s="206"/>
      <c r="F898" s="218"/>
      <c r="G898" s="206"/>
      <c r="H898" s="219"/>
      <c r="I898" s="220"/>
    </row>
    <row r="899" spans="1:9" ht="15" thickBot="1" x14ac:dyDescent="0.35">
      <c r="A899" s="207"/>
      <c r="B899" s="208"/>
      <c r="C899" s="209"/>
      <c r="D899" s="210"/>
      <c r="E899" s="211"/>
      <c r="F899" s="221"/>
      <c r="G899" s="211"/>
      <c r="H899" s="222"/>
      <c r="I899" s="223"/>
    </row>
    <row r="900" spans="1:9" ht="14.4" thickBot="1" x14ac:dyDescent="0.35"/>
    <row r="901" spans="1:9" ht="14.4" thickBot="1" x14ac:dyDescent="0.35">
      <c r="A901" s="226" t="s">
        <v>1204</v>
      </c>
      <c r="B901" s="224" t="s">
        <v>1205</v>
      </c>
      <c r="C901" s="224" t="s">
        <v>1206</v>
      </c>
      <c r="D901" s="224" t="s">
        <v>1207</v>
      </c>
      <c r="E901" s="368" t="s">
        <v>1208</v>
      </c>
      <c r="F901" s="368"/>
      <c r="G901" s="368"/>
      <c r="H901" s="224" t="s">
        <v>1209</v>
      </c>
      <c r="I901" s="225" t="s">
        <v>1210</v>
      </c>
    </row>
    <row r="902" spans="1:9" ht="14.4" x14ac:dyDescent="0.3">
      <c r="A902" s="197"/>
      <c r="B902" s="193"/>
      <c r="C902" s="194"/>
      <c r="D902" s="195"/>
      <c r="E902" s="196"/>
      <c r="F902" s="212"/>
      <c r="G902" s="196"/>
      <c r="H902" s="213"/>
      <c r="I902" s="214"/>
    </row>
    <row r="903" spans="1:9" ht="14.4" x14ac:dyDescent="0.3">
      <c r="A903" s="197"/>
      <c r="B903" s="198"/>
      <c r="C903" s="199"/>
      <c r="D903" s="200"/>
      <c r="E903" s="201"/>
      <c r="F903" s="212"/>
      <c r="G903" s="201"/>
      <c r="H903" s="215"/>
      <c r="I903" s="216"/>
    </row>
    <row r="904" spans="1:9" ht="14.4" x14ac:dyDescent="0.3">
      <c r="A904" s="197"/>
      <c r="B904" s="198"/>
      <c r="C904" s="199"/>
      <c r="D904" s="200"/>
      <c r="E904" s="201"/>
      <c r="F904" s="212"/>
      <c r="G904" s="201"/>
      <c r="H904" s="215"/>
      <c r="I904" s="216"/>
    </row>
    <row r="905" spans="1:9" ht="14.4" x14ac:dyDescent="0.3">
      <c r="A905" s="197"/>
      <c r="B905" s="198"/>
      <c r="C905" s="199"/>
      <c r="D905" s="200"/>
      <c r="E905" s="201"/>
      <c r="F905" s="212"/>
      <c r="G905" s="201"/>
      <c r="H905" s="215"/>
      <c r="I905" s="217"/>
    </row>
    <row r="906" spans="1:9" ht="14.4" x14ac:dyDescent="0.3">
      <c r="A906" s="197"/>
      <c r="B906" s="198"/>
      <c r="C906" s="199"/>
      <c r="D906" s="200"/>
      <c r="E906" s="196"/>
      <c r="F906" s="212"/>
      <c r="G906" s="196"/>
      <c r="H906" s="215"/>
      <c r="I906" s="217"/>
    </row>
    <row r="907" spans="1:9" ht="14.4" x14ac:dyDescent="0.3">
      <c r="A907" s="197"/>
      <c r="B907" s="198"/>
      <c r="C907" s="199"/>
      <c r="D907" s="200"/>
      <c r="E907" s="196"/>
      <c r="F907" s="212"/>
      <c r="G907" s="196"/>
      <c r="H907" s="215"/>
      <c r="I907" s="216"/>
    </row>
    <row r="908" spans="1:9" ht="14.4" x14ac:dyDescent="0.3">
      <c r="A908" s="197"/>
      <c r="B908" s="198"/>
      <c r="C908" s="199"/>
      <c r="D908" s="200"/>
      <c r="E908" s="201"/>
      <c r="F908" s="212"/>
      <c r="G908" s="201"/>
      <c r="H908" s="215"/>
      <c r="I908" s="216"/>
    </row>
    <row r="909" spans="1:9" ht="14.4" x14ac:dyDescent="0.3">
      <c r="A909" s="197"/>
      <c r="B909" s="198"/>
      <c r="C909" s="199"/>
      <c r="D909" s="200"/>
      <c r="E909" s="202"/>
      <c r="F909" s="212"/>
      <c r="G909" s="201"/>
      <c r="H909" s="215"/>
      <c r="I909" s="216"/>
    </row>
    <row r="910" spans="1:9" ht="14.4" x14ac:dyDescent="0.3">
      <c r="A910" s="197"/>
      <c r="B910" s="198"/>
      <c r="C910" s="199"/>
      <c r="D910" s="200"/>
      <c r="E910" s="201"/>
      <c r="F910" s="212"/>
      <c r="G910" s="201"/>
      <c r="H910" s="215"/>
      <c r="I910" s="216"/>
    </row>
    <row r="911" spans="1:9" ht="14.4" x14ac:dyDescent="0.3">
      <c r="A911" s="197"/>
      <c r="B911" s="198"/>
      <c r="C911" s="199"/>
      <c r="D911" s="200"/>
      <c r="E911" s="201"/>
      <c r="F911" s="212"/>
      <c r="G911" s="201"/>
      <c r="H911" s="215"/>
      <c r="I911" s="216"/>
    </row>
    <row r="912" spans="1:9" ht="14.4" x14ac:dyDescent="0.3">
      <c r="A912" s="197"/>
      <c r="B912" s="203"/>
      <c r="C912" s="204"/>
      <c r="D912" s="205"/>
      <c r="E912" s="206"/>
      <c r="F912" s="218"/>
      <c r="G912" s="206"/>
      <c r="H912" s="219"/>
      <c r="I912" s="220"/>
    </row>
    <row r="913" spans="1:9" ht="15" thickBot="1" x14ac:dyDescent="0.35">
      <c r="A913" s="207"/>
      <c r="B913" s="208"/>
      <c r="C913" s="209"/>
      <c r="D913" s="210"/>
      <c r="E913" s="211"/>
      <c r="F913" s="221"/>
      <c r="G913" s="211"/>
      <c r="H913" s="222"/>
      <c r="I913" s="223"/>
    </row>
    <row r="914" spans="1:9" ht="14.4" thickBot="1" x14ac:dyDescent="0.35"/>
    <row r="915" spans="1:9" ht="14.4" thickBot="1" x14ac:dyDescent="0.35">
      <c r="A915" s="226" t="s">
        <v>1204</v>
      </c>
      <c r="B915" s="224" t="s">
        <v>1205</v>
      </c>
      <c r="C915" s="224" t="s">
        <v>1206</v>
      </c>
      <c r="D915" s="224" t="s">
        <v>1207</v>
      </c>
      <c r="E915" s="368" t="s">
        <v>1208</v>
      </c>
      <c r="F915" s="368"/>
      <c r="G915" s="368"/>
      <c r="H915" s="224" t="s">
        <v>1209</v>
      </c>
      <c r="I915" s="225" t="s">
        <v>1210</v>
      </c>
    </row>
    <row r="916" spans="1:9" ht="14.4" x14ac:dyDescent="0.3">
      <c r="A916" s="197"/>
      <c r="B916" s="193"/>
      <c r="C916" s="194"/>
      <c r="D916" s="195"/>
      <c r="E916" s="196"/>
      <c r="F916" s="212"/>
      <c r="G916" s="196"/>
      <c r="H916" s="213"/>
      <c r="I916" s="214"/>
    </row>
    <row r="917" spans="1:9" ht="14.4" x14ac:dyDescent="0.3">
      <c r="A917" s="197"/>
      <c r="B917" s="198"/>
      <c r="C917" s="199"/>
      <c r="D917" s="200"/>
      <c r="E917" s="201"/>
      <c r="F917" s="212"/>
      <c r="G917" s="201"/>
      <c r="H917" s="215"/>
      <c r="I917" s="216"/>
    </row>
    <row r="918" spans="1:9" ht="14.4" x14ac:dyDescent="0.3">
      <c r="A918" s="197"/>
      <c r="B918" s="198"/>
      <c r="C918" s="199"/>
      <c r="D918" s="200"/>
      <c r="E918" s="201"/>
      <c r="F918" s="212"/>
      <c r="G918" s="201"/>
      <c r="H918" s="215"/>
      <c r="I918" s="216"/>
    </row>
    <row r="919" spans="1:9" ht="14.4" x14ac:dyDescent="0.3">
      <c r="A919" s="197"/>
      <c r="B919" s="198"/>
      <c r="C919" s="199"/>
      <c r="D919" s="200"/>
      <c r="E919" s="201"/>
      <c r="F919" s="212"/>
      <c r="G919" s="201"/>
      <c r="H919" s="215"/>
      <c r="I919" s="217"/>
    </row>
    <row r="920" spans="1:9" ht="14.4" x14ac:dyDescent="0.3">
      <c r="A920" s="197"/>
      <c r="B920" s="198"/>
      <c r="C920" s="199"/>
      <c r="D920" s="200"/>
      <c r="E920" s="196"/>
      <c r="F920" s="212"/>
      <c r="G920" s="196"/>
      <c r="H920" s="215"/>
      <c r="I920" s="217"/>
    </row>
    <row r="921" spans="1:9" ht="14.4" x14ac:dyDescent="0.3">
      <c r="A921" s="197"/>
      <c r="B921" s="198"/>
      <c r="C921" s="199"/>
      <c r="D921" s="200"/>
      <c r="E921" s="196"/>
      <c r="F921" s="212"/>
      <c r="G921" s="196"/>
      <c r="H921" s="215"/>
      <c r="I921" s="216"/>
    </row>
    <row r="922" spans="1:9" ht="14.4" x14ac:dyDescent="0.3">
      <c r="A922" s="197"/>
      <c r="B922" s="198"/>
      <c r="C922" s="199"/>
      <c r="D922" s="200"/>
      <c r="E922" s="201"/>
      <c r="F922" s="212"/>
      <c r="G922" s="201"/>
      <c r="H922" s="215"/>
      <c r="I922" s="216"/>
    </row>
    <row r="923" spans="1:9" ht="14.4" x14ac:dyDescent="0.3">
      <c r="A923" s="197"/>
      <c r="B923" s="198"/>
      <c r="C923" s="199"/>
      <c r="D923" s="200"/>
      <c r="E923" s="202"/>
      <c r="F923" s="212"/>
      <c r="G923" s="201"/>
      <c r="H923" s="215"/>
      <c r="I923" s="216"/>
    </row>
    <row r="924" spans="1:9" ht="14.4" x14ac:dyDescent="0.3">
      <c r="A924" s="197"/>
      <c r="B924" s="198"/>
      <c r="C924" s="199"/>
      <c r="D924" s="200"/>
      <c r="E924" s="201"/>
      <c r="F924" s="212"/>
      <c r="G924" s="201"/>
      <c r="H924" s="215"/>
      <c r="I924" s="216"/>
    </row>
    <row r="925" spans="1:9" ht="14.4" x14ac:dyDescent="0.3">
      <c r="A925" s="197"/>
      <c r="B925" s="198"/>
      <c r="C925" s="199"/>
      <c r="D925" s="200"/>
      <c r="E925" s="201"/>
      <c r="F925" s="212"/>
      <c r="G925" s="201"/>
      <c r="H925" s="215"/>
      <c r="I925" s="216"/>
    </row>
    <row r="926" spans="1:9" ht="14.4" x14ac:dyDescent="0.3">
      <c r="A926" s="197"/>
      <c r="B926" s="203"/>
      <c r="C926" s="204"/>
      <c r="D926" s="205"/>
      <c r="E926" s="206"/>
      <c r="F926" s="218"/>
      <c r="G926" s="206"/>
      <c r="H926" s="219"/>
      <c r="I926" s="220"/>
    </row>
    <row r="927" spans="1:9" ht="15" thickBot="1" x14ac:dyDescent="0.35">
      <c r="A927" s="207"/>
      <c r="B927" s="208"/>
      <c r="C927" s="209"/>
      <c r="D927" s="210"/>
      <c r="E927" s="211"/>
      <c r="F927" s="221"/>
      <c r="G927" s="211"/>
      <c r="H927" s="222"/>
      <c r="I927" s="223"/>
    </row>
    <row r="928" spans="1:9" ht="14.4" thickBot="1" x14ac:dyDescent="0.35"/>
    <row r="929" spans="1:9" ht="14.4" thickBot="1" x14ac:dyDescent="0.35">
      <c r="A929" s="226" t="s">
        <v>1204</v>
      </c>
      <c r="B929" s="224" t="s">
        <v>1205</v>
      </c>
      <c r="C929" s="224" t="s">
        <v>1206</v>
      </c>
      <c r="D929" s="224" t="s">
        <v>1207</v>
      </c>
      <c r="E929" s="368" t="s">
        <v>1208</v>
      </c>
      <c r="F929" s="368"/>
      <c r="G929" s="368"/>
      <c r="H929" s="224" t="s">
        <v>1209</v>
      </c>
      <c r="I929" s="225" t="s">
        <v>1210</v>
      </c>
    </row>
    <row r="930" spans="1:9" ht="14.4" x14ac:dyDescent="0.3">
      <c r="A930" s="197"/>
      <c r="B930" s="193"/>
      <c r="C930" s="194"/>
      <c r="D930" s="195"/>
      <c r="E930" s="196"/>
      <c r="F930" s="212"/>
      <c r="G930" s="196"/>
      <c r="H930" s="213"/>
      <c r="I930" s="214"/>
    </row>
    <row r="931" spans="1:9" ht="14.4" x14ac:dyDescent="0.3">
      <c r="A931" s="197"/>
      <c r="B931" s="198"/>
      <c r="C931" s="199"/>
      <c r="D931" s="200"/>
      <c r="E931" s="201"/>
      <c r="F931" s="212"/>
      <c r="G931" s="201"/>
      <c r="H931" s="215"/>
      <c r="I931" s="216"/>
    </row>
    <row r="932" spans="1:9" ht="14.4" x14ac:dyDescent="0.3">
      <c r="A932" s="197"/>
      <c r="B932" s="198"/>
      <c r="C932" s="199"/>
      <c r="D932" s="200"/>
      <c r="E932" s="201"/>
      <c r="F932" s="212"/>
      <c r="G932" s="201"/>
      <c r="H932" s="215"/>
      <c r="I932" s="216"/>
    </row>
    <row r="933" spans="1:9" ht="14.4" x14ac:dyDescent="0.3">
      <c r="A933" s="197"/>
      <c r="B933" s="198"/>
      <c r="C933" s="199"/>
      <c r="D933" s="200"/>
      <c r="E933" s="201"/>
      <c r="F933" s="212"/>
      <c r="G933" s="201"/>
      <c r="H933" s="215"/>
      <c r="I933" s="217"/>
    </row>
    <row r="934" spans="1:9" ht="14.4" x14ac:dyDescent="0.3">
      <c r="A934" s="197"/>
      <c r="B934" s="198"/>
      <c r="C934" s="199"/>
      <c r="D934" s="200"/>
      <c r="E934" s="196"/>
      <c r="F934" s="212"/>
      <c r="G934" s="196"/>
      <c r="H934" s="215"/>
      <c r="I934" s="217"/>
    </row>
    <row r="935" spans="1:9" ht="14.4" x14ac:dyDescent="0.3">
      <c r="A935" s="197"/>
      <c r="B935" s="198"/>
      <c r="C935" s="199"/>
      <c r="D935" s="200"/>
      <c r="E935" s="196"/>
      <c r="F935" s="212"/>
      <c r="G935" s="196"/>
      <c r="H935" s="215"/>
      <c r="I935" s="216"/>
    </row>
    <row r="936" spans="1:9" ht="14.4" x14ac:dyDescent="0.3">
      <c r="A936" s="197"/>
      <c r="B936" s="198"/>
      <c r="C936" s="199"/>
      <c r="D936" s="200"/>
      <c r="E936" s="201"/>
      <c r="F936" s="212"/>
      <c r="G936" s="201"/>
      <c r="H936" s="215"/>
      <c r="I936" s="216"/>
    </row>
    <row r="937" spans="1:9" ht="14.4" x14ac:dyDescent="0.3">
      <c r="A937" s="197"/>
      <c r="B937" s="198"/>
      <c r="C937" s="199"/>
      <c r="D937" s="200"/>
      <c r="E937" s="202"/>
      <c r="F937" s="212"/>
      <c r="G937" s="201"/>
      <c r="H937" s="215"/>
      <c r="I937" s="216"/>
    </row>
    <row r="938" spans="1:9" ht="14.4" x14ac:dyDescent="0.3">
      <c r="A938" s="197"/>
      <c r="B938" s="198"/>
      <c r="C938" s="199"/>
      <c r="D938" s="200"/>
      <c r="E938" s="201"/>
      <c r="F938" s="212"/>
      <c r="G938" s="201"/>
      <c r="H938" s="215"/>
      <c r="I938" s="216"/>
    </row>
    <row r="939" spans="1:9" ht="14.4" x14ac:dyDescent="0.3">
      <c r="A939" s="197"/>
      <c r="B939" s="198"/>
      <c r="C939" s="199"/>
      <c r="D939" s="200"/>
      <c r="E939" s="201"/>
      <c r="F939" s="212"/>
      <c r="G939" s="201"/>
      <c r="H939" s="215"/>
      <c r="I939" s="216"/>
    </row>
    <row r="940" spans="1:9" ht="14.4" x14ac:dyDescent="0.3">
      <c r="A940" s="197"/>
      <c r="B940" s="203"/>
      <c r="C940" s="204"/>
      <c r="D940" s="205"/>
      <c r="E940" s="206"/>
      <c r="F940" s="218"/>
      <c r="G940" s="206"/>
      <c r="H940" s="219"/>
      <c r="I940" s="220"/>
    </row>
    <row r="941" spans="1:9" ht="15" thickBot="1" x14ac:dyDescent="0.35">
      <c r="A941" s="207"/>
      <c r="B941" s="208"/>
      <c r="C941" s="209"/>
      <c r="D941" s="210"/>
      <c r="E941" s="211"/>
      <c r="F941" s="221"/>
      <c r="G941" s="211"/>
      <c r="H941" s="222"/>
      <c r="I941" s="223"/>
    </row>
    <row r="942" spans="1:9" ht="14.4" thickBot="1" x14ac:dyDescent="0.35"/>
    <row r="943" spans="1:9" ht="14.4" thickBot="1" x14ac:dyDescent="0.35">
      <c r="A943" s="226" t="s">
        <v>1204</v>
      </c>
      <c r="B943" s="224" t="s">
        <v>1205</v>
      </c>
      <c r="C943" s="224" t="s">
        <v>1206</v>
      </c>
      <c r="D943" s="224" t="s">
        <v>1207</v>
      </c>
      <c r="E943" s="368" t="s">
        <v>1208</v>
      </c>
      <c r="F943" s="368"/>
      <c r="G943" s="368"/>
      <c r="H943" s="224" t="s">
        <v>1209</v>
      </c>
      <c r="I943" s="225" t="s">
        <v>1210</v>
      </c>
    </row>
    <row r="944" spans="1:9" ht="14.4" x14ac:dyDescent="0.3">
      <c r="A944" s="197"/>
      <c r="B944" s="193"/>
      <c r="C944" s="194"/>
      <c r="D944" s="195"/>
      <c r="E944" s="196"/>
      <c r="F944" s="212"/>
      <c r="G944" s="196"/>
      <c r="H944" s="213"/>
      <c r="I944" s="214"/>
    </row>
    <row r="945" spans="1:9" ht="14.4" x14ac:dyDescent="0.3">
      <c r="A945" s="197"/>
      <c r="B945" s="198"/>
      <c r="C945" s="199"/>
      <c r="D945" s="200"/>
      <c r="E945" s="201"/>
      <c r="F945" s="212"/>
      <c r="G945" s="201"/>
      <c r="H945" s="215"/>
      <c r="I945" s="216"/>
    </row>
    <row r="946" spans="1:9" ht="14.4" x14ac:dyDescent="0.3">
      <c r="A946" s="197"/>
      <c r="B946" s="198"/>
      <c r="C946" s="199"/>
      <c r="D946" s="200"/>
      <c r="E946" s="201"/>
      <c r="F946" s="212"/>
      <c r="G946" s="201"/>
      <c r="H946" s="215"/>
      <c r="I946" s="216"/>
    </row>
    <row r="947" spans="1:9" ht="14.4" x14ac:dyDescent="0.3">
      <c r="A947" s="197"/>
      <c r="B947" s="198"/>
      <c r="C947" s="199"/>
      <c r="D947" s="200"/>
      <c r="E947" s="201"/>
      <c r="F947" s="212"/>
      <c r="G947" s="201"/>
      <c r="H947" s="215"/>
      <c r="I947" s="217"/>
    </row>
    <row r="948" spans="1:9" ht="14.4" x14ac:dyDescent="0.3">
      <c r="A948" s="197"/>
      <c r="B948" s="198"/>
      <c r="C948" s="199"/>
      <c r="D948" s="200"/>
      <c r="E948" s="196"/>
      <c r="F948" s="212"/>
      <c r="G948" s="196"/>
      <c r="H948" s="215"/>
      <c r="I948" s="217"/>
    </row>
    <row r="949" spans="1:9" ht="14.4" x14ac:dyDescent="0.3">
      <c r="A949" s="197"/>
      <c r="B949" s="198"/>
      <c r="C949" s="199"/>
      <c r="D949" s="200"/>
      <c r="E949" s="196"/>
      <c r="F949" s="212"/>
      <c r="G949" s="196"/>
      <c r="H949" s="215"/>
      <c r="I949" s="216"/>
    </row>
    <row r="950" spans="1:9" ht="14.4" x14ac:dyDescent="0.3">
      <c r="A950" s="197"/>
      <c r="B950" s="198"/>
      <c r="C950" s="199"/>
      <c r="D950" s="200"/>
      <c r="E950" s="201"/>
      <c r="F950" s="212"/>
      <c r="G950" s="201"/>
      <c r="H950" s="215"/>
      <c r="I950" s="216"/>
    </row>
    <row r="951" spans="1:9" ht="14.4" x14ac:dyDescent="0.3">
      <c r="A951" s="197"/>
      <c r="B951" s="198"/>
      <c r="C951" s="199"/>
      <c r="D951" s="200"/>
      <c r="E951" s="202"/>
      <c r="F951" s="212"/>
      <c r="G951" s="201"/>
      <c r="H951" s="215"/>
      <c r="I951" s="216"/>
    </row>
    <row r="952" spans="1:9" ht="14.4" x14ac:dyDescent="0.3">
      <c r="A952" s="197"/>
      <c r="B952" s="198"/>
      <c r="C952" s="199"/>
      <c r="D952" s="200"/>
      <c r="E952" s="201"/>
      <c r="F952" s="212"/>
      <c r="G952" s="201"/>
      <c r="H952" s="215"/>
      <c r="I952" s="216"/>
    </row>
    <row r="953" spans="1:9" ht="14.4" x14ac:dyDescent="0.3">
      <c r="A953" s="197"/>
      <c r="B953" s="198"/>
      <c r="C953" s="199"/>
      <c r="D953" s="200"/>
      <c r="E953" s="201"/>
      <c r="F953" s="212"/>
      <c r="G953" s="201"/>
      <c r="H953" s="215"/>
      <c r="I953" s="216"/>
    </row>
    <row r="954" spans="1:9" ht="14.4" x14ac:dyDescent="0.3">
      <c r="A954" s="197"/>
      <c r="B954" s="203"/>
      <c r="C954" s="204"/>
      <c r="D954" s="205"/>
      <c r="E954" s="206"/>
      <c r="F954" s="218"/>
      <c r="G954" s="206"/>
      <c r="H954" s="219"/>
      <c r="I954" s="220"/>
    </row>
    <row r="955" spans="1:9" ht="15" thickBot="1" x14ac:dyDescent="0.35">
      <c r="A955" s="207"/>
      <c r="B955" s="208"/>
      <c r="C955" s="209"/>
      <c r="D955" s="210"/>
      <c r="E955" s="211"/>
      <c r="F955" s="221"/>
      <c r="G955" s="211"/>
      <c r="H955" s="222"/>
      <c r="I955" s="223"/>
    </row>
    <row r="956" spans="1:9" ht="14.4" thickBot="1" x14ac:dyDescent="0.35"/>
    <row r="957" spans="1:9" ht="14.4" thickBot="1" x14ac:dyDescent="0.35">
      <c r="A957" s="226" t="s">
        <v>1204</v>
      </c>
      <c r="B957" s="224" t="s">
        <v>1205</v>
      </c>
      <c r="C957" s="224" t="s">
        <v>1206</v>
      </c>
      <c r="D957" s="224" t="s">
        <v>1207</v>
      </c>
      <c r="E957" s="368" t="s">
        <v>1208</v>
      </c>
      <c r="F957" s="368"/>
      <c r="G957" s="368"/>
      <c r="H957" s="224" t="s">
        <v>1209</v>
      </c>
      <c r="I957" s="225" t="s">
        <v>1210</v>
      </c>
    </row>
    <row r="958" spans="1:9" ht="14.4" x14ac:dyDescent="0.3">
      <c r="A958" s="197"/>
      <c r="B958" s="193"/>
      <c r="C958" s="194"/>
      <c r="D958" s="195"/>
      <c r="E958" s="196"/>
      <c r="F958" s="212"/>
      <c r="G958" s="196"/>
      <c r="H958" s="213"/>
      <c r="I958" s="214"/>
    </row>
    <row r="959" spans="1:9" ht="14.4" x14ac:dyDescent="0.3">
      <c r="A959" s="197"/>
      <c r="B959" s="198"/>
      <c r="C959" s="199"/>
      <c r="D959" s="200"/>
      <c r="E959" s="201"/>
      <c r="F959" s="212"/>
      <c r="G959" s="201"/>
      <c r="H959" s="215"/>
      <c r="I959" s="216"/>
    </row>
    <row r="960" spans="1:9" ht="14.4" x14ac:dyDescent="0.3">
      <c r="A960" s="197"/>
      <c r="B960" s="198"/>
      <c r="C960" s="199"/>
      <c r="D960" s="200"/>
      <c r="E960" s="201"/>
      <c r="F960" s="212"/>
      <c r="G960" s="201"/>
      <c r="H960" s="215"/>
      <c r="I960" s="216"/>
    </row>
    <row r="961" spans="1:9" ht="14.4" x14ac:dyDescent="0.3">
      <c r="A961" s="197"/>
      <c r="B961" s="198"/>
      <c r="C961" s="199"/>
      <c r="D961" s="200"/>
      <c r="E961" s="201"/>
      <c r="F961" s="212"/>
      <c r="G961" s="201"/>
      <c r="H961" s="215"/>
      <c r="I961" s="217"/>
    </row>
    <row r="962" spans="1:9" ht="14.4" x14ac:dyDescent="0.3">
      <c r="A962" s="197"/>
      <c r="B962" s="198"/>
      <c r="C962" s="199"/>
      <c r="D962" s="200"/>
      <c r="E962" s="196"/>
      <c r="F962" s="212"/>
      <c r="G962" s="196"/>
      <c r="H962" s="215"/>
      <c r="I962" s="217"/>
    </row>
    <row r="963" spans="1:9" ht="14.4" x14ac:dyDescent="0.3">
      <c r="A963" s="197"/>
      <c r="B963" s="198"/>
      <c r="C963" s="199"/>
      <c r="D963" s="200"/>
      <c r="E963" s="196"/>
      <c r="F963" s="212"/>
      <c r="G963" s="196"/>
      <c r="H963" s="215"/>
      <c r="I963" s="216"/>
    </row>
    <row r="964" spans="1:9" ht="14.4" x14ac:dyDescent="0.3">
      <c r="A964" s="197"/>
      <c r="B964" s="198"/>
      <c r="C964" s="199"/>
      <c r="D964" s="200"/>
      <c r="E964" s="201"/>
      <c r="F964" s="212"/>
      <c r="G964" s="201"/>
      <c r="H964" s="215"/>
      <c r="I964" s="216"/>
    </row>
    <row r="965" spans="1:9" ht="14.4" x14ac:dyDescent="0.3">
      <c r="A965" s="197"/>
      <c r="B965" s="198"/>
      <c r="C965" s="199"/>
      <c r="D965" s="200"/>
      <c r="E965" s="202"/>
      <c r="F965" s="212"/>
      <c r="G965" s="201"/>
      <c r="H965" s="215"/>
      <c r="I965" s="216"/>
    </row>
    <row r="966" spans="1:9" ht="14.4" x14ac:dyDescent="0.3">
      <c r="A966" s="197"/>
      <c r="B966" s="198"/>
      <c r="C966" s="199"/>
      <c r="D966" s="200"/>
      <c r="E966" s="201"/>
      <c r="F966" s="212"/>
      <c r="G966" s="201"/>
      <c r="H966" s="215"/>
      <c r="I966" s="216"/>
    </row>
    <row r="967" spans="1:9" ht="14.4" x14ac:dyDescent="0.3">
      <c r="A967" s="197"/>
      <c r="B967" s="198"/>
      <c r="C967" s="199"/>
      <c r="D967" s="200"/>
      <c r="E967" s="201"/>
      <c r="F967" s="212"/>
      <c r="G967" s="201"/>
      <c r="H967" s="215"/>
      <c r="I967" s="216"/>
    </row>
    <row r="968" spans="1:9" ht="14.4" x14ac:dyDescent="0.3">
      <c r="A968" s="197"/>
      <c r="B968" s="203"/>
      <c r="C968" s="204"/>
      <c r="D968" s="205"/>
      <c r="E968" s="206"/>
      <c r="F968" s="218"/>
      <c r="G968" s="206"/>
      <c r="H968" s="219"/>
      <c r="I968" s="220"/>
    </row>
    <row r="969" spans="1:9" ht="15" thickBot="1" x14ac:dyDescent="0.35">
      <c r="A969" s="207"/>
      <c r="B969" s="208"/>
      <c r="C969" s="209"/>
      <c r="D969" s="210"/>
      <c r="E969" s="211"/>
      <c r="F969" s="221"/>
      <c r="G969" s="211"/>
      <c r="H969" s="222"/>
      <c r="I969" s="223"/>
    </row>
    <row r="970" spans="1:9" ht="14.4" thickBot="1" x14ac:dyDescent="0.35"/>
    <row r="971" spans="1:9" ht="14.4" thickBot="1" x14ac:dyDescent="0.35">
      <c r="A971" s="226" t="s">
        <v>1204</v>
      </c>
      <c r="B971" s="224" t="s">
        <v>1205</v>
      </c>
      <c r="C971" s="224" t="s">
        <v>1206</v>
      </c>
      <c r="D971" s="224" t="s">
        <v>1207</v>
      </c>
      <c r="E971" s="368" t="s">
        <v>1208</v>
      </c>
      <c r="F971" s="368"/>
      <c r="G971" s="368"/>
      <c r="H971" s="224" t="s">
        <v>1209</v>
      </c>
      <c r="I971" s="225" t="s">
        <v>1210</v>
      </c>
    </row>
    <row r="972" spans="1:9" ht="14.4" x14ac:dyDescent="0.3">
      <c r="A972" s="197"/>
      <c r="B972" s="193"/>
      <c r="C972" s="194"/>
      <c r="D972" s="195"/>
      <c r="E972" s="196"/>
      <c r="F972" s="212"/>
      <c r="G972" s="196"/>
      <c r="H972" s="213"/>
      <c r="I972" s="214"/>
    </row>
    <row r="973" spans="1:9" ht="14.4" x14ac:dyDescent="0.3">
      <c r="A973" s="197"/>
      <c r="B973" s="198"/>
      <c r="C973" s="199"/>
      <c r="D973" s="200"/>
      <c r="E973" s="201"/>
      <c r="F973" s="212"/>
      <c r="G973" s="201"/>
      <c r="H973" s="215"/>
      <c r="I973" s="216"/>
    </row>
    <row r="974" spans="1:9" ht="14.4" x14ac:dyDescent="0.3">
      <c r="A974" s="197"/>
      <c r="B974" s="198"/>
      <c r="C974" s="199"/>
      <c r="D974" s="200"/>
      <c r="E974" s="201"/>
      <c r="F974" s="212"/>
      <c r="G974" s="201"/>
      <c r="H974" s="215"/>
      <c r="I974" s="216"/>
    </row>
    <row r="975" spans="1:9" ht="14.4" x14ac:dyDescent="0.3">
      <c r="A975" s="197"/>
      <c r="B975" s="198"/>
      <c r="C975" s="199"/>
      <c r="D975" s="200"/>
      <c r="E975" s="201"/>
      <c r="F975" s="212"/>
      <c r="G975" s="201"/>
      <c r="H975" s="215"/>
      <c r="I975" s="217"/>
    </row>
    <row r="976" spans="1:9" ht="14.4" x14ac:dyDescent="0.3">
      <c r="A976" s="197"/>
      <c r="B976" s="198"/>
      <c r="C976" s="199"/>
      <c r="D976" s="200"/>
      <c r="E976" s="196"/>
      <c r="F976" s="212"/>
      <c r="G976" s="196"/>
      <c r="H976" s="215"/>
      <c r="I976" s="217"/>
    </row>
    <row r="977" spans="1:9" ht="14.4" x14ac:dyDescent="0.3">
      <c r="A977" s="197"/>
      <c r="B977" s="198"/>
      <c r="C977" s="199"/>
      <c r="D977" s="200"/>
      <c r="E977" s="196"/>
      <c r="F977" s="212"/>
      <c r="G977" s="196"/>
      <c r="H977" s="215"/>
      <c r="I977" s="216"/>
    </row>
    <row r="978" spans="1:9" ht="14.4" x14ac:dyDescent="0.3">
      <c r="A978" s="197"/>
      <c r="B978" s="198"/>
      <c r="C978" s="199"/>
      <c r="D978" s="200"/>
      <c r="E978" s="201"/>
      <c r="F978" s="212"/>
      <c r="G978" s="201"/>
      <c r="H978" s="215"/>
      <c r="I978" s="216"/>
    </row>
    <row r="979" spans="1:9" ht="14.4" x14ac:dyDescent="0.3">
      <c r="A979" s="197"/>
      <c r="B979" s="198"/>
      <c r="C979" s="199"/>
      <c r="D979" s="200"/>
      <c r="E979" s="202"/>
      <c r="F979" s="212"/>
      <c r="G979" s="201"/>
      <c r="H979" s="215"/>
      <c r="I979" s="216"/>
    </row>
    <row r="980" spans="1:9" ht="14.4" x14ac:dyDescent="0.3">
      <c r="A980" s="197"/>
      <c r="B980" s="198"/>
      <c r="C980" s="199"/>
      <c r="D980" s="200"/>
      <c r="E980" s="201"/>
      <c r="F980" s="212"/>
      <c r="G980" s="201"/>
      <c r="H980" s="215"/>
      <c r="I980" s="216"/>
    </row>
    <row r="981" spans="1:9" ht="14.4" x14ac:dyDescent="0.3">
      <c r="A981" s="197"/>
      <c r="B981" s="198"/>
      <c r="C981" s="199"/>
      <c r="D981" s="200"/>
      <c r="E981" s="201"/>
      <c r="F981" s="212"/>
      <c r="G981" s="201"/>
      <c r="H981" s="215"/>
      <c r="I981" s="216"/>
    </row>
    <row r="982" spans="1:9" ht="14.4" x14ac:dyDescent="0.3">
      <c r="A982" s="197"/>
      <c r="B982" s="203"/>
      <c r="C982" s="204"/>
      <c r="D982" s="205"/>
      <c r="E982" s="206"/>
      <c r="F982" s="218"/>
      <c r="G982" s="206"/>
      <c r="H982" s="219"/>
      <c r="I982" s="220"/>
    </row>
    <row r="983" spans="1:9" ht="15" thickBot="1" x14ac:dyDescent="0.35">
      <c r="A983" s="207"/>
      <c r="B983" s="208"/>
      <c r="C983" s="209"/>
      <c r="D983" s="210"/>
      <c r="E983" s="211"/>
      <c r="F983" s="221"/>
      <c r="G983" s="211"/>
      <c r="H983" s="222"/>
      <c r="I983" s="223"/>
    </row>
    <row r="984" spans="1:9" ht="14.4" thickBot="1" x14ac:dyDescent="0.35"/>
    <row r="985" spans="1:9" ht="14.4" thickBot="1" x14ac:dyDescent="0.35">
      <c r="A985" s="226" t="s">
        <v>1204</v>
      </c>
      <c r="B985" s="224" t="s">
        <v>1205</v>
      </c>
      <c r="C985" s="224" t="s">
        <v>1206</v>
      </c>
      <c r="D985" s="224" t="s">
        <v>1207</v>
      </c>
      <c r="E985" s="368" t="s">
        <v>1208</v>
      </c>
      <c r="F985" s="368"/>
      <c r="G985" s="368"/>
      <c r="H985" s="224" t="s">
        <v>1209</v>
      </c>
      <c r="I985" s="225" t="s">
        <v>1210</v>
      </c>
    </row>
    <row r="986" spans="1:9" ht="14.4" x14ac:dyDescent="0.3">
      <c r="A986" s="197"/>
      <c r="B986" s="193"/>
      <c r="C986" s="194"/>
      <c r="D986" s="195"/>
      <c r="E986" s="196"/>
      <c r="F986" s="212"/>
      <c r="G986" s="196"/>
      <c r="H986" s="213"/>
      <c r="I986" s="214"/>
    </row>
    <row r="987" spans="1:9" ht="14.4" x14ac:dyDescent="0.3">
      <c r="A987" s="197"/>
      <c r="B987" s="198"/>
      <c r="C987" s="199"/>
      <c r="D987" s="200"/>
      <c r="E987" s="201"/>
      <c r="F987" s="212"/>
      <c r="G987" s="201"/>
      <c r="H987" s="215"/>
      <c r="I987" s="216"/>
    </row>
    <row r="988" spans="1:9" ht="14.4" x14ac:dyDescent="0.3">
      <c r="A988" s="197"/>
      <c r="B988" s="198"/>
      <c r="C988" s="199"/>
      <c r="D988" s="200"/>
      <c r="E988" s="201"/>
      <c r="F988" s="212"/>
      <c r="G988" s="201"/>
      <c r="H988" s="215"/>
      <c r="I988" s="216"/>
    </row>
    <row r="989" spans="1:9" ht="14.4" x14ac:dyDescent="0.3">
      <c r="A989" s="197"/>
      <c r="B989" s="198"/>
      <c r="C989" s="199"/>
      <c r="D989" s="200"/>
      <c r="E989" s="201"/>
      <c r="F989" s="212"/>
      <c r="G989" s="201"/>
      <c r="H989" s="215"/>
      <c r="I989" s="217"/>
    </row>
    <row r="990" spans="1:9" ht="14.4" x14ac:dyDescent="0.3">
      <c r="A990" s="197"/>
      <c r="B990" s="198"/>
      <c r="C990" s="199"/>
      <c r="D990" s="200"/>
      <c r="E990" s="196"/>
      <c r="F990" s="212"/>
      <c r="G990" s="196"/>
      <c r="H990" s="215"/>
      <c r="I990" s="217"/>
    </row>
    <row r="991" spans="1:9" ht="14.4" x14ac:dyDescent="0.3">
      <c r="A991" s="197"/>
      <c r="B991" s="198"/>
      <c r="C991" s="199"/>
      <c r="D991" s="200"/>
      <c r="E991" s="196"/>
      <c r="F991" s="212"/>
      <c r="G991" s="196"/>
      <c r="H991" s="215"/>
      <c r="I991" s="216"/>
    </row>
    <row r="992" spans="1:9" ht="14.4" x14ac:dyDescent="0.3">
      <c r="A992" s="197"/>
      <c r="B992" s="198"/>
      <c r="C992" s="199"/>
      <c r="D992" s="200"/>
      <c r="E992" s="201"/>
      <c r="F992" s="212"/>
      <c r="G992" s="201"/>
      <c r="H992" s="215"/>
      <c r="I992" s="216"/>
    </row>
    <row r="993" spans="1:9" ht="14.4" x14ac:dyDescent="0.3">
      <c r="A993" s="197"/>
      <c r="B993" s="198"/>
      <c r="C993" s="199"/>
      <c r="D993" s="200"/>
      <c r="E993" s="202"/>
      <c r="F993" s="212"/>
      <c r="G993" s="201"/>
      <c r="H993" s="215"/>
      <c r="I993" s="216"/>
    </row>
    <row r="994" spans="1:9" ht="14.4" x14ac:dyDescent="0.3">
      <c r="A994" s="197"/>
      <c r="B994" s="198"/>
      <c r="C994" s="199"/>
      <c r="D994" s="200"/>
      <c r="E994" s="201"/>
      <c r="F994" s="212"/>
      <c r="G994" s="201"/>
      <c r="H994" s="215"/>
      <c r="I994" s="216"/>
    </row>
    <row r="995" spans="1:9" ht="14.4" x14ac:dyDescent="0.3">
      <c r="A995" s="197"/>
      <c r="B995" s="198"/>
      <c r="C995" s="199"/>
      <c r="D995" s="200"/>
      <c r="E995" s="201"/>
      <c r="F995" s="212"/>
      <c r="G995" s="201"/>
      <c r="H995" s="215"/>
      <c r="I995" s="216"/>
    </row>
    <row r="996" spans="1:9" ht="14.4" x14ac:dyDescent="0.3">
      <c r="A996" s="197"/>
      <c r="B996" s="203"/>
      <c r="C996" s="204"/>
      <c r="D996" s="205"/>
      <c r="E996" s="206"/>
      <c r="F996" s="218"/>
      <c r="G996" s="206"/>
      <c r="H996" s="219"/>
      <c r="I996" s="220"/>
    </row>
    <row r="997" spans="1:9" ht="15" thickBot="1" x14ac:dyDescent="0.35">
      <c r="A997" s="207"/>
      <c r="B997" s="208"/>
      <c r="C997" s="209"/>
      <c r="D997" s="210"/>
      <c r="E997" s="211"/>
      <c r="F997" s="221"/>
      <c r="G997" s="211"/>
      <c r="H997" s="222"/>
      <c r="I997" s="223"/>
    </row>
    <row r="998" spans="1:9" ht="14.4" thickBot="1" x14ac:dyDescent="0.35"/>
    <row r="999" spans="1:9" ht="14.4" thickBot="1" x14ac:dyDescent="0.35">
      <c r="A999" s="226" t="s">
        <v>1204</v>
      </c>
      <c r="B999" s="224" t="s">
        <v>1205</v>
      </c>
      <c r="C999" s="224" t="s">
        <v>1206</v>
      </c>
      <c r="D999" s="224" t="s">
        <v>1207</v>
      </c>
      <c r="E999" s="368" t="s">
        <v>1208</v>
      </c>
      <c r="F999" s="368"/>
      <c r="G999" s="368"/>
      <c r="H999" s="224" t="s">
        <v>1209</v>
      </c>
      <c r="I999" s="225" t="s">
        <v>1210</v>
      </c>
    </row>
    <row r="1000" spans="1:9" ht="14.4" x14ac:dyDescent="0.3">
      <c r="A1000" s="197"/>
      <c r="B1000" s="193"/>
      <c r="C1000" s="194"/>
      <c r="D1000" s="195"/>
      <c r="E1000" s="196"/>
      <c r="F1000" s="212"/>
      <c r="G1000" s="196"/>
      <c r="H1000" s="213"/>
      <c r="I1000" s="214"/>
    </row>
    <row r="1001" spans="1:9" ht="14.4" x14ac:dyDescent="0.3">
      <c r="A1001" s="197"/>
      <c r="B1001" s="198"/>
      <c r="C1001" s="199"/>
      <c r="D1001" s="200"/>
      <c r="E1001" s="201"/>
      <c r="F1001" s="212"/>
      <c r="G1001" s="201"/>
      <c r="H1001" s="215"/>
      <c r="I1001" s="216"/>
    </row>
    <row r="1002" spans="1:9" ht="14.4" x14ac:dyDescent="0.3">
      <c r="A1002" s="197"/>
      <c r="B1002" s="198"/>
      <c r="C1002" s="199"/>
      <c r="D1002" s="200"/>
      <c r="E1002" s="201"/>
      <c r="F1002" s="212"/>
      <c r="G1002" s="201"/>
      <c r="H1002" s="215"/>
      <c r="I1002" s="216"/>
    </row>
    <row r="1003" spans="1:9" ht="14.4" x14ac:dyDescent="0.3">
      <c r="A1003" s="197"/>
      <c r="B1003" s="198"/>
      <c r="C1003" s="199"/>
      <c r="D1003" s="200"/>
      <c r="E1003" s="201"/>
      <c r="F1003" s="212"/>
      <c r="G1003" s="201"/>
      <c r="H1003" s="215"/>
      <c r="I1003" s="217"/>
    </row>
    <row r="1004" spans="1:9" ht="14.4" x14ac:dyDescent="0.3">
      <c r="A1004" s="197"/>
      <c r="B1004" s="198"/>
      <c r="C1004" s="199"/>
      <c r="D1004" s="200"/>
      <c r="E1004" s="196"/>
      <c r="F1004" s="212"/>
      <c r="G1004" s="196"/>
      <c r="H1004" s="215"/>
      <c r="I1004" s="217"/>
    </row>
    <row r="1005" spans="1:9" ht="14.4" x14ac:dyDescent="0.3">
      <c r="A1005" s="197"/>
      <c r="B1005" s="198"/>
      <c r="C1005" s="199"/>
      <c r="D1005" s="200"/>
      <c r="E1005" s="196"/>
      <c r="F1005" s="212"/>
      <c r="G1005" s="196"/>
      <c r="H1005" s="215"/>
      <c r="I1005" s="216"/>
    </row>
    <row r="1006" spans="1:9" ht="14.4" x14ac:dyDescent="0.3">
      <c r="A1006" s="197"/>
      <c r="B1006" s="198"/>
      <c r="C1006" s="199"/>
      <c r="D1006" s="200"/>
      <c r="E1006" s="201"/>
      <c r="F1006" s="212"/>
      <c r="G1006" s="201"/>
      <c r="H1006" s="215"/>
      <c r="I1006" s="216"/>
    </row>
    <row r="1007" spans="1:9" ht="14.4" x14ac:dyDescent="0.3">
      <c r="A1007" s="197"/>
      <c r="B1007" s="198"/>
      <c r="C1007" s="199"/>
      <c r="D1007" s="200"/>
      <c r="E1007" s="202"/>
      <c r="F1007" s="212"/>
      <c r="G1007" s="201"/>
      <c r="H1007" s="215"/>
      <c r="I1007" s="216"/>
    </row>
    <row r="1008" spans="1:9" ht="14.4" x14ac:dyDescent="0.3">
      <c r="A1008" s="197"/>
      <c r="B1008" s="198"/>
      <c r="C1008" s="199"/>
      <c r="D1008" s="200"/>
      <c r="E1008" s="201"/>
      <c r="F1008" s="212"/>
      <c r="G1008" s="201"/>
      <c r="H1008" s="215"/>
      <c r="I1008" s="216"/>
    </row>
    <row r="1009" spans="1:9" ht="14.4" x14ac:dyDescent="0.3">
      <c r="A1009" s="197"/>
      <c r="B1009" s="198"/>
      <c r="C1009" s="199"/>
      <c r="D1009" s="200"/>
      <c r="E1009" s="201"/>
      <c r="F1009" s="212"/>
      <c r="G1009" s="201"/>
      <c r="H1009" s="215"/>
      <c r="I1009" s="216"/>
    </row>
    <row r="1010" spans="1:9" ht="14.4" x14ac:dyDescent="0.3">
      <c r="A1010" s="197"/>
      <c r="B1010" s="203"/>
      <c r="C1010" s="204"/>
      <c r="D1010" s="205"/>
      <c r="E1010" s="206"/>
      <c r="F1010" s="218"/>
      <c r="G1010" s="206"/>
      <c r="H1010" s="219"/>
      <c r="I1010" s="220"/>
    </row>
    <row r="1011" spans="1:9" ht="15" thickBot="1" x14ac:dyDescent="0.35">
      <c r="A1011" s="207"/>
      <c r="B1011" s="208"/>
      <c r="C1011" s="209"/>
      <c r="D1011" s="210"/>
      <c r="E1011" s="211"/>
      <c r="F1011" s="221"/>
      <c r="G1011" s="211"/>
      <c r="H1011" s="222"/>
      <c r="I1011" s="223"/>
    </row>
    <row r="1012" spans="1:9" ht="14.4" thickBot="1" x14ac:dyDescent="0.35"/>
    <row r="1013" spans="1:9" ht="14.4" thickBot="1" x14ac:dyDescent="0.35">
      <c r="A1013" s="226" t="s">
        <v>1204</v>
      </c>
      <c r="B1013" s="224" t="s">
        <v>1205</v>
      </c>
      <c r="C1013" s="224" t="s">
        <v>1206</v>
      </c>
      <c r="D1013" s="224" t="s">
        <v>1207</v>
      </c>
      <c r="E1013" s="368" t="s">
        <v>1208</v>
      </c>
      <c r="F1013" s="368"/>
      <c r="G1013" s="368"/>
      <c r="H1013" s="224" t="s">
        <v>1209</v>
      </c>
      <c r="I1013" s="225" t="s">
        <v>1210</v>
      </c>
    </row>
    <row r="1014" spans="1:9" ht="14.4" x14ac:dyDescent="0.3">
      <c r="A1014" s="197"/>
      <c r="B1014" s="193"/>
      <c r="C1014" s="194"/>
      <c r="D1014" s="195"/>
      <c r="E1014" s="196"/>
      <c r="F1014" s="212"/>
      <c r="G1014" s="196"/>
      <c r="H1014" s="213"/>
      <c r="I1014" s="214"/>
    </row>
    <row r="1015" spans="1:9" ht="14.4" x14ac:dyDescent="0.3">
      <c r="A1015" s="197"/>
      <c r="B1015" s="198"/>
      <c r="C1015" s="199"/>
      <c r="D1015" s="200"/>
      <c r="E1015" s="201"/>
      <c r="F1015" s="212"/>
      <c r="G1015" s="201"/>
      <c r="H1015" s="215"/>
      <c r="I1015" s="216"/>
    </row>
    <row r="1016" spans="1:9" ht="14.4" x14ac:dyDescent="0.3">
      <c r="A1016" s="197"/>
      <c r="B1016" s="198"/>
      <c r="C1016" s="199"/>
      <c r="D1016" s="200"/>
      <c r="E1016" s="201"/>
      <c r="F1016" s="212"/>
      <c r="G1016" s="201"/>
      <c r="H1016" s="215"/>
      <c r="I1016" s="216"/>
    </row>
    <row r="1017" spans="1:9" ht="14.4" x14ac:dyDescent="0.3">
      <c r="A1017" s="197"/>
      <c r="B1017" s="198"/>
      <c r="C1017" s="199"/>
      <c r="D1017" s="200"/>
      <c r="E1017" s="201"/>
      <c r="F1017" s="212"/>
      <c r="G1017" s="201"/>
      <c r="H1017" s="215"/>
      <c r="I1017" s="217"/>
    </row>
    <row r="1018" spans="1:9" ht="14.4" x14ac:dyDescent="0.3">
      <c r="A1018" s="197"/>
      <c r="B1018" s="198"/>
      <c r="C1018" s="199"/>
      <c r="D1018" s="200"/>
      <c r="E1018" s="196"/>
      <c r="F1018" s="212"/>
      <c r="G1018" s="196"/>
      <c r="H1018" s="215"/>
      <c r="I1018" s="217"/>
    </row>
    <row r="1019" spans="1:9" ht="14.4" x14ac:dyDescent="0.3">
      <c r="A1019" s="197"/>
      <c r="B1019" s="198"/>
      <c r="C1019" s="199"/>
      <c r="D1019" s="200"/>
      <c r="E1019" s="196"/>
      <c r="F1019" s="212"/>
      <c r="G1019" s="196"/>
      <c r="H1019" s="215"/>
      <c r="I1019" s="216"/>
    </row>
    <row r="1020" spans="1:9" ht="14.4" x14ac:dyDescent="0.3">
      <c r="A1020" s="197"/>
      <c r="B1020" s="198"/>
      <c r="C1020" s="199"/>
      <c r="D1020" s="200"/>
      <c r="E1020" s="201"/>
      <c r="F1020" s="212"/>
      <c r="G1020" s="201"/>
      <c r="H1020" s="215"/>
      <c r="I1020" s="216"/>
    </row>
    <row r="1021" spans="1:9" ht="14.4" x14ac:dyDescent="0.3">
      <c r="A1021" s="197"/>
      <c r="B1021" s="198"/>
      <c r="C1021" s="199"/>
      <c r="D1021" s="200"/>
      <c r="E1021" s="202"/>
      <c r="F1021" s="212"/>
      <c r="G1021" s="201"/>
      <c r="H1021" s="215"/>
      <c r="I1021" s="216"/>
    </row>
    <row r="1022" spans="1:9" ht="14.4" x14ac:dyDescent="0.3">
      <c r="A1022" s="197"/>
      <c r="B1022" s="198"/>
      <c r="C1022" s="199"/>
      <c r="D1022" s="200"/>
      <c r="E1022" s="201"/>
      <c r="F1022" s="212"/>
      <c r="G1022" s="201"/>
      <c r="H1022" s="215"/>
      <c r="I1022" s="216"/>
    </row>
    <row r="1023" spans="1:9" ht="14.4" x14ac:dyDescent="0.3">
      <c r="A1023" s="197"/>
      <c r="B1023" s="198"/>
      <c r="C1023" s="199"/>
      <c r="D1023" s="200"/>
      <c r="E1023" s="201"/>
      <c r="F1023" s="212"/>
      <c r="G1023" s="201"/>
      <c r="H1023" s="215"/>
      <c r="I1023" s="216"/>
    </row>
    <row r="1024" spans="1:9" ht="14.4" x14ac:dyDescent="0.3">
      <c r="A1024" s="197"/>
      <c r="B1024" s="203"/>
      <c r="C1024" s="204"/>
      <c r="D1024" s="205"/>
      <c r="E1024" s="206"/>
      <c r="F1024" s="218"/>
      <c r="G1024" s="206"/>
      <c r="H1024" s="219"/>
      <c r="I1024" s="220"/>
    </row>
    <row r="1025" spans="1:9" ht="15" thickBot="1" x14ac:dyDescent="0.35">
      <c r="A1025" s="207"/>
      <c r="B1025" s="208"/>
      <c r="C1025" s="209"/>
      <c r="D1025" s="210"/>
      <c r="E1025" s="211"/>
      <c r="F1025" s="221"/>
      <c r="G1025" s="211"/>
      <c r="H1025" s="222"/>
      <c r="I1025" s="223"/>
    </row>
    <row r="1026" spans="1:9" ht="14.4" thickBot="1" x14ac:dyDescent="0.35"/>
    <row r="1027" spans="1:9" ht="14.4" thickBot="1" x14ac:dyDescent="0.35">
      <c r="A1027" s="226" t="s">
        <v>1204</v>
      </c>
      <c r="B1027" s="224" t="s">
        <v>1205</v>
      </c>
      <c r="C1027" s="224" t="s">
        <v>1206</v>
      </c>
      <c r="D1027" s="224" t="s">
        <v>1207</v>
      </c>
      <c r="E1027" s="368" t="s">
        <v>1208</v>
      </c>
      <c r="F1027" s="368"/>
      <c r="G1027" s="368"/>
      <c r="H1027" s="224" t="s">
        <v>1209</v>
      </c>
      <c r="I1027" s="225" t="s">
        <v>1210</v>
      </c>
    </row>
    <row r="1028" spans="1:9" ht="14.4" x14ac:dyDescent="0.3">
      <c r="A1028" s="197"/>
      <c r="B1028" s="193"/>
      <c r="C1028" s="194"/>
      <c r="D1028" s="195"/>
      <c r="E1028" s="196"/>
      <c r="F1028" s="212"/>
      <c r="G1028" s="196"/>
      <c r="H1028" s="213"/>
      <c r="I1028" s="214"/>
    </row>
    <row r="1029" spans="1:9" ht="14.4" x14ac:dyDescent="0.3">
      <c r="A1029" s="197"/>
      <c r="B1029" s="198"/>
      <c r="C1029" s="199"/>
      <c r="D1029" s="200"/>
      <c r="E1029" s="201"/>
      <c r="F1029" s="212"/>
      <c r="G1029" s="201"/>
      <c r="H1029" s="215"/>
      <c r="I1029" s="216"/>
    </row>
    <row r="1030" spans="1:9" ht="14.4" x14ac:dyDescent="0.3">
      <c r="A1030" s="197"/>
      <c r="B1030" s="198"/>
      <c r="C1030" s="199"/>
      <c r="D1030" s="200"/>
      <c r="E1030" s="201"/>
      <c r="F1030" s="212"/>
      <c r="G1030" s="201"/>
      <c r="H1030" s="215"/>
      <c r="I1030" s="216"/>
    </row>
    <row r="1031" spans="1:9" ht="14.4" x14ac:dyDescent="0.3">
      <c r="A1031" s="197"/>
      <c r="B1031" s="198"/>
      <c r="C1031" s="199"/>
      <c r="D1031" s="200"/>
      <c r="E1031" s="201"/>
      <c r="F1031" s="212"/>
      <c r="G1031" s="201"/>
      <c r="H1031" s="215"/>
      <c r="I1031" s="217"/>
    </row>
    <row r="1032" spans="1:9" ht="14.4" x14ac:dyDescent="0.3">
      <c r="A1032" s="197"/>
      <c r="B1032" s="198"/>
      <c r="C1032" s="199"/>
      <c r="D1032" s="200"/>
      <c r="E1032" s="196"/>
      <c r="F1032" s="212"/>
      <c r="G1032" s="196"/>
      <c r="H1032" s="215"/>
      <c r="I1032" s="217"/>
    </row>
    <row r="1033" spans="1:9" ht="14.4" x14ac:dyDescent="0.3">
      <c r="A1033" s="197"/>
      <c r="B1033" s="198"/>
      <c r="C1033" s="199"/>
      <c r="D1033" s="200"/>
      <c r="E1033" s="196"/>
      <c r="F1033" s="212"/>
      <c r="G1033" s="196"/>
      <c r="H1033" s="215"/>
      <c r="I1033" s="216"/>
    </row>
    <row r="1034" spans="1:9" ht="14.4" x14ac:dyDescent="0.3">
      <c r="A1034" s="197"/>
      <c r="B1034" s="198"/>
      <c r="C1034" s="199"/>
      <c r="D1034" s="200"/>
      <c r="E1034" s="201"/>
      <c r="F1034" s="212"/>
      <c r="G1034" s="201"/>
      <c r="H1034" s="215"/>
      <c r="I1034" s="216"/>
    </row>
    <row r="1035" spans="1:9" ht="14.4" x14ac:dyDescent="0.3">
      <c r="A1035" s="197"/>
      <c r="B1035" s="198"/>
      <c r="C1035" s="199"/>
      <c r="D1035" s="200"/>
      <c r="E1035" s="202"/>
      <c r="F1035" s="212"/>
      <c r="G1035" s="201"/>
      <c r="H1035" s="215"/>
      <c r="I1035" s="216"/>
    </row>
    <row r="1036" spans="1:9" ht="14.4" x14ac:dyDescent="0.3">
      <c r="A1036" s="197"/>
      <c r="B1036" s="198"/>
      <c r="C1036" s="199"/>
      <c r="D1036" s="200"/>
      <c r="E1036" s="201"/>
      <c r="F1036" s="212"/>
      <c r="G1036" s="201"/>
      <c r="H1036" s="215"/>
      <c r="I1036" s="216"/>
    </row>
    <row r="1037" spans="1:9" ht="14.4" x14ac:dyDescent="0.3">
      <c r="A1037" s="197"/>
      <c r="B1037" s="198"/>
      <c r="C1037" s="199"/>
      <c r="D1037" s="200"/>
      <c r="E1037" s="201"/>
      <c r="F1037" s="212"/>
      <c r="G1037" s="201"/>
      <c r="H1037" s="215"/>
      <c r="I1037" s="216"/>
    </row>
    <row r="1038" spans="1:9" ht="14.4" x14ac:dyDescent="0.3">
      <c r="A1038" s="197"/>
      <c r="B1038" s="203"/>
      <c r="C1038" s="204"/>
      <c r="D1038" s="205"/>
      <c r="E1038" s="206"/>
      <c r="F1038" s="218"/>
      <c r="G1038" s="206"/>
      <c r="H1038" s="219"/>
      <c r="I1038" s="220"/>
    </row>
    <row r="1039" spans="1:9" ht="15" thickBot="1" x14ac:dyDescent="0.35">
      <c r="A1039" s="207"/>
      <c r="B1039" s="208"/>
      <c r="C1039" s="209"/>
      <c r="D1039" s="210"/>
      <c r="E1039" s="211"/>
      <c r="F1039" s="221"/>
      <c r="G1039" s="211"/>
      <c r="H1039" s="222"/>
      <c r="I1039" s="223"/>
    </row>
    <row r="1040" spans="1:9" ht="14.4" thickBot="1" x14ac:dyDescent="0.35"/>
    <row r="1041" spans="1:9" ht="14.4" thickBot="1" x14ac:dyDescent="0.35">
      <c r="A1041" s="226" t="s">
        <v>1204</v>
      </c>
      <c r="B1041" s="224" t="s">
        <v>1205</v>
      </c>
      <c r="C1041" s="224" t="s">
        <v>1206</v>
      </c>
      <c r="D1041" s="224" t="s">
        <v>1207</v>
      </c>
      <c r="E1041" s="368" t="s">
        <v>1208</v>
      </c>
      <c r="F1041" s="368"/>
      <c r="G1041" s="368"/>
      <c r="H1041" s="224" t="s">
        <v>1209</v>
      </c>
      <c r="I1041" s="225" t="s">
        <v>1210</v>
      </c>
    </row>
    <row r="1042" spans="1:9" ht="14.4" x14ac:dyDescent="0.3">
      <c r="A1042" s="197"/>
      <c r="B1042" s="193"/>
      <c r="C1042" s="194"/>
      <c r="D1042" s="195"/>
      <c r="E1042" s="196"/>
      <c r="F1042" s="212"/>
      <c r="G1042" s="196"/>
      <c r="H1042" s="213"/>
      <c r="I1042" s="214"/>
    </row>
    <row r="1043" spans="1:9" ht="14.4" x14ac:dyDescent="0.3">
      <c r="A1043" s="197"/>
      <c r="B1043" s="198"/>
      <c r="C1043" s="199"/>
      <c r="D1043" s="200"/>
      <c r="E1043" s="201"/>
      <c r="F1043" s="212"/>
      <c r="G1043" s="201"/>
      <c r="H1043" s="215"/>
      <c r="I1043" s="216"/>
    </row>
    <row r="1044" spans="1:9" ht="14.4" x14ac:dyDescent="0.3">
      <c r="A1044" s="197"/>
      <c r="B1044" s="198"/>
      <c r="C1044" s="199"/>
      <c r="D1044" s="200"/>
      <c r="E1044" s="201"/>
      <c r="F1044" s="212"/>
      <c r="G1044" s="201"/>
      <c r="H1044" s="215"/>
      <c r="I1044" s="216"/>
    </row>
    <row r="1045" spans="1:9" ht="14.4" x14ac:dyDescent="0.3">
      <c r="A1045" s="197"/>
      <c r="B1045" s="198"/>
      <c r="C1045" s="199"/>
      <c r="D1045" s="200"/>
      <c r="E1045" s="201"/>
      <c r="F1045" s="212"/>
      <c r="G1045" s="201"/>
      <c r="H1045" s="215"/>
      <c r="I1045" s="217"/>
    </row>
    <row r="1046" spans="1:9" ht="14.4" x14ac:dyDescent="0.3">
      <c r="A1046" s="197"/>
      <c r="B1046" s="198"/>
      <c r="C1046" s="199"/>
      <c r="D1046" s="200"/>
      <c r="E1046" s="196"/>
      <c r="F1046" s="212"/>
      <c r="G1046" s="196"/>
      <c r="H1046" s="215"/>
      <c r="I1046" s="217"/>
    </row>
    <row r="1047" spans="1:9" ht="14.4" x14ac:dyDescent="0.3">
      <c r="A1047" s="197"/>
      <c r="B1047" s="198"/>
      <c r="C1047" s="199"/>
      <c r="D1047" s="200"/>
      <c r="E1047" s="196"/>
      <c r="F1047" s="212"/>
      <c r="G1047" s="196"/>
      <c r="H1047" s="215"/>
      <c r="I1047" s="216"/>
    </row>
    <row r="1048" spans="1:9" ht="14.4" x14ac:dyDescent="0.3">
      <c r="A1048" s="197"/>
      <c r="B1048" s="198"/>
      <c r="C1048" s="199"/>
      <c r="D1048" s="200"/>
      <c r="E1048" s="201"/>
      <c r="F1048" s="212"/>
      <c r="G1048" s="201"/>
      <c r="H1048" s="215"/>
      <c r="I1048" s="216"/>
    </row>
    <row r="1049" spans="1:9" ht="14.4" x14ac:dyDescent="0.3">
      <c r="A1049" s="197"/>
      <c r="B1049" s="198"/>
      <c r="C1049" s="199"/>
      <c r="D1049" s="200"/>
      <c r="E1049" s="202"/>
      <c r="F1049" s="212"/>
      <c r="G1049" s="201"/>
      <c r="H1049" s="215"/>
      <c r="I1049" s="216"/>
    </row>
    <row r="1050" spans="1:9" ht="14.4" x14ac:dyDescent="0.3">
      <c r="A1050" s="197"/>
      <c r="B1050" s="198"/>
      <c r="C1050" s="199"/>
      <c r="D1050" s="200"/>
      <c r="E1050" s="201"/>
      <c r="F1050" s="212"/>
      <c r="G1050" s="201"/>
      <c r="H1050" s="215"/>
      <c r="I1050" s="216"/>
    </row>
    <row r="1051" spans="1:9" ht="14.4" x14ac:dyDescent="0.3">
      <c r="A1051" s="197"/>
      <c r="B1051" s="198"/>
      <c r="C1051" s="199"/>
      <c r="D1051" s="200"/>
      <c r="E1051" s="201"/>
      <c r="F1051" s="212"/>
      <c r="G1051" s="201"/>
      <c r="H1051" s="215"/>
      <c r="I1051" s="216"/>
    </row>
    <row r="1052" spans="1:9" ht="14.4" x14ac:dyDescent="0.3">
      <c r="A1052" s="197"/>
      <c r="B1052" s="203"/>
      <c r="C1052" s="204"/>
      <c r="D1052" s="205"/>
      <c r="E1052" s="206"/>
      <c r="F1052" s="218"/>
      <c r="G1052" s="206"/>
      <c r="H1052" s="219"/>
      <c r="I1052" s="220"/>
    </row>
    <row r="1053" spans="1:9" ht="15" thickBot="1" x14ac:dyDescent="0.35">
      <c r="A1053" s="207"/>
      <c r="B1053" s="208"/>
      <c r="C1053" s="209"/>
      <c r="D1053" s="210"/>
      <c r="E1053" s="211"/>
      <c r="F1053" s="221"/>
      <c r="G1053" s="211"/>
      <c r="H1053" s="222"/>
      <c r="I1053" s="223"/>
    </row>
    <row r="1054" spans="1:9" ht="14.4" thickBot="1" x14ac:dyDescent="0.35"/>
    <row r="1055" spans="1:9" ht="14.4" thickBot="1" x14ac:dyDescent="0.35">
      <c r="A1055" s="226" t="s">
        <v>1204</v>
      </c>
      <c r="B1055" s="224" t="s">
        <v>1205</v>
      </c>
      <c r="C1055" s="224" t="s">
        <v>1206</v>
      </c>
      <c r="D1055" s="224" t="s">
        <v>1207</v>
      </c>
      <c r="E1055" s="368" t="s">
        <v>1208</v>
      </c>
      <c r="F1055" s="368"/>
      <c r="G1055" s="368"/>
      <c r="H1055" s="224" t="s">
        <v>1209</v>
      </c>
      <c r="I1055" s="225" t="s">
        <v>1210</v>
      </c>
    </row>
    <row r="1056" spans="1:9" ht="14.4" x14ac:dyDescent="0.3">
      <c r="A1056" s="197"/>
      <c r="B1056" s="193"/>
      <c r="C1056" s="194"/>
      <c r="D1056" s="195"/>
      <c r="E1056" s="196"/>
      <c r="F1056" s="212"/>
      <c r="G1056" s="196"/>
      <c r="H1056" s="213"/>
      <c r="I1056" s="214"/>
    </row>
    <row r="1057" spans="1:9" ht="14.4" x14ac:dyDescent="0.3">
      <c r="A1057" s="197"/>
      <c r="B1057" s="198"/>
      <c r="C1057" s="199"/>
      <c r="D1057" s="200"/>
      <c r="E1057" s="201"/>
      <c r="F1057" s="212"/>
      <c r="G1057" s="201"/>
      <c r="H1057" s="215"/>
      <c r="I1057" s="216"/>
    </row>
    <row r="1058" spans="1:9" ht="14.4" x14ac:dyDescent="0.3">
      <c r="A1058" s="197"/>
      <c r="B1058" s="198"/>
      <c r="C1058" s="199"/>
      <c r="D1058" s="200"/>
      <c r="E1058" s="201"/>
      <c r="F1058" s="212"/>
      <c r="G1058" s="201"/>
      <c r="H1058" s="215"/>
      <c r="I1058" s="216"/>
    </row>
    <row r="1059" spans="1:9" ht="14.4" x14ac:dyDescent="0.3">
      <c r="A1059" s="197"/>
      <c r="B1059" s="198"/>
      <c r="C1059" s="199"/>
      <c r="D1059" s="200"/>
      <c r="E1059" s="201"/>
      <c r="F1059" s="212"/>
      <c r="G1059" s="201"/>
      <c r="H1059" s="215"/>
      <c r="I1059" s="217"/>
    </row>
    <row r="1060" spans="1:9" ht="14.4" x14ac:dyDescent="0.3">
      <c r="A1060" s="197"/>
      <c r="B1060" s="198"/>
      <c r="C1060" s="199"/>
      <c r="D1060" s="200"/>
      <c r="E1060" s="196"/>
      <c r="F1060" s="212"/>
      <c r="G1060" s="196"/>
      <c r="H1060" s="215"/>
      <c r="I1060" s="217"/>
    </row>
    <row r="1061" spans="1:9" ht="14.4" x14ac:dyDescent="0.3">
      <c r="A1061" s="197"/>
      <c r="B1061" s="198"/>
      <c r="C1061" s="199"/>
      <c r="D1061" s="200"/>
      <c r="E1061" s="196"/>
      <c r="F1061" s="212"/>
      <c r="G1061" s="196"/>
      <c r="H1061" s="215"/>
      <c r="I1061" s="216"/>
    </row>
    <row r="1062" spans="1:9" ht="14.4" x14ac:dyDescent="0.3">
      <c r="A1062" s="197"/>
      <c r="B1062" s="198"/>
      <c r="C1062" s="199"/>
      <c r="D1062" s="200"/>
      <c r="E1062" s="201"/>
      <c r="F1062" s="212"/>
      <c r="G1062" s="201"/>
      <c r="H1062" s="215"/>
      <c r="I1062" s="216"/>
    </row>
    <row r="1063" spans="1:9" ht="14.4" x14ac:dyDescent="0.3">
      <c r="A1063" s="197"/>
      <c r="B1063" s="198"/>
      <c r="C1063" s="199"/>
      <c r="D1063" s="200"/>
      <c r="E1063" s="202"/>
      <c r="F1063" s="212"/>
      <c r="G1063" s="201"/>
      <c r="H1063" s="215"/>
      <c r="I1063" s="216"/>
    </row>
    <row r="1064" spans="1:9" ht="14.4" x14ac:dyDescent="0.3">
      <c r="A1064" s="197"/>
      <c r="B1064" s="198"/>
      <c r="C1064" s="199"/>
      <c r="D1064" s="200"/>
      <c r="E1064" s="201"/>
      <c r="F1064" s="212"/>
      <c r="G1064" s="201"/>
      <c r="H1064" s="215"/>
      <c r="I1064" s="216"/>
    </row>
    <row r="1065" spans="1:9" ht="14.4" x14ac:dyDescent="0.3">
      <c r="A1065" s="197"/>
      <c r="B1065" s="198"/>
      <c r="C1065" s="199"/>
      <c r="D1065" s="200"/>
      <c r="E1065" s="201"/>
      <c r="F1065" s="212"/>
      <c r="G1065" s="201"/>
      <c r="H1065" s="215"/>
      <c r="I1065" s="216"/>
    </row>
    <row r="1066" spans="1:9" ht="14.4" x14ac:dyDescent="0.3">
      <c r="A1066" s="197"/>
      <c r="B1066" s="203"/>
      <c r="C1066" s="204"/>
      <c r="D1066" s="205"/>
      <c r="E1066" s="206"/>
      <c r="F1066" s="218"/>
      <c r="G1066" s="206"/>
      <c r="H1066" s="219"/>
      <c r="I1066" s="220"/>
    </row>
    <row r="1067" spans="1:9" ht="15" thickBot="1" x14ac:dyDescent="0.35">
      <c r="A1067" s="207"/>
      <c r="B1067" s="208"/>
      <c r="C1067" s="209"/>
      <c r="D1067" s="210"/>
      <c r="E1067" s="211"/>
      <c r="F1067" s="221"/>
      <c r="G1067" s="211"/>
      <c r="H1067" s="222"/>
      <c r="I1067" s="223"/>
    </row>
    <row r="1068" spans="1:9" ht="14.4" thickBot="1" x14ac:dyDescent="0.35"/>
    <row r="1069" spans="1:9" ht="14.4" thickBot="1" x14ac:dyDescent="0.35">
      <c r="A1069" s="226" t="s">
        <v>1204</v>
      </c>
      <c r="B1069" s="224" t="s">
        <v>1205</v>
      </c>
      <c r="C1069" s="224" t="s">
        <v>1206</v>
      </c>
      <c r="D1069" s="224" t="s">
        <v>1207</v>
      </c>
      <c r="E1069" s="368" t="s">
        <v>1208</v>
      </c>
      <c r="F1069" s="368"/>
      <c r="G1069" s="368"/>
      <c r="H1069" s="224" t="s">
        <v>1209</v>
      </c>
      <c r="I1069" s="225" t="s">
        <v>1210</v>
      </c>
    </row>
    <row r="1070" spans="1:9" ht="14.4" x14ac:dyDescent="0.3">
      <c r="A1070" s="197"/>
      <c r="B1070" s="193"/>
      <c r="C1070" s="194"/>
      <c r="D1070" s="195"/>
      <c r="E1070" s="196"/>
      <c r="F1070" s="212"/>
      <c r="G1070" s="196"/>
      <c r="H1070" s="213"/>
      <c r="I1070" s="214"/>
    </row>
    <row r="1071" spans="1:9" ht="14.4" x14ac:dyDescent="0.3">
      <c r="A1071" s="197"/>
      <c r="B1071" s="198"/>
      <c r="C1071" s="199"/>
      <c r="D1071" s="200"/>
      <c r="E1071" s="201"/>
      <c r="F1071" s="212"/>
      <c r="G1071" s="201"/>
      <c r="H1071" s="215"/>
      <c r="I1071" s="216"/>
    </row>
    <row r="1072" spans="1:9" ht="14.4" x14ac:dyDescent="0.3">
      <c r="A1072" s="197"/>
      <c r="B1072" s="198"/>
      <c r="C1072" s="199"/>
      <c r="D1072" s="200"/>
      <c r="E1072" s="201"/>
      <c r="F1072" s="212"/>
      <c r="G1072" s="201"/>
      <c r="H1072" s="215"/>
      <c r="I1072" s="216"/>
    </row>
    <row r="1073" spans="1:9" ht="14.4" x14ac:dyDescent="0.3">
      <c r="A1073" s="197"/>
      <c r="B1073" s="198"/>
      <c r="C1073" s="199"/>
      <c r="D1073" s="200"/>
      <c r="E1073" s="201"/>
      <c r="F1073" s="212"/>
      <c r="G1073" s="201"/>
      <c r="H1073" s="215"/>
      <c r="I1073" s="217"/>
    </row>
    <row r="1074" spans="1:9" ht="14.4" x14ac:dyDescent="0.3">
      <c r="A1074" s="197"/>
      <c r="B1074" s="198"/>
      <c r="C1074" s="199"/>
      <c r="D1074" s="200"/>
      <c r="E1074" s="196"/>
      <c r="F1074" s="212"/>
      <c r="G1074" s="196"/>
      <c r="H1074" s="215"/>
      <c r="I1074" s="217"/>
    </row>
    <row r="1075" spans="1:9" ht="14.4" x14ac:dyDescent="0.3">
      <c r="A1075" s="197"/>
      <c r="B1075" s="198"/>
      <c r="C1075" s="199"/>
      <c r="D1075" s="200"/>
      <c r="E1075" s="196"/>
      <c r="F1075" s="212"/>
      <c r="G1075" s="196"/>
      <c r="H1075" s="215"/>
      <c r="I1075" s="216"/>
    </row>
    <row r="1076" spans="1:9" ht="14.4" x14ac:dyDescent="0.3">
      <c r="A1076" s="197"/>
      <c r="B1076" s="198"/>
      <c r="C1076" s="199"/>
      <c r="D1076" s="200"/>
      <c r="E1076" s="201"/>
      <c r="F1076" s="212"/>
      <c r="G1076" s="201"/>
      <c r="H1076" s="215"/>
      <c r="I1076" s="216"/>
    </row>
    <row r="1077" spans="1:9" ht="14.4" x14ac:dyDescent="0.3">
      <c r="A1077" s="197"/>
      <c r="B1077" s="198"/>
      <c r="C1077" s="199"/>
      <c r="D1077" s="200"/>
      <c r="E1077" s="202"/>
      <c r="F1077" s="212"/>
      <c r="G1077" s="201"/>
      <c r="H1077" s="215"/>
      <c r="I1077" s="216"/>
    </row>
    <row r="1078" spans="1:9" ht="14.4" x14ac:dyDescent="0.3">
      <c r="A1078" s="197"/>
      <c r="B1078" s="198"/>
      <c r="C1078" s="199"/>
      <c r="D1078" s="200"/>
      <c r="E1078" s="201"/>
      <c r="F1078" s="212"/>
      <c r="G1078" s="201"/>
      <c r="H1078" s="215"/>
      <c r="I1078" s="216"/>
    </row>
    <row r="1079" spans="1:9" ht="14.4" x14ac:dyDescent="0.3">
      <c r="A1079" s="197"/>
      <c r="B1079" s="198"/>
      <c r="C1079" s="199"/>
      <c r="D1079" s="200"/>
      <c r="E1079" s="201"/>
      <c r="F1079" s="212"/>
      <c r="G1079" s="201"/>
      <c r="H1079" s="215"/>
      <c r="I1079" s="216"/>
    </row>
    <row r="1080" spans="1:9" ht="14.4" x14ac:dyDescent="0.3">
      <c r="A1080" s="197"/>
      <c r="B1080" s="203"/>
      <c r="C1080" s="204"/>
      <c r="D1080" s="205"/>
      <c r="E1080" s="206"/>
      <c r="F1080" s="218"/>
      <c r="G1080" s="206"/>
      <c r="H1080" s="219"/>
      <c r="I1080" s="220"/>
    </row>
    <row r="1081" spans="1:9" ht="15" thickBot="1" x14ac:dyDescent="0.35">
      <c r="A1081" s="207"/>
      <c r="B1081" s="208"/>
      <c r="C1081" s="209"/>
      <c r="D1081" s="210"/>
      <c r="E1081" s="211"/>
      <c r="F1081" s="221"/>
      <c r="G1081" s="211"/>
      <c r="H1081" s="222"/>
      <c r="I1081" s="223"/>
    </row>
    <row r="1082" spans="1:9" ht="14.4" thickBot="1" x14ac:dyDescent="0.35"/>
    <row r="1083" spans="1:9" ht="14.4" thickBot="1" x14ac:dyDescent="0.35">
      <c r="A1083" s="226" t="s">
        <v>1204</v>
      </c>
      <c r="B1083" s="224" t="s">
        <v>1205</v>
      </c>
      <c r="C1083" s="224" t="s">
        <v>1206</v>
      </c>
      <c r="D1083" s="224" t="s">
        <v>1207</v>
      </c>
      <c r="E1083" s="368" t="s">
        <v>1208</v>
      </c>
      <c r="F1083" s="368"/>
      <c r="G1083" s="368"/>
      <c r="H1083" s="224" t="s">
        <v>1209</v>
      </c>
      <c r="I1083" s="225" t="s">
        <v>1210</v>
      </c>
    </row>
    <row r="1084" spans="1:9" ht="14.4" x14ac:dyDescent="0.3">
      <c r="A1084" s="197"/>
      <c r="B1084" s="193"/>
      <c r="C1084" s="194"/>
      <c r="D1084" s="195"/>
      <c r="E1084" s="196"/>
      <c r="F1084" s="212"/>
      <c r="G1084" s="196"/>
      <c r="H1084" s="213"/>
      <c r="I1084" s="214"/>
    </row>
    <row r="1085" spans="1:9" ht="14.4" x14ac:dyDescent="0.3">
      <c r="A1085" s="197"/>
      <c r="B1085" s="198"/>
      <c r="C1085" s="199"/>
      <c r="D1085" s="200"/>
      <c r="E1085" s="201"/>
      <c r="F1085" s="212"/>
      <c r="G1085" s="201"/>
      <c r="H1085" s="215"/>
      <c r="I1085" s="216"/>
    </row>
    <row r="1086" spans="1:9" ht="14.4" x14ac:dyDescent="0.3">
      <c r="A1086" s="197"/>
      <c r="B1086" s="198"/>
      <c r="C1086" s="199"/>
      <c r="D1086" s="200"/>
      <c r="E1086" s="201"/>
      <c r="F1086" s="212"/>
      <c r="G1086" s="201"/>
      <c r="H1086" s="215"/>
      <c r="I1086" s="216"/>
    </row>
    <row r="1087" spans="1:9" ht="14.4" x14ac:dyDescent="0.3">
      <c r="A1087" s="197"/>
      <c r="B1087" s="198"/>
      <c r="C1087" s="199"/>
      <c r="D1087" s="200"/>
      <c r="E1087" s="201"/>
      <c r="F1087" s="212"/>
      <c r="G1087" s="201"/>
      <c r="H1087" s="215"/>
      <c r="I1087" s="217"/>
    </row>
    <row r="1088" spans="1:9" ht="14.4" x14ac:dyDescent="0.3">
      <c r="A1088" s="197"/>
      <c r="B1088" s="198"/>
      <c r="C1088" s="199"/>
      <c r="D1088" s="200"/>
      <c r="E1088" s="196"/>
      <c r="F1088" s="212"/>
      <c r="G1088" s="196"/>
      <c r="H1088" s="215"/>
      <c r="I1088" s="217"/>
    </row>
    <row r="1089" spans="1:9" ht="14.4" x14ac:dyDescent="0.3">
      <c r="A1089" s="197"/>
      <c r="B1089" s="198"/>
      <c r="C1089" s="199"/>
      <c r="D1089" s="200"/>
      <c r="E1089" s="196"/>
      <c r="F1089" s="212"/>
      <c r="G1089" s="196"/>
      <c r="H1089" s="215"/>
      <c r="I1089" s="216"/>
    </row>
    <row r="1090" spans="1:9" ht="14.4" x14ac:dyDescent="0.3">
      <c r="A1090" s="197"/>
      <c r="B1090" s="198"/>
      <c r="C1090" s="199"/>
      <c r="D1090" s="200"/>
      <c r="E1090" s="201"/>
      <c r="F1090" s="212"/>
      <c r="G1090" s="201"/>
      <c r="H1090" s="215"/>
      <c r="I1090" s="216"/>
    </row>
    <row r="1091" spans="1:9" ht="14.4" x14ac:dyDescent="0.3">
      <c r="A1091" s="197"/>
      <c r="B1091" s="198"/>
      <c r="C1091" s="199"/>
      <c r="D1091" s="200"/>
      <c r="E1091" s="202"/>
      <c r="F1091" s="212"/>
      <c r="G1091" s="201"/>
      <c r="H1091" s="215"/>
      <c r="I1091" s="216"/>
    </row>
    <row r="1092" spans="1:9" ht="14.4" x14ac:dyDescent="0.3">
      <c r="A1092" s="197"/>
      <c r="B1092" s="198"/>
      <c r="C1092" s="199"/>
      <c r="D1092" s="200"/>
      <c r="E1092" s="201"/>
      <c r="F1092" s="212"/>
      <c r="G1092" s="201"/>
      <c r="H1092" s="215"/>
      <c r="I1092" s="216"/>
    </row>
    <row r="1093" spans="1:9" ht="14.4" x14ac:dyDescent="0.3">
      <c r="A1093" s="197"/>
      <c r="B1093" s="198"/>
      <c r="C1093" s="199"/>
      <c r="D1093" s="200"/>
      <c r="E1093" s="201"/>
      <c r="F1093" s="212"/>
      <c r="G1093" s="201"/>
      <c r="H1093" s="215"/>
      <c r="I1093" s="216"/>
    </row>
    <row r="1094" spans="1:9" ht="14.4" x14ac:dyDescent="0.3">
      <c r="A1094" s="197"/>
      <c r="B1094" s="203"/>
      <c r="C1094" s="204"/>
      <c r="D1094" s="205"/>
      <c r="E1094" s="206"/>
      <c r="F1094" s="218"/>
      <c r="G1094" s="206"/>
      <c r="H1094" s="219"/>
      <c r="I1094" s="220"/>
    </row>
    <row r="1095" spans="1:9" ht="15" thickBot="1" x14ac:dyDescent="0.35">
      <c r="A1095" s="207"/>
      <c r="B1095" s="208"/>
      <c r="C1095" s="209"/>
      <c r="D1095" s="210"/>
      <c r="E1095" s="211"/>
      <c r="F1095" s="221"/>
      <c r="G1095" s="211"/>
      <c r="H1095" s="222"/>
      <c r="I1095" s="223"/>
    </row>
    <row r="1096" spans="1:9" ht="14.4" thickBot="1" x14ac:dyDescent="0.35"/>
    <row r="1097" spans="1:9" ht="14.4" thickBot="1" x14ac:dyDescent="0.35">
      <c r="A1097" s="226" t="s">
        <v>1204</v>
      </c>
      <c r="B1097" s="224" t="s">
        <v>1205</v>
      </c>
      <c r="C1097" s="224" t="s">
        <v>1206</v>
      </c>
      <c r="D1097" s="224" t="s">
        <v>1207</v>
      </c>
      <c r="E1097" s="368" t="s">
        <v>1208</v>
      </c>
      <c r="F1097" s="368"/>
      <c r="G1097" s="368"/>
      <c r="H1097" s="224" t="s">
        <v>1209</v>
      </c>
      <c r="I1097" s="225" t="s">
        <v>1210</v>
      </c>
    </row>
    <row r="1098" spans="1:9" ht="14.4" x14ac:dyDescent="0.3">
      <c r="A1098" s="197"/>
      <c r="B1098" s="193"/>
      <c r="C1098" s="194"/>
      <c r="D1098" s="195"/>
      <c r="E1098" s="196"/>
      <c r="F1098" s="212"/>
      <c r="G1098" s="196"/>
      <c r="H1098" s="213"/>
      <c r="I1098" s="214"/>
    </row>
    <row r="1099" spans="1:9" ht="14.4" x14ac:dyDescent="0.3">
      <c r="A1099" s="197"/>
      <c r="B1099" s="198"/>
      <c r="C1099" s="199"/>
      <c r="D1099" s="200"/>
      <c r="E1099" s="201"/>
      <c r="F1099" s="212"/>
      <c r="G1099" s="201"/>
      <c r="H1099" s="215"/>
      <c r="I1099" s="216"/>
    </row>
    <row r="1100" spans="1:9" ht="14.4" x14ac:dyDescent="0.3">
      <c r="A1100" s="197"/>
      <c r="B1100" s="198"/>
      <c r="C1100" s="199"/>
      <c r="D1100" s="200"/>
      <c r="E1100" s="201"/>
      <c r="F1100" s="212"/>
      <c r="G1100" s="201"/>
      <c r="H1100" s="215"/>
      <c r="I1100" s="216"/>
    </row>
    <row r="1101" spans="1:9" ht="14.4" x14ac:dyDescent="0.3">
      <c r="A1101" s="197"/>
      <c r="B1101" s="198"/>
      <c r="C1101" s="199"/>
      <c r="D1101" s="200"/>
      <c r="E1101" s="201"/>
      <c r="F1101" s="212"/>
      <c r="G1101" s="201"/>
      <c r="H1101" s="215"/>
      <c r="I1101" s="217"/>
    </row>
    <row r="1102" spans="1:9" ht="14.4" x14ac:dyDescent="0.3">
      <c r="A1102" s="197"/>
      <c r="B1102" s="198"/>
      <c r="C1102" s="199"/>
      <c r="D1102" s="200"/>
      <c r="E1102" s="196"/>
      <c r="F1102" s="212"/>
      <c r="G1102" s="196"/>
      <c r="H1102" s="215"/>
      <c r="I1102" s="217"/>
    </row>
    <row r="1103" spans="1:9" ht="14.4" x14ac:dyDescent="0.3">
      <c r="A1103" s="197"/>
      <c r="B1103" s="198"/>
      <c r="C1103" s="199"/>
      <c r="D1103" s="200"/>
      <c r="E1103" s="196"/>
      <c r="F1103" s="212"/>
      <c r="G1103" s="196"/>
      <c r="H1103" s="215"/>
      <c r="I1103" s="216"/>
    </row>
    <row r="1104" spans="1:9" ht="14.4" x14ac:dyDescent="0.3">
      <c r="A1104" s="197"/>
      <c r="B1104" s="198"/>
      <c r="C1104" s="199"/>
      <c r="D1104" s="200"/>
      <c r="E1104" s="201"/>
      <c r="F1104" s="212"/>
      <c r="G1104" s="201"/>
      <c r="H1104" s="215"/>
      <c r="I1104" s="216"/>
    </row>
    <row r="1105" spans="1:9" ht="14.4" x14ac:dyDescent="0.3">
      <c r="A1105" s="197"/>
      <c r="B1105" s="198"/>
      <c r="C1105" s="199"/>
      <c r="D1105" s="200"/>
      <c r="E1105" s="202"/>
      <c r="F1105" s="212"/>
      <c r="G1105" s="201"/>
      <c r="H1105" s="215"/>
      <c r="I1105" s="216"/>
    </row>
    <row r="1106" spans="1:9" ht="14.4" x14ac:dyDescent="0.3">
      <c r="A1106" s="197"/>
      <c r="B1106" s="198"/>
      <c r="C1106" s="199"/>
      <c r="D1106" s="200"/>
      <c r="E1106" s="201"/>
      <c r="F1106" s="212"/>
      <c r="G1106" s="201"/>
      <c r="H1106" s="215"/>
      <c r="I1106" s="216"/>
    </row>
    <row r="1107" spans="1:9" ht="14.4" x14ac:dyDescent="0.3">
      <c r="A1107" s="197"/>
      <c r="B1107" s="198"/>
      <c r="C1107" s="199"/>
      <c r="D1107" s="200"/>
      <c r="E1107" s="201"/>
      <c r="F1107" s="212"/>
      <c r="G1107" s="201"/>
      <c r="H1107" s="215"/>
      <c r="I1107" s="216"/>
    </row>
    <row r="1108" spans="1:9" ht="14.4" x14ac:dyDescent="0.3">
      <c r="A1108" s="197"/>
      <c r="B1108" s="203"/>
      <c r="C1108" s="204"/>
      <c r="D1108" s="205"/>
      <c r="E1108" s="206"/>
      <c r="F1108" s="218"/>
      <c r="G1108" s="206"/>
      <c r="H1108" s="219"/>
      <c r="I1108" s="220"/>
    </row>
    <row r="1109" spans="1:9" ht="15" thickBot="1" x14ac:dyDescent="0.35">
      <c r="A1109" s="207"/>
      <c r="B1109" s="208"/>
      <c r="C1109" s="209"/>
      <c r="D1109" s="210"/>
      <c r="E1109" s="211"/>
      <c r="F1109" s="221"/>
      <c r="G1109" s="211"/>
      <c r="H1109" s="222"/>
      <c r="I1109" s="223"/>
    </row>
    <row r="1110" spans="1:9" ht="14.4" thickBot="1" x14ac:dyDescent="0.35"/>
    <row r="1111" spans="1:9" ht="14.4" thickBot="1" x14ac:dyDescent="0.35">
      <c r="A1111" s="226" t="s">
        <v>1204</v>
      </c>
      <c r="B1111" s="224" t="s">
        <v>1205</v>
      </c>
      <c r="C1111" s="224" t="s">
        <v>1206</v>
      </c>
      <c r="D1111" s="224" t="s">
        <v>1207</v>
      </c>
      <c r="E1111" s="368" t="s">
        <v>1208</v>
      </c>
      <c r="F1111" s="368"/>
      <c r="G1111" s="368"/>
      <c r="H1111" s="224" t="s">
        <v>1209</v>
      </c>
      <c r="I1111" s="225" t="s">
        <v>1210</v>
      </c>
    </row>
    <row r="1112" spans="1:9" ht="14.4" x14ac:dyDescent="0.3">
      <c r="A1112" s="197"/>
      <c r="B1112" s="193"/>
      <c r="C1112" s="194"/>
      <c r="D1112" s="195"/>
      <c r="E1112" s="196"/>
      <c r="F1112" s="212"/>
      <c r="G1112" s="196"/>
      <c r="H1112" s="213"/>
      <c r="I1112" s="214"/>
    </row>
    <row r="1113" spans="1:9" ht="14.4" x14ac:dyDescent="0.3">
      <c r="A1113" s="197"/>
      <c r="B1113" s="198"/>
      <c r="C1113" s="199"/>
      <c r="D1113" s="200"/>
      <c r="E1113" s="201"/>
      <c r="F1113" s="212"/>
      <c r="G1113" s="201"/>
      <c r="H1113" s="215"/>
      <c r="I1113" s="216"/>
    </row>
    <row r="1114" spans="1:9" ht="14.4" x14ac:dyDescent="0.3">
      <c r="A1114" s="197"/>
      <c r="B1114" s="198"/>
      <c r="C1114" s="199"/>
      <c r="D1114" s="200"/>
      <c r="E1114" s="201"/>
      <c r="F1114" s="212"/>
      <c r="G1114" s="201"/>
      <c r="H1114" s="215"/>
      <c r="I1114" s="216"/>
    </row>
    <row r="1115" spans="1:9" ht="14.4" x14ac:dyDescent="0.3">
      <c r="A1115" s="197"/>
      <c r="B1115" s="198"/>
      <c r="C1115" s="199"/>
      <c r="D1115" s="200"/>
      <c r="E1115" s="201"/>
      <c r="F1115" s="212"/>
      <c r="G1115" s="201"/>
      <c r="H1115" s="215"/>
      <c r="I1115" s="217"/>
    </row>
    <row r="1116" spans="1:9" ht="14.4" x14ac:dyDescent="0.3">
      <c r="A1116" s="197"/>
      <c r="B1116" s="198"/>
      <c r="C1116" s="199"/>
      <c r="D1116" s="200"/>
      <c r="E1116" s="196"/>
      <c r="F1116" s="212"/>
      <c r="G1116" s="196"/>
      <c r="H1116" s="215"/>
      <c r="I1116" s="217"/>
    </row>
    <row r="1117" spans="1:9" ht="14.4" x14ac:dyDescent="0.3">
      <c r="A1117" s="197"/>
      <c r="B1117" s="198"/>
      <c r="C1117" s="199"/>
      <c r="D1117" s="200"/>
      <c r="E1117" s="196"/>
      <c r="F1117" s="212"/>
      <c r="G1117" s="196"/>
      <c r="H1117" s="215"/>
      <c r="I1117" s="216"/>
    </row>
    <row r="1118" spans="1:9" ht="14.4" x14ac:dyDescent="0.3">
      <c r="A1118" s="197"/>
      <c r="B1118" s="198"/>
      <c r="C1118" s="199"/>
      <c r="D1118" s="200"/>
      <c r="E1118" s="201"/>
      <c r="F1118" s="212"/>
      <c r="G1118" s="201"/>
      <c r="H1118" s="215"/>
      <c r="I1118" s="216"/>
    </row>
    <row r="1119" spans="1:9" ht="14.4" x14ac:dyDescent="0.3">
      <c r="A1119" s="197"/>
      <c r="B1119" s="198"/>
      <c r="C1119" s="199"/>
      <c r="D1119" s="200"/>
      <c r="E1119" s="202"/>
      <c r="F1119" s="212"/>
      <c r="G1119" s="201"/>
      <c r="H1119" s="215"/>
      <c r="I1119" s="216"/>
    </row>
    <row r="1120" spans="1:9" ht="14.4" x14ac:dyDescent="0.3">
      <c r="A1120" s="197"/>
      <c r="B1120" s="198"/>
      <c r="C1120" s="199"/>
      <c r="D1120" s="200"/>
      <c r="E1120" s="201"/>
      <c r="F1120" s="212"/>
      <c r="G1120" s="201"/>
      <c r="H1120" s="215"/>
      <c r="I1120" s="216"/>
    </row>
    <row r="1121" spans="1:9" ht="14.4" x14ac:dyDescent="0.3">
      <c r="A1121" s="197"/>
      <c r="B1121" s="198"/>
      <c r="C1121" s="199"/>
      <c r="D1121" s="200"/>
      <c r="E1121" s="201"/>
      <c r="F1121" s="212"/>
      <c r="G1121" s="201"/>
      <c r="H1121" s="215"/>
      <c r="I1121" s="216"/>
    </row>
    <row r="1122" spans="1:9" ht="14.4" x14ac:dyDescent="0.3">
      <c r="A1122" s="197"/>
      <c r="B1122" s="203"/>
      <c r="C1122" s="204"/>
      <c r="D1122" s="205"/>
      <c r="E1122" s="206"/>
      <c r="F1122" s="218"/>
      <c r="G1122" s="206"/>
      <c r="H1122" s="219"/>
      <c r="I1122" s="220"/>
    </row>
    <row r="1123" spans="1:9" ht="15" thickBot="1" x14ac:dyDescent="0.35">
      <c r="A1123" s="207"/>
      <c r="B1123" s="208"/>
      <c r="C1123" s="209"/>
      <c r="D1123" s="210"/>
      <c r="E1123" s="211"/>
      <c r="F1123" s="221"/>
      <c r="G1123" s="211"/>
      <c r="H1123" s="222"/>
      <c r="I1123" s="223"/>
    </row>
    <row r="1124" spans="1:9" ht="14.4" thickBot="1" x14ac:dyDescent="0.35"/>
    <row r="1125" spans="1:9" ht="14.4" thickBot="1" x14ac:dyDescent="0.35">
      <c r="A1125" s="226" t="s">
        <v>1204</v>
      </c>
      <c r="B1125" s="224" t="s">
        <v>1205</v>
      </c>
      <c r="C1125" s="224" t="s">
        <v>1206</v>
      </c>
      <c r="D1125" s="224" t="s">
        <v>1207</v>
      </c>
      <c r="E1125" s="368" t="s">
        <v>1208</v>
      </c>
      <c r="F1125" s="368"/>
      <c r="G1125" s="368"/>
      <c r="H1125" s="224" t="s">
        <v>1209</v>
      </c>
      <c r="I1125" s="225" t="s">
        <v>1210</v>
      </c>
    </row>
    <row r="1126" spans="1:9" ht="14.4" x14ac:dyDescent="0.3">
      <c r="A1126" s="197"/>
      <c r="B1126" s="193"/>
      <c r="C1126" s="194"/>
      <c r="D1126" s="195"/>
      <c r="E1126" s="196"/>
      <c r="F1126" s="212"/>
      <c r="G1126" s="196"/>
      <c r="H1126" s="213"/>
      <c r="I1126" s="214"/>
    </row>
    <row r="1127" spans="1:9" ht="14.4" x14ac:dyDescent="0.3">
      <c r="A1127" s="197"/>
      <c r="B1127" s="198"/>
      <c r="C1127" s="199"/>
      <c r="D1127" s="200"/>
      <c r="E1127" s="201"/>
      <c r="F1127" s="212"/>
      <c r="G1127" s="201"/>
      <c r="H1127" s="215"/>
      <c r="I1127" s="216"/>
    </row>
    <row r="1128" spans="1:9" ht="14.4" x14ac:dyDescent="0.3">
      <c r="A1128" s="197"/>
      <c r="B1128" s="198"/>
      <c r="C1128" s="199"/>
      <c r="D1128" s="200"/>
      <c r="E1128" s="201"/>
      <c r="F1128" s="212"/>
      <c r="G1128" s="201"/>
      <c r="H1128" s="215"/>
      <c r="I1128" s="216"/>
    </row>
    <row r="1129" spans="1:9" ht="14.4" x14ac:dyDescent="0.3">
      <c r="A1129" s="197"/>
      <c r="B1129" s="198"/>
      <c r="C1129" s="199"/>
      <c r="D1129" s="200"/>
      <c r="E1129" s="201"/>
      <c r="F1129" s="212"/>
      <c r="G1129" s="201"/>
      <c r="H1129" s="215"/>
      <c r="I1129" s="217"/>
    </row>
    <row r="1130" spans="1:9" ht="14.4" x14ac:dyDescent="0.3">
      <c r="A1130" s="197"/>
      <c r="B1130" s="198"/>
      <c r="C1130" s="199"/>
      <c r="D1130" s="200"/>
      <c r="E1130" s="196"/>
      <c r="F1130" s="212"/>
      <c r="G1130" s="196"/>
      <c r="H1130" s="215"/>
      <c r="I1130" s="217"/>
    </row>
    <row r="1131" spans="1:9" ht="14.4" x14ac:dyDescent="0.3">
      <c r="A1131" s="197"/>
      <c r="B1131" s="198"/>
      <c r="C1131" s="199"/>
      <c r="D1131" s="200"/>
      <c r="E1131" s="196"/>
      <c r="F1131" s="212"/>
      <c r="G1131" s="196"/>
      <c r="H1131" s="215"/>
      <c r="I1131" s="216"/>
    </row>
    <row r="1132" spans="1:9" ht="14.4" x14ac:dyDescent="0.3">
      <c r="A1132" s="197"/>
      <c r="B1132" s="198"/>
      <c r="C1132" s="199"/>
      <c r="D1132" s="200"/>
      <c r="E1132" s="201"/>
      <c r="F1132" s="212"/>
      <c r="G1132" s="201"/>
      <c r="H1132" s="215"/>
      <c r="I1132" s="216"/>
    </row>
    <row r="1133" spans="1:9" ht="14.4" x14ac:dyDescent="0.3">
      <c r="A1133" s="197"/>
      <c r="B1133" s="198"/>
      <c r="C1133" s="199"/>
      <c r="D1133" s="200"/>
      <c r="E1133" s="202"/>
      <c r="F1133" s="212"/>
      <c r="G1133" s="201"/>
      <c r="H1133" s="215"/>
      <c r="I1133" s="216"/>
    </row>
    <row r="1134" spans="1:9" ht="14.4" x14ac:dyDescent="0.3">
      <c r="A1134" s="197"/>
      <c r="B1134" s="198"/>
      <c r="C1134" s="199"/>
      <c r="D1134" s="200"/>
      <c r="E1134" s="201"/>
      <c r="F1134" s="212"/>
      <c r="G1134" s="201"/>
      <c r="H1134" s="215"/>
      <c r="I1134" s="216"/>
    </row>
    <row r="1135" spans="1:9" ht="14.4" x14ac:dyDescent="0.3">
      <c r="A1135" s="197"/>
      <c r="B1135" s="198"/>
      <c r="C1135" s="199"/>
      <c r="D1135" s="200"/>
      <c r="E1135" s="201"/>
      <c r="F1135" s="212"/>
      <c r="G1135" s="201"/>
      <c r="H1135" s="215"/>
      <c r="I1135" s="216"/>
    </row>
    <row r="1136" spans="1:9" ht="14.4" x14ac:dyDescent="0.3">
      <c r="A1136" s="197"/>
      <c r="B1136" s="203"/>
      <c r="C1136" s="204"/>
      <c r="D1136" s="205"/>
      <c r="E1136" s="206"/>
      <c r="F1136" s="218"/>
      <c r="G1136" s="206"/>
      <c r="H1136" s="219"/>
      <c r="I1136" s="220"/>
    </row>
    <row r="1137" spans="1:9" ht="15" thickBot="1" x14ac:dyDescent="0.35">
      <c r="A1137" s="207"/>
      <c r="B1137" s="208"/>
      <c r="C1137" s="209"/>
      <c r="D1137" s="210"/>
      <c r="E1137" s="211"/>
      <c r="F1137" s="221"/>
      <c r="G1137" s="211"/>
      <c r="H1137" s="222"/>
      <c r="I1137" s="223"/>
    </row>
    <row r="1138" spans="1:9" ht="14.4" thickBot="1" x14ac:dyDescent="0.35"/>
    <row r="1139" spans="1:9" ht="14.4" thickBot="1" x14ac:dyDescent="0.35">
      <c r="A1139" s="226" t="s">
        <v>1204</v>
      </c>
      <c r="B1139" s="224" t="s">
        <v>1205</v>
      </c>
      <c r="C1139" s="224" t="s">
        <v>1206</v>
      </c>
      <c r="D1139" s="224" t="s">
        <v>1207</v>
      </c>
      <c r="E1139" s="368" t="s">
        <v>1208</v>
      </c>
      <c r="F1139" s="368"/>
      <c r="G1139" s="368"/>
      <c r="H1139" s="224" t="s">
        <v>1209</v>
      </c>
      <c r="I1139" s="225" t="s">
        <v>1210</v>
      </c>
    </row>
    <row r="1140" spans="1:9" ht="14.4" x14ac:dyDescent="0.3">
      <c r="A1140" s="197"/>
      <c r="B1140" s="193"/>
      <c r="C1140" s="194"/>
      <c r="D1140" s="195"/>
      <c r="E1140" s="196"/>
      <c r="F1140" s="212"/>
      <c r="G1140" s="196"/>
      <c r="H1140" s="213"/>
      <c r="I1140" s="214"/>
    </row>
    <row r="1141" spans="1:9" ht="14.4" x14ac:dyDescent="0.3">
      <c r="A1141" s="197"/>
      <c r="B1141" s="198"/>
      <c r="C1141" s="199"/>
      <c r="D1141" s="200"/>
      <c r="E1141" s="201"/>
      <c r="F1141" s="212"/>
      <c r="G1141" s="201"/>
      <c r="H1141" s="215"/>
      <c r="I1141" s="216"/>
    </row>
    <row r="1142" spans="1:9" ht="14.4" x14ac:dyDescent="0.3">
      <c r="A1142" s="197"/>
      <c r="B1142" s="198"/>
      <c r="C1142" s="199"/>
      <c r="D1142" s="200"/>
      <c r="E1142" s="201"/>
      <c r="F1142" s="212"/>
      <c r="G1142" s="201"/>
      <c r="H1142" s="215"/>
      <c r="I1142" s="216"/>
    </row>
    <row r="1143" spans="1:9" ht="14.4" x14ac:dyDescent="0.3">
      <c r="A1143" s="197"/>
      <c r="B1143" s="198"/>
      <c r="C1143" s="199"/>
      <c r="D1143" s="200"/>
      <c r="E1143" s="201"/>
      <c r="F1143" s="212"/>
      <c r="G1143" s="201"/>
      <c r="H1143" s="215"/>
      <c r="I1143" s="217"/>
    </row>
    <row r="1144" spans="1:9" ht="14.4" x14ac:dyDescent="0.3">
      <c r="A1144" s="197"/>
      <c r="B1144" s="198"/>
      <c r="C1144" s="199"/>
      <c r="D1144" s="200"/>
      <c r="E1144" s="196"/>
      <c r="F1144" s="212"/>
      <c r="G1144" s="196"/>
      <c r="H1144" s="215"/>
      <c r="I1144" s="217"/>
    </row>
    <row r="1145" spans="1:9" ht="14.4" x14ac:dyDescent="0.3">
      <c r="A1145" s="197"/>
      <c r="B1145" s="198"/>
      <c r="C1145" s="199"/>
      <c r="D1145" s="200"/>
      <c r="E1145" s="196"/>
      <c r="F1145" s="212"/>
      <c r="G1145" s="196"/>
      <c r="H1145" s="215"/>
      <c r="I1145" s="216"/>
    </row>
    <row r="1146" spans="1:9" ht="14.4" x14ac:dyDescent="0.3">
      <c r="A1146" s="197"/>
      <c r="B1146" s="198"/>
      <c r="C1146" s="199"/>
      <c r="D1146" s="200"/>
      <c r="E1146" s="201"/>
      <c r="F1146" s="212"/>
      <c r="G1146" s="201"/>
      <c r="H1146" s="215"/>
      <c r="I1146" s="216"/>
    </row>
    <row r="1147" spans="1:9" ht="14.4" x14ac:dyDescent="0.3">
      <c r="A1147" s="197"/>
      <c r="B1147" s="198"/>
      <c r="C1147" s="199"/>
      <c r="D1147" s="200"/>
      <c r="E1147" s="202"/>
      <c r="F1147" s="212"/>
      <c r="G1147" s="201"/>
      <c r="H1147" s="215"/>
      <c r="I1147" s="216"/>
    </row>
    <row r="1148" spans="1:9" ht="14.4" x14ac:dyDescent="0.3">
      <c r="A1148" s="197"/>
      <c r="B1148" s="198"/>
      <c r="C1148" s="199"/>
      <c r="D1148" s="200"/>
      <c r="E1148" s="201"/>
      <c r="F1148" s="212"/>
      <c r="G1148" s="201"/>
      <c r="H1148" s="215"/>
      <c r="I1148" s="216"/>
    </row>
    <row r="1149" spans="1:9" ht="14.4" x14ac:dyDescent="0.3">
      <c r="A1149" s="197"/>
      <c r="B1149" s="198"/>
      <c r="C1149" s="199"/>
      <c r="D1149" s="200"/>
      <c r="E1149" s="201"/>
      <c r="F1149" s="212"/>
      <c r="G1149" s="201"/>
      <c r="H1149" s="215"/>
      <c r="I1149" s="216"/>
    </row>
    <row r="1150" spans="1:9" ht="14.4" x14ac:dyDescent="0.3">
      <c r="A1150" s="197"/>
      <c r="B1150" s="203"/>
      <c r="C1150" s="204"/>
      <c r="D1150" s="205"/>
      <c r="E1150" s="206"/>
      <c r="F1150" s="218"/>
      <c r="G1150" s="206"/>
      <c r="H1150" s="219"/>
      <c r="I1150" s="220"/>
    </row>
    <row r="1151" spans="1:9" ht="15" thickBot="1" x14ac:dyDescent="0.35">
      <c r="A1151" s="207"/>
      <c r="B1151" s="208"/>
      <c r="C1151" s="209"/>
      <c r="D1151" s="210"/>
      <c r="E1151" s="211"/>
      <c r="F1151" s="221"/>
      <c r="G1151" s="211"/>
      <c r="H1151" s="222"/>
      <c r="I1151" s="223"/>
    </row>
    <row r="1152" spans="1:9" ht="14.4" thickBot="1" x14ac:dyDescent="0.35"/>
    <row r="1153" spans="1:9" ht="14.4" thickBot="1" x14ac:dyDescent="0.35">
      <c r="A1153" s="226" t="s">
        <v>1204</v>
      </c>
      <c r="B1153" s="224" t="s">
        <v>1205</v>
      </c>
      <c r="C1153" s="224" t="s">
        <v>1206</v>
      </c>
      <c r="D1153" s="224" t="s">
        <v>1207</v>
      </c>
      <c r="E1153" s="368" t="s">
        <v>1208</v>
      </c>
      <c r="F1153" s="368"/>
      <c r="G1153" s="368"/>
      <c r="H1153" s="224" t="s">
        <v>1209</v>
      </c>
      <c r="I1153" s="225" t="s">
        <v>1210</v>
      </c>
    </row>
    <row r="1154" spans="1:9" ht="14.4" x14ac:dyDescent="0.3">
      <c r="A1154" s="197"/>
      <c r="B1154" s="193"/>
      <c r="C1154" s="194"/>
      <c r="D1154" s="195"/>
      <c r="E1154" s="196"/>
      <c r="F1154" s="212"/>
      <c r="G1154" s="196"/>
      <c r="H1154" s="213"/>
      <c r="I1154" s="214"/>
    </row>
    <row r="1155" spans="1:9" ht="14.4" x14ac:dyDescent="0.3">
      <c r="A1155" s="197"/>
      <c r="B1155" s="198"/>
      <c r="C1155" s="199"/>
      <c r="D1155" s="200"/>
      <c r="E1155" s="201"/>
      <c r="F1155" s="212"/>
      <c r="G1155" s="201"/>
      <c r="H1155" s="215"/>
      <c r="I1155" s="216"/>
    </row>
    <row r="1156" spans="1:9" ht="14.4" x14ac:dyDescent="0.3">
      <c r="A1156" s="197"/>
      <c r="B1156" s="198"/>
      <c r="C1156" s="199"/>
      <c r="D1156" s="200"/>
      <c r="E1156" s="201"/>
      <c r="F1156" s="212"/>
      <c r="G1156" s="201"/>
      <c r="H1156" s="215"/>
      <c r="I1156" s="216"/>
    </row>
    <row r="1157" spans="1:9" ht="14.4" x14ac:dyDescent="0.3">
      <c r="A1157" s="197"/>
      <c r="B1157" s="198"/>
      <c r="C1157" s="199"/>
      <c r="D1157" s="200"/>
      <c r="E1157" s="201"/>
      <c r="F1157" s="212"/>
      <c r="G1157" s="201"/>
      <c r="H1157" s="215"/>
      <c r="I1157" s="217"/>
    </row>
    <row r="1158" spans="1:9" ht="14.4" x14ac:dyDescent="0.3">
      <c r="A1158" s="197"/>
      <c r="B1158" s="198"/>
      <c r="C1158" s="199"/>
      <c r="D1158" s="200"/>
      <c r="E1158" s="196"/>
      <c r="F1158" s="212"/>
      <c r="G1158" s="196"/>
      <c r="H1158" s="215"/>
      <c r="I1158" s="217"/>
    </row>
    <row r="1159" spans="1:9" ht="14.4" x14ac:dyDescent="0.3">
      <c r="A1159" s="197"/>
      <c r="B1159" s="198"/>
      <c r="C1159" s="199"/>
      <c r="D1159" s="200"/>
      <c r="E1159" s="196"/>
      <c r="F1159" s="212"/>
      <c r="G1159" s="196"/>
      <c r="H1159" s="215"/>
      <c r="I1159" s="216"/>
    </row>
    <row r="1160" spans="1:9" ht="14.4" x14ac:dyDescent="0.3">
      <c r="A1160" s="197"/>
      <c r="B1160" s="198"/>
      <c r="C1160" s="199"/>
      <c r="D1160" s="200"/>
      <c r="E1160" s="201"/>
      <c r="F1160" s="212"/>
      <c r="G1160" s="201"/>
      <c r="H1160" s="215"/>
      <c r="I1160" s="216"/>
    </row>
    <row r="1161" spans="1:9" ht="14.4" x14ac:dyDescent="0.3">
      <c r="A1161" s="197"/>
      <c r="B1161" s="198"/>
      <c r="C1161" s="199"/>
      <c r="D1161" s="200"/>
      <c r="E1161" s="202"/>
      <c r="F1161" s="212"/>
      <c r="G1161" s="201"/>
      <c r="H1161" s="215"/>
      <c r="I1161" s="216"/>
    </row>
    <row r="1162" spans="1:9" ht="14.4" x14ac:dyDescent="0.3">
      <c r="A1162" s="197"/>
      <c r="B1162" s="198"/>
      <c r="C1162" s="199"/>
      <c r="D1162" s="200"/>
      <c r="E1162" s="201"/>
      <c r="F1162" s="212"/>
      <c r="G1162" s="201"/>
      <c r="H1162" s="215"/>
      <c r="I1162" s="216"/>
    </row>
    <row r="1163" spans="1:9" ht="14.4" x14ac:dyDescent="0.3">
      <c r="A1163" s="197"/>
      <c r="B1163" s="198"/>
      <c r="C1163" s="199"/>
      <c r="D1163" s="200"/>
      <c r="E1163" s="201"/>
      <c r="F1163" s="212"/>
      <c r="G1163" s="201"/>
      <c r="H1163" s="215"/>
      <c r="I1163" s="216"/>
    </row>
    <row r="1164" spans="1:9" ht="14.4" x14ac:dyDescent="0.3">
      <c r="A1164" s="197"/>
      <c r="B1164" s="203"/>
      <c r="C1164" s="204"/>
      <c r="D1164" s="205"/>
      <c r="E1164" s="206"/>
      <c r="F1164" s="218"/>
      <c r="G1164" s="206"/>
      <c r="H1164" s="219"/>
      <c r="I1164" s="220"/>
    </row>
    <row r="1165" spans="1:9" ht="15" thickBot="1" x14ac:dyDescent="0.35">
      <c r="A1165" s="207"/>
      <c r="B1165" s="208"/>
      <c r="C1165" s="209"/>
      <c r="D1165" s="210"/>
      <c r="E1165" s="211"/>
      <c r="F1165" s="221"/>
      <c r="G1165" s="211"/>
      <c r="H1165" s="222"/>
      <c r="I1165" s="223"/>
    </row>
    <row r="1166" spans="1:9" ht="14.4" thickBot="1" x14ac:dyDescent="0.35"/>
    <row r="1167" spans="1:9" ht="14.4" thickBot="1" x14ac:dyDescent="0.35">
      <c r="A1167" s="226" t="s">
        <v>1204</v>
      </c>
      <c r="B1167" s="224" t="s">
        <v>1205</v>
      </c>
      <c r="C1167" s="224" t="s">
        <v>1206</v>
      </c>
      <c r="D1167" s="224" t="s">
        <v>1207</v>
      </c>
      <c r="E1167" s="368" t="s">
        <v>1208</v>
      </c>
      <c r="F1167" s="368"/>
      <c r="G1167" s="368"/>
      <c r="H1167" s="224" t="s">
        <v>1209</v>
      </c>
      <c r="I1167" s="225" t="s">
        <v>1210</v>
      </c>
    </row>
    <row r="1168" spans="1:9" ht="14.4" x14ac:dyDescent="0.3">
      <c r="A1168" s="197"/>
      <c r="B1168" s="193"/>
      <c r="C1168" s="194"/>
      <c r="D1168" s="195"/>
      <c r="E1168" s="196"/>
      <c r="F1168" s="212"/>
      <c r="G1168" s="196"/>
      <c r="H1168" s="213"/>
      <c r="I1168" s="214"/>
    </row>
    <row r="1169" spans="1:9" ht="14.4" x14ac:dyDescent="0.3">
      <c r="A1169" s="197"/>
      <c r="B1169" s="198"/>
      <c r="C1169" s="199"/>
      <c r="D1169" s="200"/>
      <c r="E1169" s="201"/>
      <c r="F1169" s="212"/>
      <c r="G1169" s="201"/>
      <c r="H1169" s="215"/>
      <c r="I1169" s="216"/>
    </row>
    <row r="1170" spans="1:9" ht="14.4" x14ac:dyDescent="0.3">
      <c r="A1170" s="197"/>
      <c r="B1170" s="198"/>
      <c r="C1170" s="199"/>
      <c r="D1170" s="200"/>
      <c r="E1170" s="201"/>
      <c r="F1170" s="212"/>
      <c r="G1170" s="201"/>
      <c r="H1170" s="215"/>
      <c r="I1170" s="216"/>
    </row>
    <row r="1171" spans="1:9" ht="14.4" x14ac:dyDescent="0.3">
      <c r="A1171" s="197"/>
      <c r="B1171" s="198"/>
      <c r="C1171" s="199"/>
      <c r="D1171" s="200"/>
      <c r="E1171" s="201"/>
      <c r="F1171" s="212"/>
      <c r="G1171" s="201"/>
      <c r="H1171" s="215"/>
      <c r="I1171" s="217"/>
    </row>
    <row r="1172" spans="1:9" ht="14.4" x14ac:dyDescent="0.3">
      <c r="A1172" s="197"/>
      <c r="B1172" s="198"/>
      <c r="C1172" s="199"/>
      <c r="D1172" s="200"/>
      <c r="E1172" s="196"/>
      <c r="F1172" s="212"/>
      <c r="G1172" s="196"/>
      <c r="H1172" s="215"/>
      <c r="I1172" s="217"/>
    </row>
    <row r="1173" spans="1:9" ht="14.4" x14ac:dyDescent="0.3">
      <c r="A1173" s="197"/>
      <c r="B1173" s="198"/>
      <c r="C1173" s="199"/>
      <c r="D1173" s="200"/>
      <c r="E1173" s="196"/>
      <c r="F1173" s="212"/>
      <c r="G1173" s="196"/>
      <c r="H1173" s="215"/>
      <c r="I1173" s="216"/>
    </row>
    <row r="1174" spans="1:9" ht="14.4" x14ac:dyDescent="0.3">
      <c r="A1174" s="197"/>
      <c r="B1174" s="198"/>
      <c r="C1174" s="199"/>
      <c r="D1174" s="200"/>
      <c r="E1174" s="201"/>
      <c r="F1174" s="212"/>
      <c r="G1174" s="201"/>
      <c r="H1174" s="215"/>
      <c r="I1174" s="216"/>
    </row>
    <row r="1175" spans="1:9" ht="14.4" x14ac:dyDescent="0.3">
      <c r="A1175" s="197"/>
      <c r="B1175" s="198"/>
      <c r="C1175" s="199"/>
      <c r="D1175" s="200"/>
      <c r="E1175" s="202"/>
      <c r="F1175" s="212"/>
      <c r="G1175" s="201"/>
      <c r="H1175" s="215"/>
      <c r="I1175" s="216"/>
    </row>
    <row r="1176" spans="1:9" ht="14.4" x14ac:dyDescent="0.3">
      <c r="A1176" s="197"/>
      <c r="B1176" s="198"/>
      <c r="C1176" s="199"/>
      <c r="D1176" s="200"/>
      <c r="E1176" s="201"/>
      <c r="F1176" s="212"/>
      <c r="G1176" s="201"/>
      <c r="H1176" s="215"/>
      <c r="I1176" s="216"/>
    </row>
    <row r="1177" spans="1:9" ht="14.4" x14ac:dyDescent="0.3">
      <c r="A1177" s="197"/>
      <c r="B1177" s="198"/>
      <c r="C1177" s="199"/>
      <c r="D1177" s="200"/>
      <c r="E1177" s="201"/>
      <c r="F1177" s="212"/>
      <c r="G1177" s="201"/>
      <c r="H1177" s="215"/>
      <c r="I1177" s="216"/>
    </row>
    <row r="1178" spans="1:9" ht="14.4" x14ac:dyDescent="0.3">
      <c r="A1178" s="197"/>
      <c r="B1178" s="203"/>
      <c r="C1178" s="204"/>
      <c r="D1178" s="205"/>
      <c r="E1178" s="206"/>
      <c r="F1178" s="218"/>
      <c r="G1178" s="206"/>
      <c r="H1178" s="219"/>
      <c r="I1178" s="220"/>
    </row>
    <row r="1179" spans="1:9" ht="15" thickBot="1" x14ac:dyDescent="0.35">
      <c r="A1179" s="207"/>
      <c r="B1179" s="208"/>
      <c r="C1179" s="209"/>
      <c r="D1179" s="210"/>
      <c r="E1179" s="211"/>
      <c r="F1179" s="221"/>
      <c r="G1179" s="211"/>
      <c r="H1179" s="222"/>
      <c r="I1179" s="223"/>
    </row>
    <row r="1180" spans="1:9" ht="14.4" thickBot="1" x14ac:dyDescent="0.35"/>
    <row r="1181" spans="1:9" ht="14.4" thickBot="1" x14ac:dyDescent="0.35">
      <c r="A1181" s="226" t="s">
        <v>1204</v>
      </c>
      <c r="B1181" s="224" t="s">
        <v>1205</v>
      </c>
      <c r="C1181" s="224" t="s">
        <v>1206</v>
      </c>
      <c r="D1181" s="224" t="s">
        <v>1207</v>
      </c>
      <c r="E1181" s="368" t="s">
        <v>1208</v>
      </c>
      <c r="F1181" s="368"/>
      <c r="G1181" s="368"/>
      <c r="H1181" s="224" t="s">
        <v>1209</v>
      </c>
      <c r="I1181" s="225" t="s">
        <v>1210</v>
      </c>
    </row>
    <row r="1182" spans="1:9" ht="14.4" x14ac:dyDescent="0.3">
      <c r="A1182" s="197"/>
      <c r="B1182" s="193"/>
      <c r="C1182" s="194"/>
      <c r="D1182" s="195"/>
      <c r="E1182" s="196"/>
      <c r="F1182" s="212"/>
      <c r="G1182" s="196"/>
      <c r="H1182" s="213"/>
      <c r="I1182" s="214"/>
    </row>
    <row r="1183" spans="1:9" ht="14.4" x14ac:dyDescent="0.3">
      <c r="A1183" s="197"/>
      <c r="B1183" s="198"/>
      <c r="C1183" s="199"/>
      <c r="D1183" s="200"/>
      <c r="E1183" s="201"/>
      <c r="F1183" s="212"/>
      <c r="G1183" s="201"/>
      <c r="H1183" s="215"/>
      <c r="I1183" s="216"/>
    </row>
    <row r="1184" spans="1:9" ht="14.4" x14ac:dyDescent="0.3">
      <c r="A1184" s="197"/>
      <c r="B1184" s="198"/>
      <c r="C1184" s="199"/>
      <c r="D1184" s="200"/>
      <c r="E1184" s="201"/>
      <c r="F1184" s="212"/>
      <c r="G1184" s="201"/>
      <c r="H1184" s="215"/>
      <c r="I1184" s="216"/>
    </row>
    <row r="1185" spans="1:9" ht="14.4" x14ac:dyDescent="0.3">
      <c r="A1185" s="197"/>
      <c r="B1185" s="198"/>
      <c r="C1185" s="199"/>
      <c r="D1185" s="200"/>
      <c r="E1185" s="201"/>
      <c r="F1185" s="212"/>
      <c r="G1185" s="201"/>
      <c r="H1185" s="215"/>
      <c r="I1185" s="217"/>
    </row>
    <row r="1186" spans="1:9" ht="14.4" x14ac:dyDescent="0.3">
      <c r="A1186" s="197"/>
      <c r="B1186" s="198"/>
      <c r="C1186" s="199"/>
      <c r="D1186" s="200"/>
      <c r="E1186" s="196"/>
      <c r="F1186" s="212"/>
      <c r="G1186" s="196"/>
      <c r="H1186" s="215"/>
      <c r="I1186" s="217"/>
    </row>
    <row r="1187" spans="1:9" ht="14.4" x14ac:dyDescent="0.3">
      <c r="A1187" s="197"/>
      <c r="B1187" s="198"/>
      <c r="C1187" s="199"/>
      <c r="D1187" s="200"/>
      <c r="E1187" s="196"/>
      <c r="F1187" s="212"/>
      <c r="G1187" s="196"/>
      <c r="H1187" s="215"/>
      <c r="I1187" s="216"/>
    </row>
    <row r="1188" spans="1:9" ht="14.4" x14ac:dyDescent="0.3">
      <c r="A1188" s="197"/>
      <c r="B1188" s="198"/>
      <c r="C1188" s="199"/>
      <c r="D1188" s="200"/>
      <c r="E1188" s="201"/>
      <c r="F1188" s="212"/>
      <c r="G1188" s="201"/>
      <c r="H1188" s="215"/>
      <c r="I1188" s="216"/>
    </row>
    <row r="1189" spans="1:9" ht="14.4" x14ac:dyDescent="0.3">
      <c r="A1189" s="197"/>
      <c r="B1189" s="198"/>
      <c r="C1189" s="199"/>
      <c r="D1189" s="200"/>
      <c r="E1189" s="202"/>
      <c r="F1189" s="212"/>
      <c r="G1189" s="201"/>
      <c r="H1189" s="215"/>
      <c r="I1189" s="216"/>
    </row>
    <row r="1190" spans="1:9" ht="14.4" x14ac:dyDescent="0.3">
      <c r="A1190" s="197"/>
      <c r="B1190" s="198"/>
      <c r="C1190" s="199"/>
      <c r="D1190" s="200"/>
      <c r="E1190" s="201"/>
      <c r="F1190" s="212"/>
      <c r="G1190" s="201"/>
      <c r="H1190" s="215"/>
      <c r="I1190" s="216"/>
    </row>
    <row r="1191" spans="1:9" ht="14.4" x14ac:dyDescent="0.3">
      <c r="A1191" s="197"/>
      <c r="B1191" s="198"/>
      <c r="C1191" s="199"/>
      <c r="D1191" s="200"/>
      <c r="E1191" s="201"/>
      <c r="F1191" s="212"/>
      <c r="G1191" s="201"/>
      <c r="H1191" s="215"/>
      <c r="I1191" s="216"/>
    </row>
    <row r="1192" spans="1:9" ht="14.4" x14ac:dyDescent="0.3">
      <c r="A1192" s="197"/>
      <c r="B1192" s="203"/>
      <c r="C1192" s="204"/>
      <c r="D1192" s="205"/>
      <c r="E1192" s="206"/>
      <c r="F1192" s="218"/>
      <c r="G1192" s="206"/>
      <c r="H1192" s="219"/>
      <c r="I1192" s="220"/>
    </row>
    <row r="1193" spans="1:9" ht="15" thickBot="1" x14ac:dyDescent="0.35">
      <c r="A1193" s="207"/>
      <c r="B1193" s="208"/>
      <c r="C1193" s="209"/>
      <c r="D1193" s="210"/>
      <c r="E1193" s="211"/>
      <c r="F1193" s="221"/>
      <c r="G1193" s="211"/>
      <c r="H1193" s="222"/>
      <c r="I1193" s="223"/>
    </row>
    <row r="1194" spans="1:9" ht="14.4" thickBot="1" x14ac:dyDescent="0.35"/>
    <row r="1195" spans="1:9" ht="14.4" thickBot="1" x14ac:dyDescent="0.35">
      <c r="A1195" s="226" t="s">
        <v>1204</v>
      </c>
      <c r="B1195" s="224" t="s">
        <v>1205</v>
      </c>
      <c r="C1195" s="224" t="s">
        <v>1206</v>
      </c>
      <c r="D1195" s="224" t="s">
        <v>1207</v>
      </c>
      <c r="E1195" s="368" t="s">
        <v>1208</v>
      </c>
      <c r="F1195" s="368"/>
      <c r="G1195" s="368"/>
      <c r="H1195" s="224" t="s">
        <v>1209</v>
      </c>
      <c r="I1195" s="225" t="s">
        <v>1210</v>
      </c>
    </row>
    <row r="1196" spans="1:9" ht="14.4" x14ac:dyDescent="0.3">
      <c r="A1196" s="197"/>
      <c r="B1196" s="193"/>
      <c r="C1196" s="194"/>
      <c r="D1196" s="195"/>
      <c r="E1196" s="196"/>
      <c r="F1196" s="212"/>
      <c r="G1196" s="196"/>
      <c r="H1196" s="213"/>
      <c r="I1196" s="214"/>
    </row>
    <row r="1197" spans="1:9" ht="14.4" x14ac:dyDescent="0.3">
      <c r="A1197" s="197"/>
      <c r="B1197" s="198"/>
      <c r="C1197" s="199"/>
      <c r="D1197" s="200"/>
      <c r="E1197" s="201"/>
      <c r="F1197" s="212"/>
      <c r="G1197" s="201"/>
      <c r="H1197" s="215"/>
      <c r="I1197" s="216"/>
    </row>
    <row r="1198" spans="1:9" ht="14.4" x14ac:dyDescent="0.3">
      <c r="A1198" s="197"/>
      <c r="B1198" s="198"/>
      <c r="C1198" s="199"/>
      <c r="D1198" s="200"/>
      <c r="E1198" s="201"/>
      <c r="F1198" s="212"/>
      <c r="G1198" s="201"/>
      <c r="H1198" s="215"/>
      <c r="I1198" s="216"/>
    </row>
    <row r="1199" spans="1:9" ht="14.4" x14ac:dyDescent="0.3">
      <c r="A1199" s="197"/>
      <c r="B1199" s="198"/>
      <c r="C1199" s="199"/>
      <c r="D1199" s="200"/>
      <c r="E1199" s="201"/>
      <c r="F1199" s="212"/>
      <c r="G1199" s="201"/>
      <c r="H1199" s="215"/>
      <c r="I1199" s="217"/>
    </row>
    <row r="1200" spans="1:9" ht="14.4" x14ac:dyDescent="0.3">
      <c r="A1200" s="197"/>
      <c r="B1200" s="198"/>
      <c r="C1200" s="199"/>
      <c r="D1200" s="200"/>
      <c r="E1200" s="196"/>
      <c r="F1200" s="212"/>
      <c r="G1200" s="196"/>
      <c r="H1200" s="215"/>
      <c r="I1200" s="217"/>
    </row>
    <row r="1201" spans="1:9" ht="14.4" x14ac:dyDescent="0.3">
      <c r="A1201" s="197"/>
      <c r="B1201" s="198"/>
      <c r="C1201" s="199"/>
      <c r="D1201" s="200"/>
      <c r="E1201" s="196"/>
      <c r="F1201" s="212"/>
      <c r="G1201" s="196"/>
      <c r="H1201" s="215"/>
      <c r="I1201" s="216"/>
    </row>
    <row r="1202" spans="1:9" ht="14.4" x14ac:dyDescent="0.3">
      <c r="A1202" s="197"/>
      <c r="B1202" s="198"/>
      <c r="C1202" s="199"/>
      <c r="D1202" s="200"/>
      <c r="E1202" s="201"/>
      <c r="F1202" s="212"/>
      <c r="G1202" s="201"/>
      <c r="H1202" s="215"/>
      <c r="I1202" s="216"/>
    </row>
    <row r="1203" spans="1:9" ht="14.4" x14ac:dyDescent="0.3">
      <c r="A1203" s="197"/>
      <c r="B1203" s="198"/>
      <c r="C1203" s="199"/>
      <c r="D1203" s="200"/>
      <c r="E1203" s="202"/>
      <c r="F1203" s="212"/>
      <c r="G1203" s="201"/>
      <c r="H1203" s="215"/>
      <c r="I1203" s="216"/>
    </row>
    <row r="1204" spans="1:9" ht="14.4" x14ac:dyDescent="0.3">
      <c r="A1204" s="197"/>
      <c r="B1204" s="198"/>
      <c r="C1204" s="199"/>
      <c r="D1204" s="200"/>
      <c r="E1204" s="201"/>
      <c r="F1204" s="212"/>
      <c r="G1204" s="201"/>
      <c r="H1204" s="215"/>
      <c r="I1204" s="216"/>
    </row>
    <row r="1205" spans="1:9" ht="14.4" x14ac:dyDescent="0.3">
      <c r="A1205" s="197"/>
      <c r="B1205" s="198"/>
      <c r="C1205" s="199"/>
      <c r="D1205" s="200"/>
      <c r="E1205" s="201"/>
      <c r="F1205" s="212"/>
      <c r="G1205" s="201"/>
      <c r="H1205" s="215"/>
      <c r="I1205" s="216"/>
    </row>
    <row r="1206" spans="1:9" ht="14.4" x14ac:dyDescent="0.3">
      <c r="A1206" s="197"/>
      <c r="B1206" s="203"/>
      <c r="C1206" s="204"/>
      <c r="D1206" s="205"/>
      <c r="E1206" s="206"/>
      <c r="F1206" s="218"/>
      <c r="G1206" s="206"/>
      <c r="H1206" s="219"/>
      <c r="I1206" s="220"/>
    </row>
    <row r="1207" spans="1:9" ht="15" thickBot="1" x14ac:dyDescent="0.35">
      <c r="A1207" s="207"/>
      <c r="B1207" s="208"/>
      <c r="C1207" s="209"/>
      <c r="D1207" s="210"/>
      <c r="E1207" s="211"/>
      <c r="F1207" s="221"/>
      <c r="G1207" s="211"/>
      <c r="H1207" s="222"/>
      <c r="I1207" s="223"/>
    </row>
    <row r="1208" spans="1:9" ht="14.4" thickBot="1" x14ac:dyDescent="0.35"/>
    <row r="1209" spans="1:9" ht="14.4" thickBot="1" x14ac:dyDescent="0.35">
      <c r="A1209" s="226" t="s">
        <v>1204</v>
      </c>
      <c r="B1209" s="224" t="s">
        <v>1205</v>
      </c>
      <c r="C1209" s="224" t="s">
        <v>1206</v>
      </c>
      <c r="D1209" s="224" t="s">
        <v>1207</v>
      </c>
      <c r="E1209" s="368" t="s">
        <v>1208</v>
      </c>
      <c r="F1209" s="368"/>
      <c r="G1209" s="368"/>
      <c r="H1209" s="224" t="s">
        <v>1209</v>
      </c>
      <c r="I1209" s="225" t="s">
        <v>1210</v>
      </c>
    </row>
    <row r="1210" spans="1:9" ht="14.4" x14ac:dyDescent="0.3">
      <c r="A1210" s="197"/>
      <c r="B1210" s="193"/>
      <c r="C1210" s="194"/>
      <c r="D1210" s="195"/>
      <c r="E1210" s="196"/>
      <c r="F1210" s="212"/>
      <c r="G1210" s="196"/>
      <c r="H1210" s="213"/>
      <c r="I1210" s="214"/>
    </row>
    <row r="1211" spans="1:9" ht="14.4" x14ac:dyDescent="0.3">
      <c r="A1211" s="197"/>
      <c r="B1211" s="198"/>
      <c r="C1211" s="199"/>
      <c r="D1211" s="200"/>
      <c r="E1211" s="201"/>
      <c r="F1211" s="212"/>
      <c r="G1211" s="201"/>
      <c r="H1211" s="215"/>
      <c r="I1211" s="216"/>
    </row>
    <row r="1212" spans="1:9" ht="14.4" x14ac:dyDescent="0.3">
      <c r="A1212" s="197"/>
      <c r="B1212" s="198"/>
      <c r="C1212" s="199"/>
      <c r="D1212" s="200"/>
      <c r="E1212" s="201"/>
      <c r="F1212" s="212"/>
      <c r="G1212" s="201"/>
      <c r="H1212" s="215"/>
      <c r="I1212" s="216"/>
    </row>
    <row r="1213" spans="1:9" ht="14.4" x14ac:dyDescent="0.3">
      <c r="A1213" s="197"/>
      <c r="B1213" s="198"/>
      <c r="C1213" s="199"/>
      <c r="D1213" s="200"/>
      <c r="E1213" s="201"/>
      <c r="F1213" s="212"/>
      <c r="G1213" s="201"/>
      <c r="H1213" s="215"/>
      <c r="I1213" s="217"/>
    </row>
    <row r="1214" spans="1:9" ht="14.4" x14ac:dyDescent="0.3">
      <c r="A1214" s="197"/>
      <c r="B1214" s="198"/>
      <c r="C1214" s="199"/>
      <c r="D1214" s="200"/>
      <c r="E1214" s="196"/>
      <c r="F1214" s="212"/>
      <c r="G1214" s="196"/>
      <c r="H1214" s="215"/>
      <c r="I1214" s="217"/>
    </row>
    <row r="1215" spans="1:9" ht="14.4" x14ac:dyDescent="0.3">
      <c r="A1215" s="197"/>
      <c r="B1215" s="198"/>
      <c r="C1215" s="199"/>
      <c r="D1215" s="200"/>
      <c r="E1215" s="196"/>
      <c r="F1215" s="212"/>
      <c r="G1215" s="196"/>
      <c r="H1215" s="215"/>
      <c r="I1215" s="216"/>
    </row>
    <row r="1216" spans="1:9" ht="14.4" x14ac:dyDescent="0.3">
      <c r="A1216" s="197"/>
      <c r="B1216" s="198"/>
      <c r="C1216" s="199"/>
      <c r="D1216" s="200"/>
      <c r="E1216" s="201"/>
      <c r="F1216" s="212"/>
      <c r="G1216" s="201"/>
      <c r="H1216" s="215"/>
      <c r="I1216" s="216"/>
    </row>
    <row r="1217" spans="1:9" ht="14.4" x14ac:dyDescent="0.3">
      <c r="A1217" s="197"/>
      <c r="B1217" s="198"/>
      <c r="C1217" s="199"/>
      <c r="D1217" s="200"/>
      <c r="E1217" s="202"/>
      <c r="F1217" s="212"/>
      <c r="G1217" s="201"/>
      <c r="H1217" s="215"/>
      <c r="I1217" s="216"/>
    </row>
    <row r="1218" spans="1:9" ht="14.4" x14ac:dyDescent="0.3">
      <c r="A1218" s="197"/>
      <c r="B1218" s="198"/>
      <c r="C1218" s="199"/>
      <c r="D1218" s="200"/>
      <c r="E1218" s="201"/>
      <c r="F1218" s="212"/>
      <c r="G1218" s="201"/>
      <c r="H1218" s="215"/>
      <c r="I1218" s="216"/>
    </row>
    <row r="1219" spans="1:9" ht="14.4" x14ac:dyDescent="0.3">
      <c r="A1219" s="197"/>
      <c r="B1219" s="198"/>
      <c r="C1219" s="199"/>
      <c r="D1219" s="200"/>
      <c r="E1219" s="201"/>
      <c r="F1219" s="212"/>
      <c r="G1219" s="201"/>
      <c r="H1219" s="215"/>
      <c r="I1219" s="216"/>
    </row>
    <row r="1220" spans="1:9" ht="14.4" x14ac:dyDescent="0.3">
      <c r="A1220" s="197"/>
      <c r="B1220" s="203"/>
      <c r="C1220" s="204"/>
      <c r="D1220" s="205"/>
      <c r="E1220" s="206"/>
      <c r="F1220" s="218"/>
      <c r="G1220" s="206"/>
      <c r="H1220" s="219"/>
      <c r="I1220" s="220"/>
    </row>
    <row r="1221" spans="1:9" ht="15" thickBot="1" x14ac:dyDescent="0.35">
      <c r="A1221" s="207"/>
      <c r="B1221" s="208"/>
      <c r="C1221" s="209"/>
      <c r="D1221" s="210"/>
      <c r="E1221" s="211"/>
      <c r="F1221" s="221"/>
      <c r="G1221" s="211"/>
      <c r="H1221" s="222"/>
      <c r="I1221" s="223"/>
    </row>
    <row r="1222" spans="1:9" ht="14.4" thickBot="1" x14ac:dyDescent="0.35"/>
    <row r="1223" spans="1:9" ht="14.4" thickBot="1" x14ac:dyDescent="0.35">
      <c r="A1223" s="226" t="s">
        <v>1204</v>
      </c>
      <c r="B1223" s="224" t="s">
        <v>1205</v>
      </c>
      <c r="C1223" s="224" t="s">
        <v>1206</v>
      </c>
      <c r="D1223" s="224" t="s">
        <v>1207</v>
      </c>
      <c r="E1223" s="368" t="s">
        <v>1208</v>
      </c>
      <c r="F1223" s="368"/>
      <c r="G1223" s="368"/>
      <c r="H1223" s="224" t="s">
        <v>1209</v>
      </c>
      <c r="I1223" s="225" t="s">
        <v>1210</v>
      </c>
    </row>
    <row r="1224" spans="1:9" ht="14.4" x14ac:dyDescent="0.3">
      <c r="A1224" s="197"/>
      <c r="B1224" s="193"/>
      <c r="C1224" s="194"/>
      <c r="D1224" s="195"/>
      <c r="E1224" s="196"/>
      <c r="F1224" s="212"/>
      <c r="G1224" s="196"/>
      <c r="H1224" s="213"/>
      <c r="I1224" s="214"/>
    </row>
    <row r="1225" spans="1:9" ht="14.4" x14ac:dyDescent="0.3">
      <c r="A1225" s="197"/>
      <c r="B1225" s="198"/>
      <c r="C1225" s="199"/>
      <c r="D1225" s="200"/>
      <c r="E1225" s="201"/>
      <c r="F1225" s="212"/>
      <c r="G1225" s="201"/>
      <c r="H1225" s="215"/>
      <c r="I1225" s="216"/>
    </row>
    <row r="1226" spans="1:9" ht="14.4" x14ac:dyDescent="0.3">
      <c r="A1226" s="197"/>
      <c r="B1226" s="198"/>
      <c r="C1226" s="199"/>
      <c r="D1226" s="200"/>
      <c r="E1226" s="201"/>
      <c r="F1226" s="212"/>
      <c r="G1226" s="201"/>
      <c r="H1226" s="215"/>
      <c r="I1226" s="216"/>
    </row>
    <row r="1227" spans="1:9" ht="14.4" x14ac:dyDescent="0.3">
      <c r="A1227" s="197"/>
      <c r="B1227" s="198"/>
      <c r="C1227" s="199"/>
      <c r="D1227" s="200"/>
      <c r="E1227" s="201"/>
      <c r="F1227" s="212"/>
      <c r="G1227" s="201"/>
      <c r="H1227" s="215"/>
      <c r="I1227" s="217"/>
    </row>
    <row r="1228" spans="1:9" ht="14.4" x14ac:dyDescent="0.3">
      <c r="A1228" s="197"/>
      <c r="B1228" s="198"/>
      <c r="C1228" s="199"/>
      <c r="D1228" s="200"/>
      <c r="E1228" s="196"/>
      <c r="F1228" s="212"/>
      <c r="G1228" s="196"/>
      <c r="H1228" s="215"/>
      <c r="I1228" s="217"/>
    </row>
    <row r="1229" spans="1:9" ht="14.4" x14ac:dyDescent="0.3">
      <c r="A1229" s="197"/>
      <c r="B1229" s="198"/>
      <c r="C1229" s="199"/>
      <c r="D1229" s="200"/>
      <c r="E1229" s="196"/>
      <c r="F1229" s="212"/>
      <c r="G1229" s="196"/>
      <c r="H1229" s="215"/>
      <c r="I1229" s="216"/>
    </row>
    <row r="1230" spans="1:9" ht="14.4" x14ac:dyDescent="0.3">
      <c r="A1230" s="197"/>
      <c r="B1230" s="198"/>
      <c r="C1230" s="199"/>
      <c r="D1230" s="200"/>
      <c r="E1230" s="201"/>
      <c r="F1230" s="212"/>
      <c r="G1230" s="201"/>
      <c r="H1230" s="215"/>
      <c r="I1230" s="216"/>
    </row>
    <row r="1231" spans="1:9" ht="14.4" x14ac:dyDescent="0.3">
      <c r="A1231" s="197"/>
      <c r="B1231" s="198"/>
      <c r="C1231" s="199"/>
      <c r="D1231" s="200"/>
      <c r="E1231" s="202"/>
      <c r="F1231" s="212"/>
      <c r="G1231" s="201"/>
      <c r="H1231" s="215"/>
      <c r="I1231" s="216"/>
    </row>
    <row r="1232" spans="1:9" ht="14.4" x14ac:dyDescent="0.3">
      <c r="A1232" s="197"/>
      <c r="B1232" s="198"/>
      <c r="C1232" s="199"/>
      <c r="D1232" s="200"/>
      <c r="E1232" s="201"/>
      <c r="F1232" s="212"/>
      <c r="G1232" s="201"/>
      <c r="H1232" s="215"/>
      <c r="I1232" s="216"/>
    </row>
    <row r="1233" spans="1:9" ht="14.4" x14ac:dyDescent="0.3">
      <c r="A1233" s="197"/>
      <c r="B1233" s="198"/>
      <c r="C1233" s="199"/>
      <c r="D1233" s="200"/>
      <c r="E1233" s="201"/>
      <c r="F1233" s="212"/>
      <c r="G1233" s="201"/>
      <c r="H1233" s="215"/>
      <c r="I1233" s="216"/>
    </row>
    <row r="1234" spans="1:9" ht="14.4" x14ac:dyDescent="0.3">
      <c r="A1234" s="197"/>
      <c r="B1234" s="203"/>
      <c r="C1234" s="204"/>
      <c r="D1234" s="205"/>
      <c r="E1234" s="206"/>
      <c r="F1234" s="218"/>
      <c r="G1234" s="206"/>
      <c r="H1234" s="219"/>
      <c r="I1234" s="220"/>
    </row>
    <row r="1235" spans="1:9" ht="15" thickBot="1" x14ac:dyDescent="0.35">
      <c r="A1235" s="207"/>
      <c r="B1235" s="208"/>
      <c r="C1235" s="209"/>
      <c r="D1235" s="210"/>
      <c r="E1235" s="211"/>
      <c r="F1235" s="221"/>
      <c r="G1235" s="211"/>
      <c r="H1235" s="222"/>
      <c r="I1235" s="223"/>
    </row>
    <row r="1236" spans="1:9" ht="14.4" thickBot="1" x14ac:dyDescent="0.35"/>
    <row r="1237" spans="1:9" ht="14.4" thickBot="1" x14ac:dyDescent="0.35">
      <c r="A1237" s="226" t="s">
        <v>1204</v>
      </c>
      <c r="B1237" s="224" t="s">
        <v>1205</v>
      </c>
      <c r="C1237" s="224" t="s">
        <v>1206</v>
      </c>
      <c r="D1237" s="224" t="s">
        <v>1207</v>
      </c>
      <c r="E1237" s="368" t="s">
        <v>1208</v>
      </c>
      <c r="F1237" s="368"/>
      <c r="G1237" s="368"/>
      <c r="H1237" s="224" t="s">
        <v>1209</v>
      </c>
      <c r="I1237" s="225" t="s">
        <v>1210</v>
      </c>
    </row>
    <row r="1238" spans="1:9" ht="14.4" x14ac:dyDescent="0.3">
      <c r="A1238" s="197"/>
      <c r="B1238" s="193"/>
      <c r="C1238" s="194"/>
      <c r="D1238" s="195"/>
      <c r="E1238" s="196"/>
      <c r="F1238" s="212"/>
      <c r="G1238" s="196"/>
      <c r="H1238" s="213"/>
      <c r="I1238" s="214"/>
    </row>
    <row r="1239" spans="1:9" ht="14.4" x14ac:dyDescent="0.3">
      <c r="A1239" s="197"/>
      <c r="B1239" s="198"/>
      <c r="C1239" s="199"/>
      <c r="D1239" s="200"/>
      <c r="E1239" s="201"/>
      <c r="F1239" s="212"/>
      <c r="G1239" s="201"/>
      <c r="H1239" s="215"/>
      <c r="I1239" s="216"/>
    </row>
    <row r="1240" spans="1:9" ht="14.4" x14ac:dyDescent="0.3">
      <c r="A1240" s="197"/>
      <c r="B1240" s="198"/>
      <c r="C1240" s="199"/>
      <c r="D1240" s="200"/>
      <c r="E1240" s="201"/>
      <c r="F1240" s="212"/>
      <c r="G1240" s="201"/>
      <c r="H1240" s="215"/>
      <c r="I1240" s="216"/>
    </row>
    <row r="1241" spans="1:9" ht="14.4" x14ac:dyDescent="0.3">
      <c r="A1241" s="197"/>
      <c r="B1241" s="198"/>
      <c r="C1241" s="199"/>
      <c r="D1241" s="200"/>
      <c r="E1241" s="201"/>
      <c r="F1241" s="212"/>
      <c r="G1241" s="201"/>
      <c r="H1241" s="215"/>
      <c r="I1241" s="217"/>
    </row>
    <row r="1242" spans="1:9" ht="14.4" x14ac:dyDescent="0.3">
      <c r="A1242" s="197"/>
      <c r="B1242" s="198"/>
      <c r="C1242" s="199"/>
      <c r="D1242" s="200"/>
      <c r="E1242" s="196"/>
      <c r="F1242" s="212"/>
      <c r="G1242" s="196"/>
      <c r="H1242" s="215"/>
      <c r="I1242" s="217"/>
    </row>
    <row r="1243" spans="1:9" ht="14.4" x14ac:dyDescent="0.3">
      <c r="A1243" s="197"/>
      <c r="B1243" s="198"/>
      <c r="C1243" s="199"/>
      <c r="D1243" s="200"/>
      <c r="E1243" s="196"/>
      <c r="F1243" s="212"/>
      <c r="G1243" s="196"/>
      <c r="H1243" s="215"/>
      <c r="I1243" s="216"/>
    </row>
    <row r="1244" spans="1:9" ht="14.4" x14ac:dyDescent="0.3">
      <c r="A1244" s="197"/>
      <c r="B1244" s="198"/>
      <c r="C1244" s="199"/>
      <c r="D1244" s="200"/>
      <c r="E1244" s="201"/>
      <c r="F1244" s="212"/>
      <c r="G1244" s="201"/>
      <c r="H1244" s="215"/>
      <c r="I1244" s="216"/>
    </row>
    <row r="1245" spans="1:9" ht="14.4" x14ac:dyDescent="0.3">
      <c r="A1245" s="197"/>
      <c r="B1245" s="198"/>
      <c r="C1245" s="199"/>
      <c r="D1245" s="200"/>
      <c r="E1245" s="202"/>
      <c r="F1245" s="212"/>
      <c r="G1245" s="201"/>
      <c r="H1245" s="215"/>
      <c r="I1245" s="216"/>
    </row>
    <row r="1246" spans="1:9" ht="14.4" x14ac:dyDescent="0.3">
      <c r="A1246" s="197"/>
      <c r="B1246" s="198"/>
      <c r="C1246" s="199"/>
      <c r="D1246" s="200"/>
      <c r="E1246" s="201"/>
      <c r="F1246" s="212"/>
      <c r="G1246" s="201"/>
      <c r="H1246" s="215"/>
      <c r="I1246" s="216"/>
    </row>
    <row r="1247" spans="1:9" ht="14.4" x14ac:dyDescent="0.3">
      <c r="A1247" s="197"/>
      <c r="B1247" s="198"/>
      <c r="C1247" s="199"/>
      <c r="D1247" s="200"/>
      <c r="E1247" s="201"/>
      <c r="F1247" s="212"/>
      <c r="G1247" s="201"/>
      <c r="H1247" s="215"/>
      <c r="I1247" s="216"/>
    </row>
    <row r="1248" spans="1:9" ht="14.4" x14ac:dyDescent="0.3">
      <c r="A1248" s="197"/>
      <c r="B1248" s="203"/>
      <c r="C1248" s="204"/>
      <c r="D1248" s="205"/>
      <c r="E1248" s="206"/>
      <c r="F1248" s="218"/>
      <c r="G1248" s="206"/>
      <c r="H1248" s="219"/>
      <c r="I1248" s="220"/>
    </row>
    <row r="1249" spans="1:9" ht="15" thickBot="1" x14ac:dyDescent="0.35">
      <c r="A1249" s="207"/>
      <c r="B1249" s="208"/>
      <c r="C1249" s="209"/>
      <c r="D1249" s="210"/>
      <c r="E1249" s="211"/>
      <c r="F1249" s="221"/>
      <c r="G1249" s="211"/>
      <c r="H1249" s="222"/>
      <c r="I1249" s="223"/>
    </row>
    <row r="1250" spans="1:9" ht="14.4" thickBot="1" x14ac:dyDescent="0.35"/>
    <row r="1251" spans="1:9" ht="14.4" thickBot="1" x14ac:dyDescent="0.35">
      <c r="A1251" s="226" t="s">
        <v>1204</v>
      </c>
      <c r="B1251" s="224" t="s">
        <v>1205</v>
      </c>
      <c r="C1251" s="224" t="s">
        <v>1206</v>
      </c>
      <c r="D1251" s="224" t="s">
        <v>1207</v>
      </c>
      <c r="E1251" s="368" t="s">
        <v>1208</v>
      </c>
      <c r="F1251" s="368"/>
      <c r="G1251" s="368"/>
      <c r="H1251" s="224" t="s">
        <v>1209</v>
      </c>
      <c r="I1251" s="225" t="s">
        <v>1210</v>
      </c>
    </row>
    <row r="1252" spans="1:9" ht="14.4" x14ac:dyDescent="0.3">
      <c r="A1252" s="197"/>
      <c r="B1252" s="193"/>
      <c r="C1252" s="194"/>
      <c r="D1252" s="195"/>
      <c r="E1252" s="196"/>
      <c r="F1252" s="212"/>
      <c r="G1252" s="196"/>
      <c r="H1252" s="213"/>
      <c r="I1252" s="214"/>
    </row>
    <row r="1253" spans="1:9" ht="14.4" x14ac:dyDescent="0.3">
      <c r="A1253" s="197"/>
      <c r="B1253" s="198"/>
      <c r="C1253" s="199"/>
      <c r="D1253" s="200"/>
      <c r="E1253" s="201"/>
      <c r="F1253" s="212"/>
      <c r="G1253" s="201"/>
      <c r="H1253" s="215"/>
      <c r="I1253" s="216"/>
    </row>
    <row r="1254" spans="1:9" ht="14.4" x14ac:dyDescent="0.3">
      <c r="A1254" s="197"/>
      <c r="B1254" s="198"/>
      <c r="C1254" s="199"/>
      <c r="D1254" s="200"/>
      <c r="E1254" s="201"/>
      <c r="F1254" s="212"/>
      <c r="G1254" s="201"/>
      <c r="H1254" s="215"/>
      <c r="I1254" s="216"/>
    </row>
    <row r="1255" spans="1:9" ht="14.4" x14ac:dyDescent="0.3">
      <c r="A1255" s="197"/>
      <c r="B1255" s="198"/>
      <c r="C1255" s="199"/>
      <c r="D1255" s="200"/>
      <c r="E1255" s="201"/>
      <c r="F1255" s="212"/>
      <c r="G1255" s="201"/>
      <c r="H1255" s="215"/>
      <c r="I1255" s="217"/>
    </row>
    <row r="1256" spans="1:9" ht="14.4" x14ac:dyDescent="0.3">
      <c r="A1256" s="197"/>
      <c r="B1256" s="198"/>
      <c r="C1256" s="199"/>
      <c r="D1256" s="200"/>
      <c r="E1256" s="196"/>
      <c r="F1256" s="212"/>
      <c r="G1256" s="196"/>
      <c r="H1256" s="215"/>
      <c r="I1256" s="217"/>
    </row>
    <row r="1257" spans="1:9" ht="14.4" x14ac:dyDescent="0.3">
      <c r="A1257" s="197"/>
      <c r="B1257" s="198"/>
      <c r="C1257" s="199"/>
      <c r="D1257" s="200"/>
      <c r="E1257" s="196"/>
      <c r="F1257" s="212"/>
      <c r="G1257" s="196"/>
      <c r="H1257" s="215"/>
      <c r="I1257" s="216"/>
    </row>
    <row r="1258" spans="1:9" ht="14.4" x14ac:dyDescent="0.3">
      <c r="A1258" s="197"/>
      <c r="B1258" s="198"/>
      <c r="C1258" s="199"/>
      <c r="D1258" s="200"/>
      <c r="E1258" s="201"/>
      <c r="F1258" s="212"/>
      <c r="G1258" s="201"/>
      <c r="H1258" s="215"/>
      <c r="I1258" s="216"/>
    </row>
    <row r="1259" spans="1:9" ht="14.4" x14ac:dyDescent="0.3">
      <c r="A1259" s="197"/>
      <c r="B1259" s="198"/>
      <c r="C1259" s="199"/>
      <c r="D1259" s="200"/>
      <c r="E1259" s="202"/>
      <c r="F1259" s="212"/>
      <c r="G1259" s="201"/>
      <c r="H1259" s="215"/>
      <c r="I1259" s="216"/>
    </row>
    <row r="1260" spans="1:9" ht="14.4" x14ac:dyDescent="0.3">
      <c r="A1260" s="197"/>
      <c r="B1260" s="198"/>
      <c r="C1260" s="199"/>
      <c r="D1260" s="200"/>
      <c r="E1260" s="201"/>
      <c r="F1260" s="212"/>
      <c r="G1260" s="201"/>
      <c r="H1260" s="215"/>
      <c r="I1260" s="216"/>
    </row>
    <row r="1261" spans="1:9" ht="14.4" x14ac:dyDescent="0.3">
      <c r="A1261" s="197"/>
      <c r="B1261" s="198"/>
      <c r="C1261" s="199"/>
      <c r="D1261" s="200"/>
      <c r="E1261" s="201"/>
      <c r="F1261" s="212"/>
      <c r="G1261" s="201"/>
      <c r="H1261" s="215"/>
      <c r="I1261" s="216"/>
    </row>
    <row r="1262" spans="1:9" ht="14.4" x14ac:dyDescent="0.3">
      <c r="A1262" s="197"/>
      <c r="B1262" s="203"/>
      <c r="C1262" s="204"/>
      <c r="D1262" s="205"/>
      <c r="E1262" s="206"/>
      <c r="F1262" s="218"/>
      <c r="G1262" s="206"/>
      <c r="H1262" s="219"/>
      <c r="I1262" s="220"/>
    </row>
    <row r="1263" spans="1:9" ht="15" thickBot="1" x14ac:dyDescent="0.35">
      <c r="A1263" s="207"/>
      <c r="B1263" s="208"/>
      <c r="C1263" s="209"/>
      <c r="D1263" s="210"/>
      <c r="E1263" s="211"/>
      <c r="F1263" s="221"/>
      <c r="G1263" s="211"/>
      <c r="H1263" s="222"/>
      <c r="I1263" s="223"/>
    </row>
    <row r="1264" spans="1:9" ht="14.4" thickBot="1" x14ac:dyDescent="0.35"/>
    <row r="1265" spans="1:9" ht="14.4" thickBot="1" x14ac:dyDescent="0.35">
      <c r="A1265" s="226" t="s">
        <v>1204</v>
      </c>
      <c r="B1265" s="224" t="s">
        <v>1205</v>
      </c>
      <c r="C1265" s="224" t="s">
        <v>1206</v>
      </c>
      <c r="D1265" s="224" t="s">
        <v>1207</v>
      </c>
      <c r="E1265" s="368" t="s">
        <v>1208</v>
      </c>
      <c r="F1265" s="368"/>
      <c r="G1265" s="368"/>
      <c r="H1265" s="224" t="s">
        <v>1209</v>
      </c>
      <c r="I1265" s="225" t="s">
        <v>1210</v>
      </c>
    </row>
    <row r="1266" spans="1:9" ht="14.4" x14ac:dyDescent="0.3">
      <c r="A1266" s="197"/>
      <c r="B1266" s="193"/>
      <c r="C1266" s="194"/>
      <c r="D1266" s="195"/>
      <c r="E1266" s="196"/>
      <c r="F1266" s="212"/>
      <c r="G1266" s="196"/>
      <c r="H1266" s="213"/>
      <c r="I1266" s="214"/>
    </row>
    <row r="1267" spans="1:9" ht="14.4" x14ac:dyDescent="0.3">
      <c r="A1267" s="197"/>
      <c r="B1267" s="198"/>
      <c r="C1267" s="199"/>
      <c r="D1267" s="200"/>
      <c r="E1267" s="201"/>
      <c r="F1267" s="212"/>
      <c r="G1267" s="201"/>
      <c r="H1267" s="215"/>
      <c r="I1267" s="216"/>
    </row>
    <row r="1268" spans="1:9" ht="14.4" x14ac:dyDescent="0.3">
      <c r="A1268" s="197"/>
      <c r="B1268" s="198"/>
      <c r="C1268" s="199"/>
      <c r="D1268" s="200"/>
      <c r="E1268" s="201"/>
      <c r="F1268" s="212"/>
      <c r="G1268" s="201"/>
      <c r="H1268" s="215"/>
      <c r="I1268" s="216"/>
    </row>
    <row r="1269" spans="1:9" ht="14.4" x14ac:dyDescent="0.3">
      <c r="A1269" s="197"/>
      <c r="B1269" s="198"/>
      <c r="C1269" s="199"/>
      <c r="D1269" s="200"/>
      <c r="E1269" s="201"/>
      <c r="F1269" s="212"/>
      <c r="G1269" s="201"/>
      <c r="H1269" s="215"/>
      <c r="I1269" s="217"/>
    </row>
    <row r="1270" spans="1:9" ht="14.4" x14ac:dyDescent="0.3">
      <c r="A1270" s="197"/>
      <c r="B1270" s="198"/>
      <c r="C1270" s="199"/>
      <c r="D1270" s="200"/>
      <c r="E1270" s="196"/>
      <c r="F1270" s="212"/>
      <c r="G1270" s="196"/>
      <c r="H1270" s="215"/>
      <c r="I1270" s="217"/>
    </row>
    <row r="1271" spans="1:9" ht="14.4" x14ac:dyDescent="0.3">
      <c r="A1271" s="197"/>
      <c r="B1271" s="198"/>
      <c r="C1271" s="199"/>
      <c r="D1271" s="200"/>
      <c r="E1271" s="196"/>
      <c r="F1271" s="212"/>
      <c r="G1271" s="196"/>
      <c r="H1271" s="215"/>
      <c r="I1271" s="216"/>
    </row>
    <row r="1272" spans="1:9" ht="14.4" x14ac:dyDescent="0.3">
      <c r="A1272" s="197"/>
      <c r="B1272" s="198"/>
      <c r="C1272" s="199"/>
      <c r="D1272" s="200"/>
      <c r="E1272" s="201"/>
      <c r="F1272" s="212"/>
      <c r="G1272" s="201"/>
      <c r="H1272" s="215"/>
      <c r="I1272" s="216"/>
    </row>
    <row r="1273" spans="1:9" ht="14.4" x14ac:dyDescent="0.3">
      <c r="A1273" s="197"/>
      <c r="B1273" s="198"/>
      <c r="C1273" s="199"/>
      <c r="D1273" s="200"/>
      <c r="E1273" s="202"/>
      <c r="F1273" s="212"/>
      <c r="G1273" s="201"/>
      <c r="H1273" s="215"/>
      <c r="I1273" s="216"/>
    </row>
    <row r="1274" spans="1:9" ht="14.4" x14ac:dyDescent="0.3">
      <c r="A1274" s="197"/>
      <c r="B1274" s="198"/>
      <c r="C1274" s="199"/>
      <c r="D1274" s="200"/>
      <c r="E1274" s="201"/>
      <c r="F1274" s="212"/>
      <c r="G1274" s="201"/>
      <c r="H1274" s="215"/>
      <c r="I1274" s="216"/>
    </row>
    <row r="1275" spans="1:9" ht="14.4" x14ac:dyDescent="0.3">
      <c r="A1275" s="197"/>
      <c r="B1275" s="198"/>
      <c r="C1275" s="199"/>
      <c r="D1275" s="200"/>
      <c r="E1275" s="201"/>
      <c r="F1275" s="212"/>
      <c r="G1275" s="201"/>
      <c r="H1275" s="215"/>
      <c r="I1275" s="216"/>
    </row>
    <row r="1276" spans="1:9" ht="14.4" x14ac:dyDescent="0.3">
      <c r="A1276" s="197"/>
      <c r="B1276" s="203"/>
      <c r="C1276" s="204"/>
      <c r="D1276" s="205"/>
      <c r="E1276" s="206"/>
      <c r="F1276" s="218"/>
      <c r="G1276" s="206"/>
      <c r="H1276" s="219"/>
      <c r="I1276" s="220"/>
    </row>
    <row r="1277" spans="1:9" ht="15" thickBot="1" x14ac:dyDescent="0.35">
      <c r="A1277" s="207"/>
      <c r="B1277" s="208"/>
      <c r="C1277" s="209"/>
      <c r="D1277" s="210"/>
      <c r="E1277" s="211"/>
      <c r="F1277" s="221"/>
      <c r="G1277" s="211"/>
      <c r="H1277" s="222"/>
      <c r="I1277" s="223"/>
    </row>
    <row r="1278" spans="1:9" ht="14.4" thickBot="1" x14ac:dyDescent="0.35"/>
    <row r="1279" spans="1:9" ht="14.4" thickBot="1" x14ac:dyDescent="0.35">
      <c r="A1279" s="226" t="s">
        <v>1204</v>
      </c>
      <c r="B1279" s="224" t="s">
        <v>1205</v>
      </c>
      <c r="C1279" s="224" t="s">
        <v>1206</v>
      </c>
      <c r="D1279" s="224" t="s">
        <v>1207</v>
      </c>
      <c r="E1279" s="368" t="s">
        <v>1208</v>
      </c>
      <c r="F1279" s="368"/>
      <c r="G1279" s="368"/>
      <c r="H1279" s="224" t="s">
        <v>1209</v>
      </c>
      <c r="I1279" s="225" t="s">
        <v>1210</v>
      </c>
    </row>
    <row r="1280" spans="1:9" ht="14.4" x14ac:dyDescent="0.3">
      <c r="A1280" s="197"/>
      <c r="B1280" s="193"/>
      <c r="C1280" s="194"/>
      <c r="D1280" s="195"/>
      <c r="E1280" s="196"/>
      <c r="F1280" s="212"/>
      <c r="G1280" s="196"/>
      <c r="H1280" s="213"/>
      <c r="I1280" s="214"/>
    </row>
    <row r="1281" spans="1:9" ht="14.4" x14ac:dyDescent="0.3">
      <c r="A1281" s="197"/>
      <c r="B1281" s="198"/>
      <c r="C1281" s="199"/>
      <c r="D1281" s="200"/>
      <c r="E1281" s="201"/>
      <c r="F1281" s="212"/>
      <c r="G1281" s="201"/>
      <c r="H1281" s="215"/>
      <c r="I1281" s="216"/>
    </row>
    <row r="1282" spans="1:9" ht="14.4" x14ac:dyDescent="0.3">
      <c r="A1282" s="197"/>
      <c r="B1282" s="198"/>
      <c r="C1282" s="199"/>
      <c r="D1282" s="200"/>
      <c r="E1282" s="201"/>
      <c r="F1282" s="212"/>
      <c r="G1282" s="201"/>
      <c r="H1282" s="215"/>
      <c r="I1282" s="216"/>
    </row>
    <row r="1283" spans="1:9" ht="14.4" x14ac:dyDescent="0.3">
      <c r="A1283" s="197"/>
      <c r="B1283" s="198"/>
      <c r="C1283" s="199"/>
      <c r="D1283" s="200"/>
      <c r="E1283" s="201"/>
      <c r="F1283" s="212"/>
      <c r="G1283" s="201"/>
      <c r="H1283" s="215"/>
      <c r="I1283" s="217"/>
    </row>
    <row r="1284" spans="1:9" ht="14.4" x14ac:dyDescent="0.3">
      <c r="A1284" s="197"/>
      <c r="B1284" s="198"/>
      <c r="C1284" s="199"/>
      <c r="D1284" s="200"/>
      <c r="E1284" s="196"/>
      <c r="F1284" s="212"/>
      <c r="G1284" s="196"/>
      <c r="H1284" s="215"/>
      <c r="I1284" s="217"/>
    </row>
    <row r="1285" spans="1:9" ht="14.4" x14ac:dyDescent="0.3">
      <c r="A1285" s="197"/>
      <c r="B1285" s="198"/>
      <c r="C1285" s="199"/>
      <c r="D1285" s="200"/>
      <c r="E1285" s="196"/>
      <c r="F1285" s="212"/>
      <c r="G1285" s="196"/>
      <c r="H1285" s="215"/>
      <c r="I1285" s="216"/>
    </row>
    <row r="1286" spans="1:9" ht="14.4" x14ac:dyDescent="0.3">
      <c r="A1286" s="197"/>
      <c r="B1286" s="198"/>
      <c r="C1286" s="199"/>
      <c r="D1286" s="200"/>
      <c r="E1286" s="201"/>
      <c r="F1286" s="212"/>
      <c r="G1286" s="201"/>
      <c r="H1286" s="215"/>
      <c r="I1286" s="216"/>
    </row>
    <row r="1287" spans="1:9" ht="14.4" x14ac:dyDescent="0.3">
      <c r="A1287" s="197"/>
      <c r="B1287" s="198"/>
      <c r="C1287" s="199"/>
      <c r="D1287" s="200"/>
      <c r="E1287" s="202"/>
      <c r="F1287" s="212"/>
      <c r="G1287" s="201"/>
      <c r="H1287" s="215"/>
      <c r="I1287" s="216"/>
    </row>
    <row r="1288" spans="1:9" ht="14.4" x14ac:dyDescent="0.3">
      <c r="A1288" s="197"/>
      <c r="B1288" s="198"/>
      <c r="C1288" s="199"/>
      <c r="D1288" s="200"/>
      <c r="E1288" s="201"/>
      <c r="F1288" s="212"/>
      <c r="G1288" s="201"/>
      <c r="H1288" s="215"/>
      <c r="I1288" s="216"/>
    </row>
    <row r="1289" spans="1:9" ht="14.4" x14ac:dyDescent="0.3">
      <c r="A1289" s="197"/>
      <c r="B1289" s="198"/>
      <c r="C1289" s="199"/>
      <c r="D1289" s="200"/>
      <c r="E1289" s="201"/>
      <c r="F1289" s="212"/>
      <c r="G1289" s="201"/>
      <c r="H1289" s="215"/>
      <c r="I1289" s="216"/>
    </row>
    <row r="1290" spans="1:9" ht="14.4" x14ac:dyDescent="0.3">
      <c r="A1290" s="197"/>
      <c r="B1290" s="203"/>
      <c r="C1290" s="204"/>
      <c r="D1290" s="205"/>
      <c r="E1290" s="206"/>
      <c r="F1290" s="218"/>
      <c r="G1290" s="206"/>
      <c r="H1290" s="219"/>
      <c r="I1290" s="220"/>
    </row>
    <row r="1291" spans="1:9" ht="15" thickBot="1" x14ac:dyDescent="0.35">
      <c r="A1291" s="207"/>
      <c r="B1291" s="208"/>
      <c r="C1291" s="209"/>
      <c r="D1291" s="210"/>
      <c r="E1291" s="211"/>
      <c r="F1291" s="221"/>
      <c r="G1291" s="211"/>
      <c r="H1291" s="222"/>
      <c r="I1291" s="223"/>
    </row>
    <row r="1292" spans="1:9" ht="14.4" thickBot="1" x14ac:dyDescent="0.35"/>
    <row r="1293" spans="1:9" ht="14.4" thickBot="1" x14ac:dyDescent="0.35">
      <c r="A1293" s="226" t="s">
        <v>1204</v>
      </c>
      <c r="B1293" s="224" t="s">
        <v>1205</v>
      </c>
      <c r="C1293" s="224" t="s">
        <v>1206</v>
      </c>
      <c r="D1293" s="224" t="s">
        <v>1207</v>
      </c>
      <c r="E1293" s="368" t="s">
        <v>1208</v>
      </c>
      <c r="F1293" s="368"/>
      <c r="G1293" s="368"/>
      <c r="H1293" s="224" t="s">
        <v>1209</v>
      </c>
      <c r="I1293" s="225" t="s">
        <v>1210</v>
      </c>
    </row>
    <row r="1294" spans="1:9" ht="14.4" x14ac:dyDescent="0.3">
      <c r="A1294" s="197"/>
      <c r="B1294" s="193"/>
      <c r="C1294" s="194"/>
      <c r="D1294" s="195"/>
      <c r="E1294" s="196"/>
      <c r="F1294" s="212"/>
      <c r="G1294" s="196"/>
      <c r="H1294" s="213"/>
      <c r="I1294" s="214"/>
    </row>
    <row r="1295" spans="1:9" ht="14.4" x14ac:dyDescent="0.3">
      <c r="A1295" s="197"/>
      <c r="B1295" s="198"/>
      <c r="C1295" s="199"/>
      <c r="D1295" s="200"/>
      <c r="E1295" s="201"/>
      <c r="F1295" s="212"/>
      <c r="G1295" s="201"/>
      <c r="H1295" s="215"/>
      <c r="I1295" s="216"/>
    </row>
    <row r="1296" spans="1:9" ht="14.4" x14ac:dyDescent="0.3">
      <c r="A1296" s="197"/>
      <c r="B1296" s="198"/>
      <c r="C1296" s="199"/>
      <c r="D1296" s="200"/>
      <c r="E1296" s="201"/>
      <c r="F1296" s="212"/>
      <c r="G1296" s="201"/>
      <c r="H1296" s="215"/>
      <c r="I1296" s="216"/>
    </row>
    <row r="1297" spans="1:9" ht="14.4" x14ac:dyDescent="0.3">
      <c r="A1297" s="197"/>
      <c r="B1297" s="198"/>
      <c r="C1297" s="199"/>
      <c r="D1297" s="200"/>
      <c r="E1297" s="201"/>
      <c r="F1297" s="212"/>
      <c r="G1297" s="201"/>
      <c r="H1297" s="215"/>
      <c r="I1297" s="217"/>
    </row>
    <row r="1298" spans="1:9" ht="14.4" x14ac:dyDescent="0.3">
      <c r="A1298" s="197"/>
      <c r="B1298" s="198"/>
      <c r="C1298" s="199"/>
      <c r="D1298" s="200"/>
      <c r="E1298" s="196"/>
      <c r="F1298" s="212"/>
      <c r="G1298" s="196"/>
      <c r="H1298" s="215"/>
      <c r="I1298" s="217"/>
    </row>
    <row r="1299" spans="1:9" ht="14.4" x14ac:dyDescent="0.3">
      <c r="A1299" s="197"/>
      <c r="B1299" s="198"/>
      <c r="C1299" s="199"/>
      <c r="D1299" s="200"/>
      <c r="E1299" s="196"/>
      <c r="F1299" s="212"/>
      <c r="G1299" s="196"/>
      <c r="H1299" s="215"/>
      <c r="I1299" s="216"/>
    </row>
    <row r="1300" spans="1:9" ht="14.4" x14ac:dyDescent="0.3">
      <c r="A1300" s="197"/>
      <c r="B1300" s="198"/>
      <c r="C1300" s="199"/>
      <c r="D1300" s="200"/>
      <c r="E1300" s="201"/>
      <c r="F1300" s="212"/>
      <c r="G1300" s="201"/>
      <c r="H1300" s="215"/>
      <c r="I1300" s="216"/>
    </row>
    <row r="1301" spans="1:9" ht="14.4" x14ac:dyDescent="0.3">
      <c r="A1301" s="197"/>
      <c r="B1301" s="198"/>
      <c r="C1301" s="199"/>
      <c r="D1301" s="200"/>
      <c r="E1301" s="202"/>
      <c r="F1301" s="212"/>
      <c r="G1301" s="201"/>
      <c r="H1301" s="215"/>
      <c r="I1301" s="216"/>
    </row>
    <row r="1302" spans="1:9" ht="14.4" x14ac:dyDescent="0.3">
      <c r="A1302" s="197"/>
      <c r="B1302" s="198"/>
      <c r="C1302" s="199"/>
      <c r="D1302" s="200"/>
      <c r="E1302" s="201"/>
      <c r="F1302" s="212"/>
      <c r="G1302" s="201"/>
      <c r="H1302" s="215"/>
      <c r="I1302" s="216"/>
    </row>
    <row r="1303" spans="1:9" ht="14.4" x14ac:dyDescent="0.3">
      <c r="A1303" s="197"/>
      <c r="B1303" s="198"/>
      <c r="C1303" s="199"/>
      <c r="D1303" s="200"/>
      <c r="E1303" s="201"/>
      <c r="F1303" s="212"/>
      <c r="G1303" s="201"/>
      <c r="H1303" s="215"/>
      <c r="I1303" s="216"/>
    </row>
    <row r="1304" spans="1:9" ht="14.4" x14ac:dyDescent="0.3">
      <c r="A1304" s="197"/>
      <c r="B1304" s="203"/>
      <c r="C1304" s="204"/>
      <c r="D1304" s="205"/>
      <c r="E1304" s="206"/>
      <c r="F1304" s="218"/>
      <c r="G1304" s="206"/>
      <c r="H1304" s="219"/>
      <c r="I1304" s="220"/>
    </row>
    <row r="1305" spans="1:9" ht="15" thickBot="1" x14ac:dyDescent="0.35">
      <c r="A1305" s="207"/>
      <c r="B1305" s="208"/>
      <c r="C1305" s="209"/>
      <c r="D1305" s="210"/>
      <c r="E1305" s="211"/>
      <c r="F1305" s="221"/>
      <c r="G1305" s="211"/>
      <c r="H1305" s="222"/>
      <c r="I1305" s="223"/>
    </row>
    <row r="1306" spans="1:9" ht="14.4" thickBot="1" x14ac:dyDescent="0.35"/>
    <row r="1307" spans="1:9" ht="14.4" thickBot="1" x14ac:dyDescent="0.35">
      <c r="A1307" s="226" t="s">
        <v>1204</v>
      </c>
      <c r="B1307" s="224" t="s">
        <v>1205</v>
      </c>
      <c r="C1307" s="224" t="s">
        <v>1206</v>
      </c>
      <c r="D1307" s="224" t="s">
        <v>1207</v>
      </c>
      <c r="E1307" s="368" t="s">
        <v>1208</v>
      </c>
      <c r="F1307" s="368"/>
      <c r="G1307" s="368"/>
      <c r="H1307" s="224" t="s">
        <v>1209</v>
      </c>
      <c r="I1307" s="225" t="s">
        <v>1210</v>
      </c>
    </row>
    <row r="1308" spans="1:9" ht="14.4" x14ac:dyDescent="0.3">
      <c r="A1308" s="197"/>
      <c r="B1308" s="193"/>
      <c r="C1308" s="194"/>
      <c r="D1308" s="195"/>
      <c r="E1308" s="196"/>
      <c r="F1308" s="212"/>
      <c r="G1308" s="196"/>
      <c r="H1308" s="213"/>
      <c r="I1308" s="214"/>
    </row>
    <row r="1309" spans="1:9" ht="14.4" x14ac:dyDescent="0.3">
      <c r="A1309" s="197"/>
      <c r="B1309" s="198"/>
      <c r="C1309" s="199"/>
      <c r="D1309" s="200"/>
      <c r="E1309" s="201"/>
      <c r="F1309" s="212"/>
      <c r="G1309" s="201"/>
      <c r="H1309" s="215"/>
      <c r="I1309" s="216"/>
    </row>
    <row r="1310" spans="1:9" ht="14.4" x14ac:dyDescent="0.3">
      <c r="A1310" s="197"/>
      <c r="B1310" s="198"/>
      <c r="C1310" s="199"/>
      <c r="D1310" s="200"/>
      <c r="E1310" s="201"/>
      <c r="F1310" s="212"/>
      <c r="G1310" s="201"/>
      <c r="H1310" s="215"/>
      <c r="I1310" s="216"/>
    </row>
    <row r="1311" spans="1:9" ht="14.4" x14ac:dyDescent="0.3">
      <c r="A1311" s="197"/>
      <c r="B1311" s="198"/>
      <c r="C1311" s="199"/>
      <c r="D1311" s="200"/>
      <c r="E1311" s="201"/>
      <c r="F1311" s="212"/>
      <c r="G1311" s="201"/>
      <c r="H1311" s="215"/>
      <c r="I1311" s="217"/>
    </row>
    <row r="1312" spans="1:9" ht="14.4" x14ac:dyDescent="0.3">
      <c r="A1312" s="197"/>
      <c r="B1312" s="198"/>
      <c r="C1312" s="199"/>
      <c r="D1312" s="200"/>
      <c r="E1312" s="196"/>
      <c r="F1312" s="212"/>
      <c r="G1312" s="196"/>
      <c r="H1312" s="215"/>
      <c r="I1312" s="217"/>
    </row>
    <row r="1313" spans="1:9" ht="14.4" x14ac:dyDescent="0.3">
      <c r="A1313" s="197"/>
      <c r="B1313" s="198"/>
      <c r="C1313" s="199"/>
      <c r="D1313" s="200"/>
      <c r="E1313" s="196"/>
      <c r="F1313" s="212"/>
      <c r="G1313" s="196"/>
      <c r="H1313" s="215"/>
      <c r="I1313" s="216"/>
    </row>
    <row r="1314" spans="1:9" ht="14.4" x14ac:dyDescent="0.3">
      <c r="A1314" s="197"/>
      <c r="B1314" s="198"/>
      <c r="C1314" s="199"/>
      <c r="D1314" s="200"/>
      <c r="E1314" s="201"/>
      <c r="F1314" s="212"/>
      <c r="G1314" s="201"/>
      <c r="H1314" s="215"/>
      <c r="I1314" s="216"/>
    </row>
    <row r="1315" spans="1:9" ht="14.4" x14ac:dyDescent="0.3">
      <c r="A1315" s="197"/>
      <c r="B1315" s="198"/>
      <c r="C1315" s="199"/>
      <c r="D1315" s="200"/>
      <c r="E1315" s="202"/>
      <c r="F1315" s="212"/>
      <c r="G1315" s="201"/>
      <c r="H1315" s="215"/>
      <c r="I1315" s="216"/>
    </row>
    <row r="1316" spans="1:9" ht="14.4" x14ac:dyDescent="0.3">
      <c r="A1316" s="197"/>
      <c r="B1316" s="198"/>
      <c r="C1316" s="199"/>
      <c r="D1316" s="200"/>
      <c r="E1316" s="201"/>
      <c r="F1316" s="212"/>
      <c r="G1316" s="201"/>
      <c r="H1316" s="215"/>
      <c r="I1316" s="216"/>
    </row>
    <row r="1317" spans="1:9" ht="14.4" x14ac:dyDescent="0.3">
      <c r="A1317" s="197"/>
      <c r="B1317" s="198"/>
      <c r="C1317" s="199"/>
      <c r="D1317" s="200"/>
      <c r="E1317" s="201"/>
      <c r="F1317" s="212"/>
      <c r="G1317" s="201"/>
      <c r="H1317" s="215"/>
      <c r="I1317" s="216"/>
    </row>
    <row r="1318" spans="1:9" ht="14.4" x14ac:dyDescent="0.3">
      <c r="A1318" s="197"/>
      <c r="B1318" s="203"/>
      <c r="C1318" s="204"/>
      <c r="D1318" s="205"/>
      <c r="E1318" s="206"/>
      <c r="F1318" s="218"/>
      <c r="G1318" s="206"/>
      <c r="H1318" s="219"/>
      <c r="I1318" s="220"/>
    </row>
    <row r="1319" spans="1:9" ht="15" thickBot="1" x14ac:dyDescent="0.35">
      <c r="A1319" s="207"/>
      <c r="B1319" s="208"/>
      <c r="C1319" s="209"/>
      <c r="D1319" s="210"/>
      <c r="E1319" s="211"/>
      <c r="F1319" s="221"/>
      <c r="G1319" s="211"/>
      <c r="H1319" s="222"/>
      <c r="I1319" s="223"/>
    </row>
    <row r="1320" spans="1:9" ht="14.4" thickBot="1" x14ac:dyDescent="0.35"/>
    <row r="1321" spans="1:9" ht="14.4" thickBot="1" x14ac:dyDescent="0.35">
      <c r="A1321" s="226" t="s">
        <v>1204</v>
      </c>
      <c r="B1321" s="224" t="s">
        <v>1205</v>
      </c>
      <c r="C1321" s="224" t="s">
        <v>1206</v>
      </c>
      <c r="D1321" s="224" t="s">
        <v>1207</v>
      </c>
      <c r="E1321" s="368" t="s">
        <v>1208</v>
      </c>
      <c r="F1321" s="368"/>
      <c r="G1321" s="368"/>
      <c r="H1321" s="224" t="s">
        <v>1209</v>
      </c>
      <c r="I1321" s="225" t="s">
        <v>1210</v>
      </c>
    </row>
    <row r="1322" spans="1:9" ht="14.4" x14ac:dyDescent="0.3">
      <c r="A1322" s="197"/>
      <c r="B1322" s="193"/>
      <c r="C1322" s="194"/>
      <c r="D1322" s="195"/>
      <c r="E1322" s="196"/>
      <c r="F1322" s="212"/>
      <c r="G1322" s="196"/>
      <c r="H1322" s="213"/>
      <c r="I1322" s="214"/>
    </row>
    <row r="1323" spans="1:9" ht="14.4" x14ac:dyDescent="0.3">
      <c r="A1323" s="197"/>
      <c r="B1323" s="198"/>
      <c r="C1323" s="199"/>
      <c r="D1323" s="200"/>
      <c r="E1323" s="201"/>
      <c r="F1323" s="212"/>
      <c r="G1323" s="201"/>
      <c r="H1323" s="215"/>
      <c r="I1323" s="216"/>
    </row>
    <row r="1324" spans="1:9" ht="14.4" x14ac:dyDescent="0.3">
      <c r="A1324" s="197"/>
      <c r="B1324" s="198"/>
      <c r="C1324" s="199"/>
      <c r="D1324" s="200"/>
      <c r="E1324" s="201"/>
      <c r="F1324" s="212"/>
      <c r="G1324" s="201"/>
      <c r="H1324" s="215"/>
      <c r="I1324" s="216"/>
    </row>
    <row r="1325" spans="1:9" ht="14.4" x14ac:dyDescent="0.3">
      <c r="A1325" s="197"/>
      <c r="B1325" s="198"/>
      <c r="C1325" s="199"/>
      <c r="D1325" s="200"/>
      <c r="E1325" s="201"/>
      <c r="F1325" s="212"/>
      <c r="G1325" s="201"/>
      <c r="H1325" s="215"/>
      <c r="I1325" s="217"/>
    </row>
    <row r="1326" spans="1:9" ht="14.4" x14ac:dyDescent="0.3">
      <c r="A1326" s="197"/>
      <c r="B1326" s="198"/>
      <c r="C1326" s="199"/>
      <c r="D1326" s="200"/>
      <c r="E1326" s="196"/>
      <c r="F1326" s="212"/>
      <c r="G1326" s="196"/>
      <c r="H1326" s="215"/>
      <c r="I1326" s="217"/>
    </row>
    <row r="1327" spans="1:9" ht="14.4" x14ac:dyDescent="0.3">
      <c r="A1327" s="197"/>
      <c r="B1327" s="198"/>
      <c r="C1327" s="199"/>
      <c r="D1327" s="200"/>
      <c r="E1327" s="196"/>
      <c r="F1327" s="212"/>
      <c r="G1327" s="196"/>
      <c r="H1327" s="215"/>
      <c r="I1327" s="216"/>
    </row>
    <row r="1328" spans="1:9" ht="14.4" x14ac:dyDescent="0.3">
      <c r="A1328" s="197"/>
      <c r="B1328" s="198"/>
      <c r="C1328" s="199"/>
      <c r="D1328" s="200"/>
      <c r="E1328" s="201"/>
      <c r="F1328" s="212"/>
      <c r="G1328" s="201"/>
      <c r="H1328" s="215"/>
      <c r="I1328" s="216"/>
    </row>
    <row r="1329" spans="1:9" ht="14.4" x14ac:dyDescent="0.3">
      <c r="A1329" s="197"/>
      <c r="B1329" s="198"/>
      <c r="C1329" s="199"/>
      <c r="D1329" s="200"/>
      <c r="E1329" s="202"/>
      <c r="F1329" s="212"/>
      <c r="G1329" s="201"/>
      <c r="H1329" s="215"/>
      <c r="I1329" s="216"/>
    </row>
    <row r="1330" spans="1:9" ht="14.4" x14ac:dyDescent="0.3">
      <c r="A1330" s="197"/>
      <c r="B1330" s="198"/>
      <c r="C1330" s="199"/>
      <c r="D1330" s="200"/>
      <c r="E1330" s="201"/>
      <c r="F1330" s="212"/>
      <c r="G1330" s="201"/>
      <c r="H1330" s="215"/>
      <c r="I1330" s="216"/>
    </row>
    <row r="1331" spans="1:9" ht="14.4" x14ac:dyDescent="0.3">
      <c r="A1331" s="197"/>
      <c r="B1331" s="198"/>
      <c r="C1331" s="199"/>
      <c r="D1331" s="200"/>
      <c r="E1331" s="201"/>
      <c r="F1331" s="212"/>
      <c r="G1331" s="201"/>
      <c r="H1331" s="215"/>
      <c r="I1331" s="216"/>
    </row>
    <row r="1332" spans="1:9" ht="14.4" x14ac:dyDescent="0.3">
      <c r="A1332" s="197"/>
      <c r="B1332" s="203"/>
      <c r="C1332" s="204"/>
      <c r="D1332" s="205"/>
      <c r="E1332" s="206"/>
      <c r="F1332" s="218"/>
      <c r="G1332" s="206"/>
      <c r="H1332" s="219"/>
      <c r="I1332" s="220"/>
    </row>
    <row r="1333" spans="1:9" ht="15" thickBot="1" x14ac:dyDescent="0.35">
      <c r="A1333" s="207"/>
      <c r="B1333" s="208"/>
      <c r="C1333" s="209"/>
      <c r="D1333" s="210"/>
      <c r="E1333" s="211"/>
      <c r="F1333" s="221"/>
      <c r="G1333" s="211"/>
      <c r="H1333" s="222"/>
      <c r="I1333" s="223"/>
    </row>
    <row r="1334" spans="1:9" ht="14.4" thickBot="1" x14ac:dyDescent="0.35"/>
    <row r="1335" spans="1:9" ht="14.4" thickBot="1" x14ac:dyDescent="0.35">
      <c r="A1335" s="226" t="s">
        <v>1204</v>
      </c>
      <c r="B1335" s="224" t="s">
        <v>1205</v>
      </c>
      <c r="C1335" s="224" t="s">
        <v>1206</v>
      </c>
      <c r="D1335" s="224" t="s">
        <v>1207</v>
      </c>
      <c r="E1335" s="368" t="s">
        <v>1208</v>
      </c>
      <c r="F1335" s="368"/>
      <c r="G1335" s="368"/>
      <c r="H1335" s="224" t="s">
        <v>1209</v>
      </c>
      <c r="I1335" s="225" t="s">
        <v>1210</v>
      </c>
    </row>
    <row r="1336" spans="1:9" ht="14.4" x14ac:dyDescent="0.3">
      <c r="A1336" s="197"/>
      <c r="B1336" s="193"/>
      <c r="C1336" s="194"/>
      <c r="D1336" s="195"/>
      <c r="E1336" s="196"/>
      <c r="F1336" s="212"/>
      <c r="G1336" s="196"/>
      <c r="H1336" s="213"/>
      <c r="I1336" s="214"/>
    </row>
    <row r="1337" spans="1:9" ht="14.4" x14ac:dyDescent="0.3">
      <c r="A1337" s="197"/>
      <c r="B1337" s="198"/>
      <c r="C1337" s="199"/>
      <c r="D1337" s="200"/>
      <c r="E1337" s="201"/>
      <c r="F1337" s="212"/>
      <c r="G1337" s="201"/>
      <c r="H1337" s="215"/>
      <c r="I1337" s="216"/>
    </row>
    <row r="1338" spans="1:9" ht="14.4" x14ac:dyDescent="0.3">
      <c r="A1338" s="197"/>
      <c r="B1338" s="198"/>
      <c r="C1338" s="199"/>
      <c r="D1338" s="200"/>
      <c r="E1338" s="201"/>
      <c r="F1338" s="212"/>
      <c r="G1338" s="201"/>
      <c r="H1338" s="215"/>
      <c r="I1338" s="216"/>
    </row>
    <row r="1339" spans="1:9" ht="14.4" x14ac:dyDescent="0.3">
      <c r="A1339" s="197"/>
      <c r="B1339" s="198"/>
      <c r="C1339" s="199"/>
      <c r="D1339" s="200"/>
      <c r="E1339" s="201"/>
      <c r="F1339" s="212"/>
      <c r="G1339" s="201"/>
      <c r="H1339" s="215"/>
      <c r="I1339" s="217"/>
    </row>
    <row r="1340" spans="1:9" ht="14.4" x14ac:dyDescent="0.3">
      <c r="A1340" s="197"/>
      <c r="B1340" s="198"/>
      <c r="C1340" s="199"/>
      <c r="D1340" s="200"/>
      <c r="E1340" s="196"/>
      <c r="F1340" s="212"/>
      <c r="G1340" s="196"/>
      <c r="H1340" s="215"/>
      <c r="I1340" s="217"/>
    </row>
    <row r="1341" spans="1:9" ht="14.4" x14ac:dyDescent="0.3">
      <c r="A1341" s="197"/>
      <c r="B1341" s="198"/>
      <c r="C1341" s="199"/>
      <c r="D1341" s="200"/>
      <c r="E1341" s="196"/>
      <c r="F1341" s="212"/>
      <c r="G1341" s="196"/>
      <c r="H1341" s="215"/>
      <c r="I1341" s="216"/>
    </row>
    <row r="1342" spans="1:9" ht="14.4" x14ac:dyDescent="0.3">
      <c r="A1342" s="197"/>
      <c r="B1342" s="198"/>
      <c r="C1342" s="199"/>
      <c r="D1342" s="200"/>
      <c r="E1342" s="201"/>
      <c r="F1342" s="212"/>
      <c r="G1342" s="201"/>
      <c r="H1342" s="215"/>
      <c r="I1342" s="216"/>
    </row>
    <row r="1343" spans="1:9" ht="14.4" x14ac:dyDescent="0.3">
      <c r="A1343" s="197"/>
      <c r="B1343" s="198"/>
      <c r="C1343" s="199"/>
      <c r="D1343" s="200"/>
      <c r="E1343" s="202"/>
      <c r="F1343" s="212"/>
      <c r="G1343" s="201"/>
      <c r="H1343" s="215"/>
      <c r="I1343" s="216"/>
    </row>
    <row r="1344" spans="1:9" ht="14.4" x14ac:dyDescent="0.3">
      <c r="A1344" s="197"/>
      <c r="B1344" s="198"/>
      <c r="C1344" s="199"/>
      <c r="D1344" s="200"/>
      <c r="E1344" s="201"/>
      <c r="F1344" s="212"/>
      <c r="G1344" s="201"/>
      <c r="H1344" s="215"/>
      <c r="I1344" s="216"/>
    </row>
    <row r="1345" spans="1:9" ht="14.4" x14ac:dyDescent="0.3">
      <c r="A1345" s="197"/>
      <c r="B1345" s="198"/>
      <c r="C1345" s="199"/>
      <c r="D1345" s="200"/>
      <c r="E1345" s="201"/>
      <c r="F1345" s="212"/>
      <c r="G1345" s="201"/>
      <c r="H1345" s="215"/>
      <c r="I1345" s="216"/>
    </row>
    <row r="1346" spans="1:9" ht="14.4" x14ac:dyDescent="0.3">
      <c r="A1346" s="197"/>
      <c r="B1346" s="203"/>
      <c r="C1346" s="204"/>
      <c r="D1346" s="205"/>
      <c r="E1346" s="206"/>
      <c r="F1346" s="218"/>
      <c r="G1346" s="206"/>
      <c r="H1346" s="219"/>
      <c r="I1346" s="220"/>
    </row>
    <row r="1347" spans="1:9" ht="15" thickBot="1" x14ac:dyDescent="0.35">
      <c r="A1347" s="207"/>
      <c r="B1347" s="208"/>
      <c r="C1347" s="209"/>
      <c r="D1347" s="210"/>
      <c r="E1347" s="211"/>
      <c r="F1347" s="221"/>
      <c r="G1347" s="211"/>
      <c r="H1347" s="222"/>
      <c r="I1347" s="223"/>
    </row>
    <row r="1348" spans="1:9" ht="14.4" thickBot="1" x14ac:dyDescent="0.35"/>
    <row r="1349" spans="1:9" ht="14.4" thickBot="1" x14ac:dyDescent="0.35">
      <c r="A1349" s="226" t="s">
        <v>1204</v>
      </c>
      <c r="B1349" s="224" t="s">
        <v>1205</v>
      </c>
      <c r="C1349" s="224" t="s">
        <v>1206</v>
      </c>
      <c r="D1349" s="224" t="s">
        <v>1207</v>
      </c>
      <c r="E1349" s="368" t="s">
        <v>1208</v>
      </c>
      <c r="F1349" s="368"/>
      <c r="G1349" s="368"/>
      <c r="H1349" s="224" t="s">
        <v>1209</v>
      </c>
      <c r="I1349" s="225" t="s">
        <v>1210</v>
      </c>
    </row>
    <row r="1350" spans="1:9" ht="14.4" x14ac:dyDescent="0.3">
      <c r="A1350" s="197"/>
      <c r="B1350" s="193"/>
      <c r="C1350" s="194"/>
      <c r="D1350" s="195"/>
      <c r="E1350" s="196"/>
      <c r="F1350" s="212"/>
      <c r="G1350" s="196"/>
      <c r="H1350" s="213"/>
      <c r="I1350" s="214"/>
    </row>
    <row r="1351" spans="1:9" ht="14.4" x14ac:dyDescent="0.3">
      <c r="A1351" s="197"/>
      <c r="B1351" s="198"/>
      <c r="C1351" s="199"/>
      <c r="D1351" s="200"/>
      <c r="E1351" s="201"/>
      <c r="F1351" s="212"/>
      <c r="G1351" s="201"/>
      <c r="H1351" s="215"/>
      <c r="I1351" s="216"/>
    </row>
    <row r="1352" spans="1:9" ht="14.4" x14ac:dyDescent="0.3">
      <c r="A1352" s="197"/>
      <c r="B1352" s="198"/>
      <c r="C1352" s="199"/>
      <c r="D1352" s="200"/>
      <c r="E1352" s="201"/>
      <c r="F1352" s="212"/>
      <c r="G1352" s="201"/>
      <c r="H1352" s="215"/>
      <c r="I1352" s="216"/>
    </row>
    <row r="1353" spans="1:9" ht="14.4" x14ac:dyDescent="0.3">
      <c r="A1353" s="197"/>
      <c r="B1353" s="198"/>
      <c r="C1353" s="199"/>
      <c r="D1353" s="200"/>
      <c r="E1353" s="201"/>
      <c r="F1353" s="212"/>
      <c r="G1353" s="201"/>
      <c r="H1353" s="215"/>
      <c r="I1353" s="217"/>
    </row>
    <row r="1354" spans="1:9" ht="14.4" x14ac:dyDescent="0.3">
      <c r="A1354" s="197"/>
      <c r="B1354" s="198"/>
      <c r="C1354" s="199"/>
      <c r="D1354" s="200"/>
      <c r="E1354" s="196"/>
      <c r="F1354" s="212"/>
      <c r="G1354" s="196"/>
      <c r="H1354" s="215"/>
      <c r="I1354" s="217"/>
    </row>
    <row r="1355" spans="1:9" ht="14.4" x14ac:dyDescent="0.3">
      <c r="A1355" s="197"/>
      <c r="B1355" s="198"/>
      <c r="C1355" s="199"/>
      <c r="D1355" s="200"/>
      <c r="E1355" s="196"/>
      <c r="F1355" s="212"/>
      <c r="G1355" s="196"/>
      <c r="H1355" s="215"/>
      <c r="I1355" s="216"/>
    </row>
    <row r="1356" spans="1:9" ht="14.4" x14ac:dyDescent="0.3">
      <c r="A1356" s="197"/>
      <c r="B1356" s="198"/>
      <c r="C1356" s="199"/>
      <c r="D1356" s="200"/>
      <c r="E1356" s="201"/>
      <c r="F1356" s="212"/>
      <c r="G1356" s="201"/>
      <c r="H1356" s="215"/>
      <c r="I1356" s="216"/>
    </row>
    <row r="1357" spans="1:9" ht="14.4" x14ac:dyDescent="0.3">
      <c r="A1357" s="197"/>
      <c r="B1357" s="198"/>
      <c r="C1357" s="199"/>
      <c r="D1357" s="200"/>
      <c r="E1357" s="202"/>
      <c r="F1357" s="212"/>
      <c r="G1357" s="201"/>
      <c r="H1357" s="215"/>
      <c r="I1357" s="216"/>
    </row>
    <row r="1358" spans="1:9" ht="14.4" x14ac:dyDescent="0.3">
      <c r="A1358" s="197"/>
      <c r="B1358" s="198"/>
      <c r="C1358" s="199"/>
      <c r="D1358" s="200"/>
      <c r="E1358" s="201"/>
      <c r="F1358" s="212"/>
      <c r="G1358" s="201"/>
      <c r="H1358" s="215"/>
      <c r="I1358" s="216"/>
    </row>
    <row r="1359" spans="1:9" ht="14.4" x14ac:dyDescent="0.3">
      <c r="A1359" s="197"/>
      <c r="B1359" s="198"/>
      <c r="C1359" s="199"/>
      <c r="D1359" s="200"/>
      <c r="E1359" s="201"/>
      <c r="F1359" s="212"/>
      <c r="G1359" s="201"/>
      <c r="H1359" s="215"/>
      <c r="I1359" s="216"/>
    </row>
    <row r="1360" spans="1:9" ht="14.4" x14ac:dyDescent="0.3">
      <c r="A1360" s="197"/>
      <c r="B1360" s="203"/>
      <c r="C1360" s="204"/>
      <c r="D1360" s="205"/>
      <c r="E1360" s="206"/>
      <c r="F1360" s="218"/>
      <c r="G1360" s="206"/>
      <c r="H1360" s="219"/>
      <c r="I1360" s="220"/>
    </row>
    <row r="1361" spans="1:9" ht="15" thickBot="1" x14ac:dyDescent="0.35">
      <c r="A1361" s="207"/>
      <c r="B1361" s="208"/>
      <c r="C1361" s="209"/>
      <c r="D1361" s="210"/>
      <c r="E1361" s="211"/>
      <c r="F1361" s="221"/>
      <c r="G1361" s="211"/>
      <c r="H1361" s="222"/>
      <c r="I1361" s="223"/>
    </row>
    <row r="1362" spans="1:9" ht="14.4" thickBot="1" x14ac:dyDescent="0.35"/>
    <row r="1363" spans="1:9" ht="14.4" thickBot="1" x14ac:dyDescent="0.35">
      <c r="A1363" s="226" t="s">
        <v>1204</v>
      </c>
      <c r="B1363" s="224" t="s">
        <v>1205</v>
      </c>
      <c r="C1363" s="224" t="s">
        <v>1206</v>
      </c>
      <c r="D1363" s="224" t="s">
        <v>1207</v>
      </c>
      <c r="E1363" s="368" t="s">
        <v>1208</v>
      </c>
      <c r="F1363" s="368"/>
      <c r="G1363" s="368"/>
      <c r="H1363" s="224" t="s">
        <v>1209</v>
      </c>
      <c r="I1363" s="225" t="s">
        <v>1210</v>
      </c>
    </row>
    <row r="1364" spans="1:9" ht="14.4" x14ac:dyDescent="0.3">
      <c r="A1364" s="197"/>
      <c r="B1364" s="193"/>
      <c r="C1364" s="194"/>
      <c r="D1364" s="195"/>
      <c r="E1364" s="196"/>
      <c r="F1364" s="212"/>
      <c r="G1364" s="196"/>
      <c r="H1364" s="213"/>
      <c r="I1364" s="214"/>
    </row>
    <row r="1365" spans="1:9" ht="14.4" x14ac:dyDescent="0.3">
      <c r="A1365" s="197"/>
      <c r="B1365" s="198"/>
      <c r="C1365" s="199"/>
      <c r="D1365" s="200"/>
      <c r="E1365" s="201"/>
      <c r="F1365" s="212"/>
      <c r="G1365" s="201"/>
      <c r="H1365" s="215"/>
      <c r="I1365" s="216"/>
    </row>
    <row r="1366" spans="1:9" ht="14.4" x14ac:dyDescent="0.3">
      <c r="A1366" s="197"/>
      <c r="B1366" s="198"/>
      <c r="C1366" s="199"/>
      <c r="D1366" s="200"/>
      <c r="E1366" s="201"/>
      <c r="F1366" s="212"/>
      <c r="G1366" s="201"/>
      <c r="H1366" s="215"/>
      <c r="I1366" s="216"/>
    </row>
    <row r="1367" spans="1:9" ht="14.4" x14ac:dyDescent="0.3">
      <c r="A1367" s="197"/>
      <c r="B1367" s="198"/>
      <c r="C1367" s="199"/>
      <c r="D1367" s="200"/>
      <c r="E1367" s="201"/>
      <c r="F1367" s="212"/>
      <c r="G1367" s="201"/>
      <c r="H1367" s="215"/>
      <c r="I1367" s="217"/>
    </row>
    <row r="1368" spans="1:9" ht="14.4" x14ac:dyDescent="0.3">
      <c r="A1368" s="197"/>
      <c r="B1368" s="198"/>
      <c r="C1368" s="199"/>
      <c r="D1368" s="200"/>
      <c r="E1368" s="196"/>
      <c r="F1368" s="212"/>
      <c r="G1368" s="196"/>
      <c r="H1368" s="215"/>
      <c r="I1368" s="217"/>
    </row>
    <row r="1369" spans="1:9" ht="14.4" x14ac:dyDescent="0.3">
      <c r="A1369" s="197"/>
      <c r="B1369" s="198"/>
      <c r="C1369" s="199"/>
      <c r="D1369" s="200"/>
      <c r="E1369" s="196"/>
      <c r="F1369" s="212"/>
      <c r="G1369" s="196"/>
      <c r="H1369" s="215"/>
      <c r="I1369" s="216"/>
    </row>
    <row r="1370" spans="1:9" ht="14.4" x14ac:dyDescent="0.3">
      <c r="A1370" s="197"/>
      <c r="B1370" s="198"/>
      <c r="C1370" s="199"/>
      <c r="D1370" s="200"/>
      <c r="E1370" s="201"/>
      <c r="F1370" s="212"/>
      <c r="G1370" s="201"/>
      <c r="H1370" s="215"/>
      <c r="I1370" s="216"/>
    </row>
    <row r="1371" spans="1:9" ht="14.4" x14ac:dyDescent="0.3">
      <c r="A1371" s="197"/>
      <c r="B1371" s="198"/>
      <c r="C1371" s="199"/>
      <c r="D1371" s="200"/>
      <c r="E1371" s="202"/>
      <c r="F1371" s="212"/>
      <c r="G1371" s="201"/>
      <c r="H1371" s="215"/>
      <c r="I1371" s="216"/>
    </row>
    <row r="1372" spans="1:9" ht="14.4" x14ac:dyDescent="0.3">
      <c r="A1372" s="197"/>
      <c r="B1372" s="198"/>
      <c r="C1372" s="199"/>
      <c r="D1372" s="200"/>
      <c r="E1372" s="201"/>
      <c r="F1372" s="212"/>
      <c r="G1372" s="201"/>
      <c r="H1372" s="215"/>
      <c r="I1372" s="216"/>
    </row>
    <row r="1373" spans="1:9" ht="14.4" x14ac:dyDescent="0.3">
      <c r="A1373" s="197"/>
      <c r="B1373" s="198"/>
      <c r="C1373" s="199"/>
      <c r="D1373" s="200"/>
      <c r="E1373" s="201"/>
      <c r="F1373" s="212"/>
      <c r="G1373" s="201"/>
      <c r="H1373" s="215"/>
      <c r="I1373" s="216"/>
    </row>
    <row r="1374" spans="1:9" ht="14.4" x14ac:dyDescent="0.3">
      <c r="A1374" s="197"/>
      <c r="B1374" s="203"/>
      <c r="C1374" s="204"/>
      <c r="D1374" s="205"/>
      <c r="E1374" s="206"/>
      <c r="F1374" s="218"/>
      <c r="G1374" s="206"/>
      <c r="H1374" s="219"/>
      <c r="I1374" s="220"/>
    </row>
    <row r="1375" spans="1:9" ht="15" thickBot="1" x14ac:dyDescent="0.35">
      <c r="A1375" s="207"/>
      <c r="B1375" s="208"/>
      <c r="C1375" s="209"/>
      <c r="D1375" s="210"/>
      <c r="E1375" s="211"/>
      <c r="F1375" s="221"/>
      <c r="G1375" s="211"/>
      <c r="H1375" s="222"/>
      <c r="I1375" s="223"/>
    </row>
    <row r="1376" spans="1:9" ht="14.4" thickBot="1" x14ac:dyDescent="0.35"/>
    <row r="1377" spans="1:9" ht="14.4" thickBot="1" x14ac:dyDescent="0.35">
      <c r="A1377" s="226" t="s">
        <v>1204</v>
      </c>
      <c r="B1377" s="224" t="s">
        <v>1205</v>
      </c>
      <c r="C1377" s="224" t="s">
        <v>1206</v>
      </c>
      <c r="D1377" s="224" t="s">
        <v>1207</v>
      </c>
      <c r="E1377" s="368" t="s">
        <v>1208</v>
      </c>
      <c r="F1377" s="368"/>
      <c r="G1377" s="368"/>
      <c r="H1377" s="224" t="s">
        <v>1209</v>
      </c>
      <c r="I1377" s="225" t="s">
        <v>1210</v>
      </c>
    </row>
    <row r="1378" spans="1:9" ht="14.4" x14ac:dyDescent="0.3">
      <c r="A1378" s="197"/>
      <c r="B1378" s="193"/>
      <c r="C1378" s="194"/>
      <c r="D1378" s="195"/>
      <c r="E1378" s="196"/>
      <c r="F1378" s="212"/>
      <c r="G1378" s="196"/>
      <c r="H1378" s="213"/>
      <c r="I1378" s="214"/>
    </row>
    <row r="1379" spans="1:9" ht="14.4" x14ac:dyDescent="0.3">
      <c r="A1379" s="197"/>
      <c r="B1379" s="198"/>
      <c r="C1379" s="199"/>
      <c r="D1379" s="200"/>
      <c r="E1379" s="201"/>
      <c r="F1379" s="212"/>
      <c r="G1379" s="201"/>
      <c r="H1379" s="215"/>
      <c r="I1379" s="216"/>
    </row>
    <row r="1380" spans="1:9" ht="14.4" x14ac:dyDescent="0.3">
      <c r="A1380" s="197"/>
      <c r="B1380" s="198"/>
      <c r="C1380" s="199"/>
      <c r="D1380" s="200"/>
      <c r="E1380" s="201"/>
      <c r="F1380" s="212"/>
      <c r="G1380" s="201"/>
      <c r="H1380" s="215"/>
      <c r="I1380" s="216"/>
    </row>
    <row r="1381" spans="1:9" ht="14.4" x14ac:dyDescent="0.3">
      <c r="A1381" s="197"/>
      <c r="B1381" s="198"/>
      <c r="C1381" s="199"/>
      <c r="D1381" s="200"/>
      <c r="E1381" s="201"/>
      <c r="F1381" s="212"/>
      <c r="G1381" s="201"/>
      <c r="H1381" s="215"/>
      <c r="I1381" s="217"/>
    </row>
    <row r="1382" spans="1:9" ht="14.4" x14ac:dyDescent="0.3">
      <c r="A1382" s="197"/>
      <c r="B1382" s="198"/>
      <c r="C1382" s="199"/>
      <c r="D1382" s="200"/>
      <c r="E1382" s="196"/>
      <c r="F1382" s="212"/>
      <c r="G1382" s="196"/>
      <c r="H1382" s="215"/>
      <c r="I1382" s="217"/>
    </row>
    <row r="1383" spans="1:9" ht="14.4" x14ac:dyDescent="0.3">
      <c r="A1383" s="197"/>
      <c r="B1383" s="198"/>
      <c r="C1383" s="199"/>
      <c r="D1383" s="200"/>
      <c r="E1383" s="196"/>
      <c r="F1383" s="212"/>
      <c r="G1383" s="196"/>
      <c r="H1383" s="215"/>
      <c r="I1383" s="216"/>
    </row>
    <row r="1384" spans="1:9" ht="14.4" x14ac:dyDescent="0.3">
      <c r="A1384" s="197"/>
      <c r="B1384" s="198"/>
      <c r="C1384" s="199"/>
      <c r="D1384" s="200"/>
      <c r="E1384" s="201"/>
      <c r="F1384" s="212"/>
      <c r="G1384" s="201"/>
      <c r="H1384" s="215"/>
      <c r="I1384" s="216"/>
    </row>
    <row r="1385" spans="1:9" ht="14.4" x14ac:dyDescent="0.3">
      <c r="A1385" s="197"/>
      <c r="B1385" s="198"/>
      <c r="C1385" s="199"/>
      <c r="D1385" s="200"/>
      <c r="E1385" s="202"/>
      <c r="F1385" s="212"/>
      <c r="G1385" s="201"/>
      <c r="H1385" s="215"/>
      <c r="I1385" s="216"/>
    </row>
    <row r="1386" spans="1:9" ht="14.4" x14ac:dyDescent="0.3">
      <c r="A1386" s="197"/>
      <c r="B1386" s="198"/>
      <c r="C1386" s="199"/>
      <c r="D1386" s="200"/>
      <c r="E1386" s="201"/>
      <c r="F1386" s="212"/>
      <c r="G1386" s="201"/>
      <c r="H1386" s="215"/>
      <c r="I1386" s="216"/>
    </row>
    <row r="1387" spans="1:9" ht="14.4" x14ac:dyDescent="0.3">
      <c r="A1387" s="197"/>
      <c r="B1387" s="198"/>
      <c r="C1387" s="199"/>
      <c r="D1387" s="200"/>
      <c r="E1387" s="201"/>
      <c r="F1387" s="212"/>
      <c r="G1387" s="201"/>
      <c r="H1387" s="215"/>
      <c r="I1387" s="216"/>
    </row>
    <row r="1388" spans="1:9" ht="14.4" x14ac:dyDescent="0.3">
      <c r="A1388" s="197"/>
      <c r="B1388" s="203"/>
      <c r="C1388" s="204"/>
      <c r="D1388" s="205"/>
      <c r="E1388" s="206"/>
      <c r="F1388" s="218"/>
      <c r="G1388" s="206"/>
      <c r="H1388" s="219"/>
      <c r="I1388" s="220"/>
    </row>
    <row r="1389" spans="1:9" ht="15" thickBot="1" x14ac:dyDescent="0.35">
      <c r="A1389" s="207"/>
      <c r="B1389" s="208"/>
      <c r="C1389" s="209"/>
      <c r="D1389" s="210"/>
      <c r="E1389" s="211"/>
      <c r="F1389" s="221"/>
      <c r="G1389" s="211"/>
      <c r="H1389" s="222"/>
      <c r="I1389" s="223"/>
    </row>
    <row r="1390" spans="1:9" ht="14.4" thickBot="1" x14ac:dyDescent="0.35"/>
    <row r="1391" spans="1:9" ht="14.4" thickBot="1" x14ac:dyDescent="0.35">
      <c r="A1391" s="226" t="s">
        <v>1204</v>
      </c>
      <c r="B1391" s="224" t="s">
        <v>1205</v>
      </c>
      <c r="C1391" s="224" t="s">
        <v>1206</v>
      </c>
      <c r="D1391" s="224" t="s">
        <v>1207</v>
      </c>
      <c r="E1391" s="368" t="s">
        <v>1208</v>
      </c>
      <c r="F1391" s="368"/>
      <c r="G1391" s="368"/>
      <c r="H1391" s="224" t="s">
        <v>1209</v>
      </c>
      <c r="I1391" s="225" t="s">
        <v>1210</v>
      </c>
    </row>
    <row r="1392" spans="1:9" ht="14.4" x14ac:dyDescent="0.3">
      <c r="A1392" s="197"/>
      <c r="B1392" s="193"/>
      <c r="C1392" s="194"/>
      <c r="D1392" s="195"/>
      <c r="E1392" s="196"/>
      <c r="F1392" s="212"/>
      <c r="G1392" s="196"/>
      <c r="H1392" s="213"/>
      <c r="I1392" s="214"/>
    </row>
    <row r="1393" spans="1:9" ht="14.4" x14ac:dyDescent="0.3">
      <c r="A1393" s="197"/>
      <c r="B1393" s="198"/>
      <c r="C1393" s="199"/>
      <c r="D1393" s="200"/>
      <c r="E1393" s="201"/>
      <c r="F1393" s="212"/>
      <c r="G1393" s="201"/>
      <c r="H1393" s="215"/>
      <c r="I1393" s="216"/>
    </row>
    <row r="1394" spans="1:9" ht="14.4" x14ac:dyDescent="0.3">
      <c r="A1394" s="197"/>
      <c r="B1394" s="198"/>
      <c r="C1394" s="199"/>
      <c r="D1394" s="200"/>
      <c r="E1394" s="201"/>
      <c r="F1394" s="212"/>
      <c r="G1394" s="201"/>
      <c r="H1394" s="215"/>
      <c r="I1394" s="216"/>
    </row>
    <row r="1395" spans="1:9" ht="14.4" x14ac:dyDescent="0.3">
      <c r="A1395" s="197"/>
      <c r="B1395" s="198"/>
      <c r="C1395" s="199"/>
      <c r="D1395" s="200"/>
      <c r="E1395" s="201"/>
      <c r="F1395" s="212"/>
      <c r="G1395" s="201"/>
      <c r="H1395" s="215"/>
      <c r="I1395" s="217"/>
    </row>
    <row r="1396" spans="1:9" ht="14.4" x14ac:dyDescent="0.3">
      <c r="A1396" s="197"/>
      <c r="B1396" s="198"/>
      <c r="C1396" s="199"/>
      <c r="D1396" s="200"/>
      <c r="E1396" s="196"/>
      <c r="F1396" s="212"/>
      <c r="G1396" s="196"/>
      <c r="H1396" s="215"/>
      <c r="I1396" s="217"/>
    </row>
    <row r="1397" spans="1:9" ht="14.4" x14ac:dyDescent="0.3">
      <c r="A1397" s="197"/>
      <c r="B1397" s="198"/>
      <c r="C1397" s="199"/>
      <c r="D1397" s="200"/>
      <c r="E1397" s="196"/>
      <c r="F1397" s="212"/>
      <c r="G1397" s="196"/>
      <c r="H1397" s="215"/>
      <c r="I1397" s="216"/>
    </row>
    <row r="1398" spans="1:9" ht="14.4" x14ac:dyDescent="0.3">
      <c r="A1398" s="197"/>
      <c r="B1398" s="198"/>
      <c r="C1398" s="199"/>
      <c r="D1398" s="200"/>
      <c r="E1398" s="201"/>
      <c r="F1398" s="212"/>
      <c r="G1398" s="201"/>
      <c r="H1398" s="215"/>
      <c r="I1398" s="216"/>
    </row>
    <row r="1399" spans="1:9" ht="14.4" x14ac:dyDescent="0.3">
      <c r="A1399" s="197"/>
      <c r="B1399" s="198"/>
      <c r="C1399" s="199"/>
      <c r="D1399" s="200"/>
      <c r="E1399" s="202"/>
      <c r="F1399" s="212"/>
      <c r="G1399" s="201"/>
      <c r="H1399" s="215"/>
      <c r="I1399" s="216"/>
    </row>
    <row r="1400" spans="1:9" ht="14.4" x14ac:dyDescent="0.3">
      <c r="A1400" s="197"/>
      <c r="B1400" s="198"/>
      <c r="C1400" s="199"/>
      <c r="D1400" s="200"/>
      <c r="E1400" s="201"/>
      <c r="F1400" s="212"/>
      <c r="G1400" s="201"/>
      <c r="H1400" s="215"/>
      <c r="I1400" s="216"/>
    </row>
    <row r="1401" spans="1:9" ht="14.4" x14ac:dyDescent="0.3">
      <c r="A1401" s="197"/>
      <c r="B1401" s="198"/>
      <c r="C1401" s="199"/>
      <c r="D1401" s="200"/>
      <c r="E1401" s="201"/>
      <c r="F1401" s="212"/>
      <c r="G1401" s="201"/>
      <c r="H1401" s="215"/>
      <c r="I1401" s="216"/>
    </row>
    <row r="1402" spans="1:9" ht="14.4" x14ac:dyDescent="0.3">
      <c r="A1402" s="197"/>
      <c r="B1402" s="203"/>
      <c r="C1402" s="204"/>
      <c r="D1402" s="205"/>
      <c r="E1402" s="206"/>
      <c r="F1402" s="218"/>
      <c r="G1402" s="206"/>
      <c r="H1402" s="219"/>
      <c r="I1402" s="220"/>
    </row>
    <row r="1403" spans="1:9" ht="15" thickBot="1" x14ac:dyDescent="0.35">
      <c r="A1403" s="207"/>
      <c r="B1403" s="208"/>
      <c r="C1403" s="209"/>
      <c r="D1403" s="210"/>
      <c r="E1403" s="211"/>
      <c r="F1403" s="221"/>
      <c r="G1403" s="211"/>
      <c r="H1403" s="222"/>
      <c r="I1403" s="223"/>
    </row>
    <row r="1404" spans="1:9" ht="14.4" thickBot="1" x14ac:dyDescent="0.35"/>
    <row r="1405" spans="1:9" ht="14.4" thickBot="1" x14ac:dyDescent="0.35">
      <c r="A1405" s="226" t="s">
        <v>1204</v>
      </c>
      <c r="B1405" s="224" t="s">
        <v>1205</v>
      </c>
      <c r="C1405" s="224" t="s">
        <v>1206</v>
      </c>
      <c r="D1405" s="224" t="s">
        <v>1207</v>
      </c>
      <c r="E1405" s="368" t="s">
        <v>1208</v>
      </c>
      <c r="F1405" s="368"/>
      <c r="G1405" s="368"/>
      <c r="H1405" s="224" t="s">
        <v>1209</v>
      </c>
      <c r="I1405" s="225" t="s">
        <v>1210</v>
      </c>
    </row>
    <row r="1406" spans="1:9" ht="14.4" x14ac:dyDescent="0.3">
      <c r="A1406" s="197"/>
      <c r="B1406" s="193"/>
      <c r="C1406" s="194"/>
      <c r="D1406" s="195"/>
      <c r="E1406" s="196"/>
      <c r="F1406" s="212"/>
      <c r="G1406" s="196"/>
      <c r="H1406" s="213"/>
      <c r="I1406" s="214"/>
    </row>
    <row r="1407" spans="1:9" ht="14.4" x14ac:dyDescent="0.3">
      <c r="A1407" s="197"/>
      <c r="B1407" s="198"/>
      <c r="C1407" s="199"/>
      <c r="D1407" s="200"/>
      <c r="E1407" s="201"/>
      <c r="F1407" s="212"/>
      <c r="G1407" s="201"/>
      <c r="H1407" s="215"/>
      <c r="I1407" s="216"/>
    </row>
    <row r="1408" spans="1:9" ht="14.4" x14ac:dyDescent="0.3">
      <c r="A1408" s="197"/>
      <c r="B1408" s="198"/>
      <c r="C1408" s="199"/>
      <c r="D1408" s="200"/>
      <c r="E1408" s="201"/>
      <c r="F1408" s="212"/>
      <c r="G1408" s="201"/>
      <c r="H1408" s="215"/>
      <c r="I1408" s="216"/>
    </row>
    <row r="1409" spans="1:9" ht="14.4" x14ac:dyDescent="0.3">
      <c r="A1409" s="197"/>
      <c r="B1409" s="198"/>
      <c r="C1409" s="199"/>
      <c r="D1409" s="200"/>
      <c r="E1409" s="201"/>
      <c r="F1409" s="212"/>
      <c r="G1409" s="201"/>
      <c r="H1409" s="215"/>
      <c r="I1409" s="217"/>
    </row>
    <row r="1410" spans="1:9" ht="14.4" x14ac:dyDescent="0.3">
      <c r="A1410" s="197"/>
      <c r="B1410" s="198"/>
      <c r="C1410" s="199"/>
      <c r="D1410" s="200"/>
      <c r="E1410" s="196"/>
      <c r="F1410" s="212"/>
      <c r="G1410" s="196"/>
      <c r="H1410" s="215"/>
      <c r="I1410" s="217"/>
    </row>
    <row r="1411" spans="1:9" ht="14.4" x14ac:dyDescent="0.3">
      <c r="A1411" s="197"/>
      <c r="B1411" s="198"/>
      <c r="C1411" s="199"/>
      <c r="D1411" s="200"/>
      <c r="E1411" s="196"/>
      <c r="F1411" s="212"/>
      <c r="G1411" s="196"/>
      <c r="H1411" s="215"/>
      <c r="I1411" s="216"/>
    </row>
    <row r="1412" spans="1:9" ht="14.4" x14ac:dyDescent="0.3">
      <c r="A1412" s="197"/>
      <c r="B1412" s="198"/>
      <c r="C1412" s="199"/>
      <c r="D1412" s="200"/>
      <c r="E1412" s="201"/>
      <c r="F1412" s="212"/>
      <c r="G1412" s="201"/>
      <c r="H1412" s="215"/>
      <c r="I1412" s="216"/>
    </row>
    <row r="1413" spans="1:9" ht="14.4" x14ac:dyDescent="0.3">
      <c r="A1413" s="197"/>
      <c r="B1413" s="198"/>
      <c r="C1413" s="199"/>
      <c r="D1413" s="200"/>
      <c r="E1413" s="202"/>
      <c r="F1413" s="212"/>
      <c r="G1413" s="201"/>
      <c r="H1413" s="215"/>
      <c r="I1413" s="216"/>
    </row>
    <row r="1414" spans="1:9" ht="14.4" x14ac:dyDescent="0.3">
      <c r="A1414" s="197"/>
      <c r="B1414" s="198"/>
      <c r="C1414" s="199"/>
      <c r="D1414" s="200"/>
      <c r="E1414" s="201"/>
      <c r="F1414" s="212"/>
      <c r="G1414" s="201"/>
      <c r="H1414" s="215"/>
      <c r="I1414" s="216"/>
    </row>
    <row r="1415" spans="1:9" ht="14.4" x14ac:dyDescent="0.3">
      <c r="A1415" s="197"/>
      <c r="B1415" s="198"/>
      <c r="C1415" s="199"/>
      <c r="D1415" s="200"/>
      <c r="E1415" s="201"/>
      <c r="F1415" s="212"/>
      <c r="G1415" s="201"/>
      <c r="H1415" s="215"/>
      <c r="I1415" s="216"/>
    </row>
    <row r="1416" spans="1:9" ht="14.4" x14ac:dyDescent="0.3">
      <c r="A1416" s="197"/>
      <c r="B1416" s="203"/>
      <c r="C1416" s="204"/>
      <c r="D1416" s="205"/>
      <c r="E1416" s="206"/>
      <c r="F1416" s="218"/>
      <c r="G1416" s="206"/>
      <c r="H1416" s="219"/>
      <c r="I1416" s="220"/>
    </row>
    <row r="1417" spans="1:9" ht="15" thickBot="1" x14ac:dyDescent="0.35">
      <c r="A1417" s="207"/>
      <c r="B1417" s="208"/>
      <c r="C1417" s="209"/>
      <c r="D1417" s="210"/>
      <c r="E1417" s="211"/>
      <c r="F1417" s="221"/>
      <c r="G1417" s="211"/>
      <c r="H1417" s="222"/>
      <c r="I1417" s="223"/>
    </row>
    <row r="1418" spans="1:9" ht="14.4" thickBot="1" x14ac:dyDescent="0.35"/>
    <row r="1419" spans="1:9" ht="14.4" thickBot="1" x14ac:dyDescent="0.35">
      <c r="A1419" s="226" t="s">
        <v>1204</v>
      </c>
      <c r="B1419" s="224" t="s">
        <v>1205</v>
      </c>
      <c r="C1419" s="224" t="s">
        <v>1206</v>
      </c>
      <c r="D1419" s="224" t="s">
        <v>1207</v>
      </c>
      <c r="E1419" s="368" t="s">
        <v>1208</v>
      </c>
      <c r="F1419" s="368"/>
      <c r="G1419" s="368"/>
      <c r="H1419" s="224" t="s">
        <v>1209</v>
      </c>
      <c r="I1419" s="225" t="s">
        <v>1210</v>
      </c>
    </row>
    <row r="1420" spans="1:9" ht="14.4" x14ac:dyDescent="0.3">
      <c r="A1420" s="197"/>
      <c r="B1420" s="193"/>
      <c r="C1420" s="194"/>
      <c r="D1420" s="195"/>
      <c r="E1420" s="196"/>
      <c r="F1420" s="212"/>
      <c r="G1420" s="196"/>
      <c r="H1420" s="213"/>
      <c r="I1420" s="214"/>
    </row>
    <row r="1421" spans="1:9" ht="14.4" x14ac:dyDescent="0.3">
      <c r="A1421" s="197"/>
      <c r="B1421" s="198"/>
      <c r="C1421" s="199"/>
      <c r="D1421" s="200"/>
      <c r="E1421" s="201"/>
      <c r="F1421" s="212"/>
      <c r="G1421" s="201"/>
      <c r="H1421" s="215"/>
      <c r="I1421" s="216"/>
    </row>
    <row r="1422" spans="1:9" ht="14.4" x14ac:dyDescent="0.3">
      <c r="A1422" s="197"/>
      <c r="B1422" s="198"/>
      <c r="C1422" s="199"/>
      <c r="D1422" s="200"/>
      <c r="E1422" s="201"/>
      <c r="F1422" s="212"/>
      <c r="G1422" s="201"/>
      <c r="H1422" s="215"/>
      <c r="I1422" s="216"/>
    </row>
    <row r="1423" spans="1:9" ht="14.4" x14ac:dyDescent="0.3">
      <c r="A1423" s="197"/>
      <c r="B1423" s="198"/>
      <c r="C1423" s="199"/>
      <c r="D1423" s="200"/>
      <c r="E1423" s="201"/>
      <c r="F1423" s="212"/>
      <c r="G1423" s="201"/>
      <c r="H1423" s="215"/>
      <c r="I1423" s="217"/>
    </row>
    <row r="1424" spans="1:9" ht="14.4" x14ac:dyDescent="0.3">
      <c r="A1424" s="197"/>
      <c r="B1424" s="198"/>
      <c r="C1424" s="199"/>
      <c r="D1424" s="200"/>
      <c r="E1424" s="196"/>
      <c r="F1424" s="212"/>
      <c r="G1424" s="196"/>
      <c r="H1424" s="215"/>
      <c r="I1424" s="217"/>
    </row>
    <row r="1425" spans="1:9" ht="14.4" x14ac:dyDescent="0.3">
      <c r="A1425" s="197"/>
      <c r="B1425" s="198"/>
      <c r="C1425" s="199"/>
      <c r="D1425" s="200"/>
      <c r="E1425" s="196"/>
      <c r="F1425" s="212"/>
      <c r="G1425" s="196"/>
      <c r="H1425" s="215"/>
      <c r="I1425" s="216"/>
    </row>
    <row r="1426" spans="1:9" ht="14.4" x14ac:dyDescent="0.3">
      <c r="A1426" s="197"/>
      <c r="B1426" s="198"/>
      <c r="C1426" s="199"/>
      <c r="D1426" s="200"/>
      <c r="E1426" s="201"/>
      <c r="F1426" s="212"/>
      <c r="G1426" s="201"/>
      <c r="H1426" s="215"/>
      <c r="I1426" s="216"/>
    </row>
    <row r="1427" spans="1:9" ht="14.4" x14ac:dyDescent="0.3">
      <c r="A1427" s="197"/>
      <c r="B1427" s="198"/>
      <c r="C1427" s="199"/>
      <c r="D1427" s="200"/>
      <c r="E1427" s="202"/>
      <c r="F1427" s="212"/>
      <c r="G1427" s="201"/>
      <c r="H1427" s="215"/>
      <c r="I1427" s="216"/>
    </row>
    <row r="1428" spans="1:9" ht="14.4" x14ac:dyDescent="0.3">
      <c r="A1428" s="197"/>
      <c r="B1428" s="198"/>
      <c r="C1428" s="199"/>
      <c r="D1428" s="200"/>
      <c r="E1428" s="201"/>
      <c r="F1428" s="212"/>
      <c r="G1428" s="201"/>
      <c r="H1428" s="215"/>
      <c r="I1428" s="216"/>
    </row>
    <row r="1429" spans="1:9" ht="14.4" x14ac:dyDescent="0.3">
      <c r="A1429" s="197"/>
      <c r="B1429" s="198"/>
      <c r="C1429" s="199"/>
      <c r="D1429" s="200"/>
      <c r="E1429" s="201"/>
      <c r="F1429" s="212"/>
      <c r="G1429" s="201"/>
      <c r="H1429" s="215"/>
      <c r="I1429" s="216"/>
    </row>
    <row r="1430" spans="1:9" ht="14.4" x14ac:dyDescent="0.3">
      <c r="A1430" s="197"/>
      <c r="B1430" s="203"/>
      <c r="C1430" s="204"/>
      <c r="D1430" s="205"/>
      <c r="E1430" s="206"/>
      <c r="F1430" s="218"/>
      <c r="G1430" s="206"/>
      <c r="H1430" s="219"/>
      <c r="I1430" s="220"/>
    </row>
    <row r="1431" spans="1:9" ht="15" thickBot="1" x14ac:dyDescent="0.35">
      <c r="A1431" s="207"/>
      <c r="B1431" s="208"/>
      <c r="C1431" s="209"/>
      <c r="D1431" s="210"/>
      <c r="E1431" s="211"/>
      <c r="F1431" s="221"/>
      <c r="G1431" s="211"/>
      <c r="H1431" s="222"/>
      <c r="I1431" s="223"/>
    </row>
    <row r="1432" spans="1:9" ht="14.4" thickBot="1" x14ac:dyDescent="0.35"/>
    <row r="1433" spans="1:9" ht="14.4" thickBot="1" x14ac:dyDescent="0.35">
      <c r="A1433" s="226" t="s">
        <v>1204</v>
      </c>
      <c r="B1433" s="224" t="s">
        <v>1205</v>
      </c>
      <c r="C1433" s="224" t="s">
        <v>1206</v>
      </c>
      <c r="D1433" s="224" t="s">
        <v>1207</v>
      </c>
      <c r="E1433" s="368" t="s">
        <v>1208</v>
      </c>
      <c r="F1433" s="368"/>
      <c r="G1433" s="368"/>
      <c r="H1433" s="224" t="s">
        <v>1209</v>
      </c>
      <c r="I1433" s="225" t="s">
        <v>1210</v>
      </c>
    </row>
    <row r="1434" spans="1:9" ht="14.4" x14ac:dyDescent="0.3">
      <c r="A1434" s="197"/>
      <c r="B1434" s="193"/>
      <c r="C1434" s="194"/>
      <c r="D1434" s="195"/>
      <c r="E1434" s="196"/>
      <c r="F1434" s="212"/>
      <c r="G1434" s="196"/>
      <c r="H1434" s="213"/>
      <c r="I1434" s="214"/>
    </row>
    <row r="1435" spans="1:9" ht="14.4" x14ac:dyDescent="0.3">
      <c r="A1435" s="197"/>
      <c r="B1435" s="198"/>
      <c r="C1435" s="199"/>
      <c r="D1435" s="200"/>
      <c r="E1435" s="201"/>
      <c r="F1435" s="212"/>
      <c r="G1435" s="201"/>
      <c r="H1435" s="215"/>
      <c r="I1435" s="216"/>
    </row>
    <row r="1436" spans="1:9" ht="14.4" x14ac:dyDescent="0.3">
      <c r="A1436" s="197"/>
      <c r="B1436" s="198"/>
      <c r="C1436" s="199"/>
      <c r="D1436" s="200"/>
      <c r="E1436" s="201"/>
      <c r="F1436" s="212"/>
      <c r="G1436" s="201"/>
      <c r="H1436" s="215"/>
      <c r="I1436" s="216"/>
    </row>
    <row r="1437" spans="1:9" ht="14.4" x14ac:dyDescent="0.3">
      <c r="A1437" s="197"/>
      <c r="B1437" s="198"/>
      <c r="C1437" s="199"/>
      <c r="D1437" s="200"/>
      <c r="E1437" s="201"/>
      <c r="F1437" s="212"/>
      <c r="G1437" s="201"/>
      <c r="H1437" s="215"/>
      <c r="I1437" s="217"/>
    </row>
    <row r="1438" spans="1:9" ht="14.4" x14ac:dyDescent="0.3">
      <c r="A1438" s="197"/>
      <c r="B1438" s="198"/>
      <c r="C1438" s="199"/>
      <c r="D1438" s="200"/>
      <c r="E1438" s="196"/>
      <c r="F1438" s="212"/>
      <c r="G1438" s="196"/>
      <c r="H1438" s="215"/>
      <c r="I1438" s="217"/>
    </row>
    <row r="1439" spans="1:9" ht="14.4" x14ac:dyDescent="0.3">
      <c r="A1439" s="197"/>
      <c r="B1439" s="198"/>
      <c r="C1439" s="199"/>
      <c r="D1439" s="200"/>
      <c r="E1439" s="196"/>
      <c r="F1439" s="212"/>
      <c r="G1439" s="196"/>
      <c r="H1439" s="215"/>
      <c r="I1439" s="216"/>
    </row>
    <row r="1440" spans="1:9" ht="14.4" x14ac:dyDescent="0.3">
      <c r="A1440" s="197"/>
      <c r="B1440" s="198"/>
      <c r="C1440" s="199"/>
      <c r="D1440" s="200"/>
      <c r="E1440" s="201"/>
      <c r="F1440" s="212"/>
      <c r="G1440" s="201"/>
      <c r="H1440" s="215"/>
      <c r="I1440" s="216"/>
    </row>
    <row r="1441" spans="1:9" ht="14.4" x14ac:dyDescent="0.3">
      <c r="A1441" s="197"/>
      <c r="B1441" s="198"/>
      <c r="C1441" s="199"/>
      <c r="D1441" s="200"/>
      <c r="E1441" s="202"/>
      <c r="F1441" s="212"/>
      <c r="G1441" s="201"/>
      <c r="H1441" s="215"/>
      <c r="I1441" s="216"/>
    </row>
    <row r="1442" spans="1:9" ht="14.4" x14ac:dyDescent="0.3">
      <c r="A1442" s="197"/>
      <c r="B1442" s="198"/>
      <c r="C1442" s="199"/>
      <c r="D1442" s="200"/>
      <c r="E1442" s="201"/>
      <c r="F1442" s="212"/>
      <c r="G1442" s="201"/>
      <c r="H1442" s="215"/>
      <c r="I1442" s="216"/>
    </row>
    <row r="1443" spans="1:9" ht="14.4" x14ac:dyDescent="0.3">
      <c r="A1443" s="197"/>
      <c r="B1443" s="198"/>
      <c r="C1443" s="199"/>
      <c r="D1443" s="200"/>
      <c r="E1443" s="201"/>
      <c r="F1443" s="212"/>
      <c r="G1443" s="201"/>
      <c r="H1443" s="215"/>
      <c r="I1443" s="216"/>
    </row>
    <row r="1444" spans="1:9" ht="14.4" x14ac:dyDescent="0.3">
      <c r="A1444" s="197"/>
      <c r="B1444" s="203"/>
      <c r="C1444" s="204"/>
      <c r="D1444" s="205"/>
      <c r="E1444" s="206"/>
      <c r="F1444" s="218"/>
      <c r="G1444" s="206"/>
      <c r="H1444" s="219"/>
      <c r="I1444" s="220"/>
    </row>
    <row r="1445" spans="1:9" ht="15" thickBot="1" x14ac:dyDescent="0.35">
      <c r="A1445" s="207"/>
      <c r="B1445" s="208"/>
      <c r="C1445" s="209"/>
      <c r="D1445" s="210"/>
      <c r="E1445" s="211"/>
      <c r="F1445" s="221"/>
      <c r="G1445" s="211"/>
      <c r="H1445" s="222"/>
      <c r="I1445" s="223"/>
    </row>
    <row r="1446" spans="1:9" ht="14.4" thickBot="1" x14ac:dyDescent="0.35"/>
    <row r="1447" spans="1:9" ht="14.4" thickBot="1" x14ac:dyDescent="0.35">
      <c r="A1447" s="226" t="s">
        <v>1204</v>
      </c>
      <c r="B1447" s="224" t="s">
        <v>1205</v>
      </c>
      <c r="C1447" s="224" t="s">
        <v>1206</v>
      </c>
      <c r="D1447" s="224" t="s">
        <v>1207</v>
      </c>
      <c r="E1447" s="368" t="s">
        <v>1208</v>
      </c>
      <c r="F1447" s="368"/>
      <c r="G1447" s="368"/>
      <c r="H1447" s="224" t="s">
        <v>1209</v>
      </c>
      <c r="I1447" s="225" t="s">
        <v>1210</v>
      </c>
    </row>
    <row r="1448" spans="1:9" ht="14.4" x14ac:dyDescent="0.3">
      <c r="A1448" s="197"/>
      <c r="B1448" s="193"/>
      <c r="C1448" s="194"/>
      <c r="D1448" s="195"/>
      <c r="E1448" s="196"/>
      <c r="F1448" s="212"/>
      <c r="G1448" s="196"/>
      <c r="H1448" s="213"/>
      <c r="I1448" s="214"/>
    </row>
    <row r="1449" spans="1:9" ht="14.4" x14ac:dyDescent="0.3">
      <c r="A1449" s="197"/>
      <c r="B1449" s="198"/>
      <c r="C1449" s="199"/>
      <c r="D1449" s="200"/>
      <c r="E1449" s="201"/>
      <c r="F1449" s="212"/>
      <c r="G1449" s="201"/>
      <c r="H1449" s="215"/>
      <c r="I1449" s="216"/>
    </row>
    <row r="1450" spans="1:9" ht="14.4" x14ac:dyDescent="0.3">
      <c r="A1450" s="197"/>
      <c r="B1450" s="198"/>
      <c r="C1450" s="199"/>
      <c r="D1450" s="200"/>
      <c r="E1450" s="201"/>
      <c r="F1450" s="212"/>
      <c r="G1450" s="201"/>
      <c r="H1450" s="215"/>
      <c r="I1450" s="216"/>
    </row>
    <row r="1451" spans="1:9" ht="14.4" x14ac:dyDescent="0.3">
      <c r="A1451" s="197"/>
      <c r="B1451" s="198"/>
      <c r="C1451" s="199"/>
      <c r="D1451" s="200"/>
      <c r="E1451" s="201"/>
      <c r="F1451" s="212"/>
      <c r="G1451" s="201"/>
      <c r="H1451" s="215"/>
      <c r="I1451" s="217"/>
    </row>
    <row r="1452" spans="1:9" ht="14.4" x14ac:dyDescent="0.3">
      <c r="A1452" s="197"/>
      <c r="B1452" s="198"/>
      <c r="C1452" s="199"/>
      <c r="D1452" s="200"/>
      <c r="E1452" s="196"/>
      <c r="F1452" s="212"/>
      <c r="G1452" s="196"/>
      <c r="H1452" s="215"/>
      <c r="I1452" s="217"/>
    </row>
    <row r="1453" spans="1:9" ht="14.4" x14ac:dyDescent="0.3">
      <c r="A1453" s="197"/>
      <c r="B1453" s="198"/>
      <c r="C1453" s="199"/>
      <c r="D1453" s="200"/>
      <c r="E1453" s="196"/>
      <c r="F1453" s="212"/>
      <c r="G1453" s="196"/>
      <c r="H1453" s="215"/>
      <c r="I1453" s="216"/>
    </row>
    <row r="1454" spans="1:9" ht="14.4" x14ac:dyDescent="0.3">
      <c r="A1454" s="197"/>
      <c r="B1454" s="198"/>
      <c r="C1454" s="199"/>
      <c r="D1454" s="200"/>
      <c r="E1454" s="201"/>
      <c r="F1454" s="212"/>
      <c r="G1454" s="201"/>
      <c r="H1454" s="215"/>
      <c r="I1454" s="216"/>
    </row>
    <row r="1455" spans="1:9" ht="14.4" x14ac:dyDescent="0.3">
      <c r="A1455" s="197"/>
      <c r="B1455" s="198"/>
      <c r="C1455" s="199"/>
      <c r="D1455" s="200"/>
      <c r="E1455" s="202"/>
      <c r="F1455" s="212"/>
      <c r="G1455" s="201"/>
      <c r="H1455" s="215"/>
      <c r="I1455" s="216"/>
    </row>
    <row r="1456" spans="1:9" ht="14.4" x14ac:dyDescent="0.3">
      <c r="A1456" s="197"/>
      <c r="B1456" s="198"/>
      <c r="C1456" s="199"/>
      <c r="D1456" s="200"/>
      <c r="E1456" s="201"/>
      <c r="F1456" s="212"/>
      <c r="G1456" s="201"/>
      <c r="H1456" s="215"/>
      <c r="I1456" s="216"/>
    </row>
    <row r="1457" spans="1:9" ht="14.4" x14ac:dyDescent="0.3">
      <c r="A1457" s="197"/>
      <c r="B1457" s="198"/>
      <c r="C1457" s="199"/>
      <c r="D1457" s="200"/>
      <c r="E1457" s="201"/>
      <c r="F1457" s="212"/>
      <c r="G1457" s="201"/>
      <c r="H1457" s="215"/>
      <c r="I1457" s="216"/>
    </row>
    <row r="1458" spans="1:9" ht="14.4" x14ac:dyDescent="0.3">
      <c r="A1458" s="197"/>
      <c r="B1458" s="203"/>
      <c r="C1458" s="204"/>
      <c r="D1458" s="205"/>
      <c r="E1458" s="206"/>
      <c r="F1458" s="218"/>
      <c r="G1458" s="206"/>
      <c r="H1458" s="219"/>
      <c r="I1458" s="220"/>
    </row>
    <row r="1459" spans="1:9" ht="15" thickBot="1" x14ac:dyDescent="0.35">
      <c r="A1459" s="207"/>
      <c r="B1459" s="208"/>
      <c r="C1459" s="209"/>
      <c r="D1459" s="210"/>
      <c r="E1459" s="211"/>
      <c r="F1459" s="221"/>
      <c r="G1459" s="211"/>
      <c r="H1459" s="222"/>
      <c r="I1459" s="223"/>
    </row>
    <row r="1460" spans="1:9" ht="14.4" thickBot="1" x14ac:dyDescent="0.35"/>
    <row r="1461" spans="1:9" ht="14.4" thickBot="1" x14ac:dyDescent="0.35">
      <c r="A1461" s="226" t="s">
        <v>1204</v>
      </c>
      <c r="B1461" s="224" t="s">
        <v>1205</v>
      </c>
      <c r="C1461" s="224" t="s">
        <v>1206</v>
      </c>
      <c r="D1461" s="224" t="s">
        <v>1207</v>
      </c>
      <c r="E1461" s="368" t="s">
        <v>1208</v>
      </c>
      <c r="F1461" s="368"/>
      <c r="G1461" s="368"/>
      <c r="H1461" s="224" t="s">
        <v>1209</v>
      </c>
      <c r="I1461" s="225" t="s">
        <v>1210</v>
      </c>
    </row>
    <row r="1462" spans="1:9" ht="14.4" x14ac:dyDescent="0.3">
      <c r="A1462" s="197"/>
      <c r="B1462" s="193"/>
      <c r="C1462" s="194"/>
      <c r="D1462" s="195"/>
      <c r="E1462" s="196"/>
      <c r="F1462" s="212"/>
      <c r="G1462" s="196"/>
      <c r="H1462" s="213"/>
      <c r="I1462" s="214"/>
    </row>
    <row r="1463" spans="1:9" ht="14.4" x14ac:dyDescent="0.3">
      <c r="A1463" s="197"/>
      <c r="B1463" s="198"/>
      <c r="C1463" s="199"/>
      <c r="D1463" s="200"/>
      <c r="E1463" s="201"/>
      <c r="F1463" s="212"/>
      <c r="G1463" s="201"/>
      <c r="H1463" s="215"/>
      <c r="I1463" s="216"/>
    </row>
    <row r="1464" spans="1:9" ht="14.4" x14ac:dyDescent="0.3">
      <c r="A1464" s="197"/>
      <c r="B1464" s="198"/>
      <c r="C1464" s="199"/>
      <c r="D1464" s="200"/>
      <c r="E1464" s="201"/>
      <c r="F1464" s="212"/>
      <c r="G1464" s="201"/>
      <c r="H1464" s="215"/>
      <c r="I1464" s="216"/>
    </row>
    <row r="1465" spans="1:9" ht="14.4" x14ac:dyDescent="0.3">
      <c r="A1465" s="197"/>
      <c r="B1465" s="198"/>
      <c r="C1465" s="199"/>
      <c r="D1465" s="200"/>
      <c r="E1465" s="201"/>
      <c r="F1465" s="212"/>
      <c r="G1465" s="201"/>
      <c r="H1465" s="215"/>
      <c r="I1465" s="217"/>
    </row>
    <row r="1466" spans="1:9" ht="14.4" x14ac:dyDescent="0.3">
      <c r="A1466" s="197"/>
      <c r="B1466" s="198"/>
      <c r="C1466" s="199"/>
      <c r="D1466" s="200"/>
      <c r="E1466" s="196"/>
      <c r="F1466" s="212"/>
      <c r="G1466" s="196"/>
      <c r="H1466" s="215"/>
      <c r="I1466" s="217"/>
    </row>
    <row r="1467" spans="1:9" ht="14.4" x14ac:dyDescent="0.3">
      <c r="A1467" s="197"/>
      <c r="B1467" s="198"/>
      <c r="C1467" s="199"/>
      <c r="D1467" s="200"/>
      <c r="E1467" s="196"/>
      <c r="F1467" s="212"/>
      <c r="G1467" s="196"/>
      <c r="H1467" s="215"/>
      <c r="I1467" s="216"/>
    </row>
    <row r="1468" spans="1:9" ht="14.4" x14ac:dyDescent="0.3">
      <c r="A1468" s="197"/>
      <c r="B1468" s="198"/>
      <c r="C1468" s="199"/>
      <c r="D1468" s="200"/>
      <c r="E1468" s="201"/>
      <c r="F1468" s="212"/>
      <c r="G1468" s="201"/>
      <c r="H1468" s="215"/>
      <c r="I1468" s="216"/>
    </row>
    <row r="1469" spans="1:9" ht="14.4" x14ac:dyDescent="0.3">
      <c r="A1469" s="197"/>
      <c r="B1469" s="198"/>
      <c r="C1469" s="199"/>
      <c r="D1469" s="200"/>
      <c r="E1469" s="202"/>
      <c r="F1469" s="212"/>
      <c r="G1469" s="201"/>
      <c r="H1469" s="215"/>
      <c r="I1469" s="216"/>
    </row>
    <row r="1470" spans="1:9" ht="14.4" x14ac:dyDescent="0.3">
      <c r="A1470" s="197"/>
      <c r="B1470" s="198"/>
      <c r="C1470" s="199"/>
      <c r="D1470" s="200"/>
      <c r="E1470" s="201"/>
      <c r="F1470" s="212"/>
      <c r="G1470" s="201"/>
      <c r="H1470" s="215"/>
      <c r="I1470" s="216"/>
    </row>
    <row r="1471" spans="1:9" ht="14.4" x14ac:dyDescent="0.3">
      <c r="A1471" s="197"/>
      <c r="B1471" s="198"/>
      <c r="C1471" s="199"/>
      <c r="D1471" s="200"/>
      <c r="E1471" s="201"/>
      <c r="F1471" s="212"/>
      <c r="G1471" s="201"/>
      <c r="H1471" s="215"/>
      <c r="I1471" s="216"/>
    </row>
    <row r="1472" spans="1:9" ht="14.4" x14ac:dyDescent="0.3">
      <c r="A1472" s="197"/>
      <c r="B1472" s="203"/>
      <c r="C1472" s="204"/>
      <c r="D1472" s="205"/>
      <c r="E1472" s="206"/>
      <c r="F1472" s="218"/>
      <c r="G1472" s="206"/>
      <c r="H1472" s="219"/>
      <c r="I1472" s="220"/>
    </row>
    <row r="1473" spans="1:9" ht="15" thickBot="1" x14ac:dyDescent="0.35">
      <c r="A1473" s="207"/>
      <c r="B1473" s="208"/>
      <c r="C1473" s="209"/>
      <c r="D1473" s="210"/>
      <c r="E1473" s="211"/>
      <c r="F1473" s="221"/>
      <c r="G1473" s="211"/>
      <c r="H1473" s="222"/>
      <c r="I1473" s="223"/>
    </row>
    <row r="1474" spans="1:9" ht="14.4" thickBot="1" x14ac:dyDescent="0.35"/>
    <row r="1475" spans="1:9" ht="14.4" thickBot="1" x14ac:dyDescent="0.35">
      <c r="A1475" s="226" t="s">
        <v>1204</v>
      </c>
      <c r="B1475" s="224" t="s">
        <v>1205</v>
      </c>
      <c r="C1475" s="224" t="s">
        <v>1206</v>
      </c>
      <c r="D1475" s="224" t="s">
        <v>1207</v>
      </c>
      <c r="E1475" s="368" t="s">
        <v>1208</v>
      </c>
      <c r="F1475" s="368"/>
      <c r="G1475" s="368"/>
      <c r="H1475" s="224" t="s">
        <v>1209</v>
      </c>
      <c r="I1475" s="225" t="s">
        <v>1210</v>
      </c>
    </row>
    <row r="1476" spans="1:9" ht="14.4" x14ac:dyDescent="0.3">
      <c r="A1476" s="197"/>
      <c r="B1476" s="193"/>
      <c r="C1476" s="194"/>
      <c r="D1476" s="195"/>
      <c r="E1476" s="196"/>
      <c r="F1476" s="212"/>
      <c r="G1476" s="196"/>
      <c r="H1476" s="213"/>
      <c r="I1476" s="214"/>
    </row>
    <row r="1477" spans="1:9" ht="14.4" x14ac:dyDescent="0.3">
      <c r="A1477" s="197"/>
      <c r="B1477" s="198"/>
      <c r="C1477" s="199"/>
      <c r="D1477" s="200"/>
      <c r="E1477" s="201"/>
      <c r="F1477" s="212"/>
      <c r="G1477" s="201"/>
      <c r="H1477" s="215"/>
      <c r="I1477" s="216"/>
    </row>
    <row r="1478" spans="1:9" ht="14.4" x14ac:dyDescent="0.3">
      <c r="A1478" s="197"/>
      <c r="B1478" s="198"/>
      <c r="C1478" s="199"/>
      <c r="D1478" s="200"/>
      <c r="E1478" s="201"/>
      <c r="F1478" s="212"/>
      <c r="G1478" s="201"/>
      <c r="H1478" s="215"/>
      <c r="I1478" s="216"/>
    </row>
    <row r="1479" spans="1:9" ht="14.4" x14ac:dyDescent="0.3">
      <c r="A1479" s="197"/>
      <c r="B1479" s="198"/>
      <c r="C1479" s="199"/>
      <c r="D1479" s="200"/>
      <c r="E1479" s="201"/>
      <c r="F1479" s="212"/>
      <c r="G1479" s="201"/>
      <c r="H1479" s="215"/>
      <c r="I1479" s="217"/>
    </row>
    <row r="1480" spans="1:9" ht="14.4" x14ac:dyDescent="0.3">
      <c r="A1480" s="197"/>
      <c r="B1480" s="198"/>
      <c r="C1480" s="199"/>
      <c r="D1480" s="200"/>
      <c r="E1480" s="196"/>
      <c r="F1480" s="212"/>
      <c r="G1480" s="196"/>
      <c r="H1480" s="215"/>
      <c r="I1480" s="217"/>
    </row>
    <row r="1481" spans="1:9" ht="14.4" x14ac:dyDescent="0.3">
      <c r="A1481" s="197"/>
      <c r="B1481" s="198"/>
      <c r="C1481" s="199"/>
      <c r="D1481" s="200"/>
      <c r="E1481" s="196"/>
      <c r="F1481" s="212"/>
      <c r="G1481" s="196"/>
      <c r="H1481" s="215"/>
      <c r="I1481" s="216"/>
    </row>
    <row r="1482" spans="1:9" ht="14.4" x14ac:dyDescent="0.3">
      <c r="A1482" s="197"/>
      <c r="B1482" s="198"/>
      <c r="C1482" s="199"/>
      <c r="D1482" s="200"/>
      <c r="E1482" s="201"/>
      <c r="F1482" s="212"/>
      <c r="G1482" s="201"/>
      <c r="H1482" s="215"/>
      <c r="I1482" s="216"/>
    </row>
    <row r="1483" spans="1:9" ht="14.4" x14ac:dyDescent="0.3">
      <c r="A1483" s="197"/>
      <c r="B1483" s="198"/>
      <c r="C1483" s="199"/>
      <c r="D1483" s="200"/>
      <c r="E1483" s="202"/>
      <c r="F1483" s="212"/>
      <c r="G1483" s="201"/>
      <c r="H1483" s="215"/>
      <c r="I1483" s="216"/>
    </row>
    <row r="1484" spans="1:9" ht="14.4" x14ac:dyDescent="0.3">
      <c r="A1484" s="197"/>
      <c r="B1484" s="198"/>
      <c r="C1484" s="199"/>
      <c r="D1484" s="200"/>
      <c r="E1484" s="201"/>
      <c r="F1484" s="212"/>
      <c r="G1484" s="201"/>
      <c r="H1484" s="215"/>
      <c r="I1484" s="216"/>
    </row>
    <row r="1485" spans="1:9" ht="14.4" x14ac:dyDescent="0.3">
      <c r="A1485" s="197"/>
      <c r="B1485" s="198"/>
      <c r="C1485" s="199"/>
      <c r="D1485" s="200"/>
      <c r="E1485" s="201"/>
      <c r="F1485" s="212"/>
      <c r="G1485" s="201"/>
      <c r="H1485" s="215"/>
      <c r="I1485" s="216"/>
    </row>
    <row r="1486" spans="1:9" ht="14.4" x14ac:dyDescent="0.3">
      <c r="A1486" s="197"/>
      <c r="B1486" s="203"/>
      <c r="C1486" s="204"/>
      <c r="D1486" s="205"/>
      <c r="E1486" s="206"/>
      <c r="F1486" s="218"/>
      <c r="G1486" s="206"/>
      <c r="H1486" s="219"/>
      <c r="I1486" s="220"/>
    </row>
    <row r="1487" spans="1:9" ht="15" thickBot="1" x14ac:dyDescent="0.35">
      <c r="A1487" s="207"/>
      <c r="B1487" s="208"/>
      <c r="C1487" s="209"/>
      <c r="D1487" s="210"/>
      <c r="E1487" s="211"/>
      <c r="F1487" s="221"/>
      <c r="G1487" s="211"/>
      <c r="H1487" s="222"/>
      <c r="I1487" s="223"/>
    </row>
    <row r="1488" spans="1:9" ht="14.4" thickBot="1" x14ac:dyDescent="0.35"/>
    <row r="1489" spans="1:9" ht="14.4" thickBot="1" x14ac:dyDescent="0.35">
      <c r="A1489" s="226" t="s">
        <v>1204</v>
      </c>
      <c r="B1489" s="224" t="s">
        <v>1205</v>
      </c>
      <c r="C1489" s="224" t="s">
        <v>1206</v>
      </c>
      <c r="D1489" s="224" t="s">
        <v>1207</v>
      </c>
      <c r="E1489" s="368" t="s">
        <v>1208</v>
      </c>
      <c r="F1489" s="368"/>
      <c r="G1489" s="368"/>
      <c r="H1489" s="224" t="s">
        <v>1209</v>
      </c>
      <c r="I1489" s="225" t="s">
        <v>1210</v>
      </c>
    </row>
    <row r="1490" spans="1:9" ht="14.4" x14ac:dyDescent="0.3">
      <c r="A1490" s="197"/>
      <c r="B1490" s="193"/>
      <c r="C1490" s="194"/>
      <c r="D1490" s="195"/>
      <c r="E1490" s="196"/>
      <c r="F1490" s="212"/>
      <c r="G1490" s="196"/>
      <c r="H1490" s="213"/>
      <c r="I1490" s="214"/>
    </row>
    <row r="1491" spans="1:9" ht="14.4" x14ac:dyDescent="0.3">
      <c r="A1491" s="197"/>
      <c r="B1491" s="198"/>
      <c r="C1491" s="199"/>
      <c r="D1491" s="200"/>
      <c r="E1491" s="201"/>
      <c r="F1491" s="212"/>
      <c r="G1491" s="201"/>
      <c r="H1491" s="215"/>
      <c r="I1491" s="216"/>
    </row>
    <row r="1492" spans="1:9" ht="14.4" x14ac:dyDescent="0.3">
      <c r="A1492" s="197"/>
      <c r="B1492" s="198"/>
      <c r="C1492" s="199"/>
      <c r="D1492" s="200"/>
      <c r="E1492" s="201"/>
      <c r="F1492" s="212"/>
      <c r="G1492" s="201"/>
      <c r="H1492" s="215"/>
      <c r="I1492" s="216"/>
    </row>
    <row r="1493" spans="1:9" ht="14.4" x14ac:dyDescent="0.3">
      <c r="A1493" s="197"/>
      <c r="B1493" s="198"/>
      <c r="C1493" s="199"/>
      <c r="D1493" s="200"/>
      <c r="E1493" s="201"/>
      <c r="F1493" s="212"/>
      <c r="G1493" s="201"/>
      <c r="H1493" s="215"/>
      <c r="I1493" s="217"/>
    </row>
    <row r="1494" spans="1:9" ht="14.4" x14ac:dyDescent="0.3">
      <c r="A1494" s="197"/>
      <c r="B1494" s="198"/>
      <c r="C1494" s="199"/>
      <c r="D1494" s="200"/>
      <c r="E1494" s="196"/>
      <c r="F1494" s="212"/>
      <c r="G1494" s="196"/>
      <c r="H1494" s="215"/>
      <c r="I1494" s="217"/>
    </row>
    <row r="1495" spans="1:9" ht="14.4" x14ac:dyDescent="0.3">
      <c r="A1495" s="197"/>
      <c r="B1495" s="198"/>
      <c r="C1495" s="199"/>
      <c r="D1495" s="200"/>
      <c r="E1495" s="196"/>
      <c r="F1495" s="212"/>
      <c r="G1495" s="196"/>
      <c r="H1495" s="215"/>
      <c r="I1495" s="216"/>
    </row>
    <row r="1496" spans="1:9" ht="14.4" x14ac:dyDescent="0.3">
      <c r="A1496" s="197"/>
      <c r="B1496" s="198"/>
      <c r="C1496" s="199"/>
      <c r="D1496" s="200"/>
      <c r="E1496" s="201"/>
      <c r="F1496" s="212"/>
      <c r="G1496" s="201"/>
      <c r="H1496" s="215"/>
      <c r="I1496" s="216"/>
    </row>
    <row r="1497" spans="1:9" ht="14.4" x14ac:dyDescent="0.3">
      <c r="A1497" s="197"/>
      <c r="B1497" s="198"/>
      <c r="C1497" s="199"/>
      <c r="D1497" s="200"/>
      <c r="E1497" s="202"/>
      <c r="F1497" s="212"/>
      <c r="G1497" s="201"/>
      <c r="H1497" s="215"/>
      <c r="I1497" s="216"/>
    </row>
    <row r="1498" spans="1:9" ht="14.4" x14ac:dyDescent="0.3">
      <c r="A1498" s="197"/>
      <c r="B1498" s="198"/>
      <c r="C1498" s="199"/>
      <c r="D1498" s="200"/>
      <c r="E1498" s="201"/>
      <c r="F1498" s="212"/>
      <c r="G1498" s="201"/>
      <c r="H1498" s="215"/>
      <c r="I1498" s="216"/>
    </row>
    <row r="1499" spans="1:9" ht="14.4" x14ac:dyDescent="0.3">
      <c r="A1499" s="197"/>
      <c r="B1499" s="198"/>
      <c r="C1499" s="199"/>
      <c r="D1499" s="200"/>
      <c r="E1499" s="201"/>
      <c r="F1499" s="212"/>
      <c r="G1499" s="201"/>
      <c r="H1499" s="215"/>
      <c r="I1499" s="216"/>
    </row>
    <row r="1500" spans="1:9" ht="14.4" x14ac:dyDescent="0.3">
      <c r="A1500" s="197"/>
      <c r="B1500" s="203"/>
      <c r="C1500" s="204"/>
      <c r="D1500" s="205"/>
      <c r="E1500" s="206"/>
      <c r="F1500" s="218"/>
      <c r="G1500" s="206"/>
      <c r="H1500" s="219"/>
      <c r="I1500" s="220"/>
    </row>
    <row r="1501" spans="1:9" ht="15" thickBot="1" x14ac:dyDescent="0.35">
      <c r="A1501" s="207"/>
      <c r="B1501" s="208"/>
      <c r="C1501" s="209"/>
      <c r="D1501" s="210"/>
      <c r="E1501" s="211"/>
      <c r="F1501" s="221"/>
      <c r="G1501" s="211"/>
      <c r="H1501" s="222"/>
      <c r="I1501" s="223"/>
    </row>
    <row r="1502" spans="1:9" ht="14.4" thickBot="1" x14ac:dyDescent="0.35"/>
    <row r="1503" spans="1:9" ht="14.4" thickBot="1" x14ac:dyDescent="0.35">
      <c r="A1503" s="226" t="s">
        <v>1204</v>
      </c>
      <c r="B1503" s="224" t="s">
        <v>1205</v>
      </c>
      <c r="C1503" s="224" t="s">
        <v>1206</v>
      </c>
      <c r="D1503" s="224" t="s">
        <v>1207</v>
      </c>
      <c r="E1503" s="368" t="s">
        <v>1208</v>
      </c>
      <c r="F1503" s="368"/>
      <c r="G1503" s="368"/>
      <c r="H1503" s="224" t="s">
        <v>1209</v>
      </c>
      <c r="I1503" s="225" t="s">
        <v>1210</v>
      </c>
    </row>
    <row r="1504" spans="1:9" ht="14.4" x14ac:dyDescent="0.3">
      <c r="A1504" s="197"/>
      <c r="B1504" s="193"/>
      <c r="C1504" s="194"/>
      <c r="D1504" s="195"/>
      <c r="E1504" s="196"/>
      <c r="F1504" s="212"/>
      <c r="G1504" s="196"/>
      <c r="H1504" s="213"/>
      <c r="I1504" s="214"/>
    </row>
    <row r="1505" spans="1:9" ht="14.4" x14ac:dyDescent="0.3">
      <c r="A1505" s="197"/>
      <c r="B1505" s="198"/>
      <c r="C1505" s="199"/>
      <c r="D1505" s="200"/>
      <c r="E1505" s="201"/>
      <c r="F1505" s="212"/>
      <c r="G1505" s="201"/>
      <c r="H1505" s="215"/>
      <c r="I1505" s="216"/>
    </row>
    <row r="1506" spans="1:9" ht="14.4" x14ac:dyDescent="0.3">
      <c r="A1506" s="197"/>
      <c r="B1506" s="198"/>
      <c r="C1506" s="199"/>
      <c r="D1506" s="200"/>
      <c r="E1506" s="201"/>
      <c r="F1506" s="212"/>
      <c r="G1506" s="201"/>
      <c r="H1506" s="215"/>
      <c r="I1506" s="216"/>
    </row>
    <row r="1507" spans="1:9" ht="14.4" x14ac:dyDescent="0.3">
      <c r="A1507" s="197"/>
      <c r="B1507" s="198"/>
      <c r="C1507" s="199"/>
      <c r="D1507" s="200"/>
      <c r="E1507" s="201"/>
      <c r="F1507" s="212"/>
      <c r="G1507" s="201"/>
      <c r="H1507" s="215"/>
      <c r="I1507" s="217"/>
    </row>
    <row r="1508" spans="1:9" ht="14.4" x14ac:dyDescent="0.3">
      <c r="A1508" s="197"/>
      <c r="B1508" s="198"/>
      <c r="C1508" s="199"/>
      <c r="D1508" s="200"/>
      <c r="E1508" s="196"/>
      <c r="F1508" s="212"/>
      <c r="G1508" s="196"/>
      <c r="H1508" s="215"/>
      <c r="I1508" s="217"/>
    </row>
    <row r="1509" spans="1:9" ht="14.4" x14ac:dyDescent="0.3">
      <c r="A1509" s="197"/>
      <c r="B1509" s="198"/>
      <c r="C1509" s="199"/>
      <c r="D1509" s="200"/>
      <c r="E1509" s="196"/>
      <c r="F1509" s="212"/>
      <c r="G1509" s="196"/>
      <c r="H1509" s="215"/>
      <c r="I1509" s="216"/>
    </row>
    <row r="1510" spans="1:9" ht="14.4" x14ac:dyDescent="0.3">
      <c r="A1510" s="197"/>
      <c r="B1510" s="198"/>
      <c r="C1510" s="199"/>
      <c r="D1510" s="200"/>
      <c r="E1510" s="201"/>
      <c r="F1510" s="212"/>
      <c r="G1510" s="201"/>
      <c r="H1510" s="215"/>
      <c r="I1510" s="216"/>
    </row>
    <row r="1511" spans="1:9" ht="14.4" x14ac:dyDescent="0.3">
      <c r="A1511" s="197"/>
      <c r="B1511" s="198"/>
      <c r="C1511" s="199"/>
      <c r="D1511" s="200"/>
      <c r="E1511" s="202"/>
      <c r="F1511" s="212"/>
      <c r="G1511" s="201"/>
      <c r="H1511" s="215"/>
      <c r="I1511" s="216"/>
    </row>
    <row r="1512" spans="1:9" ht="14.4" x14ac:dyDescent="0.3">
      <c r="A1512" s="197"/>
      <c r="B1512" s="198"/>
      <c r="C1512" s="199"/>
      <c r="D1512" s="200"/>
      <c r="E1512" s="201"/>
      <c r="F1512" s="212"/>
      <c r="G1512" s="201"/>
      <c r="H1512" s="215"/>
      <c r="I1512" s="216"/>
    </row>
    <row r="1513" spans="1:9" ht="14.4" x14ac:dyDescent="0.3">
      <c r="A1513" s="197"/>
      <c r="B1513" s="198"/>
      <c r="C1513" s="199"/>
      <c r="D1513" s="200"/>
      <c r="E1513" s="201"/>
      <c r="F1513" s="212"/>
      <c r="G1513" s="201"/>
      <c r="H1513" s="215"/>
      <c r="I1513" s="216"/>
    </row>
    <row r="1514" spans="1:9" ht="14.4" x14ac:dyDescent="0.3">
      <c r="A1514" s="197"/>
      <c r="B1514" s="203"/>
      <c r="C1514" s="204"/>
      <c r="D1514" s="205"/>
      <c r="E1514" s="206"/>
      <c r="F1514" s="218"/>
      <c r="G1514" s="206"/>
      <c r="H1514" s="219"/>
      <c r="I1514" s="220"/>
    </row>
    <row r="1515" spans="1:9" ht="15" thickBot="1" x14ac:dyDescent="0.35">
      <c r="A1515" s="207"/>
      <c r="B1515" s="208"/>
      <c r="C1515" s="209"/>
      <c r="D1515" s="210"/>
      <c r="E1515" s="211"/>
      <c r="F1515" s="221"/>
      <c r="G1515" s="211"/>
      <c r="H1515" s="222"/>
      <c r="I1515" s="223"/>
    </row>
    <row r="1516" spans="1:9" ht="14.4" thickBot="1" x14ac:dyDescent="0.35"/>
    <row r="1517" spans="1:9" ht="14.4" thickBot="1" x14ac:dyDescent="0.35">
      <c r="A1517" s="226" t="s">
        <v>1204</v>
      </c>
      <c r="B1517" s="224" t="s">
        <v>1205</v>
      </c>
      <c r="C1517" s="224" t="s">
        <v>1206</v>
      </c>
      <c r="D1517" s="224" t="s">
        <v>1207</v>
      </c>
      <c r="E1517" s="368" t="s">
        <v>1208</v>
      </c>
      <c r="F1517" s="368"/>
      <c r="G1517" s="368"/>
      <c r="H1517" s="224" t="s">
        <v>1209</v>
      </c>
      <c r="I1517" s="225" t="s">
        <v>1210</v>
      </c>
    </row>
    <row r="1518" spans="1:9" ht="14.4" x14ac:dyDescent="0.3">
      <c r="A1518" s="197"/>
      <c r="B1518" s="193"/>
      <c r="C1518" s="194"/>
      <c r="D1518" s="195"/>
      <c r="E1518" s="196"/>
      <c r="F1518" s="212"/>
      <c r="G1518" s="196"/>
      <c r="H1518" s="213"/>
      <c r="I1518" s="214"/>
    </row>
    <row r="1519" spans="1:9" ht="14.4" x14ac:dyDescent="0.3">
      <c r="A1519" s="197"/>
      <c r="B1519" s="198"/>
      <c r="C1519" s="199"/>
      <c r="D1519" s="200"/>
      <c r="E1519" s="201"/>
      <c r="F1519" s="212"/>
      <c r="G1519" s="201"/>
      <c r="H1519" s="215"/>
      <c r="I1519" s="216"/>
    </row>
    <row r="1520" spans="1:9" ht="14.4" x14ac:dyDescent="0.3">
      <c r="A1520" s="197"/>
      <c r="B1520" s="198"/>
      <c r="C1520" s="199"/>
      <c r="D1520" s="200"/>
      <c r="E1520" s="201"/>
      <c r="F1520" s="212"/>
      <c r="G1520" s="201"/>
      <c r="H1520" s="215"/>
      <c r="I1520" s="216"/>
    </row>
    <row r="1521" spans="1:9" ht="14.4" x14ac:dyDescent="0.3">
      <c r="A1521" s="197"/>
      <c r="B1521" s="198"/>
      <c r="C1521" s="199"/>
      <c r="D1521" s="200"/>
      <c r="E1521" s="201"/>
      <c r="F1521" s="212"/>
      <c r="G1521" s="201"/>
      <c r="H1521" s="215"/>
      <c r="I1521" s="217"/>
    </row>
    <row r="1522" spans="1:9" ht="14.4" x14ac:dyDescent="0.3">
      <c r="A1522" s="197"/>
      <c r="B1522" s="198"/>
      <c r="C1522" s="199"/>
      <c r="D1522" s="200"/>
      <c r="E1522" s="196"/>
      <c r="F1522" s="212"/>
      <c r="G1522" s="196"/>
      <c r="H1522" s="215"/>
      <c r="I1522" s="217"/>
    </row>
    <row r="1523" spans="1:9" ht="14.4" x14ac:dyDescent="0.3">
      <c r="A1523" s="197"/>
      <c r="B1523" s="198"/>
      <c r="C1523" s="199"/>
      <c r="D1523" s="200"/>
      <c r="E1523" s="196"/>
      <c r="F1523" s="212"/>
      <c r="G1523" s="196"/>
      <c r="H1523" s="215"/>
      <c r="I1523" s="216"/>
    </row>
    <row r="1524" spans="1:9" ht="14.4" x14ac:dyDescent="0.3">
      <c r="A1524" s="197"/>
      <c r="B1524" s="198"/>
      <c r="C1524" s="199"/>
      <c r="D1524" s="200"/>
      <c r="E1524" s="201"/>
      <c r="F1524" s="212"/>
      <c r="G1524" s="201"/>
      <c r="H1524" s="215"/>
      <c r="I1524" s="216"/>
    </row>
    <row r="1525" spans="1:9" ht="14.4" x14ac:dyDescent="0.3">
      <c r="A1525" s="197"/>
      <c r="B1525" s="198"/>
      <c r="C1525" s="199"/>
      <c r="D1525" s="200"/>
      <c r="E1525" s="202"/>
      <c r="F1525" s="212"/>
      <c r="G1525" s="201"/>
      <c r="H1525" s="215"/>
      <c r="I1525" s="216"/>
    </row>
    <row r="1526" spans="1:9" ht="14.4" x14ac:dyDescent="0.3">
      <c r="A1526" s="197"/>
      <c r="B1526" s="198"/>
      <c r="C1526" s="199"/>
      <c r="D1526" s="200"/>
      <c r="E1526" s="201"/>
      <c r="F1526" s="212"/>
      <c r="G1526" s="201"/>
      <c r="H1526" s="215"/>
      <c r="I1526" s="216"/>
    </row>
    <row r="1527" spans="1:9" ht="14.4" x14ac:dyDescent="0.3">
      <c r="A1527" s="197"/>
      <c r="B1527" s="198"/>
      <c r="C1527" s="199"/>
      <c r="D1527" s="200"/>
      <c r="E1527" s="201"/>
      <c r="F1527" s="212"/>
      <c r="G1527" s="201"/>
      <c r="H1527" s="215"/>
      <c r="I1527" s="216"/>
    </row>
    <row r="1528" spans="1:9" ht="14.4" x14ac:dyDescent="0.3">
      <c r="A1528" s="197"/>
      <c r="B1528" s="203"/>
      <c r="C1528" s="204"/>
      <c r="D1528" s="205"/>
      <c r="E1528" s="206"/>
      <c r="F1528" s="218"/>
      <c r="G1528" s="206"/>
      <c r="H1528" s="219"/>
      <c r="I1528" s="220"/>
    </row>
    <row r="1529" spans="1:9" ht="15" thickBot="1" x14ac:dyDescent="0.35">
      <c r="A1529" s="207"/>
      <c r="B1529" s="208"/>
      <c r="C1529" s="209"/>
      <c r="D1529" s="210"/>
      <c r="E1529" s="211"/>
      <c r="F1529" s="221"/>
      <c r="G1529" s="211"/>
      <c r="H1529" s="222"/>
      <c r="I1529" s="223"/>
    </row>
    <row r="1530" spans="1:9" ht="14.4" thickBot="1" x14ac:dyDescent="0.35"/>
    <row r="1531" spans="1:9" ht="14.4" thickBot="1" x14ac:dyDescent="0.35">
      <c r="A1531" s="226" t="s">
        <v>1204</v>
      </c>
      <c r="B1531" s="224" t="s">
        <v>1205</v>
      </c>
      <c r="C1531" s="224" t="s">
        <v>1206</v>
      </c>
      <c r="D1531" s="224" t="s">
        <v>1207</v>
      </c>
      <c r="E1531" s="368" t="s">
        <v>1208</v>
      </c>
      <c r="F1531" s="368"/>
      <c r="G1531" s="368"/>
      <c r="H1531" s="224" t="s">
        <v>1209</v>
      </c>
      <c r="I1531" s="225" t="s">
        <v>1210</v>
      </c>
    </row>
    <row r="1532" spans="1:9" ht="14.4" x14ac:dyDescent="0.3">
      <c r="A1532" s="197"/>
      <c r="B1532" s="193"/>
      <c r="C1532" s="194"/>
      <c r="D1532" s="195"/>
      <c r="E1532" s="196"/>
      <c r="F1532" s="212"/>
      <c r="G1532" s="196"/>
      <c r="H1532" s="213"/>
      <c r="I1532" s="214"/>
    </row>
    <row r="1533" spans="1:9" ht="14.4" x14ac:dyDescent="0.3">
      <c r="A1533" s="197"/>
      <c r="B1533" s="198"/>
      <c r="C1533" s="199"/>
      <c r="D1533" s="200"/>
      <c r="E1533" s="201"/>
      <c r="F1533" s="212"/>
      <c r="G1533" s="201"/>
      <c r="H1533" s="215"/>
      <c r="I1533" s="216"/>
    </row>
    <row r="1534" spans="1:9" ht="14.4" x14ac:dyDescent="0.3">
      <c r="A1534" s="197"/>
      <c r="B1534" s="198"/>
      <c r="C1534" s="199"/>
      <c r="D1534" s="200"/>
      <c r="E1534" s="201"/>
      <c r="F1534" s="212"/>
      <c r="G1534" s="201"/>
      <c r="H1534" s="215"/>
      <c r="I1534" s="216"/>
    </row>
    <row r="1535" spans="1:9" ht="14.4" x14ac:dyDescent="0.3">
      <c r="A1535" s="197"/>
      <c r="B1535" s="198"/>
      <c r="C1535" s="199"/>
      <c r="D1535" s="200"/>
      <c r="E1535" s="201"/>
      <c r="F1535" s="212"/>
      <c r="G1535" s="201"/>
      <c r="H1535" s="215"/>
      <c r="I1535" s="217"/>
    </row>
    <row r="1536" spans="1:9" ht="14.4" x14ac:dyDescent="0.3">
      <c r="A1536" s="197"/>
      <c r="B1536" s="198"/>
      <c r="C1536" s="199"/>
      <c r="D1536" s="200"/>
      <c r="E1536" s="196"/>
      <c r="F1536" s="212"/>
      <c r="G1536" s="196"/>
      <c r="H1536" s="215"/>
      <c r="I1536" s="217"/>
    </row>
    <row r="1537" spans="1:9" ht="14.4" x14ac:dyDescent="0.3">
      <c r="A1537" s="197"/>
      <c r="B1537" s="198"/>
      <c r="C1537" s="199"/>
      <c r="D1537" s="200"/>
      <c r="E1537" s="196"/>
      <c r="F1537" s="212"/>
      <c r="G1537" s="196"/>
      <c r="H1537" s="215"/>
      <c r="I1537" s="216"/>
    </row>
    <row r="1538" spans="1:9" ht="14.4" x14ac:dyDescent="0.3">
      <c r="A1538" s="197"/>
      <c r="B1538" s="198"/>
      <c r="C1538" s="199"/>
      <c r="D1538" s="200"/>
      <c r="E1538" s="201"/>
      <c r="F1538" s="212"/>
      <c r="G1538" s="201"/>
      <c r="H1538" s="215"/>
      <c r="I1538" s="216"/>
    </row>
    <row r="1539" spans="1:9" ht="14.4" x14ac:dyDescent="0.3">
      <c r="A1539" s="197"/>
      <c r="B1539" s="198"/>
      <c r="C1539" s="199"/>
      <c r="D1539" s="200"/>
      <c r="E1539" s="202"/>
      <c r="F1539" s="212"/>
      <c r="G1539" s="201"/>
      <c r="H1539" s="215"/>
      <c r="I1539" s="216"/>
    </row>
    <row r="1540" spans="1:9" ht="14.4" x14ac:dyDescent="0.3">
      <c r="A1540" s="197"/>
      <c r="B1540" s="198"/>
      <c r="C1540" s="199"/>
      <c r="D1540" s="200"/>
      <c r="E1540" s="201"/>
      <c r="F1540" s="212"/>
      <c r="G1540" s="201"/>
      <c r="H1540" s="215"/>
      <c r="I1540" s="216"/>
    </row>
    <row r="1541" spans="1:9" ht="14.4" x14ac:dyDescent="0.3">
      <c r="A1541" s="197"/>
      <c r="B1541" s="198"/>
      <c r="C1541" s="199"/>
      <c r="D1541" s="200"/>
      <c r="E1541" s="201"/>
      <c r="F1541" s="212"/>
      <c r="G1541" s="201"/>
      <c r="H1541" s="215"/>
      <c r="I1541" s="216"/>
    </row>
    <row r="1542" spans="1:9" ht="14.4" x14ac:dyDescent="0.3">
      <c r="A1542" s="197"/>
      <c r="B1542" s="203"/>
      <c r="C1542" s="204"/>
      <c r="D1542" s="205"/>
      <c r="E1542" s="206"/>
      <c r="F1542" s="218"/>
      <c r="G1542" s="206"/>
      <c r="H1542" s="219"/>
      <c r="I1542" s="220"/>
    </row>
    <row r="1543" spans="1:9" ht="15" thickBot="1" x14ac:dyDescent="0.35">
      <c r="A1543" s="207"/>
      <c r="B1543" s="208"/>
      <c r="C1543" s="209"/>
      <c r="D1543" s="210"/>
      <c r="E1543" s="211"/>
      <c r="F1543" s="221"/>
      <c r="G1543" s="211"/>
      <c r="H1543" s="222"/>
      <c r="I1543" s="223"/>
    </row>
    <row r="1544" spans="1:9" ht="14.4" thickBot="1" x14ac:dyDescent="0.35"/>
    <row r="1545" spans="1:9" ht="14.4" thickBot="1" x14ac:dyDescent="0.35">
      <c r="A1545" s="226" t="s">
        <v>1204</v>
      </c>
      <c r="B1545" s="224" t="s">
        <v>1205</v>
      </c>
      <c r="C1545" s="224" t="s">
        <v>1206</v>
      </c>
      <c r="D1545" s="224" t="s">
        <v>1207</v>
      </c>
      <c r="E1545" s="368" t="s">
        <v>1208</v>
      </c>
      <c r="F1545" s="368"/>
      <c r="G1545" s="368"/>
      <c r="H1545" s="224" t="s">
        <v>1209</v>
      </c>
      <c r="I1545" s="225" t="s">
        <v>1210</v>
      </c>
    </row>
    <row r="1546" spans="1:9" ht="14.4" x14ac:dyDescent="0.3">
      <c r="A1546" s="197"/>
      <c r="B1546" s="193"/>
      <c r="C1546" s="194"/>
      <c r="D1546" s="195"/>
      <c r="E1546" s="196"/>
      <c r="F1546" s="212"/>
      <c r="G1546" s="196"/>
      <c r="H1546" s="213"/>
      <c r="I1546" s="214"/>
    </row>
    <row r="1547" spans="1:9" ht="14.4" x14ac:dyDescent="0.3">
      <c r="A1547" s="197"/>
      <c r="B1547" s="198"/>
      <c r="C1547" s="199"/>
      <c r="D1547" s="200"/>
      <c r="E1547" s="201"/>
      <c r="F1547" s="212"/>
      <c r="G1547" s="201"/>
      <c r="H1547" s="215"/>
      <c r="I1547" s="216"/>
    </row>
    <row r="1548" spans="1:9" ht="14.4" x14ac:dyDescent="0.3">
      <c r="A1548" s="197"/>
      <c r="B1548" s="198"/>
      <c r="C1548" s="199"/>
      <c r="D1548" s="200"/>
      <c r="E1548" s="201"/>
      <c r="F1548" s="212"/>
      <c r="G1548" s="201"/>
      <c r="H1548" s="215"/>
      <c r="I1548" s="216"/>
    </row>
    <row r="1549" spans="1:9" ht="14.4" x14ac:dyDescent="0.3">
      <c r="A1549" s="197"/>
      <c r="B1549" s="198"/>
      <c r="C1549" s="199"/>
      <c r="D1549" s="200"/>
      <c r="E1549" s="201"/>
      <c r="F1549" s="212"/>
      <c r="G1549" s="201"/>
      <c r="H1549" s="215"/>
      <c r="I1549" s="217"/>
    </row>
    <row r="1550" spans="1:9" ht="14.4" x14ac:dyDescent="0.3">
      <c r="A1550" s="197"/>
      <c r="B1550" s="198"/>
      <c r="C1550" s="199"/>
      <c r="D1550" s="200"/>
      <c r="E1550" s="196"/>
      <c r="F1550" s="212"/>
      <c r="G1550" s="196"/>
      <c r="H1550" s="215"/>
      <c r="I1550" s="217"/>
    </row>
    <row r="1551" spans="1:9" ht="14.4" x14ac:dyDescent="0.3">
      <c r="A1551" s="197"/>
      <c r="B1551" s="198"/>
      <c r="C1551" s="199"/>
      <c r="D1551" s="200"/>
      <c r="E1551" s="196"/>
      <c r="F1551" s="212"/>
      <c r="G1551" s="196"/>
      <c r="H1551" s="215"/>
      <c r="I1551" s="216"/>
    </row>
    <row r="1552" spans="1:9" ht="14.4" x14ac:dyDescent="0.3">
      <c r="A1552" s="197"/>
      <c r="B1552" s="198"/>
      <c r="C1552" s="199"/>
      <c r="D1552" s="200"/>
      <c r="E1552" s="201"/>
      <c r="F1552" s="212"/>
      <c r="G1552" s="201"/>
      <c r="H1552" s="215"/>
      <c r="I1552" s="216"/>
    </row>
    <row r="1553" spans="1:9" ht="14.4" x14ac:dyDescent="0.3">
      <c r="A1553" s="197"/>
      <c r="B1553" s="198"/>
      <c r="C1553" s="199"/>
      <c r="D1553" s="200"/>
      <c r="E1553" s="202"/>
      <c r="F1553" s="212"/>
      <c r="G1553" s="201"/>
      <c r="H1553" s="215"/>
      <c r="I1553" s="216"/>
    </row>
    <row r="1554" spans="1:9" ht="14.4" x14ac:dyDescent="0.3">
      <c r="A1554" s="197"/>
      <c r="B1554" s="198"/>
      <c r="C1554" s="199"/>
      <c r="D1554" s="200"/>
      <c r="E1554" s="201"/>
      <c r="F1554" s="212"/>
      <c r="G1554" s="201"/>
      <c r="H1554" s="215"/>
      <c r="I1554" s="216"/>
    </row>
    <row r="1555" spans="1:9" ht="14.4" x14ac:dyDescent="0.3">
      <c r="A1555" s="197"/>
      <c r="B1555" s="198"/>
      <c r="C1555" s="199"/>
      <c r="D1555" s="200"/>
      <c r="E1555" s="201"/>
      <c r="F1555" s="212"/>
      <c r="G1555" s="201"/>
      <c r="H1555" s="215"/>
      <c r="I1555" s="216"/>
    </row>
    <row r="1556" spans="1:9" ht="14.4" x14ac:dyDescent="0.3">
      <c r="A1556" s="197"/>
      <c r="B1556" s="203"/>
      <c r="C1556" s="204"/>
      <c r="D1556" s="205"/>
      <c r="E1556" s="206"/>
      <c r="F1556" s="218"/>
      <c r="G1556" s="206"/>
      <c r="H1556" s="219"/>
      <c r="I1556" s="220"/>
    </row>
    <row r="1557" spans="1:9" ht="15" thickBot="1" x14ac:dyDescent="0.35">
      <c r="A1557" s="207"/>
      <c r="B1557" s="208"/>
      <c r="C1557" s="209"/>
      <c r="D1557" s="210"/>
      <c r="E1557" s="211"/>
      <c r="F1557" s="221"/>
      <c r="G1557" s="211"/>
      <c r="H1557" s="222"/>
      <c r="I1557" s="223"/>
    </row>
    <row r="1558" spans="1:9" ht="14.4" thickBot="1" x14ac:dyDescent="0.35"/>
    <row r="1559" spans="1:9" ht="14.4" thickBot="1" x14ac:dyDescent="0.35">
      <c r="A1559" s="226" t="s">
        <v>1204</v>
      </c>
      <c r="B1559" s="224" t="s">
        <v>1205</v>
      </c>
      <c r="C1559" s="224" t="s">
        <v>1206</v>
      </c>
      <c r="D1559" s="224" t="s">
        <v>1207</v>
      </c>
      <c r="E1559" s="368" t="s">
        <v>1208</v>
      </c>
      <c r="F1559" s="368"/>
      <c r="G1559" s="368"/>
      <c r="H1559" s="224" t="s">
        <v>1209</v>
      </c>
      <c r="I1559" s="225" t="s">
        <v>1210</v>
      </c>
    </row>
    <row r="1560" spans="1:9" ht="14.4" x14ac:dyDescent="0.3">
      <c r="A1560" s="197"/>
      <c r="B1560" s="193"/>
      <c r="C1560" s="194"/>
      <c r="D1560" s="195"/>
      <c r="E1560" s="196"/>
      <c r="F1560" s="212"/>
      <c r="G1560" s="196"/>
      <c r="H1560" s="213"/>
      <c r="I1560" s="214"/>
    </row>
    <row r="1561" spans="1:9" ht="14.4" x14ac:dyDescent="0.3">
      <c r="A1561" s="197"/>
      <c r="B1561" s="198"/>
      <c r="C1561" s="199"/>
      <c r="D1561" s="200"/>
      <c r="E1561" s="201"/>
      <c r="F1561" s="212"/>
      <c r="G1561" s="201"/>
      <c r="H1561" s="215"/>
      <c r="I1561" s="216"/>
    </row>
    <row r="1562" spans="1:9" ht="14.4" x14ac:dyDescent="0.3">
      <c r="A1562" s="197"/>
      <c r="B1562" s="198"/>
      <c r="C1562" s="199"/>
      <c r="D1562" s="200"/>
      <c r="E1562" s="201"/>
      <c r="F1562" s="212"/>
      <c r="G1562" s="201"/>
      <c r="H1562" s="215"/>
      <c r="I1562" s="216"/>
    </row>
    <row r="1563" spans="1:9" ht="14.4" x14ac:dyDescent="0.3">
      <c r="A1563" s="197"/>
      <c r="B1563" s="198"/>
      <c r="C1563" s="199"/>
      <c r="D1563" s="200"/>
      <c r="E1563" s="201"/>
      <c r="F1563" s="212"/>
      <c r="G1563" s="201"/>
      <c r="H1563" s="215"/>
      <c r="I1563" s="217"/>
    </row>
    <row r="1564" spans="1:9" ht="14.4" x14ac:dyDescent="0.3">
      <c r="A1564" s="197"/>
      <c r="B1564" s="198"/>
      <c r="C1564" s="199"/>
      <c r="D1564" s="200"/>
      <c r="E1564" s="196"/>
      <c r="F1564" s="212"/>
      <c r="G1564" s="196"/>
      <c r="H1564" s="215"/>
      <c r="I1564" s="217"/>
    </row>
    <row r="1565" spans="1:9" ht="14.4" x14ac:dyDescent="0.3">
      <c r="A1565" s="197"/>
      <c r="B1565" s="198"/>
      <c r="C1565" s="199"/>
      <c r="D1565" s="200"/>
      <c r="E1565" s="196"/>
      <c r="F1565" s="212"/>
      <c r="G1565" s="196"/>
      <c r="H1565" s="215"/>
      <c r="I1565" s="216"/>
    </row>
    <row r="1566" spans="1:9" ht="14.4" x14ac:dyDescent="0.3">
      <c r="A1566" s="197"/>
      <c r="B1566" s="198"/>
      <c r="C1566" s="199"/>
      <c r="D1566" s="200"/>
      <c r="E1566" s="201"/>
      <c r="F1566" s="212"/>
      <c r="G1566" s="201"/>
      <c r="H1566" s="215"/>
      <c r="I1566" s="216"/>
    </row>
    <row r="1567" spans="1:9" ht="14.4" x14ac:dyDescent="0.3">
      <c r="A1567" s="197"/>
      <c r="B1567" s="198"/>
      <c r="C1567" s="199"/>
      <c r="D1567" s="200"/>
      <c r="E1567" s="202"/>
      <c r="F1567" s="212"/>
      <c r="G1567" s="201"/>
      <c r="H1567" s="215"/>
      <c r="I1567" s="216"/>
    </row>
    <row r="1568" spans="1:9" ht="14.4" x14ac:dyDescent="0.3">
      <c r="A1568" s="197"/>
      <c r="B1568" s="198"/>
      <c r="C1568" s="199"/>
      <c r="D1568" s="200"/>
      <c r="E1568" s="201"/>
      <c r="F1568" s="212"/>
      <c r="G1568" s="201"/>
      <c r="H1568" s="215"/>
      <c r="I1568" s="216"/>
    </row>
    <row r="1569" spans="1:9" ht="14.4" x14ac:dyDescent="0.3">
      <c r="A1569" s="197"/>
      <c r="B1569" s="198"/>
      <c r="C1569" s="199"/>
      <c r="D1569" s="200"/>
      <c r="E1569" s="201"/>
      <c r="F1569" s="212"/>
      <c r="G1569" s="201"/>
      <c r="H1569" s="215"/>
      <c r="I1569" s="216"/>
    </row>
    <row r="1570" spans="1:9" ht="14.4" x14ac:dyDescent="0.3">
      <c r="A1570" s="197"/>
      <c r="B1570" s="203"/>
      <c r="C1570" s="204"/>
      <c r="D1570" s="205"/>
      <c r="E1570" s="206"/>
      <c r="F1570" s="218"/>
      <c r="G1570" s="206"/>
      <c r="H1570" s="219"/>
      <c r="I1570" s="220"/>
    </row>
    <row r="1571" spans="1:9" ht="15" thickBot="1" x14ac:dyDescent="0.35">
      <c r="A1571" s="207"/>
      <c r="B1571" s="208"/>
      <c r="C1571" s="209"/>
      <c r="D1571" s="210"/>
      <c r="E1571" s="211"/>
      <c r="F1571" s="221"/>
      <c r="G1571" s="211"/>
      <c r="H1571" s="222"/>
      <c r="I1571" s="223"/>
    </row>
    <row r="1572" spans="1:9" ht="14.4" thickBot="1" x14ac:dyDescent="0.35"/>
    <row r="1573" spans="1:9" ht="14.4" thickBot="1" x14ac:dyDescent="0.35">
      <c r="A1573" s="226" t="s">
        <v>1204</v>
      </c>
      <c r="B1573" s="224" t="s">
        <v>1205</v>
      </c>
      <c r="C1573" s="224" t="s">
        <v>1206</v>
      </c>
      <c r="D1573" s="224" t="s">
        <v>1207</v>
      </c>
      <c r="E1573" s="368" t="s">
        <v>1208</v>
      </c>
      <c r="F1573" s="368"/>
      <c r="G1573" s="368"/>
      <c r="H1573" s="224" t="s">
        <v>1209</v>
      </c>
      <c r="I1573" s="225" t="s">
        <v>1210</v>
      </c>
    </row>
    <row r="1574" spans="1:9" ht="14.4" x14ac:dyDescent="0.3">
      <c r="A1574" s="197"/>
      <c r="B1574" s="193"/>
      <c r="C1574" s="194"/>
      <c r="D1574" s="195"/>
      <c r="E1574" s="196"/>
      <c r="F1574" s="212"/>
      <c r="G1574" s="196"/>
      <c r="H1574" s="213"/>
      <c r="I1574" s="214"/>
    </row>
    <row r="1575" spans="1:9" ht="14.4" x14ac:dyDescent="0.3">
      <c r="A1575" s="197"/>
      <c r="B1575" s="198"/>
      <c r="C1575" s="199"/>
      <c r="D1575" s="200"/>
      <c r="E1575" s="201"/>
      <c r="F1575" s="212"/>
      <c r="G1575" s="201"/>
      <c r="H1575" s="215"/>
      <c r="I1575" s="216"/>
    </row>
    <row r="1576" spans="1:9" ht="14.4" x14ac:dyDescent="0.3">
      <c r="A1576" s="197"/>
      <c r="B1576" s="198"/>
      <c r="C1576" s="199"/>
      <c r="D1576" s="200"/>
      <c r="E1576" s="201"/>
      <c r="F1576" s="212"/>
      <c r="G1576" s="201"/>
      <c r="H1576" s="215"/>
      <c r="I1576" s="216"/>
    </row>
    <row r="1577" spans="1:9" ht="14.4" x14ac:dyDescent="0.3">
      <c r="A1577" s="197"/>
      <c r="B1577" s="198"/>
      <c r="C1577" s="199"/>
      <c r="D1577" s="200"/>
      <c r="E1577" s="201"/>
      <c r="F1577" s="212"/>
      <c r="G1577" s="201"/>
      <c r="H1577" s="215"/>
      <c r="I1577" s="217"/>
    </row>
    <row r="1578" spans="1:9" ht="14.4" x14ac:dyDescent="0.3">
      <c r="A1578" s="197"/>
      <c r="B1578" s="198"/>
      <c r="C1578" s="199"/>
      <c r="D1578" s="200"/>
      <c r="E1578" s="196"/>
      <c r="F1578" s="212"/>
      <c r="G1578" s="196"/>
      <c r="H1578" s="215"/>
      <c r="I1578" s="217"/>
    </row>
    <row r="1579" spans="1:9" ht="14.4" x14ac:dyDescent="0.3">
      <c r="A1579" s="197"/>
      <c r="B1579" s="198"/>
      <c r="C1579" s="199"/>
      <c r="D1579" s="200"/>
      <c r="E1579" s="196"/>
      <c r="F1579" s="212"/>
      <c r="G1579" s="196"/>
      <c r="H1579" s="215"/>
      <c r="I1579" s="216"/>
    </row>
    <row r="1580" spans="1:9" ht="14.4" x14ac:dyDescent="0.3">
      <c r="A1580" s="197"/>
      <c r="B1580" s="198"/>
      <c r="C1580" s="199"/>
      <c r="D1580" s="200"/>
      <c r="E1580" s="201"/>
      <c r="F1580" s="212"/>
      <c r="G1580" s="201"/>
      <c r="H1580" s="215"/>
      <c r="I1580" s="216"/>
    </row>
    <row r="1581" spans="1:9" ht="14.4" x14ac:dyDescent="0.3">
      <c r="A1581" s="197"/>
      <c r="B1581" s="198"/>
      <c r="C1581" s="199"/>
      <c r="D1581" s="200"/>
      <c r="E1581" s="202"/>
      <c r="F1581" s="212"/>
      <c r="G1581" s="201"/>
      <c r="H1581" s="215"/>
      <c r="I1581" s="216"/>
    </row>
    <row r="1582" spans="1:9" ht="14.4" x14ac:dyDescent="0.3">
      <c r="A1582" s="197"/>
      <c r="B1582" s="198"/>
      <c r="C1582" s="199"/>
      <c r="D1582" s="200"/>
      <c r="E1582" s="201"/>
      <c r="F1582" s="212"/>
      <c r="G1582" s="201"/>
      <c r="H1582" s="215"/>
      <c r="I1582" s="216"/>
    </row>
    <row r="1583" spans="1:9" ht="14.4" x14ac:dyDescent="0.3">
      <c r="A1583" s="197"/>
      <c r="B1583" s="198"/>
      <c r="C1583" s="199"/>
      <c r="D1583" s="200"/>
      <c r="E1583" s="201"/>
      <c r="F1583" s="212"/>
      <c r="G1583" s="201"/>
      <c r="H1583" s="215"/>
      <c r="I1583" s="216"/>
    </row>
    <row r="1584" spans="1:9" ht="14.4" x14ac:dyDescent="0.3">
      <c r="A1584" s="197"/>
      <c r="B1584" s="203"/>
      <c r="C1584" s="204"/>
      <c r="D1584" s="205"/>
      <c r="E1584" s="206"/>
      <c r="F1584" s="218"/>
      <c r="G1584" s="206"/>
      <c r="H1584" s="219"/>
      <c r="I1584" s="220"/>
    </row>
    <row r="1585" spans="1:9" ht="15" thickBot="1" x14ac:dyDescent="0.35">
      <c r="A1585" s="207"/>
      <c r="B1585" s="208"/>
      <c r="C1585" s="209"/>
      <c r="D1585" s="210"/>
      <c r="E1585" s="211"/>
      <c r="F1585" s="221"/>
      <c r="G1585" s="211"/>
      <c r="H1585" s="222"/>
      <c r="I1585" s="223"/>
    </row>
    <row r="1586" spans="1:9" ht="14.4" thickBot="1" x14ac:dyDescent="0.35"/>
    <row r="1587" spans="1:9" ht="14.4" thickBot="1" x14ac:dyDescent="0.35">
      <c r="A1587" s="226" t="s">
        <v>1204</v>
      </c>
      <c r="B1587" s="224" t="s">
        <v>1205</v>
      </c>
      <c r="C1587" s="224" t="s">
        <v>1206</v>
      </c>
      <c r="D1587" s="224" t="s">
        <v>1207</v>
      </c>
      <c r="E1587" s="368" t="s">
        <v>1208</v>
      </c>
      <c r="F1587" s="368"/>
      <c r="G1587" s="368"/>
      <c r="H1587" s="224" t="s">
        <v>1209</v>
      </c>
      <c r="I1587" s="225" t="s">
        <v>1210</v>
      </c>
    </row>
    <row r="1588" spans="1:9" ht="14.4" x14ac:dyDescent="0.3">
      <c r="A1588" s="197"/>
      <c r="B1588" s="193"/>
      <c r="C1588" s="194"/>
      <c r="D1588" s="195"/>
      <c r="E1588" s="196"/>
      <c r="F1588" s="212"/>
      <c r="G1588" s="196"/>
      <c r="H1588" s="213"/>
      <c r="I1588" s="214"/>
    </row>
    <row r="1589" spans="1:9" ht="14.4" x14ac:dyDescent="0.3">
      <c r="A1589" s="197"/>
      <c r="B1589" s="198"/>
      <c r="C1589" s="199"/>
      <c r="D1589" s="200"/>
      <c r="E1589" s="201"/>
      <c r="F1589" s="212"/>
      <c r="G1589" s="201"/>
      <c r="H1589" s="215"/>
      <c r="I1589" s="216"/>
    </row>
    <row r="1590" spans="1:9" ht="14.4" x14ac:dyDescent="0.3">
      <c r="A1590" s="197"/>
      <c r="B1590" s="198"/>
      <c r="C1590" s="199"/>
      <c r="D1590" s="200"/>
      <c r="E1590" s="201"/>
      <c r="F1590" s="212"/>
      <c r="G1590" s="201"/>
      <c r="H1590" s="215"/>
      <c r="I1590" s="216"/>
    </row>
    <row r="1591" spans="1:9" ht="14.4" x14ac:dyDescent="0.3">
      <c r="A1591" s="197"/>
      <c r="B1591" s="198"/>
      <c r="C1591" s="199"/>
      <c r="D1591" s="200"/>
      <c r="E1591" s="201"/>
      <c r="F1591" s="212"/>
      <c r="G1591" s="201"/>
      <c r="H1591" s="215"/>
      <c r="I1591" s="217"/>
    </row>
    <row r="1592" spans="1:9" ht="14.4" x14ac:dyDescent="0.3">
      <c r="A1592" s="197"/>
      <c r="B1592" s="198"/>
      <c r="C1592" s="199"/>
      <c r="D1592" s="200"/>
      <c r="E1592" s="196"/>
      <c r="F1592" s="212"/>
      <c r="G1592" s="196"/>
      <c r="H1592" s="215"/>
      <c r="I1592" s="217"/>
    </row>
    <row r="1593" spans="1:9" ht="14.4" x14ac:dyDescent="0.3">
      <c r="A1593" s="197"/>
      <c r="B1593" s="198"/>
      <c r="C1593" s="199"/>
      <c r="D1593" s="200"/>
      <c r="E1593" s="196"/>
      <c r="F1593" s="212"/>
      <c r="G1593" s="196"/>
      <c r="H1593" s="215"/>
      <c r="I1593" s="216"/>
    </row>
    <row r="1594" spans="1:9" ht="14.4" x14ac:dyDescent="0.3">
      <c r="A1594" s="197"/>
      <c r="B1594" s="198"/>
      <c r="C1594" s="199"/>
      <c r="D1594" s="200"/>
      <c r="E1594" s="201"/>
      <c r="F1594" s="212"/>
      <c r="G1594" s="201"/>
      <c r="H1594" s="215"/>
      <c r="I1594" s="216"/>
    </row>
    <row r="1595" spans="1:9" ht="14.4" x14ac:dyDescent="0.3">
      <c r="A1595" s="197"/>
      <c r="B1595" s="198"/>
      <c r="C1595" s="199"/>
      <c r="D1595" s="200"/>
      <c r="E1595" s="202"/>
      <c r="F1595" s="212"/>
      <c r="G1595" s="201"/>
      <c r="H1595" s="215"/>
      <c r="I1595" s="216"/>
    </row>
    <row r="1596" spans="1:9" ht="14.4" x14ac:dyDescent="0.3">
      <c r="A1596" s="197"/>
      <c r="B1596" s="198"/>
      <c r="C1596" s="199"/>
      <c r="D1596" s="200"/>
      <c r="E1596" s="201"/>
      <c r="F1596" s="212"/>
      <c r="G1596" s="201"/>
      <c r="H1596" s="215"/>
      <c r="I1596" s="216"/>
    </row>
    <row r="1597" spans="1:9" ht="14.4" x14ac:dyDescent="0.3">
      <c r="A1597" s="197"/>
      <c r="B1597" s="198"/>
      <c r="C1597" s="199"/>
      <c r="D1597" s="200"/>
      <c r="E1597" s="201"/>
      <c r="F1597" s="212"/>
      <c r="G1597" s="201"/>
      <c r="H1597" s="215"/>
      <c r="I1597" s="216"/>
    </row>
    <row r="1598" spans="1:9" ht="14.4" x14ac:dyDescent="0.3">
      <c r="A1598" s="197"/>
      <c r="B1598" s="203"/>
      <c r="C1598" s="204"/>
      <c r="D1598" s="205"/>
      <c r="E1598" s="206"/>
      <c r="F1598" s="218"/>
      <c r="G1598" s="206"/>
      <c r="H1598" s="219"/>
      <c r="I1598" s="220"/>
    </row>
    <row r="1599" spans="1:9" ht="15" thickBot="1" x14ac:dyDescent="0.35">
      <c r="A1599" s="207"/>
      <c r="B1599" s="208"/>
      <c r="C1599" s="209"/>
      <c r="D1599" s="210"/>
      <c r="E1599" s="211"/>
      <c r="F1599" s="221"/>
      <c r="G1599" s="211"/>
      <c r="H1599" s="222"/>
      <c r="I1599" s="223"/>
    </row>
    <row r="1600" spans="1:9" ht="14.4" thickBot="1" x14ac:dyDescent="0.35"/>
    <row r="1601" spans="1:9" ht="14.4" thickBot="1" x14ac:dyDescent="0.35">
      <c r="A1601" s="226" t="s">
        <v>1204</v>
      </c>
      <c r="B1601" s="224" t="s">
        <v>1205</v>
      </c>
      <c r="C1601" s="224" t="s">
        <v>1206</v>
      </c>
      <c r="D1601" s="224" t="s">
        <v>1207</v>
      </c>
      <c r="E1601" s="368" t="s">
        <v>1208</v>
      </c>
      <c r="F1601" s="368"/>
      <c r="G1601" s="368"/>
      <c r="H1601" s="224" t="s">
        <v>1209</v>
      </c>
      <c r="I1601" s="225" t="s">
        <v>1210</v>
      </c>
    </row>
    <row r="1602" spans="1:9" ht="14.4" x14ac:dyDescent="0.3">
      <c r="A1602" s="197"/>
      <c r="B1602" s="193"/>
      <c r="C1602" s="194"/>
      <c r="D1602" s="195"/>
      <c r="E1602" s="196"/>
      <c r="F1602" s="212"/>
      <c r="G1602" s="196"/>
      <c r="H1602" s="213"/>
      <c r="I1602" s="214"/>
    </row>
    <row r="1603" spans="1:9" ht="14.4" x14ac:dyDescent="0.3">
      <c r="A1603" s="197"/>
      <c r="B1603" s="198"/>
      <c r="C1603" s="199"/>
      <c r="D1603" s="200"/>
      <c r="E1603" s="201"/>
      <c r="F1603" s="212"/>
      <c r="G1603" s="201"/>
      <c r="H1603" s="215"/>
      <c r="I1603" s="216"/>
    </row>
    <row r="1604" spans="1:9" ht="14.4" x14ac:dyDescent="0.3">
      <c r="A1604" s="197"/>
      <c r="B1604" s="198"/>
      <c r="C1604" s="199"/>
      <c r="D1604" s="200"/>
      <c r="E1604" s="201"/>
      <c r="F1604" s="212"/>
      <c r="G1604" s="201"/>
      <c r="H1604" s="215"/>
      <c r="I1604" s="216"/>
    </row>
    <row r="1605" spans="1:9" ht="14.4" x14ac:dyDescent="0.3">
      <c r="A1605" s="197"/>
      <c r="B1605" s="198"/>
      <c r="C1605" s="199"/>
      <c r="D1605" s="200"/>
      <c r="E1605" s="201"/>
      <c r="F1605" s="212"/>
      <c r="G1605" s="201"/>
      <c r="H1605" s="215"/>
      <c r="I1605" s="217"/>
    </row>
    <row r="1606" spans="1:9" ht="14.4" x14ac:dyDescent="0.3">
      <c r="A1606" s="197"/>
      <c r="B1606" s="198"/>
      <c r="C1606" s="199"/>
      <c r="D1606" s="200"/>
      <c r="E1606" s="196"/>
      <c r="F1606" s="212"/>
      <c r="G1606" s="196"/>
      <c r="H1606" s="215"/>
      <c r="I1606" s="217"/>
    </row>
    <row r="1607" spans="1:9" ht="14.4" x14ac:dyDescent="0.3">
      <c r="A1607" s="197"/>
      <c r="B1607" s="198"/>
      <c r="C1607" s="199"/>
      <c r="D1607" s="200"/>
      <c r="E1607" s="196"/>
      <c r="F1607" s="212"/>
      <c r="G1607" s="196"/>
      <c r="H1607" s="215"/>
      <c r="I1607" s="216"/>
    </row>
    <row r="1608" spans="1:9" ht="14.4" x14ac:dyDescent="0.3">
      <c r="A1608" s="197"/>
      <c r="B1608" s="198"/>
      <c r="C1608" s="199"/>
      <c r="D1608" s="200"/>
      <c r="E1608" s="201"/>
      <c r="F1608" s="212"/>
      <c r="G1608" s="201"/>
      <c r="H1608" s="215"/>
      <c r="I1608" s="216"/>
    </row>
    <row r="1609" spans="1:9" ht="14.4" x14ac:dyDescent="0.3">
      <c r="A1609" s="197"/>
      <c r="B1609" s="198"/>
      <c r="C1609" s="199"/>
      <c r="D1609" s="200"/>
      <c r="E1609" s="202"/>
      <c r="F1609" s="212"/>
      <c r="G1609" s="201"/>
      <c r="H1609" s="215"/>
      <c r="I1609" s="216"/>
    </row>
    <row r="1610" spans="1:9" ht="14.4" x14ac:dyDescent="0.3">
      <c r="A1610" s="197"/>
      <c r="B1610" s="198"/>
      <c r="C1610" s="199"/>
      <c r="D1610" s="200"/>
      <c r="E1610" s="201"/>
      <c r="F1610" s="212"/>
      <c r="G1610" s="201"/>
      <c r="H1610" s="215"/>
      <c r="I1610" s="216"/>
    </row>
    <row r="1611" spans="1:9" ht="14.4" x14ac:dyDescent="0.3">
      <c r="A1611" s="197"/>
      <c r="B1611" s="198"/>
      <c r="C1611" s="199"/>
      <c r="D1611" s="200"/>
      <c r="E1611" s="201"/>
      <c r="F1611" s="212"/>
      <c r="G1611" s="201"/>
      <c r="H1611" s="215"/>
      <c r="I1611" s="216"/>
    </row>
    <row r="1612" spans="1:9" ht="14.4" x14ac:dyDescent="0.3">
      <c r="A1612" s="197"/>
      <c r="B1612" s="203"/>
      <c r="C1612" s="204"/>
      <c r="D1612" s="205"/>
      <c r="E1612" s="206"/>
      <c r="F1612" s="218"/>
      <c r="G1612" s="206"/>
      <c r="H1612" s="219"/>
      <c r="I1612" s="220"/>
    </row>
    <row r="1613" spans="1:9" ht="15" thickBot="1" x14ac:dyDescent="0.35">
      <c r="A1613" s="207"/>
      <c r="B1613" s="208"/>
      <c r="C1613" s="209"/>
      <c r="D1613" s="210"/>
      <c r="E1613" s="211"/>
      <c r="F1613" s="221"/>
      <c r="G1613" s="211"/>
      <c r="H1613" s="222"/>
      <c r="I1613" s="223"/>
    </row>
    <row r="1614" spans="1:9" ht="14.4" thickBot="1" x14ac:dyDescent="0.35"/>
    <row r="1615" spans="1:9" ht="14.4" thickBot="1" x14ac:dyDescent="0.35">
      <c r="A1615" s="226" t="s">
        <v>1204</v>
      </c>
      <c r="B1615" s="224" t="s">
        <v>1205</v>
      </c>
      <c r="C1615" s="224" t="s">
        <v>1206</v>
      </c>
      <c r="D1615" s="224" t="s">
        <v>1207</v>
      </c>
      <c r="E1615" s="368" t="s">
        <v>1208</v>
      </c>
      <c r="F1615" s="368"/>
      <c r="G1615" s="368"/>
      <c r="H1615" s="224" t="s">
        <v>1209</v>
      </c>
      <c r="I1615" s="225" t="s">
        <v>1210</v>
      </c>
    </row>
    <row r="1616" spans="1:9" ht="14.4" x14ac:dyDescent="0.3">
      <c r="A1616" s="197"/>
      <c r="B1616" s="193"/>
      <c r="C1616" s="194"/>
      <c r="D1616" s="195"/>
      <c r="E1616" s="196"/>
      <c r="F1616" s="212"/>
      <c r="G1616" s="196"/>
      <c r="H1616" s="213"/>
      <c r="I1616" s="214"/>
    </row>
    <row r="1617" spans="1:9" ht="14.4" x14ac:dyDescent="0.3">
      <c r="A1617" s="197"/>
      <c r="B1617" s="198"/>
      <c r="C1617" s="199"/>
      <c r="D1617" s="200"/>
      <c r="E1617" s="201"/>
      <c r="F1617" s="212"/>
      <c r="G1617" s="201"/>
      <c r="H1617" s="215"/>
      <c r="I1617" s="216"/>
    </row>
    <row r="1618" spans="1:9" ht="14.4" x14ac:dyDescent="0.3">
      <c r="A1618" s="197"/>
      <c r="B1618" s="198"/>
      <c r="C1618" s="199"/>
      <c r="D1618" s="200"/>
      <c r="E1618" s="201"/>
      <c r="F1618" s="212"/>
      <c r="G1618" s="201"/>
      <c r="H1618" s="215"/>
      <c r="I1618" s="216"/>
    </row>
    <row r="1619" spans="1:9" ht="14.4" x14ac:dyDescent="0.3">
      <c r="A1619" s="197"/>
      <c r="B1619" s="198"/>
      <c r="C1619" s="199"/>
      <c r="D1619" s="200"/>
      <c r="E1619" s="201"/>
      <c r="F1619" s="212"/>
      <c r="G1619" s="201"/>
      <c r="H1619" s="215"/>
      <c r="I1619" s="217"/>
    </row>
    <row r="1620" spans="1:9" ht="14.4" x14ac:dyDescent="0.3">
      <c r="A1620" s="197"/>
      <c r="B1620" s="198"/>
      <c r="C1620" s="199"/>
      <c r="D1620" s="200"/>
      <c r="E1620" s="196"/>
      <c r="F1620" s="212"/>
      <c r="G1620" s="196"/>
      <c r="H1620" s="215"/>
      <c r="I1620" s="217"/>
    </row>
    <row r="1621" spans="1:9" ht="14.4" x14ac:dyDescent="0.3">
      <c r="A1621" s="197"/>
      <c r="B1621" s="198"/>
      <c r="C1621" s="199"/>
      <c r="D1621" s="200"/>
      <c r="E1621" s="196"/>
      <c r="F1621" s="212"/>
      <c r="G1621" s="196"/>
      <c r="H1621" s="215"/>
      <c r="I1621" s="216"/>
    </row>
    <row r="1622" spans="1:9" ht="14.4" x14ac:dyDescent="0.3">
      <c r="A1622" s="197"/>
      <c r="B1622" s="198"/>
      <c r="C1622" s="199"/>
      <c r="D1622" s="200"/>
      <c r="E1622" s="201"/>
      <c r="F1622" s="212"/>
      <c r="G1622" s="201"/>
      <c r="H1622" s="215"/>
      <c r="I1622" s="216"/>
    </row>
    <row r="1623" spans="1:9" ht="14.4" x14ac:dyDescent="0.3">
      <c r="A1623" s="197"/>
      <c r="B1623" s="198"/>
      <c r="C1623" s="199"/>
      <c r="D1623" s="200"/>
      <c r="E1623" s="202"/>
      <c r="F1623" s="212"/>
      <c r="G1623" s="201"/>
      <c r="H1623" s="215"/>
      <c r="I1623" s="216"/>
    </row>
    <row r="1624" spans="1:9" ht="14.4" x14ac:dyDescent="0.3">
      <c r="A1624" s="197"/>
      <c r="B1624" s="198"/>
      <c r="C1624" s="199"/>
      <c r="D1624" s="200"/>
      <c r="E1624" s="201"/>
      <c r="F1624" s="212"/>
      <c r="G1624" s="201"/>
      <c r="H1624" s="215"/>
      <c r="I1624" s="216"/>
    </row>
    <row r="1625" spans="1:9" ht="14.4" x14ac:dyDescent="0.3">
      <c r="A1625" s="197"/>
      <c r="B1625" s="198"/>
      <c r="C1625" s="199"/>
      <c r="D1625" s="200"/>
      <c r="E1625" s="201"/>
      <c r="F1625" s="212"/>
      <c r="G1625" s="201"/>
      <c r="H1625" s="215"/>
      <c r="I1625" s="216"/>
    </row>
    <row r="1626" spans="1:9" ht="14.4" x14ac:dyDescent="0.3">
      <c r="A1626" s="197"/>
      <c r="B1626" s="203"/>
      <c r="C1626" s="204"/>
      <c r="D1626" s="205"/>
      <c r="E1626" s="206"/>
      <c r="F1626" s="218"/>
      <c r="G1626" s="206"/>
      <c r="H1626" s="219"/>
      <c r="I1626" s="220"/>
    </row>
    <row r="1627" spans="1:9" ht="15" thickBot="1" x14ac:dyDescent="0.35">
      <c r="A1627" s="207"/>
      <c r="B1627" s="208"/>
      <c r="C1627" s="209"/>
      <c r="D1627" s="210"/>
      <c r="E1627" s="211"/>
      <c r="F1627" s="221"/>
      <c r="G1627" s="211"/>
      <c r="H1627" s="222"/>
      <c r="I1627" s="223"/>
    </row>
    <row r="1628" spans="1:9" ht="14.4" thickBot="1" x14ac:dyDescent="0.35"/>
    <row r="1629" spans="1:9" ht="14.4" thickBot="1" x14ac:dyDescent="0.35">
      <c r="A1629" s="226" t="s">
        <v>1204</v>
      </c>
      <c r="B1629" s="224" t="s">
        <v>1205</v>
      </c>
      <c r="C1629" s="224" t="s">
        <v>1206</v>
      </c>
      <c r="D1629" s="224" t="s">
        <v>1207</v>
      </c>
      <c r="E1629" s="368" t="s">
        <v>1208</v>
      </c>
      <c r="F1629" s="368"/>
      <c r="G1629" s="368"/>
      <c r="H1629" s="224" t="s">
        <v>1209</v>
      </c>
      <c r="I1629" s="225" t="s">
        <v>1210</v>
      </c>
    </row>
    <row r="1630" spans="1:9" ht="14.4" x14ac:dyDescent="0.3">
      <c r="A1630" s="197"/>
      <c r="B1630" s="193"/>
      <c r="C1630" s="194"/>
      <c r="D1630" s="195"/>
      <c r="E1630" s="196"/>
      <c r="F1630" s="212"/>
      <c r="G1630" s="196"/>
      <c r="H1630" s="213"/>
      <c r="I1630" s="214"/>
    </row>
    <row r="1631" spans="1:9" ht="14.4" x14ac:dyDescent="0.3">
      <c r="A1631" s="197"/>
      <c r="B1631" s="198"/>
      <c r="C1631" s="199"/>
      <c r="D1631" s="200"/>
      <c r="E1631" s="201"/>
      <c r="F1631" s="212"/>
      <c r="G1631" s="201"/>
      <c r="H1631" s="215"/>
      <c r="I1631" s="216"/>
    </row>
    <row r="1632" spans="1:9" ht="14.4" x14ac:dyDescent="0.3">
      <c r="A1632" s="197"/>
      <c r="B1632" s="198"/>
      <c r="C1632" s="199"/>
      <c r="D1632" s="200"/>
      <c r="E1632" s="201"/>
      <c r="F1632" s="212"/>
      <c r="G1632" s="201"/>
      <c r="H1632" s="215"/>
      <c r="I1632" s="216"/>
    </row>
    <row r="1633" spans="1:9" ht="14.4" x14ac:dyDescent="0.3">
      <c r="A1633" s="197"/>
      <c r="B1633" s="198"/>
      <c r="C1633" s="199"/>
      <c r="D1633" s="200"/>
      <c r="E1633" s="201"/>
      <c r="F1633" s="212"/>
      <c r="G1633" s="201"/>
      <c r="H1633" s="215"/>
      <c r="I1633" s="217"/>
    </row>
    <row r="1634" spans="1:9" ht="14.4" x14ac:dyDescent="0.3">
      <c r="A1634" s="197"/>
      <c r="B1634" s="198"/>
      <c r="C1634" s="199"/>
      <c r="D1634" s="200"/>
      <c r="E1634" s="196"/>
      <c r="F1634" s="212"/>
      <c r="G1634" s="196"/>
      <c r="H1634" s="215"/>
      <c r="I1634" s="217"/>
    </row>
    <row r="1635" spans="1:9" ht="14.4" x14ac:dyDescent="0.3">
      <c r="A1635" s="197"/>
      <c r="B1635" s="198"/>
      <c r="C1635" s="199"/>
      <c r="D1635" s="200"/>
      <c r="E1635" s="196"/>
      <c r="F1635" s="212"/>
      <c r="G1635" s="196"/>
      <c r="H1635" s="215"/>
      <c r="I1635" s="216"/>
    </row>
    <row r="1636" spans="1:9" ht="14.4" x14ac:dyDescent="0.3">
      <c r="A1636" s="197"/>
      <c r="B1636" s="198"/>
      <c r="C1636" s="199"/>
      <c r="D1636" s="200"/>
      <c r="E1636" s="201"/>
      <c r="F1636" s="212"/>
      <c r="G1636" s="201"/>
      <c r="H1636" s="215"/>
      <c r="I1636" s="216"/>
    </row>
    <row r="1637" spans="1:9" ht="14.4" x14ac:dyDescent="0.3">
      <c r="A1637" s="197"/>
      <c r="B1637" s="198"/>
      <c r="C1637" s="199"/>
      <c r="D1637" s="200"/>
      <c r="E1637" s="202"/>
      <c r="F1637" s="212"/>
      <c r="G1637" s="201"/>
      <c r="H1637" s="215"/>
      <c r="I1637" s="216"/>
    </row>
    <row r="1638" spans="1:9" ht="14.4" x14ac:dyDescent="0.3">
      <c r="A1638" s="197"/>
      <c r="B1638" s="198"/>
      <c r="C1638" s="199"/>
      <c r="D1638" s="200"/>
      <c r="E1638" s="201"/>
      <c r="F1638" s="212"/>
      <c r="G1638" s="201"/>
      <c r="H1638" s="215"/>
      <c r="I1638" s="216"/>
    </row>
    <row r="1639" spans="1:9" ht="14.4" x14ac:dyDescent="0.3">
      <c r="A1639" s="197"/>
      <c r="B1639" s="198"/>
      <c r="C1639" s="199"/>
      <c r="D1639" s="200"/>
      <c r="E1639" s="201"/>
      <c r="F1639" s="212"/>
      <c r="G1639" s="201"/>
      <c r="H1639" s="215"/>
      <c r="I1639" s="216"/>
    </row>
    <row r="1640" spans="1:9" ht="14.4" x14ac:dyDescent="0.3">
      <c r="A1640" s="197"/>
      <c r="B1640" s="203"/>
      <c r="C1640" s="204"/>
      <c r="D1640" s="205"/>
      <c r="E1640" s="206"/>
      <c r="F1640" s="218"/>
      <c r="G1640" s="206"/>
      <c r="H1640" s="219"/>
      <c r="I1640" s="220"/>
    </row>
    <row r="1641" spans="1:9" ht="15" thickBot="1" x14ac:dyDescent="0.35">
      <c r="A1641" s="207"/>
      <c r="B1641" s="208"/>
      <c r="C1641" s="209"/>
      <c r="D1641" s="210"/>
      <c r="E1641" s="211"/>
      <c r="F1641" s="221"/>
      <c r="G1641" s="211"/>
      <c r="H1641" s="222"/>
      <c r="I1641" s="223"/>
    </row>
    <row r="1642" spans="1:9" ht="14.4" thickBot="1" x14ac:dyDescent="0.35"/>
    <row r="1643" spans="1:9" ht="14.4" thickBot="1" x14ac:dyDescent="0.35">
      <c r="A1643" s="226" t="s">
        <v>1204</v>
      </c>
      <c r="B1643" s="224" t="s">
        <v>1205</v>
      </c>
      <c r="C1643" s="224" t="s">
        <v>1206</v>
      </c>
      <c r="D1643" s="224" t="s">
        <v>1207</v>
      </c>
      <c r="E1643" s="368" t="s">
        <v>1208</v>
      </c>
      <c r="F1643" s="368"/>
      <c r="G1643" s="368"/>
      <c r="H1643" s="224" t="s">
        <v>1209</v>
      </c>
      <c r="I1643" s="225" t="s">
        <v>1210</v>
      </c>
    </row>
    <row r="1644" spans="1:9" ht="14.4" x14ac:dyDescent="0.3">
      <c r="A1644" s="197"/>
      <c r="B1644" s="193"/>
      <c r="C1644" s="194"/>
      <c r="D1644" s="195"/>
      <c r="E1644" s="196"/>
      <c r="F1644" s="212"/>
      <c r="G1644" s="196"/>
      <c r="H1644" s="213"/>
      <c r="I1644" s="214"/>
    </row>
    <row r="1645" spans="1:9" ht="14.4" x14ac:dyDescent="0.3">
      <c r="A1645" s="197"/>
      <c r="B1645" s="198"/>
      <c r="C1645" s="199"/>
      <c r="D1645" s="200"/>
      <c r="E1645" s="201"/>
      <c r="F1645" s="212"/>
      <c r="G1645" s="201"/>
      <c r="H1645" s="215"/>
      <c r="I1645" s="216"/>
    </row>
    <row r="1646" spans="1:9" ht="14.4" x14ac:dyDescent="0.3">
      <c r="A1646" s="197"/>
      <c r="B1646" s="198"/>
      <c r="C1646" s="199"/>
      <c r="D1646" s="200"/>
      <c r="E1646" s="201"/>
      <c r="F1646" s="212"/>
      <c r="G1646" s="201"/>
      <c r="H1646" s="215"/>
      <c r="I1646" s="216"/>
    </row>
    <row r="1647" spans="1:9" ht="14.4" x14ac:dyDescent="0.3">
      <c r="A1647" s="197"/>
      <c r="B1647" s="198"/>
      <c r="C1647" s="199"/>
      <c r="D1647" s="200"/>
      <c r="E1647" s="201"/>
      <c r="F1647" s="212"/>
      <c r="G1647" s="201"/>
      <c r="H1647" s="215"/>
      <c r="I1647" s="217"/>
    </row>
    <row r="1648" spans="1:9" ht="14.4" x14ac:dyDescent="0.3">
      <c r="A1648" s="197"/>
      <c r="B1648" s="198"/>
      <c r="C1648" s="199"/>
      <c r="D1648" s="200"/>
      <c r="E1648" s="196"/>
      <c r="F1648" s="212"/>
      <c r="G1648" s="196"/>
      <c r="H1648" s="215"/>
      <c r="I1648" s="217"/>
    </row>
    <row r="1649" spans="1:9" ht="14.4" x14ac:dyDescent="0.3">
      <c r="A1649" s="197"/>
      <c r="B1649" s="198"/>
      <c r="C1649" s="199"/>
      <c r="D1649" s="200"/>
      <c r="E1649" s="196"/>
      <c r="F1649" s="212"/>
      <c r="G1649" s="196"/>
      <c r="H1649" s="215"/>
      <c r="I1649" s="216"/>
    </row>
    <row r="1650" spans="1:9" ht="14.4" x14ac:dyDescent="0.3">
      <c r="A1650" s="197"/>
      <c r="B1650" s="198"/>
      <c r="C1650" s="199"/>
      <c r="D1650" s="200"/>
      <c r="E1650" s="201"/>
      <c r="F1650" s="212"/>
      <c r="G1650" s="201"/>
      <c r="H1650" s="215"/>
      <c r="I1650" s="216"/>
    </row>
    <row r="1651" spans="1:9" ht="14.4" x14ac:dyDescent="0.3">
      <c r="A1651" s="197"/>
      <c r="B1651" s="198"/>
      <c r="C1651" s="199"/>
      <c r="D1651" s="200"/>
      <c r="E1651" s="202"/>
      <c r="F1651" s="212"/>
      <c r="G1651" s="201"/>
      <c r="H1651" s="215"/>
      <c r="I1651" s="216"/>
    </row>
    <row r="1652" spans="1:9" ht="14.4" x14ac:dyDescent="0.3">
      <c r="A1652" s="197"/>
      <c r="B1652" s="198"/>
      <c r="C1652" s="199"/>
      <c r="D1652" s="200"/>
      <c r="E1652" s="201"/>
      <c r="F1652" s="212"/>
      <c r="G1652" s="201"/>
      <c r="H1652" s="215"/>
      <c r="I1652" s="216"/>
    </row>
    <row r="1653" spans="1:9" ht="14.4" x14ac:dyDescent="0.3">
      <c r="A1653" s="197"/>
      <c r="B1653" s="198"/>
      <c r="C1653" s="199"/>
      <c r="D1653" s="200"/>
      <c r="E1653" s="201"/>
      <c r="F1653" s="212"/>
      <c r="G1653" s="201"/>
      <c r="H1653" s="215"/>
      <c r="I1653" s="216"/>
    </row>
    <row r="1654" spans="1:9" ht="14.4" x14ac:dyDescent="0.3">
      <c r="A1654" s="197"/>
      <c r="B1654" s="203"/>
      <c r="C1654" s="204"/>
      <c r="D1654" s="205"/>
      <c r="E1654" s="206"/>
      <c r="F1654" s="218"/>
      <c r="G1654" s="206"/>
      <c r="H1654" s="219"/>
      <c r="I1654" s="220"/>
    </row>
    <row r="1655" spans="1:9" ht="15" thickBot="1" x14ac:dyDescent="0.35">
      <c r="A1655" s="207"/>
      <c r="B1655" s="208"/>
      <c r="C1655" s="209"/>
      <c r="D1655" s="210"/>
      <c r="E1655" s="211"/>
      <c r="F1655" s="221"/>
      <c r="G1655" s="211"/>
      <c r="H1655" s="222"/>
      <c r="I1655" s="223"/>
    </row>
    <row r="1656" spans="1:9" ht="14.4" thickBot="1" x14ac:dyDescent="0.35"/>
    <row r="1657" spans="1:9" ht="14.4" thickBot="1" x14ac:dyDescent="0.35">
      <c r="A1657" s="226" t="s">
        <v>1204</v>
      </c>
      <c r="B1657" s="224" t="s">
        <v>1205</v>
      </c>
      <c r="C1657" s="224" t="s">
        <v>1206</v>
      </c>
      <c r="D1657" s="224" t="s">
        <v>1207</v>
      </c>
      <c r="E1657" s="368" t="s">
        <v>1208</v>
      </c>
      <c r="F1657" s="368"/>
      <c r="G1657" s="368"/>
      <c r="H1657" s="224" t="s">
        <v>1209</v>
      </c>
      <c r="I1657" s="225" t="s">
        <v>1210</v>
      </c>
    </row>
    <row r="1658" spans="1:9" ht="14.4" x14ac:dyDescent="0.3">
      <c r="A1658" s="197"/>
      <c r="B1658" s="193"/>
      <c r="C1658" s="194"/>
      <c r="D1658" s="195"/>
      <c r="E1658" s="196"/>
      <c r="F1658" s="212"/>
      <c r="G1658" s="196"/>
      <c r="H1658" s="213"/>
      <c r="I1658" s="214"/>
    </row>
    <row r="1659" spans="1:9" ht="14.4" x14ac:dyDescent="0.3">
      <c r="A1659" s="197"/>
      <c r="B1659" s="198"/>
      <c r="C1659" s="199"/>
      <c r="D1659" s="200"/>
      <c r="E1659" s="201"/>
      <c r="F1659" s="212"/>
      <c r="G1659" s="201"/>
      <c r="H1659" s="215"/>
      <c r="I1659" s="216"/>
    </row>
    <row r="1660" spans="1:9" ht="14.4" x14ac:dyDescent="0.3">
      <c r="A1660" s="197"/>
      <c r="B1660" s="198"/>
      <c r="C1660" s="199"/>
      <c r="D1660" s="200"/>
      <c r="E1660" s="201"/>
      <c r="F1660" s="212"/>
      <c r="G1660" s="201"/>
      <c r="H1660" s="215"/>
      <c r="I1660" s="216"/>
    </row>
    <row r="1661" spans="1:9" ht="14.4" x14ac:dyDescent="0.3">
      <c r="A1661" s="197"/>
      <c r="B1661" s="198"/>
      <c r="C1661" s="199"/>
      <c r="D1661" s="200"/>
      <c r="E1661" s="201"/>
      <c r="F1661" s="212"/>
      <c r="G1661" s="201"/>
      <c r="H1661" s="215"/>
      <c r="I1661" s="217"/>
    </row>
    <row r="1662" spans="1:9" ht="14.4" x14ac:dyDescent="0.3">
      <c r="A1662" s="197"/>
      <c r="B1662" s="198"/>
      <c r="C1662" s="199"/>
      <c r="D1662" s="200"/>
      <c r="E1662" s="196"/>
      <c r="F1662" s="212"/>
      <c r="G1662" s="196"/>
      <c r="H1662" s="215"/>
      <c r="I1662" s="217"/>
    </row>
    <row r="1663" spans="1:9" ht="14.4" x14ac:dyDescent="0.3">
      <c r="A1663" s="197"/>
      <c r="B1663" s="198"/>
      <c r="C1663" s="199"/>
      <c r="D1663" s="200"/>
      <c r="E1663" s="196"/>
      <c r="F1663" s="212"/>
      <c r="G1663" s="196"/>
      <c r="H1663" s="215"/>
      <c r="I1663" s="216"/>
    </row>
    <row r="1664" spans="1:9" ht="14.4" x14ac:dyDescent="0.3">
      <c r="A1664" s="197"/>
      <c r="B1664" s="198"/>
      <c r="C1664" s="199"/>
      <c r="D1664" s="200"/>
      <c r="E1664" s="201"/>
      <c r="F1664" s="212"/>
      <c r="G1664" s="201"/>
      <c r="H1664" s="215"/>
      <c r="I1664" s="216"/>
    </row>
    <row r="1665" spans="1:9" ht="14.4" x14ac:dyDescent="0.3">
      <c r="A1665" s="197"/>
      <c r="B1665" s="198"/>
      <c r="C1665" s="199"/>
      <c r="D1665" s="200"/>
      <c r="E1665" s="202"/>
      <c r="F1665" s="212"/>
      <c r="G1665" s="201"/>
      <c r="H1665" s="215"/>
      <c r="I1665" s="216"/>
    </row>
    <row r="1666" spans="1:9" ht="14.4" x14ac:dyDescent="0.3">
      <c r="A1666" s="197"/>
      <c r="B1666" s="198"/>
      <c r="C1666" s="199"/>
      <c r="D1666" s="200"/>
      <c r="E1666" s="201"/>
      <c r="F1666" s="212"/>
      <c r="G1666" s="201"/>
      <c r="H1666" s="215"/>
      <c r="I1666" s="216"/>
    </row>
    <row r="1667" spans="1:9" ht="14.4" x14ac:dyDescent="0.3">
      <c r="A1667" s="197"/>
      <c r="B1667" s="198"/>
      <c r="C1667" s="199"/>
      <c r="D1667" s="200"/>
      <c r="E1667" s="201"/>
      <c r="F1667" s="212"/>
      <c r="G1667" s="201"/>
      <c r="H1667" s="215"/>
      <c r="I1667" s="216"/>
    </row>
    <row r="1668" spans="1:9" ht="14.4" x14ac:dyDescent="0.3">
      <c r="A1668" s="197"/>
      <c r="B1668" s="203"/>
      <c r="C1668" s="204"/>
      <c r="D1668" s="205"/>
      <c r="E1668" s="206"/>
      <c r="F1668" s="218"/>
      <c r="G1668" s="206"/>
      <c r="H1668" s="219"/>
      <c r="I1668" s="220"/>
    </row>
    <row r="1669" spans="1:9" ht="15" thickBot="1" x14ac:dyDescent="0.35">
      <c r="A1669" s="207"/>
      <c r="B1669" s="208"/>
      <c r="C1669" s="209"/>
      <c r="D1669" s="210"/>
      <c r="E1669" s="211"/>
      <c r="F1669" s="221"/>
      <c r="G1669" s="211"/>
      <c r="H1669" s="222"/>
      <c r="I1669" s="223"/>
    </row>
    <row r="1670" spans="1:9" ht="14.4" thickBot="1" x14ac:dyDescent="0.35"/>
    <row r="1671" spans="1:9" ht="14.4" thickBot="1" x14ac:dyDescent="0.35">
      <c r="A1671" s="226" t="s">
        <v>1204</v>
      </c>
      <c r="B1671" s="224" t="s">
        <v>1205</v>
      </c>
      <c r="C1671" s="224" t="s">
        <v>1206</v>
      </c>
      <c r="D1671" s="224" t="s">
        <v>1207</v>
      </c>
      <c r="E1671" s="368" t="s">
        <v>1208</v>
      </c>
      <c r="F1671" s="368"/>
      <c r="G1671" s="368"/>
      <c r="H1671" s="224" t="s">
        <v>1209</v>
      </c>
      <c r="I1671" s="225" t="s">
        <v>1210</v>
      </c>
    </row>
    <row r="1672" spans="1:9" ht="14.4" x14ac:dyDescent="0.3">
      <c r="A1672" s="197"/>
      <c r="B1672" s="193"/>
      <c r="C1672" s="194"/>
      <c r="D1672" s="195"/>
      <c r="E1672" s="196"/>
      <c r="F1672" s="212"/>
      <c r="G1672" s="196"/>
      <c r="H1672" s="213"/>
      <c r="I1672" s="214"/>
    </row>
    <row r="1673" spans="1:9" ht="14.4" x14ac:dyDescent="0.3">
      <c r="A1673" s="197"/>
      <c r="B1673" s="198"/>
      <c r="C1673" s="199"/>
      <c r="D1673" s="200"/>
      <c r="E1673" s="201"/>
      <c r="F1673" s="212"/>
      <c r="G1673" s="201"/>
      <c r="H1673" s="215"/>
      <c r="I1673" s="216"/>
    </row>
    <row r="1674" spans="1:9" ht="14.4" x14ac:dyDescent="0.3">
      <c r="A1674" s="197"/>
      <c r="B1674" s="198"/>
      <c r="C1674" s="199"/>
      <c r="D1674" s="200"/>
      <c r="E1674" s="201"/>
      <c r="F1674" s="212"/>
      <c r="G1674" s="201"/>
      <c r="H1674" s="215"/>
      <c r="I1674" s="216"/>
    </row>
    <row r="1675" spans="1:9" ht="14.4" x14ac:dyDescent="0.3">
      <c r="A1675" s="197"/>
      <c r="B1675" s="198"/>
      <c r="C1675" s="199"/>
      <c r="D1675" s="200"/>
      <c r="E1675" s="201"/>
      <c r="F1675" s="212"/>
      <c r="G1675" s="201"/>
      <c r="H1675" s="215"/>
      <c r="I1675" s="217"/>
    </row>
    <row r="1676" spans="1:9" ht="14.4" x14ac:dyDescent="0.3">
      <c r="A1676" s="197"/>
      <c r="B1676" s="198"/>
      <c r="C1676" s="199"/>
      <c r="D1676" s="200"/>
      <c r="E1676" s="196"/>
      <c r="F1676" s="212"/>
      <c r="G1676" s="196"/>
      <c r="H1676" s="215"/>
      <c r="I1676" s="217"/>
    </row>
    <row r="1677" spans="1:9" ht="14.4" x14ac:dyDescent="0.3">
      <c r="A1677" s="197"/>
      <c r="B1677" s="198"/>
      <c r="C1677" s="199"/>
      <c r="D1677" s="200"/>
      <c r="E1677" s="196"/>
      <c r="F1677" s="212"/>
      <c r="G1677" s="196"/>
      <c r="H1677" s="215"/>
      <c r="I1677" s="216"/>
    </row>
    <row r="1678" spans="1:9" ht="14.4" x14ac:dyDescent="0.3">
      <c r="A1678" s="197"/>
      <c r="B1678" s="198"/>
      <c r="C1678" s="199"/>
      <c r="D1678" s="200"/>
      <c r="E1678" s="201"/>
      <c r="F1678" s="212"/>
      <c r="G1678" s="201"/>
      <c r="H1678" s="215"/>
      <c r="I1678" s="216"/>
    </row>
    <row r="1679" spans="1:9" ht="14.4" x14ac:dyDescent="0.3">
      <c r="A1679" s="197"/>
      <c r="B1679" s="198"/>
      <c r="C1679" s="199"/>
      <c r="D1679" s="200"/>
      <c r="E1679" s="202"/>
      <c r="F1679" s="212"/>
      <c r="G1679" s="201"/>
      <c r="H1679" s="215"/>
      <c r="I1679" s="216"/>
    </row>
    <row r="1680" spans="1:9" ht="14.4" x14ac:dyDescent="0.3">
      <c r="A1680" s="197"/>
      <c r="B1680" s="198"/>
      <c r="C1680" s="199"/>
      <c r="D1680" s="200"/>
      <c r="E1680" s="201"/>
      <c r="F1680" s="212"/>
      <c r="G1680" s="201"/>
      <c r="H1680" s="215"/>
      <c r="I1680" s="216"/>
    </row>
    <row r="1681" spans="1:9" ht="14.4" x14ac:dyDescent="0.3">
      <c r="A1681" s="197"/>
      <c r="B1681" s="198"/>
      <c r="C1681" s="199"/>
      <c r="D1681" s="200"/>
      <c r="E1681" s="201"/>
      <c r="F1681" s="212"/>
      <c r="G1681" s="201"/>
      <c r="H1681" s="215"/>
      <c r="I1681" s="216"/>
    </row>
    <row r="1682" spans="1:9" ht="14.4" x14ac:dyDescent="0.3">
      <c r="A1682" s="197"/>
      <c r="B1682" s="203"/>
      <c r="C1682" s="204"/>
      <c r="D1682" s="205"/>
      <c r="E1682" s="206"/>
      <c r="F1682" s="218"/>
      <c r="G1682" s="206"/>
      <c r="H1682" s="219"/>
      <c r="I1682" s="220"/>
    </row>
    <row r="1683" spans="1:9" ht="15" thickBot="1" x14ac:dyDescent="0.35">
      <c r="A1683" s="207"/>
      <c r="B1683" s="208"/>
      <c r="C1683" s="209"/>
      <c r="D1683" s="210"/>
      <c r="E1683" s="211"/>
      <c r="F1683" s="221"/>
      <c r="G1683" s="211"/>
      <c r="H1683" s="222"/>
      <c r="I1683" s="223"/>
    </row>
    <row r="1684" spans="1:9" ht="14.4" thickBot="1" x14ac:dyDescent="0.35"/>
    <row r="1685" spans="1:9" ht="14.4" thickBot="1" x14ac:dyDescent="0.35">
      <c r="A1685" s="226" t="s">
        <v>1204</v>
      </c>
      <c r="B1685" s="224" t="s">
        <v>1205</v>
      </c>
      <c r="C1685" s="224" t="s">
        <v>1206</v>
      </c>
      <c r="D1685" s="224" t="s">
        <v>1207</v>
      </c>
      <c r="E1685" s="368" t="s">
        <v>1208</v>
      </c>
      <c r="F1685" s="368"/>
      <c r="G1685" s="368"/>
      <c r="H1685" s="224" t="s">
        <v>1209</v>
      </c>
      <c r="I1685" s="225" t="s">
        <v>1210</v>
      </c>
    </row>
    <row r="1686" spans="1:9" ht="14.4" x14ac:dyDescent="0.3">
      <c r="A1686" s="197"/>
      <c r="B1686" s="193"/>
      <c r="C1686" s="194"/>
      <c r="D1686" s="195"/>
      <c r="E1686" s="196"/>
      <c r="F1686" s="212"/>
      <c r="G1686" s="196"/>
      <c r="H1686" s="213"/>
      <c r="I1686" s="214"/>
    </row>
    <row r="1687" spans="1:9" ht="14.4" x14ac:dyDescent="0.3">
      <c r="A1687" s="197"/>
      <c r="B1687" s="198"/>
      <c r="C1687" s="199"/>
      <c r="D1687" s="200"/>
      <c r="E1687" s="201"/>
      <c r="F1687" s="212"/>
      <c r="G1687" s="201"/>
      <c r="H1687" s="215"/>
      <c r="I1687" s="216"/>
    </row>
    <row r="1688" spans="1:9" ht="14.4" x14ac:dyDescent="0.3">
      <c r="A1688" s="197"/>
      <c r="B1688" s="198"/>
      <c r="C1688" s="199"/>
      <c r="D1688" s="200"/>
      <c r="E1688" s="201"/>
      <c r="F1688" s="212"/>
      <c r="G1688" s="201"/>
      <c r="H1688" s="215"/>
      <c r="I1688" s="216"/>
    </row>
    <row r="1689" spans="1:9" ht="14.4" x14ac:dyDescent="0.3">
      <c r="A1689" s="197"/>
      <c r="B1689" s="198"/>
      <c r="C1689" s="199"/>
      <c r="D1689" s="200"/>
      <c r="E1689" s="201"/>
      <c r="F1689" s="212"/>
      <c r="G1689" s="201"/>
      <c r="H1689" s="215"/>
      <c r="I1689" s="217"/>
    </row>
    <row r="1690" spans="1:9" ht="14.4" x14ac:dyDescent="0.3">
      <c r="A1690" s="197"/>
      <c r="B1690" s="198"/>
      <c r="C1690" s="199"/>
      <c r="D1690" s="200"/>
      <c r="E1690" s="196"/>
      <c r="F1690" s="212"/>
      <c r="G1690" s="196"/>
      <c r="H1690" s="215"/>
      <c r="I1690" s="217"/>
    </row>
    <row r="1691" spans="1:9" ht="14.4" x14ac:dyDescent="0.3">
      <c r="A1691" s="197"/>
      <c r="B1691" s="198"/>
      <c r="C1691" s="199"/>
      <c r="D1691" s="200"/>
      <c r="E1691" s="196"/>
      <c r="F1691" s="212"/>
      <c r="G1691" s="196"/>
      <c r="H1691" s="215"/>
      <c r="I1691" s="216"/>
    </row>
    <row r="1692" spans="1:9" ht="14.4" x14ac:dyDescent="0.3">
      <c r="A1692" s="197"/>
      <c r="B1692" s="198"/>
      <c r="C1692" s="199"/>
      <c r="D1692" s="200"/>
      <c r="E1692" s="201"/>
      <c r="F1692" s="212"/>
      <c r="G1692" s="201"/>
      <c r="H1692" s="215"/>
      <c r="I1692" s="216"/>
    </row>
    <row r="1693" spans="1:9" ht="14.4" x14ac:dyDescent="0.3">
      <c r="A1693" s="197"/>
      <c r="B1693" s="198"/>
      <c r="C1693" s="199"/>
      <c r="D1693" s="200"/>
      <c r="E1693" s="202"/>
      <c r="F1693" s="212"/>
      <c r="G1693" s="201"/>
      <c r="H1693" s="215"/>
      <c r="I1693" s="216"/>
    </row>
    <row r="1694" spans="1:9" ht="14.4" x14ac:dyDescent="0.3">
      <c r="A1694" s="197"/>
      <c r="B1694" s="198"/>
      <c r="C1694" s="199"/>
      <c r="D1694" s="200"/>
      <c r="E1694" s="201"/>
      <c r="F1694" s="212"/>
      <c r="G1694" s="201"/>
      <c r="H1694" s="215"/>
      <c r="I1694" s="216"/>
    </row>
    <row r="1695" spans="1:9" ht="14.4" x14ac:dyDescent="0.3">
      <c r="A1695" s="197"/>
      <c r="B1695" s="198"/>
      <c r="C1695" s="199"/>
      <c r="D1695" s="200"/>
      <c r="E1695" s="201"/>
      <c r="F1695" s="212"/>
      <c r="G1695" s="201"/>
      <c r="H1695" s="215"/>
      <c r="I1695" s="216"/>
    </row>
    <row r="1696" spans="1:9" ht="14.4" x14ac:dyDescent="0.3">
      <c r="A1696" s="197"/>
      <c r="B1696" s="203"/>
      <c r="C1696" s="204"/>
      <c r="D1696" s="205"/>
      <c r="E1696" s="206"/>
      <c r="F1696" s="218"/>
      <c r="G1696" s="206"/>
      <c r="H1696" s="219"/>
      <c r="I1696" s="220"/>
    </row>
    <row r="1697" spans="1:9" ht="15" thickBot="1" x14ac:dyDescent="0.35">
      <c r="A1697" s="207"/>
      <c r="B1697" s="208"/>
      <c r="C1697" s="209"/>
      <c r="D1697" s="210"/>
      <c r="E1697" s="211"/>
      <c r="F1697" s="221"/>
      <c r="G1697" s="211"/>
      <c r="H1697" s="222"/>
      <c r="I1697" s="223"/>
    </row>
    <row r="1698" spans="1:9" ht="14.4" thickBot="1" x14ac:dyDescent="0.35"/>
    <row r="1699" spans="1:9" ht="14.4" thickBot="1" x14ac:dyDescent="0.35">
      <c r="A1699" s="226" t="s">
        <v>1204</v>
      </c>
      <c r="B1699" s="224" t="s">
        <v>1205</v>
      </c>
      <c r="C1699" s="224" t="s">
        <v>1206</v>
      </c>
      <c r="D1699" s="224" t="s">
        <v>1207</v>
      </c>
      <c r="E1699" s="368" t="s">
        <v>1208</v>
      </c>
      <c r="F1699" s="368"/>
      <c r="G1699" s="368"/>
      <c r="H1699" s="224" t="s">
        <v>1209</v>
      </c>
      <c r="I1699" s="225" t="s">
        <v>1210</v>
      </c>
    </row>
    <row r="1700" spans="1:9" ht="14.4" x14ac:dyDescent="0.3">
      <c r="A1700" s="197"/>
      <c r="B1700" s="193"/>
      <c r="C1700" s="194"/>
      <c r="D1700" s="195"/>
      <c r="E1700" s="196"/>
      <c r="F1700" s="212"/>
      <c r="G1700" s="196"/>
      <c r="H1700" s="213"/>
      <c r="I1700" s="214"/>
    </row>
    <row r="1701" spans="1:9" ht="14.4" x14ac:dyDescent="0.3">
      <c r="A1701" s="197"/>
      <c r="B1701" s="198"/>
      <c r="C1701" s="199"/>
      <c r="D1701" s="200"/>
      <c r="E1701" s="201"/>
      <c r="F1701" s="212"/>
      <c r="G1701" s="201"/>
      <c r="H1701" s="215"/>
      <c r="I1701" s="216"/>
    </row>
    <row r="1702" spans="1:9" ht="14.4" x14ac:dyDescent="0.3">
      <c r="A1702" s="197"/>
      <c r="B1702" s="198"/>
      <c r="C1702" s="199"/>
      <c r="D1702" s="200"/>
      <c r="E1702" s="201"/>
      <c r="F1702" s="212"/>
      <c r="G1702" s="201"/>
      <c r="H1702" s="215"/>
      <c r="I1702" s="216"/>
    </row>
    <row r="1703" spans="1:9" ht="14.4" x14ac:dyDescent="0.3">
      <c r="A1703" s="197"/>
      <c r="B1703" s="198"/>
      <c r="C1703" s="199"/>
      <c r="D1703" s="200"/>
      <c r="E1703" s="201"/>
      <c r="F1703" s="212"/>
      <c r="G1703" s="201"/>
      <c r="H1703" s="215"/>
      <c r="I1703" s="217"/>
    </row>
    <row r="1704" spans="1:9" ht="14.4" x14ac:dyDescent="0.3">
      <c r="A1704" s="197"/>
      <c r="B1704" s="198"/>
      <c r="C1704" s="199"/>
      <c r="D1704" s="200"/>
      <c r="E1704" s="196"/>
      <c r="F1704" s="212"/>
      <c r="G1704" s="196"/>
      <c r="H1704" s="215"/>
      <c r="I1704" s="217"/>
    </row>
    <row r="1705" spans="1:9" ht="14.4" x14ac:dyDescent="0.3">
      <c r="A1705" s="197"/>
      <c r="B1705" s="198"/>
      <c r="C1705" s="199"/>
      <c r="D1705" s="200"/>
      <c r="E1705" s="196"/>
      <c r="F1705" s="212"/>
      <c r="G1705" s="196"/>
      <c r="H1705" s="215"/>
      <c r="I1705" s="216"/>
    </row>
    <row r="1706" spans="1:9" ht="14.4" x14ac:dyDescent="0.3">
      <c r="A1706" s="197"/>
      <c r="B1706" s="198"/>
      <c r="C1706" s="199"/>
      <c r="D1706" s="200"/>
      <c r="E1706" s="201"/>
      <c r="F1706" s="212"/>
      <c r="G1706" s="201"/>
      <c r="H1706" s="215"/>
      <c r="I1706" s="216"/>
    </row>
    <row r="1707" spans="1:9" ht="14.4" x14ac:dyDescent="0.3">
      <c r="A1707" s="197"/>
      <c r="B1707" s="198"/>
      <c r="C1707" s="199"/>
      <c r="D1707" s="200"/>
      <c r="E1707" s="202"/>
      <c r="F1707" s="212"/>
      <c r="G1707" s="201"/>
      <c r="H1707" s="215"/>
      <c r="I1707" s="216"/>
    </row>
    <row r="1708" spans="1:9" ht="14.4" x14ac:dyDescent="0.3">
      <c r="A1708" s="197"/>
      <c r="B1708" s="198"/>
      <c r="C1708" s="199"/>
      <c r="D1708" s="200"/>
      <c r="E1708" s="201"/>
      <c r="F1708" s="212"/>
      <c r="G1708" s="201"/>
      <c r="H1708" s="215"/>
      <c r="I1708" s="216"/>
    </row>
    <row r="1709" spans="1:9" ht="14.4" x14ac:dyDescent="0.3">
      <c r="A1709" s="197"/>
      <c r="B1709" s="198"/>
      <c r="C1709" s="199"/>
      <c r="D1709" s="200"/>
      <c r="E1709" s="201"/>
      <c r="F1709" s="212"/>
      <c r="G1709" s="201"/>
      <c r="H1709" s="215"/>
      <c r="I1709" s="216"/>
    </row>
    <row r="1710" spans="1:9" ht="14.4" x14ac:dyDescent="0.3">
      <c r="A1710" s="197"/>
      <c r="B1710" s="203"/>
      <c r="C1710" s="204"/>
      <c r="D1710" s="205"/>
      <c r="E1710" s="206"/>
      <c r="F1710" s="218"/>
      <c r="G1710" s="206"/>
      <c r="H1710" s="219"/>
      <c r="I1710" s="220"/>
    </row>
    <row r="1711" spans="1:9" ht="15" thickBot="1" x14ac:dyDescent="0.35">
      <c r="A1711" s="207"/>
      <c r="B1711" s="208"/>
      <c r="C1711" s="209"/>
      <c r="D1711" s="210"/>
      <c r="E1711" s="211"/>
      <c r="F1711" s="221"/>
      <c r="G1711" s="211"/>
      <c r="H1711" s="222"/>
      <c r="I1711" s="223"/>
    </row>
    <row r="1712" spans="1:9" ht="14.4" thickBot="1" x14ac:dyDescent="0.35"/>
    <row r="1713" spans="1:9" ht="14.4" thickBot="1" x14ac:dyDescent="0.35">
      <c r="A1713" s="226" t="s">
        <v>1204</v>
      </c>
      <c r="B1713" s="224" t="s">
        <v>1205</v>
      </c>
      <c r="C1713" s="224" t="s">
        <v>1206</v>
      </c>
      <c r="D1713" s="224" t="s">
        <v>1207</v>
      </c>
      <c r="E1713" s="368" t="s">
        <v>1208</v>
      </c>
      <c r="F1713" s="368"/>
      <c r="G1713" s="368"/>
      <c r="H1713" s="224" t="s">
        <v>1209</v>
      </c>
      <c r="I1713" s="225" t="s">
        <v>1210</v>
      </c>
    </row>
    <row r="1714" spans="1:9" ht="14.4" x14ac:dyDescent="0.3">
      <c r="A1714" s="197"/>
      <c r="B1714" s="193"/>
      <c r="C1714" s="194"/>
      <c r="D1714" s="195"/>
      <c r="E1714" s="196"/>
      <c r="F1714" s="212"/>
      <c r="G1714" s="196"/>
      <c r="H1714" s="213"/>
      <c r="I1714" s="214"/>
    </row>
    <row r="1715" spans="1:9" ht="14.4" x14ac:dyDescent="0.3">
      <c r="A1715" s="197"/>
      <c r="B1715" s="198"/>
      <c r="C1715" s="199"/>
      <c r="D1715" s="200"/>
      <c r="E1715" s="201"/>
      <c r="F1715" s="212"/>
      <c r="G1715" s="201"/>
      <c r="H1715" s="215"/>
      <c r="I1715" s="216"/>
    </row>
    <row r="1716" spans="1:9" ht="14.4" x14ac:dyDescent="0.3">
      <c r="A1716" s="197"/>
      <c r="B1716" s="198"/>
      <c r="C1716" s="199"/>
      <c r="D1716" s="200"/>
      <c r="E1716" s="201"/>
      <c r="F1716" s="212"/>
      <c r="G1716" s="201"/>
      <c r="H1716" s="215"/>
      <c r="I1716" s="216"/>
    </row>
    <row r="1717" spans="1:9" ht="14.4" x14ac:dyDescent="0.3">
      <c r="A1717" s="197"/>
      <c r="B1717" s="198"/>
      <c r="C1717" s="199"/>
      <c r="D1717" s="200"/>
      <c r="E1717" s="201"/>
      <c r="F1717" s="212"/>
      <c r="G1717" s="201"/>
      <c r="H1717" s="215"/>
      <c r="I1717" s="217"/>
    </row>
    <row r="1718" spans="1:9" ht="14.4" x14ac:dyDescent="0.3">
      <c r="A1718" s="197"/>
      <c r="B1718" s="198"/>
      <c r="C1718" s="199"/>
      <c r="D1718" s="200"/>
      <c r="E1718" s="196"/>
      <c r="F1718" s="212"/>
      <c r="G1718" s="196"/>
      <c r="H1718" s="215"/>
      <c r="I1718" s="217"/>
    </row>
    <row r="1719" spans="1:9" ht="14.4" x14ac:dyDescent="0.3">
      <c r="A1719" s="197"/>
      <c r="B1719" s="198"/>
      <c r="C1719" s="199"/>
      <c r="D1719" s="200"/>
      <c r="E1719" s="196"/>
      <c r="F1719" s="212"/>
      <c r="G1719" s="196"/>
      <c r="H1719" s="215"/>
      <c r="I1719" s="216"/>
    </row>
    <row r="1720" spans="1:9" ht="14.4" x14ac:dyDescent="0.3">
      <c r="A1720" s="197"/>
      <c r="B1720" s="198"/>
      <c r="C1720" s="199"/>
      <c r="D1720" s="200"/>
      <c r="E1720" s="201"/>
      <c r="F1720" s="212"/>
      <c r="G1720" s="201"/>
      <c r="H1720" s="215"/>
      <c r="I1720" s="216"/>
    </row>
    <row r="1721" spans="1:9" ht="14.4" x14ac:dyDescent="0.3">
      <c r="A1721" s="197"/>
      <c r="B1721" s="198"/>
      <c r="C1721" s="199"/>
      <c r="D1721" s="200"/>
      <c r="E1721" s="202"/>
      <c r="F1721" s="212"/>
      <c r="G1721" s="201"/>
      <c r="H1721" s="215"/>
      <c r="I1721" s="216"/>
    </row>
    <row r="1722" spans="1:9" ht="14.4" x14ac:dyDescent="0.3">
      <c r="A1722" s="197"/>
      <c r="B1722" s="198"/>
      <c r="C1722" s="199"/>
      <c r="D1722" s="200"/>
      <c r="E1722" s="201"/>
      <c r="F1722" s="212"/>
      <c r="G1722" s="201"/>
      <c r="H1722" s="215"/>
      <c r="I1722" s="216"/>
    </row>
    <row r="1723" spans="1:9" ht="14.4" x14ac:dyDescent="0.3">
      <c r="A1723" s="197"/>
      <c r="B1723" s="198"/>
      <c r="C1723" s="199"/>
      <c r="D1723" s="200"/>
      <c r="E1723" s="201"/>
      <c r="F1723" s="212"/>
      <c r="G1723" s="201"/>
      <c r="H1723" s="215"/>
      <c r="I1723" s="216"/>
    </row>
    <row r="1724" spans="1:9" ht="14.4" x14ac:dyDescent="0.3">
      <c r="A1724" s="197"/>
      <c r="B1724" s="203"/>
      <c r="C1724" s="204"/>
      <c r="D1724" s="205"/>
      <c r="E1724" s="206"/>
      <c r="F1724" s="218"/>
      <c r="G1724" s="206"/>
      <c r="H1724" s="219"/>
      <c r="I1724" s="220"/>
    </row>
    <row r="1725" spans="1:9" ht="15" thickBot="1" x14ac:dyDescent="0.35">
      <c r="A1725" s="207"/>
      <c r="B1725" s="208"/>
      <c r="C1725" s="209"/>
      <c r="D1725" s="210"/>
      <c r="E1725" s="211"/>
      <c r="F1725" s="221"/>
      <c r="G1725" s="211"/>
      <c r="H1725" s="222"/>
      <c r="I1725" s="223"/>
    </row>
    <row r="1726" spans="1:9" ht="14.4" thickBot="1" x14ac:dyDescent="0.35"/>
    <row r="1727" spans="1:9" ht="14.4" thickBot="1" x14ac:dyDescent="0.35">
      <c r="A1727" s="226" t="s">
        <v>1204</v>
      </c>
      <c r="B1727" s="224" t="s">
        <v>1205</v>
      </c>
      <c r="C1727" s="224" t="s">
        <v>1206</v>
      </c>
      <c r="D1727" s="224" t="s">
        <v>1207</v>
      </c>
      <c r="E1727" s="368" t="s">
        <v>1208</v>
      </c>
      <c r="F1727" s="368"/>
      <c r="G1727" s="368"/>
      <c r="H1727" s="224" t="s">
        <v>1209</v>
      </c>
      <c r="I1727" s="225" t="s">
        <v>1210</v>
      </c>
    </row>
    <row r="1728" spans="1:9" ht="14.4" x14ac:dyDescent="0.3">
      <c r="A1728" s="197"/>
      <c r="B1728" s="193"/>
      <c r="C1728" s="194"/>
      <c r="D1728" s="195"/>
      <c r="E1728" s="196"/>
      <c r="F1728" s="212"/>
      <c r="G1728" s="196"/>
      <c r="H1728" s="213"/>
      <c r="I1728" s="214"/>
    </row>
    <row r="1729" spans="1:9" ht="14.4" x14ac:dyDescent="0.3">
      <c r="A1729" s="197"/>
      <c r="B1729" s="198"/>
      <c r="C1729" s="199"/>
      <c r="D1729" s="200"/>
      <c r="E1729" s="201"/>
      <c r="F1729" s="212"/>
      <c r="G1729" s="201"/>
      <c r="H1729" s="215"/>
      <c r="I1729" s="216"/>
    </row>
    <row r="1730" spans="1:9" ht="14.4" x14ac:dyDescent="0.3">
      <c r="A1730" s="197"/>
      <c r="B1730" s="198"/>
      <c r="C1730" s="199"/>
      <c r="D1730" s="200"/>
      <c r="E1730" s="201"/>
      <c r="F1730" s="212"/>
      <c r="G1730" s="201"/>
      <c r="H1730" s="215"/>
      <c r="I1730" s="216"/>
    </row>
    <row r="1731" spans="1:9" ht="14.4" x14ac:dyDescent="0.3">
      <c r="A1731" s="197"/>
      <c r="B1731" s="198"/>
      <c r="C1731" s="199"/>
      <c r="D1731" s="200"/>
      <c r="E1731" s="201"/>
      <c r="F1731" s="212"/>
      <c r="G1731" s="201"/>
      <c r="H1731" s="215"/>
      <c r="I1731" s="217"/>
    </row>
    <row r="1732" spans="1:9" ht="14.4" x14ac:dyDescent="0.3">
      <c r="A1732" s="197"/>
      <c r="B1732" s="198"/>
      <c r="C1732" s="199"/>
      <c r="D1732" s="200"/>
      <c r="E1732" s="196"/>
      <c r="F1732" s="212"/>
      <c r="G1732" s="196"/>
      <c r="H1732" s="215"/>
      <c r="I1732" s="217"/>
    </row>
    <row r="1733" spans="1:9" ht="14.4" x14ac:dyDescent="0.3">
      <c r="A1733" s="197"/>
      <c r="B1733" s="198"/>
      <c r="C1733" s="199"/>
      <c r="D1733" s="200"/>
      <c r="E1733" s="196"/>
      <c r="F1733" s="212"/>
      <c r="G1733" s="196"/>
      <c r="H1733" s="215"/>
      <c r="I1733" s="216"/>
    </row>
    <row r="1734" spans="1:9" ht="14.4" x14ac:dyDescent="0.3">
      <c r="A1734" s="197"/>
      <c r="B1734" s="198"/>
      <c r="C1734" s="199"/>
      <c r="D1734" s="200"/>
      <c r="E1734" s="201"/>
      <c r="F1734" s="212"/>
      <c r="G1734" s="201"/>
      <c r="H1734" s="215"/>
      <c r="I1734" s="216"/>
    </row>
    <row r="1735" spans="1:9" ht="14.4" x14ac:dyDescent="0.3">
      <c r="A1735" s="197"/>
      <c r="B1735" s="198"/>
      <c r="C1735" s="199"/>
      <c r="D1735" s="200"/>
      <c r="E1735" s="202"/>
      <c r="F1735" s="212"/>
      <c r="G1735" s="201"/>
      <c r="H1735" s="215"/>
      <c r="I1735" s="216"/>
    </row>
    <row r="1736" spans="1:9" ht="14.4" x14ac:dyDescent="0.3">
      <c r="A1736" s="197"/>
      <c r="B1736" s="198"/>
      <c r="C1736" s="199"/>
      <c r="D1736" s="200"/>
      <c r="E1736" s="201"/>
      <c r="F1736" s="212"/>
      <c r="G1736" s="201"/>
      <c r="H1736" s="215"/>
      <c r="I1736" s="216"/>
    </row>
    <row r="1737" spans="1:9" ht="14.4" x14ac:dyDescent="0.3">
      <c r="A1737" s="197"/>
      <c r="B1737" s="198"/>
      <c r="C1737" s="199"/>
      <c r="D1737" s="200"/>
      <c r="E1737" s="201"/>
      <c r="F1737" s="212"/>
      <c r="G1737" s="201"/>
      <c r="H1737" s="215"/>
      <c r="I1737" s="216"/>
    </row>
    <row r="1738" spans="1:9" ht="14.4" x14ac:dyDescent="0.3">
      <c r="A1738" s="197"/>
      <c r="B1738" s="203"/>
      <c r="C1738" s="204"/>
      <c r="D1738" s="205"/>
      <c r="E1738" s="206"/>
      <c r="F1738" s="218"/>
      <c r="G1738" s="206"/>
      <c r="H1738" s="219"/>
      <c r="I1738" s="220"/>
    </row>
    <row r="1739" spans="1:9" ht="15" thickBot="1" x14ac:dyDescent="0.35">
      <c r="A1739" s="207"/>
      <c r="B1739" s="208"/>
      <c r="C1739" s="209"/>
      <c r="D1739" s="210"/>
      <c r="E1739" s="211"/>
      <c r="F1739" s="221"/>
      <c r="G1739" s="211"/>
      <c r="H1739" s="222"/>
      <c r="I1739" s="223"/>
    </row>
    <row r="1740" spans="1:9" ht="14.4" thickBot="1" x14ac:dyDescent="0.35"/>
    <row r="1741" spans="1:9" ht="14.4" thickBot="1" x14ac:dyDescent="0.35">
      <c r="A1741" s="226" t="s">
        <v>1204</v>
      </c>
      <c r="B1741" s="224" t="s">
        <v>1205</v>
      </c>
      <c r="C1741" s="224" t="s">
        <v>1206</v>
      </c>
      <c r="D1741" s="224" t="s">
        <v>1207</v>
      </c>
      <c r="E1741" s="368" t="s">
        <v>1208</v>
      </c>
      <c r="F1741" s="368"/>
      <c r="G1741" s="368"/>
      <c r="H1741" s="224" t="s">
        <v>1209</v>
      </c>
      <c r="I1741" s="225" t="s">
        <v>1210</v>
      </c>
    </row>
    <row r="1742" spans="1:9" ht="14.4" x14ac:dyDescent="0.3">
      <c r="A1742" s="197"/>
      <c r="B1742" s="193"/>
      <c r="C1742" s="194"/>
      <c r="D1742" s="195"/>
      <c r="E1742" s="196"/>
      <c r="F1742" s="212"/>
      <c r="G1742" s="196"/>
      <c r="H1742" s="213"/>
      <c r="I1742" s="214"/>
    </row>
    <row r="1743" spans="1:9" ht="14.4" x14ac:dyDescent="0.3">
      <c r="A1743" s="197"/>
      <c r="B1743" s="198"/>
      <c r="C1743" s="199"/>
      <c r="D1743" s="200"/>
      <c r="E1743" s="201"/>
      <c r="F1743" s="212"/>
      <c r="G1743" s="201"/>
      <c r="H1743" s="215"/>
      <c r="I1743" s="216"/>
    </row>
    <row r="1744" spans="1:9" ht="14.4" x14ac:dyDescent="0.3">
      <c r="A1744" s="197"/>
      <c r="B1744" s="198"/>
      <c r="C1744" s="199"/>
      <c r="D1744" s="200"/>
      <c r="E1744" s="201"/>
      <c r="F1744" s="212"/>
      <c r="G1744" s="201"/>
      <c r="H1744" s="215"/>
      <c r="I1744" s="216"/>
    </row>
    <row r="1745" spans="1:9" ht="14.4" x14ac:dyDescent="0.3">
      <c r="A1745" s="197"/>
      <c r="B1745" s="198"/>
      <c r="C1745" s="199"/>
      <c r="D1745" s="200"/>
      <c r="E1745" s="201"/>
      <c r="F1745" s="212"/>
      <c r="G1745" s="201"/>
      <c r="H1745" s="215"/>
      <c r="I1745" s="217"/>
    </row>
    <row r="1746" spans="1:9" ht="14.4" x14ac:dyDescent="0.3">
      <c r="A1746" s="197"/>
      <c r="B1746" s="198"/>
      <c r="C1746" s="199"/>
      <c r="D1746" s="200"/>
      <c r="E1746" s="196"/>
      <c r="F1746" s="212"/>
      <c r="G1746" s="196"/>
      <c r="H1746" s="215"/>
      <c r="I1746" s="217"/>
    </row>
    <row r="1747" spans="1:9" ht="14.4" x14ac:dyDescent="0.3">
      <c r="A1747" s="197"/>
      <c r="B1747" s="198"/>
      <c r="C1747" s="199"/>
      <c r="D1747" s="200"/>
      <c r="E1747" s="196"/>
      <c r="F1747" s="212"/>
      <c r="G1747" s="196"/>
      <c r="H1747" s="215"/>
      <c r="I1747" s="216"/>
    </row>
    <row r="1748" spans="1:9" ht="14.4" x14ac:dyDescent="0.3">
      <c r="A1748" s="197"/>
      <c r="B1748" s="198"/>
      <c r="C1748" s="199"/>
      <c r="D1748" s="200"/>
      <c r="E1748" s="201"/>
      <c r="F1748" s="212"/>
      <c r="G1748" s="201"/>
      <c r="H1748" s="215"/>
      <c r="I1748" s="216"/>
    </row>
    <row r="1749" spans="1:9" ht="14.4" x14ac:dyDescent="0.3">
      <c r="A1749" s="197"/>
      <c r="B1749" s="198"/>
      <c r="C1749" s="199"/>
      <c r="D1749" s="200"/>
      <c r="E1749" s="202"/>
      <c r="F1749" s="212"/>
      <c r="G1749" s="201"/>
      <c r="H1749" s="215"/>
      <c r="I1749" s="216"/>
    </row>
    <row r="1750" spans="1:9" ht="14.4" x14ac:dyDescent="0.3">
      <c r="A1750" s="197"/>
      <c r="B1750" s="198"/>
      <c r="C1750" s="199"/>
      <c r="D1750" s="200"/>
      <c r="E1750" s="201"/>
      <c r="F1750" s="212"/>
      <c r="G1750" s="201"/>
      <c r="H1750" s="215"/>
      <c r="I1750" s="216"/>
    </row>
    <row r="1751" spans="1:9" ht="14.4" x14ac:dyDescent="0.3">
      <c r="A1751" s="197"/>
      <c r="B1751" s="198"/>
      <c r="C1751" s="199"/>
      <c r="D1751" s="200"/>
      <c r="E1751" s="201"/>
      <c r="F1751" s="212"/>
      <c r="G1751" s="201"/>
      <c r="H1751" s="215"/>
      <c r="I1751" s="216"/>
    </row>
    <row r="1752" spans="1:9" ht="14.4" x14ac:dyDescent="0.3">
      <c r="A1752" s="197"/>
      <c r="B1752" s="203"/>
      <c r="C1752" s="204"/>
      <c r="D1752" s="205"/>
      <c r="E1752" s="206"/>
      <c r="F1752" s="218"/>
      <c r="G1752" s="206"/>
      <c r="H1752" s="219"/>
      <c r="I1752" s="220"/>
    </row>
    <row r="1753" spans="1:9" ht="15" thickBot="1" x14ac:dyDescent="0.35">
      <c r="A1753" s="207"/>
      <c r="B1753" s="208"/>
      <c r="C1753" s="209"/>
      <c r="D1753" s="210"/>
      <c r="E1753" s="211"/>
      <c r="F1753" s="221"/>
      <c r="G1753" s="211"/>
      <c r="H1753" s="222"/>
      <c r="I1753" s="223"/>
    </row>
    <row r="1754" spans="1:9" ht="14.4" thickBot="1" x14ac:dyDescent="0.35"/>
    <row r="1755" spans="1:9" ht="14.4" thickBot="1" x14ac:dyDescent="0.35">
      <c r="A1755" s="226" t="s">
        <v>1204</v>
      </c>
      <c r="B1755" s="224" t="s">
        <v>1205</v>
      </c>
      <c r="C1755" s="224" t="s">
        <v>1206</v>
      </c>
      <c r="D1755" s="224" t="s">
        <v>1207</v>
      </c>
      <c r="E1755" s="368" t="s">
        <v>1208</v>
      </c>
      <c r="F1755" s="368"/>
      <c r="G1755" s="368"/>
      <c r="H1755" s="224" t="s">
        <v>1209</v>
      </c>
      <c r="I1755" s="225" t="s">
        <v>1210</v>
      </c>
    </row>
    <row r="1756" spans="1:9" ht="14.4" x14ac:dyDescent="0.3">
      <c r="A1756" s="197"/>
      <c r="B1756" s="193"/>
      <c r="C1756" s="194"/>
      <c r="D1756" s="195"/>
      <c r="E1756" s="196"/>
      <c r="F1756" s="212"/>
      <c r="G1756" s="196"/>
      <c r="H1756" s="213"/>
      <c r="I1756" s="214"/>
    </row>
    <row r="1757" spans="1:9" ht="14.4" x14ac:dyDescent="0.3">
      <c r="A1757" s="197"/>
      <c r="B1757" s="198"/>
      <c r="C1757" s="199"/>
      <c r="D1757" s="200"/>
      <c r="E1757" s="201"/>
      <c r="F1757" s="212"/>
      <c r="G1757" s="201"/>
      <c r="H1757" s="215"/>
      <c r="I1757" s="216"/>
    </row>
    <row r="1758" spans="1:9" ht="14.4" x14ac:dyDescent="0.3">
      <c r="A1758" s="197"/>
      <c r="B1758" s="198"/>
      <c r="C1758" s="199"/>
      <c r="D1758" s="200"/>
      <c r="E1758" s="201"/>
      <c r="F1758" s="212"/>
      <c r="G1758" s="201"/>
      <c r="H1758" s="215"/>
      <c r="I1758" s="216"/>
    </row>
    <row r="1759" spans="1:9" ht="14.4" x14ac:dyDescent="0.3">
      <c r="A1759" s="197"/>
      <c r="B1759" s="198"/>
      <c r="C1759" s="199"/>
      <c r="D1759" s="200"/>
      <c r="E1759" s="201"/>
      <c r="F1759" s="212"/>
      <c r="G1759" s="201"/>
      <c r="H1759" s="215"/>
      <c r="I1759" s="217"/>
    </row>
    <row r="1760" spans="1:9" ht="14.4" x14ac:dyDescent="0.3">
      <c r="A1760" s="197"/>
      <c r="B1760" s="198"/>
      <c r="C1760" s="199"/>
      <c r="D1760" s="200"/>
      <c r="E1760" s="196"/>
      <c r="F1760" s="212"/>
      <c r="G1760" s="196"/>
      <c r="H1760" s="215"/>
      <c r="I1760" s="217"/>
    </row>
    <row r="1761" spans="1:9" ht="14.4" x14ac:dyDescent="0.3">
      <c r="A1761" s="197"/>
      <c r="B1761" s="198"/>
      <c r="C1761" s="199"/>
      <c r="D1761" s="200"/>
      <c r="E1761" s="196"/>
      <c r="F1761" s="212"/>
      <c r="G1761" s="196"/>
      <c r="H1761" s="215"/>
      <c r="I1761" s="216"/>
    </row>
    <row r="1762" spans="1:9" ht="14.4" x14ac:dyDescent="0.3">
      <c r="A1762" s="197"/>
      <c r="B1762" s="198"/>
      <c r="C1762" s="199"/>
      <c r="D1762" s="200"/>
      <c r="E1762" s="201"/>
      <c r="F1762" s="212"/>
      <c r="G1762" s="201"/>
      <c r="H1762" s="215"/>
      <c r="I1762" s="216"/>
    </row>
    <row r="1763" spans="1:9" ht="14.4" x14ac:dyDescent="0.3">
      <c r="A1763" s="197"/>
      <c r="B1763" s="198"/>
      <c r="C1763" s="199"/>
      <c r="D1763" s="200"/>
      <c r="E1763" s="202"/>
      <c r="F1763" s="212"/>
      <c r="G1763" s="201"/>
      <c r="H1763" s="215"/>
      <c r="I1763" s="216"/>
    </row>
    <row r="1764" spans="1:9" ht="14.4" x14ac:dyDescent="0.3">
      <c r="A1764" s="197"/>
      <c r="B1764" s="198"/>
      <c r="C1764" s="199"/>
      <c r="D1764" s="200"/>
      <c r="E1764" s="201"/>
      <c r="F1764" s="212"/>
      <c r="G1764" s="201"/>
      <c r="H1764" s="215"/>
      <c r="I1764" s="216"/>
    </row>
    <row r="1765" spans="1:9" ht="14.4" x14ac:dyDescent="0.3">
      <c r="A1765" s="197"/>
      <c r="B1765" s="198"/>
      <c r="C1765" s="199"/>
      <c r="D1765" s="200"/>
      <c r="E1765" s="201"/>
      <c r="F1765" s="212"/>
      <c r="G1765" s="201"/>
      <c r="H1765" s="215"/>
      <c r="I1765" s="216"/>
    </row>
    <row r="1766" spans="1:9" ht="14.4" x14ac:dyDescent="0.3">
      <c r="A1766" s="197"/>
      <c r="B1766" s="203"/>
      <c r="C1766" s="204"/>
      <c r="D1766" s="205"/>
      <c r="E1766" s="206"/>
      <c r="F1766" s="218"/>
      <c r="G1766" s="206"/>
      <c r="H1766" s="219"/>
      <c r="I1766" s="220"/>
    </row>
    <row r="1767" spans="1:9" ht="15" thickBot="1" x14ac:dyDescent="0.35">
      <c r="A1767" s="207"/>
      <c r="B1767" s="208"/>
      <c r="C1767" s="209"/>
      <c r="D1767" s="210"/>
      <c r="E1767" s="211"/>
      <c r="F1767" s="221"/>
      <c r="G1767" s="211"/>
      <c r="H1767" s="222"/>
      <c r="I1767" s="223"/>
    </row>
    <row r="1768" spans="1:9" ht="14.4" thickBot="1" x14ac:dyDescent="0.35"/>
    <row r="1769" spans="1:9" ht="14.4" thickBot="1" x14ac:dyDescent="0.35">
      <c r="A1769" s="226" t="s">
        <v>1204</v>
      </c>
      <c r="B1769" s="224" t="s">
        <v>1205</v>
      </c>
      <c r="C1769" s="224" t="s">
        <v>1206</v>
      </c>
      <c r="D1769" s="224" t="s">
        <v>1207</v>
      </c>
      <c r="E1769" s="368" t="s">
        <v>1208</v>
      </c>
      <c r="F1769" s="368"/>
      <c r="G1769" s="368"/>
      <c r="H1769" s="224" t="s">
        <v>1209</v>
      </c>
      <c r="I1769" s="225" t="s">
        <v>1210</v>
      </c>
    </row>
    <row r="1770" spans="1:9" ht="14.4" x14ac:dyDescent="0.3">
      <c r="A1770" s="197"/>
      <c r="B1770" s="193"/>
      <c r="C1770" s="194"/>
      <c r="D1770" s="195"/>
      <c r="E1770" s="196"/>
      <c r="F1770" s="212"/>
      <c r="G1770" s="196"/>
      <c r="H1770" s="213"/>
      <c r="I1770" s="214"/>
    </row>
    <row r="1771" spans="1:9" ht="14.4" x14ac:dyDescent="0.3">
      <c r="A1771" s="197"/>
      <c r="B1771" s="198"/>
      <c r="C1771" s="199"/>
      <c r="D1771" s="200"/>
      <c r="E1771" s="201"/>
      <c r="F1771" s="212"/>
      <c r="G1771" s="201"/>
      <c r="H1771" s="215"/>
      <c r="I1771" s="216"/>
    </row>
    <row r="1772" spans="1:9" ht="14.4" x14ac:dyDescent="0.3">
      <c r="A1772" s="197"/>
      <c r="B1772" s="198"/>
      <c r="C1772" s="199"/>
      <c r="D1772" s="200"/>
      <c r="E1772" s="201"/>
      <c r="F1772" s="212"/>
      <c r="G1772" s="201"/>
      <c r="H1772" s="215"/>
      <c r="I1772" s="216"/>
    </row>
    <row r="1773" spans="1:9" ht="14.4" x14ac:dyDescent="0.3">
      <c r="A1773" s="197"/>
      <c r="B1773" s="198"/>
      <c r="C1773" s="199"/>
      <c r="D1773" s="200"/>
      <c r="E1773" s="201"/>
      <c r="F1773" s="212"/>
      <c r="G1773" s="201"/>
      <c r="H1773" s="215"/>
      <c r="I1773" s="217"/>
    </row>
    <row r="1774" spans="1:9" ht="14.4" x14ac:dyDescent="0.3">
      <c r="A1774" s="197"/>
      <c r="B1774" s="198"/>
      <c r="C1774" s="199"/>
      <c r="D1774" s="200"/>
      <c r="E1774" s="196"/>
      <c r="F1774" s="212"/>
      <c r="G1774" s="196"/>
      <c r="H1774" s="215"/>
      <c r="I1774" s="217"/>
    </row>
    <row r="1775" spans="1:9" ht="14.4" x14ac:dyDescent="0.3">
      <c r="A1775" s="197"/>
      <c r="B1775" s="198"/>
      <c r="C1775" s="199"/>
      <c r="D1775" s="200"/>
      <c r="E1775" s="196"/>
      <c r="F1775" s="212"/>
      <c r="G1775" s="196"/>
      <c r="H1775" s="215"/>
      <c r="I1775" s="216"/>
    </row>
    <row r="1776" spans="1:9" ht="14.4" x14ac:dyDescent="0.3">
      <c r="A1776" s="197"/>
      <c r="B1776" s="198"/>
      <c r="C1776" s="199"/>
      <c r="D1776" s="200"/>
      <c r="E1776" s="201"/>
      <c r="F1776" s="212"/>
      <c r="G1776" s="201"/>
      <c r="H1776" s="215"/>
      <c r="I1776" s="216"/>
    </row>
    <row r="1777" spans="1:9" ht="14.4" x14ac:dyDescent="0.3">
      <c r="A1777" s="197"/>
      <c r="B1777" s="198"/>
      <c r="C1777" s="199"/>
      <c r="D1777" s="200"/>
      <c r="E1777" s="202"/>
      <c r="F1777" s="212"/>
      <c r="G1777" s="201"/>
      <c r="H1777" s="215"/>
      <c r="I1777" s="216"/>
    </row>
    <row r="1778" spans="1:9" ht="14.4" x14ac:dyDescent="0.3">
      <c r="A1778" s="197"/>
      <c r="B1778" s="198"/>
      <c r="C1778" s="199"/>
      <c r="D1778" s="200"/>
      <c r="E1778" s="201"/>
      <c r="F1778" s="212"/>
      <c r="G1778" s="201"/>
      <c r="H1778" s="215"/>
      <c r="I1778" s="216"/>
    </row>
    <row r="1779" spans="1:9" ht="14.4" x14ac:dyDescent="0.3">
      <c r="A1779" s="197"/>
      <c r="B1779" s="198"/>
      <c r="C1779" s="199"/>
      <c r="D1779" s="200"/>
      <c r="E1779" s="201"/>
      <c r="F1779" s="212"/>
      <c r="G1779" s="201"/>
      <c r="H1779" s="215"/>
      <c r="I1779" s="216"/>
    </row>
    <row r="1780" spans="1:9" ht="14.4" x14ac:dyDescent="0.3">
      <c r="A1780" s="197"/>
      <c r="B1780" s="203"/>
      <c r="C1780" s="204"/>
      <c r="D1780" s="205"/>
      <c r="E1780" s="206"/>
      <c r="F1780" s="218"/>
      <c r="G1780" s="206"/>
      <c r="H1780" s="219"/>
      <c r="I1780" s="220"/>
    </row>
    <row r="1781" spans="1:9" ht="15" thickBot="1" x14ac:dyDescent="0.35">
      <c r="A1781" s="207"/>
      <c r="B1781" s="208"/>
      <c r="C1781" s="209"/>
      <c r="D1781" s="210"/>
      <c r="E1781" s="211"/>
      <c r="F1781" s="221"/>
      <c r="G1781" s="211"/>
      <c r="H1781" s="222"/>
      <c r="I1781" s="223"/>
    </row>
    <row r="1782" spans="1:9" ht="14.4" thickBot="1" x14ac:dyDescent="0.35"/>
    <row r="1783" spans="1:9" ht="14.4" thickBot="1" x14ac:dyDescent="0.35">
      <c r="A1783" s="226" t="s">
        <v>1204</v>
      </c>
      <c r="B1783" s="224" t="s">
        <v>1205</v>
      </c>
      <c r="C1783" s="224" t="s">
        <v>1206</v>
      </c>
      <c r="D1783" s="224" t="s">
        <v>1207</v>
      </c>
      <c r="E1783" s="368" t="s">
        <v>1208</v>
      </c>
      <c r="F1783" s="368"/>
      <c r="G1783" s="368"/>
      <c r="H1783" s="224" t="s">
        <v>1209</v>
      </c>
      <c r="I1783" s="225" t="s">
        <v>1210</v>
      </c>
    </row>
    <row r="1784" spans="1:9" ht="14.4" x14ac:dyDescent="0.3">
      <c r="A1784" s="197"/>
      <c r="B1784" s="193"/>
      <c r="C1784" s="194"/>
      <c r="D1784" s="195"/>
      <c r="E1784" s="196"/>
      <c r="F1784" s="212"/>
      <c r="G1784" s="196"/>
      <c r="H1784" s="213"/>
      <c r="I1784" s="214"/>
    </row>
    <row r="1785" spans="1:9" ht="14.4" x14ac:dyDescent="0.3">
      <c r="A1785" s="197"/>
      <c r="B1785" s="198"/>
      <c r="C1785" s="199"/>
      <c r="D1785" s="200"/>
      <c r="E1785" s="201"/>
      <c r="F1785" s="212"/>
      <c r="G1785" s="201"/>
      <c r="H1785" s="215"/>
      <c r="I1785" s="216"/>
    </row>
    <row r="1786" spans="1:9" ht="14.4" x14ac:dyDescent="0.3">
      <c r="A1786" s="197"/>
      <c r="B1786" s="198"/>
      <c r="C1786" s="199"/>
      <c r="D1786" s="200"/>
      <c r="E1786" s="201"/>
      <c r="F1786" s="212"/>
      <c r="G1786" s="201"/>
      <c r="H1786" s="215"/>
      <c r="I1786" s="216"/>
    </row>
    <row r="1787" spans="1:9" ht="14.4" x14ac:dyDescent="0.3">
      <c r="A1787" s="197"/>
      <c r="B1787" s="198"/>
      <c r="C1787" s="199"/>
      <c r="D1787" s="200"/>
      <c r="E1787" s="201"/>
      <c r="F1787" s="212"/>
      <c r="G1787" s="201"/>
      <c r="H1787" s="215"/>
      <c r="I1787" s="217"/>
    </row>
    <row r="1788" spans="1:9" ht="14.4" x14ac:dyDescent="0.3">
      <c r="A1788" s="197"/>
      <c r="B1788" s="198"/>
      <c r="C1788" s="199"/>
      <c r="D1788" s="200"/>
      <c r="E1788" s="196"/>
      <c r="F1788" s="212"/>
      <c r="G1788" s="196"/>
      <c r="H1788" s="215"/>
      <c r="I1788" s="217"/>
    </row>
    <row r="1789" spans="1:9" ht="14.4" x14ac:dyDescent="0.3">
      <c r="A1789" s="197"/>
      <c r="B1789" s="198"/>
      <c r="C1789" s="199"/>
      <c r="D1789" s="200"/>
      <c r="E1789" s="196"/>
      <c r="F1789" s="212"/>
      <c r="G1789" s="196"/>
      <c r="H1789" s="215"/>
      <c r="I1789" s="216"/>
    </row>
    <row r="1790" spans="1:9" ht="14.4" x14ac:dyDescent="0.3">
      <c r="A1790" s="197"/>
      <c r="B1790" s="198"/>
      <c r="C1790" s="199"/>
      <c r="D1790" s="200"/>
      <c r="E1790" s="201"/>
      <c r="F1790" s="212"/>
      <c r="G1790" s="201"/>
      <c r="H1790" s="215"/>
      <c r="I1790" s="216"/>
    </row>
    <row r="1791" spans="1:9" ht="14.4" x14ac:dyDescent="0.3">
      <c r="A1791" s="197"/>
      <c r="B1791" s="198"/>
      <c r="C1791" s="199"/>
      <c r="D1791" s="200"/>
      <c r="E1791" s="202"/>
      <c r="F1791" s="212"/>
      <c r="G1791" s="201"/>
      <c r="H1791" s="215"/>
      <c r="I1791" s="216"/>
    </row>
    <row r="1792" spans="1:9" ht="14.4" x14ac:dyDescent="0.3">
      <c r="A1792" s="197"/>
      <c r="B1792" s="198"/>
      <c r="C1792" s="199"/>
      <c r="D1792" s="200"/>
      <c r="E1792" s="201"/>
      <c r="F1792" s="212"/>
      <c r="G1792" s="201"/>
      <c r="H1792" s="215"/>
      <c r="I1792" s="216"/>
    </row>
    <row r="1793" spans="1:9" ht="14.4" x14ac:dyDescent="0.3">
      <c r="A1793" s="197"/>
      <c r="B1793" s="198"/>
      <c r="C1793" s="199"/>
      <c r="D1793" s="200"/>
      <c r="E1793" s="201"/>
      <c r="F1793" s="212"/>
      <c r="G1793" s="201"/>
      <c r="H1793" s="215"/>
      <c r="I1793" s="216"/>
    </row>
    <row r="1794" spans="1:9" ht="14.4" x14ac:dyDescent="0.3">
      <c r="A1794" s="197"/>
      <c r="B1794" s="203"/>
      <c r="C1794" s="204"/>
      <c r="D1794" s="205"/>
      <c r="E1794" s="206"/>
      <c r="F1794" s="218"/>
      <c r="G1794" s="206"/>
      <c r="H1794" s="219"/>
      <c r="I1794" s="220"/>
    </row>
    <row r="1795" spans="1:9" ht="15" thickBot="1" x14ac:dyDescent="0.35">
      <c r="A1795" s="207"/>
      <c r="B1795" s="208"/>
      <c r="C1795" s="209"/>
      <c r="D1795" s="210"/>
      <c r="E1795" s="211"/>
      <c r="F1795" s="221"/>
      <c r="G1795" s="211"/>
      <c r="H1795" s="222"/>
      <c r="I1795" s="223"/>
    </row>
    <row r="1796" spans="1:9" ht="14.4" thickBot="1" x14ac:dyDescent="0.35"/>
    <row r="1797" spans="1:9" ht="14.4" thickBot="1" x14ac:dyDescent="0.35">
      <c r="A1797" s="226" t="s">
        <v>1204</v>
      </c>
      <c r="B1797" s="224" t="s">
        <v>1205</v>
      </c>
      <c r="C1797" s="224" t="s">
        <v>1206</v>
      </c>
      <c r="D1797" s="224" t="s">
        <v>1207</v>
      </c>
      <c r="E1797" s="368" t="s">
        <v>1208</v>
      </c>
      <c r="F1797" s="368"/>
      <c r="G1797" s="368"/>
      <c r="H1797" s="224" t="s">
        <v>1209</v>
      </c>
      <c r="I1797" s="225" t="s">
        <v>1210</v>
      </c>
    </row>
    <row r="1798" spans="1:9" ht="14.4" x14ac:dyDescent="0.3">
      <c r="A1798" s="197"/>
      <c r="B1798" s="193"/>
      <c r="C1798" s="194"/>
      <c r="D1798" s="195"/>
      <c r="E1798" s="196"/>
      <c r="F1798" s="212"/>
      <c r="G1798" s="196"/>
      <c r="H1798" s="213"/>
      <c r="I1798" s="214"/>
    </row>
    <row r="1799" spans="1:9" ht="14.4" x14ac:dyDescent="0.3">
      <c r="A1799" s="197"/>
      <c r="B1799" s="198"/>
      <c r="C1799" s="199"/>
      <c r="D1799" s="200"/>
      <c r="E1799" s="201"/>
      <c r="F1799" s="212"/>
      <c r="G1799" s="201"/>
      <c r="H1799" s="215"/>
      <c r="I1799" s="216"/>
    </row>
    <row r="1800" spans="1:9" ht="14.4" x14ac:dyDescent="0.3">
      <c r="A1800" s="197"/>
      <c r="B1800" s="198"/>
      <c r="C1800" s="199"/>
      <c r="D1800" s="200"/>
      <c r="E1800" s="201"/>
      <c r="F1800" s="212"/>
      <c r="G1800" s="201"/>
      <c r="H1800" s="215"/>
      <c r="I1800" s="216"/>
    </row>
    <row r="1801" spans="1:9" ht="14.4" x14ac:dyDescent="0.3">
      <c r="A1801" s="197"/>
      <c r="B1801" s="198"/>
      <c r="C1801" s="199"/>
      <c r="D1801" s="200"/>
      <c r="E1801" s="201"/>
      <c r="F1801" s="212"/>
      <c r="G1801" s="201"/>
      <c r="H1801" s="215"/>
      <c r="I1801" s="217"/>
    </row>
    <row r="1802" spans="1:9" ht="14.4" x14ac:dyDescent="0.3">
      <c r="A1802" s="197"/>
      <c r="B1802" s="198"/>
      <c r="C1802" s="199"/>
      <c r="D1802" s="200"/>
      <c r="E1802" s="196"/>
      <c r="F1802" s="212"/>
      <c r="G1802" s="196"/>
      <c r="H1802" s="215"/>
      <c r="I1802" s="217"/>
    </row>
    <row r="1803" spans="1:9" ht="14.4" x14ac:dyDescent="0.3">
      <c r="A1803" s="197"/>
      <c r="B1803" s="198"/>
      <c r="C1803" s="199"/>
      <c r="D1803" s="200"/>
      <c r="E1803" s="196"/>
      <c r="F1803" s="212"/>
      <c r="G1803" s="196"/>
      <c r="H1803" s="215"/>
      <c r="I1803" s="216"/>
    </row>
    <row r="1804" spans="1:9" ht="14.4" x14ac:dyDescent="0.3">
      <c r="A1804" s="197"/>
      <c r="B1804" s="198"/>
      <c r="C1804" s="199"/>
      <c r="D1804" s="200"/>
      <c r="E1804" s="201"/>
      <c r="F1804" s="212"/>
      <c r="G1804" s="201"/>
      <c r="H1804" s="215"/>
      <c r="I1804" s="216"/>
    </row>
    <row r="1805" spans="1:9" ht="14.4" x14ac:dyDescent="0.3">
      <c r="A1805" s="197"/>
      <c r="B1805" s="198"/>
      <c r="C1805" s="199"/>
      <c r="D1805" s="200"/>
      <c r="E1805" s="202"/>
      <c r="F1805" s="212"/>
      <c r="G1805" s="201"/>
      <c r="H1805" s="215"/>
      <c r="I1805" s="216"/>
    </row>
    <row r="1806" spans="1:9" ht="14.4" x14ac:dyDescent="0.3">
      <c r="A1806" s="197"/>
      <c r="B1806" s="198"/>
      <c r="C1806" s="199"/>
      <c r="D1806" s="200"/>
      <c r="E1806" s="201"/>
      <c r="F1806" s="212"/>
      <c r="G1806" s="201"/>
      <c r="H1806" s="215"/>
      <c r="I1806" s="216"/>
    </row>
    <row r="1807" spans="1:9" ht="14.4" x14ac:dyDescent="0.3">
      <c r="A1807" s="197"/>
      <c r="B1807" s="198"/>
      <c r="C1807" s="199"/>
      <c r="D1807" s="200"/>
      <c r="E1807" s="201"/>
      <c r="F1807" s="212"/>
      <c r="G1807" s="201"/>
      <c r="H1807" s="215"/>
      <c r="I1807" s="216"/>
    </row>
    <row r="1808" spans="1:9" ht="14.4" x14ac:dyDescent="0.3">
      <c r="A1808" s="197"/>
      <c r="B1808" s="203"/>
      <c r="C1808" s="204"/>
      <c r="D1808" s="205"/>
      <c r="E1808" s="206"/>
      <c r="F1808" s="218"/>
      <c r="G1808" s="206"/>
      <c r="H1808" s="219"/>
      <c r="I1808" s="220"/>
    </row>
    <row r="1809" spans="1:9" ht="15" thickBot="1" x14ac:dyDescent="0.35">
      <c r="A1809" s="207"/>
      <c r="B1809" s="208"/>
      <c r="C1809" s="209"/>
      <c r="D1809" s="210"/>
      <c r="E1809" s="211"/>
      <c r="F1809" s="221"/>
      <c r="G1809" s="211"/>
      <c r="H1809" s="222"/>
      <c r="I1809" s="223"/>
    </row>
    <row r="1810" spans="1:9" ht="14.4" thickBot="1" x14ac:dyDescent="0.35"/>
    <row r="1811" spans="1:9" ht="14.4" thickBot="1" x14ac:dyDescent="0.35">
      <c r="A1811" s="226" t="s">
        <v>1204</v>
      </c>
      <c r="B1811" s="224" t="s">
        <v>1205</v>
      </c>
      <c r="C1811" s="224" t="s">
        <v>1206</v>
      </c>
      <c r="D1811" s="224" t="s">
        <v>1207</v>
      </c>
      <c r="E1811" s="368" t="s">
        <v>1208</v>
      </c>
      <c r="F1811" s="368"/>
      <c r="G1811" s="368"/>
      <c r="H1811" s="224" t="s">
        <v>1209</v>
      </c>
      <c r="I1811" s="225" t="s">
        <v>1210</v>
      </c>
    </row>
    <row r="1812" spans="1:9" ht="14.4" x14ac:dyDescent="0.3">
      <c r="A1812" s="197"/>
      <c r="B1812" s="193"/>
      <c r="C1812" s="194"/>
      <c r="D1812" s="195"/>
      <c r="E1812" s="196"/>
      <c r="F1812" s="212"/>
      <c r="G1812" s="196"/>
      <c r="H1812" s="213"/>
      <c r="I1812" s="214"/>
    </row>
    <row r="1813" spans="1:9" ht="14.4" x14ac:dyDescent="0.3">
      <c r="A1813" s="197"/>
      <c r="B1813" s="198"/>
      <c r="C1813" s="199"/>
      <c r="D1813" s="200"/>
      <c r="E1813" s="201"/>
      <c r="F1813" s="212"/>
      <c r="G1813" s="201"/>
      <c r="H1813" s="215"/>
      <c r="I1813" s="216"/>
    </row>
    <row r="1814" spans="1:9" ht="14.4" x14ac:dyDescent="0.3">
      <c r="A1814" s="197"/>
      <c r="B1814" s="198"/>
      <c r="C1814" s="199"/>
      <c r="D1814" s="200"/>
      <c r="E1814" s="201"/>
      <c r="F1814" s="212"/>
      <c r="G1814" s="201"/>
      <c r="H1814" s="215"/>
      <c r="I1814" s="216"/>
    </row>
    <row r="1815" spans="1:9" ht="14.4" x14ac:dyDescent="0.3">
      <c r="A1815" s="197"/>
      <c r="B1815" s="198"/>
      <c r="C1815" s="199"/>
      <c r="D1815" s="200"/>
      <c r="E1815" s="201"/>
      <c r="F1815" s="212"/>
      <c r="G1815" s="201"/>
      <c r="H1815" s="215"/>
      <c r="I1815" s="217"/>
    </row>
    <row r="1816" spans="1:9" ht="14.4" x14ac:dyDescent="0.3">
      <c r="A1816" s="197"/>
      <c r="B1816" s="198"/>
      <c r="C1816" s="199"/>
      <c r="D1816" s="200"/>
      <c r="E1816" s="196"/>
      <c r="F1816" s="212"/>
      <c r="G1816" s="196"/>
      <c r="H1816" s="215"/>
      <c r="I1816" s="217"/>
    </row>
    <row r="1817" spans="1:9" ht="14.4" x14ac:dyDescent="0.3">
      <c r="A1817" s="197"/>
      <c r="B1817" s="198"/>
      <c r="C1817" s="199"/>
      <c r="D1817" s="200"/>
      <c r="E1817" s="196"/>
      <c r="F1817" s="212"/>
      <c r="G1817" s="196"/>
      <c r="H1817" s="215"/>
      <c r="I1817" s="216"/>
    </row>
    <row r="1818" spans="1:9" ht="14.4" x14ac:dyDescent="0.3">
      <c r="A1818" s="197"/>
      <c r="B1818" s="198"/>
      <c r="C1818" s="199"/>
      <c r="D1818" s="200"/>
      <c r="E1818" s="201"/>
      <c r="F1818" s="212"/>
      <c r="G1818" s="201"/>
      <c r="H1818" s="215"/>
      <c r="I1818" s="216"/>
    </row>
    <row r="1819" spans="1:9" ht="14.4" x14ac:dyDescent="0.3">
      <c r="A1819" s="197"/>
      <c r="B1819" s="198"/>
      <c r="C1819" s="199"/>
      <c r="D1819" s="200"/>
      <c r="E1819" s="202"/>
      <c r="F1819" s="212"/>
      <c r="G1819" s="201"/>
      <c r="H1819" s="215"/>
      <c r="I1819" s="216"/>
    </row>
    <row r="1820" spans="1:9" ht="14.4" x14ac:dyDescent="0.3">
      <c r="A1820" s="197"/>
      <c r="B1820" s="198"/>
      <c r="C1820" s="199"/>
      <c r="D1820" s="200"/>
      <c r="E1820" s="201"/>
      <c r="F1820" s="212"/>
      <c r="G1820" s="201"/>
      <c r="H1820" s="215"/>
      <c r="I1820" s="216"/>
    </row>
    <row r="1821" spans="1:9" ht="14.4" x14ac:dyDescent="0.3">
      <c r="A1821" s="197"/>
      <c r="B1821" s="198"/>
      <c r="C1821" s="199"/>
      <c r="D1821" s="200"/>
      <c r="E1821" s="201"/>
      <c r="F1821" s="212"/>
      <c r="G1821" s="201"/>
      <c r="H1821" s="215"/>
      <c r="I1821" s="216"/>
    </row>
    <row r="1822" spans="1:9" ht="14.4" x14ac:dyDescent="0.3">
      <c r="A1822" s="197"/>
      <c r="B1822" s="203"/>
      <c r="C1822" s="204"/>
      <c r="D1822" s="205"/>
      <c r="E1822" s="206"/>
      <c r="F1822" s="218"/>
      <c r="G1822" s="206"/>
      <c r="H1822" s="219"/>
      <c r="I1822" s="220"/>
    </row>
    <row r="1823" spans="1:9" ht="15" thickBot="1" x14ac:dyDescent="0.35">
      <c r="A1823" s="207"/>
      <c r="B1823" s="208"/>
      <c r="C1823" s="209"/>
      <c r="D1823" s="210"/>
      <c r="E1823" s="211"/>
      <c r="F1823" s="221"/>
      <c r="G1823" s="211"/>
      <c r="H1823" s="222"/>
      <c r="I1823" s="223"/>
    </row>
    <row r="1824" spans="1:9" ht="14.4" thickBot="1" x14ac:dyDescent="0.35"/>
    <row r="1825" spans="1:9" ht="14.4" thickBot="1" x14ac:dyDescent="0.35">
      <c r="A1825" s="226" t="s">
        <v>1204</v>
      </c>
      <c r="B1825" s="224" t="s">
        <v>1205</v>
      </c>
      <c r="C1825" s="224" t="s">
        <v>1206</v>
      </c>
      <c r="D1825" s="224" t="s">
        <v>1207</v>
      </c>
      <c r="E1825" s="368" t="s">
        <v>1208</v>
      </c>
      <c r="F1825" s="368"/>
      <c r="G1825" s="368"/>
      <c r="H1825" s="224" t="s">
        <v>1209</v>
      </c>
      <c r="I1825" s="225" t="s">
        <v>1210</v>
      </c>
    </row>
    <row r="1826" spans="1:9" ht="14.4" x14ac:dyDescent="0.3">
      <c r="A1826" s="197"/>
      <c r="B1826" s="193"/>
      <c r="C1826" s="194"/>
      <c r="D1826" s="195"/>
      <c r="E1826" s="196"/>
      <c r="F1826" s="212"/>
      <c r="G1826" s="196"/>
      <c r="H1826" s="213"/>
      <c r="I1826" s="214"/>
    </row>
    <row r="1827" spans="1:9" ht="14.4" x14ac:dyDescent="0.3">
      <c r="A1827" s="197"/>
      <c r="B1827" s="198"/>
      <c r="C1827" s="199"/>
      <c r="D1827" s="200"/>
      <c r="E1827" s="201"/>
      <c r="F1827" s="212"/>
      <c r="G1827" s="201"/>
      <c r="H1827" s="215"/>
      <c r="I1827" s="216"/>
    </row>
    <row r="1828" spans="1:9" ht="14.4" x14ac:dyDescent="0.3">
      <c r="A1828" s="197"/>
      <c r="B1828" s="198"/>
      <c r="C1828" s="199"/>
      <c r="D1828" s="200"/>
      <c r="E1828" s="201"/>
      <c r="F1828" s="212"/>
      <c r="G1828" s="201"/>
      <c r="H1828" s="215"/>
      <c r="I1828" s="216"/>
    </row>
    <row r="1829" spans="1:9" ht="14.4" x14ac:dyDescent="0.3">
      <c r="A1829" s="197"/>
      <c r="B1829" s="198"/>
      <c r="C1829" s="199"/>
      <c r="D1829" s="200"/>
      <c r="E1829" s="201"/>
      <c r="F1829" s="212"/>
      <c r="G1829" s="201"/>
      <c r="H1829" s="215"/>
      <c r="I1829" s="217"/>
    </row>
    <row r="1830" spans="1:9" ht="14.4" x14ac:dyDescent="0.3">
      <c r="A1830" s="197"/>
      <c r="B1830" s="198"/>
      <c r="C1830" s="199"/>
      <c r="D1830" s="200"/>
      <c r="E1830" s="196"/>
      <c r="F1830" s="212"/>
      <c r="G1830" s="196"/>
      <c r="H1830" s="215"/>
      <c r="I1830" s="217"/>
    </row>
    <row r="1831" spans="1:9" ht="14.4" x14ac:dyDescent="0.3">
      <c r="A1831" s="197"/>
      <c r="B1831" s="198"/>
      <c r="C1831" s="199"/>
      <c r="D1831" s="200"/>
      <c r="E1831" s="196"/>
      <c r="F1831" s="212"/>
      <c r="G1831" s="196"/>
      <c r="H1831" s="215"/>
      <c r="I1831" s="216"/>
    </row>
    <row r="1832" spans="1:9" ht="14.4" x14ac:dyDescent="0.3">
      <c r="A1832" s="197"/>
      <c r="B1832" s="198"/>
      <c r="C1832" s="199"/>
      <c r="D1832" s="200"/>
      <c r="E1832" s="201"/>
      <c r="F1832" s="212"/>
      <c r="G1832" s="201"/>
      <c r="H1832" s="215"/>
      <c r="I1832" s="216"/>
    </row>
    <row r="1833" spans="1:9" ht="14.4" x14ac:dyDescent="0.3">
      <c r="A1833" s="197"/>
      <c r="B1833" s="198"/>
      <c r="C1833" s="199"/>
      <c r="D1833" s="200"/>
      <c r="E1833" s="202"/>
      <c r="F1833" s="212"/>
      <c r="G1833" s="201"/>
      <c r="H1833" s="215"/>
      <c r="I1833" s="216"/>
    </row>
    <row r="1834" spans="1:9" ht="14.4" x14ac:dyDescent="0.3">
      <c r="A1834" s="197"/>
      <c r="B1834" s="198"/>
      <c r="C1834" s="199"/>
      <c r="D1834" s="200"/>
      <c r="E1834" s="201"/>
      <c r="F1834" s="212"/>
      <c r="G1834" s="201"/>
      <c r="H1834" s="215"/>
      <c r="I1834" s="216"/>
    </row>
    <row r="1835" spans="1:9" ht="14.4" x14ac:dyDescent="0.3">
      <c r="A1835" s="197"/>
      <c r="B1835" s="198"/>
      <c r="C1835" s="199"/>
      <c r="D1835" s="200"/>
      <c r="E1835" s="201"/>
      <c r="F1835" s="212"/>
      <c r="G1835" s="201"/>
      <c r="H1835" s="215"/>
      <c r="I1835" s="216"/>
    </row>
    <row r="1836" spans="1:9" ht="14.4" x14ac:dyDescent="0.3">
      <c r="A1836" s="197"/>
      <c r="B1836" s="203"/>
      <c r="C1836" s="204"/>
      <c r="D1836" s="205"/>
      <c r="E1836" s="206"/>
      <c r="F1836" s="218"/>
      <c r="G1836" s="206"/>
      <c r="H1836" s="219"/>
      <c r="I1836" s="220"/>
    </row>
    <row r="1837" spans="1:9" ht="15" thickBot="1" x14ac:dyDescent="0.35">
      <c r="A1837" s="207"/>
      <c r="B1837" s="208"/>
      <c r="C1837" s="209"/>
      <c r="D1837" s="210"/>
      <c r="E1837" s="211"/>
      <c r="F1837" s="221"/>
      <c r="G1837" s="211"/>
      <c r="H1837" s="222"/>
      <c r="I1837" s="223"/>
    </row>
    <row r="1838" spans="1:9" ht="14.4" thickBot="1" x14ac:dyDescent="0.35"/>
    <row r="1839" spans="1:9" ht="14.4" thickBot="1" x14ac:dyDescent="0.35">
      <c r="A1839" s="226" t="s">
        <v>1204</v>
      </c>
      <c r="B1839" s="224" t="s">
        <v>1205</v>
      </c>
      <c r="C1839" s="224" t="s">
        <v>1206</v>
      </c>
      <c r="D1839" s="224" t="s">
        <v>1207</v>
      </c>
      <c r="E1839" s="368" t="s">
        <v>1208</v>
      </c>
      <c r="F1839" s="368"/>
      <c r="G1839" s="368"/>
      <c r="H1839" s="224" t="s">
        <v>1209</v>
      </c>
      <c r="I1839" s="225" t="s">
        <v>1210</v>
      </c>
    </row>
    <row r="1840" spans="1:9" ht="14.4" x14ac:dyDescent="0.3">
      <c r="A1840" s="197"/>
      <c r="B1840" s="193"/>
      <c r="C1840" s="194"/>
      <c r="D1840" s="195"/>
      <c r="E1840" s="196"/>
      <c r="F1840" s="212"/>
      <c r="G1840" s="196"/>
      <c r="H1840" s="213"/>
      <c r="I1840" s="214"/>
    </row>
    <row r="1841" spans="1:9" ht="14.4" x14ac:dyDescent="0.3">
      <c r="A1841" s="197"/>
      <c r="B1841" s="198"/>
      <c r="C1841" s="199"/>
      <c r="D1841" s="200"/>
      <c r="E1841" s="201"/>
      <c r="F1841" s="212"/>
      <c r="G1841" s="201"/>
      <c r="H1841" s="215"/>
      <c r="I1841" s="216"/>
    </row>
    <row r="1842" spans="1:9" ht="14.4" x14ac:dyDescent="0.3">
      <c r="A1842" s="197"/>
      <c r="B1842" s="198"/>
      <c r="C1842" s="199"/>
      <c r="D1842" s="200"/>
      <c r="E1842" s="201"/>
      <c r="F1842" s="212"/>
      <c r="G1842" s="201"/>
      <c r="H1842" s="215"/>
      <c r="I1842" s="216"/>
    </row>
    <row r="1843" spans="1:9" ht="14.4" x14ac:dyDescent="0.3">
      <c r="A1843" s="197"/>
      <c r="B1843" s="198"/>
      <c r="C1843" s="199"/>
      <c r="D1843" s="200"/>
      <c r="E1843" s="201"/>
      <c r="F1843" s="212"/>
      <c r="G1843" s="201"/>
      <c r="H1843" s="215"/>
      <c r="I1843" s="217"/>
    </row>
    <row r="1844" spans="1:9" ht="14.4" x14ac:dyDescent="0.3">
      <c r="A1844" s="197"/>
      <c r="B1844" s="198"/>
      <c r="C1844" s="199"/>
      <c r="D1844" s="200"/>
      <c r="E1844" s="196"/>
      <c r="F1844" s="212"/>
      <c r="G1844" s="196"/>
      <c r="H1844" s="215"/>
      <c r="I1844" s="217"/>
    </row>
    <row r="1845" spans="1:9" ht="14.4" x14ac:dyDescent="0.3">
      <c r="A1845" s="197"/>
      <c r="B1845" s="198"/>
      <c r="C1845" s="199"/>
      <c r="D1845" s="200"/>
      <c r="E1845" s="196"/>
      <c r="F1845" s="212"/>
      <c r="G1845" s="196"/>
      <c r="H1845" s="215"/>
      <c r="I1845" s="216"/>
    </row>
    <row r="1846" spans="1:9" ht="14.4" x14ac:dyDescent="0.3">
      <c r="A1846" s="197"/>
      <c r="B1846" s="198"/>
      <c r="C1846" s="199"/>
      <c r="D1846" s="200"/>
      <c r="E1846" s="201"/>
      <c r="F1846" s="212"/>
      <c r="G1846" s="201"/>
      <c r="H1846" s="215"/>
      <c r="I1846" s="216"/>
    </row>
    <row r="1847" spans="1:9" ht="14.4" x14ac:dyDescent="0.3">
      <c r="A1847" s="197"/>
      <c r="B1847" s="198"/>
      <c r="C1847" s="199"/>
      <c r="D1847" s="200"/>
      <c r="E1847" s="202"/>
      <c r="F1847" s="212"/>
      <c r="G1847" s="201"/>
      <c r="H1847" s="215"/>
      <c r="I1847" s="216"/>
    </row>
    <row r="1848" spans="1:9" ht="14.4" x14ac:dyDescent="0.3">
      <c r="A1848" s="197"/>
      <c r="B1848" s="198"/>
      <c r="C1848" s="199"/>
      <c r="D1848" s="200"/>
      <c r="E1848" s="201"/>
      <c r="F1848" s="212"/>
      <c r="G1848" s="201"/>
      <c r="H1848" s="215"/>
      <c r="I1848" s="216"/>
    </row>
    <row r="1849" spans="1:9" ht="14.4" x14ac:dyDescent="0.3">
      <c r="A1849" s="197"/>
      <c r="B1849" s="198"/>
      <c r="C1849" s="199"/>
      <c r="D1849" s="200"/>
      <c r="E1849" s="201"/>
      <c r="F1849" s="212"/>
      <c r="G1849" s="201"/>
      <c r="H1849" s="215"/>
      <c r="I1849" s="216"/>
    </row>
    <row r="1850" spans="1:9" ht="14.4" x14ac:dyDescent="0.3">
      <c r="A1850" s="197"/>
      <c r="B1850" s="203"/>
      <c r="C1850" s="204"/>
      <c r="D1850" s="205"/>
      <c r="E1850" s="206"/>
      <c r="F1850" s="218"/>
      <c r="G1850" s="206"/>
      <c r="H1850" s="219"/>
      <c r="I1850" s="220"/>
    </row>
    <row r="1851" spans="1:9" ht="15" thickBot="1" x14ac:dyDescent="0.35">
      <c r="A1851" s="207"/>
      <c r="B1851" s="208"/>
      <c r="C1851" s="209"/>
      <c r="D1851" s="210"/>
      <c r="E1851" s="211"/>
      <c r="F1851" s="221"/>
      <c r="G1851" s="211"/>
      <c r="H1851" s="222"/>
      <c r="I1851" s="223"/>
    </row>
    <row r="1852" spans="1:9" ht="14.4" thickBot="1" x14ac:dyDescent="0.35"/>
    <row r="1853" spans="1:9" ht="14.4" thickBot="1" x14ac:dyDescent="0.35">
      <c r="A1853" s="226" t="s">
        <v>1204</v>
      </c>
      <c r="B1853" s="224" t="s">
        <v>1205</v>
      </c>
      <c r="C1853" s="224" t="s">
        <v>1206</v>
      </c>
      <c r="D1853" s="224" t="s">
        <v>1207</v>
      </c>
      <c r="E1853" s="368" t="s">
        <v>1208</v>
      </c>
      <c r="F1853" s="368"/>
      <c r="G1853" s="368"/>
      <c r="H1853" s="224" t="s">
        <v>1209</v>
      </c>
      <c r="I1853" s="225" t="s">
        <v>1210</v>
      </c>
    </row>
    <row r="1854" spans="1:9" ht="14.4" x14ac:dyDescent="0.3">
      <c r="A1854" s="197"/>
      <c r="B1854" s="193"/>
      <c r="C1854" s="194"/>
      <c r="D1854" s="195"/>
      <c r="E1854" s="196"/>
      <c r="F1854" s="212"/>
      <c r="G1854" s="196"/>
      <c r="H1854" s="213"/>
      <c r="I1854" s="214"/>
    </row>
    <row r="1855" spans="1:9" ht="14.4" x14ac:dyDescent="0.3">
      <c r="A1855" s="197"/>
      <c r="B1855" s="198"/>
      <c r="C1855" s="199"/>
      <c r="D1855" s="200"/>
      <c r="E1855" s="201"/>
      <c r="F1855" s="212"/>
      <c r="G1855" s="201"/>
      <c r="H1855" s="215"/>
      <c r="I1855" s="216"/>
    </row>
    <row r="1856" spans="1:9" ht="14.4" x14ac:dyDescent="0.3">
      <c r="A1856" s="197"/>
      <c r="B1856" s="198"/>
      <c r="C1856" s="199"/>
      <c r="D1856" s="200"/>
      <c r="E1856" s="201"/>
      <c r="F1856" s="212"/>
      <c r="G1856" s="201"/>
      <c r="H1856" s="215"/>
      <c r="I1856" s="216"/>
    </row>
    <row r="1857" spans="1:9" ht="14.4" x14ac:dyDescent="0.3">
      <c r="A1857" s="197"/>
      <c r="B1857" s="198"/>
      <c r="C1857" s="199"/>
      <c r="D1857" s="200"/>
      <c r="E1857" s="201"/>
      <c r="F1857" s="212"/>
      <c r="G1857" s="201"/>
      <c r="H1857" s="215"/>
      <c r="I1857" s="217"/>
    </row>
    <row r="1858" spans="1:9" ht="14.4" x14ac:dyDescent="0.3">
      <c r="A1858" s="197"/>
      <c r="B1858" s="198"/>
      <c r="C1858" s="199"/>
      <c r="D1858" s="200"/>
      <c r="E1858" s="196"/>
      <c r="F1858" s="212"/>
      <c r="G1858" s="196"/>
      <c r="H1858" s="215"/>
      <c r="I1858" s="217"/>
    </row>
    <row r="1859" spans="1:9" ht="14.4" x14ac:dyDescent="0.3">
      <c r="A1859" s="197"/>
      <c r="B1859" s="198"/>
      <c r="C1859" s="199"/>
      <c r="D1859" s="200"/>
      <c r="E1859" s="196"/>
      <c r="F1859" s="212"/>
      <c r="G1859" s="196"/>
      <c r="H1859" s="215"/>
      <c r="I1859" s="216"/>
    </row>
    <row r="1860" spans="1:9" ht="14.4" x14ac:dyDescent="0.3">
      <c r="A1860" s="197"/>
      <c r="B1860" s="198"/>
      <c r="C1860" s="199"/>
      <c r="D1860" s="200"/>
      <c r="E1860" s="201"/>
      <c r="F1860" s="212"/>
      <c r="G1860" s="201"/>
      <c r="H1860" s="215"/>
      <c r="I1860" s="216"/>
    </row>
    <row r="1861" spans="1:9" ht="14.4" x14ac:dyDescent="0.3">
      <c r="A1861" s="197"/>
      <c r="B1861" s="198"/>
      <c r="C1861" s="199"/>
      <c r="D1861" s="200"/>
      <c r="E1861" s="202"/>
      <c r="F1861" s="212"/>
      <c r="G1861" s="201"/>
      <c r="H1861" s="215"/>
      <c r="I1861" s="216"/>
    </row>
    <row r="1862" spans="1:9" ht="14.4" x14ac:dyDescent="0.3">
      <c r="A1862" s="197"/>
      <c r="B1862" s="198"/>
      <c r="C1862" s="199"/>
      <c r="D1862" s="200"/>
      <c r="E1862" s="201"/>
      <c r="F1862" s="212"/>
      <c r="G1862" s="201"/>
      <c r="H1862" s="215"/>
      <c r="I1862" s="216"/>
    </row>
    <row r="1863" spans="1:9" ht="14.4" x14ac:dyDescent="0.3">
      <c r="A1863" s="197"/>
      <c r="B1863" s="198"/>
      <c r="C1863" s="199"/>
      <c r="D1863" s="200"/>
      <c r="E1863" s="201"/>
      <c r="F1863" s="212"/>
      <c r="G1863" s="201"/>
      <c r="H1863" s="215"/>
      <c r="I1863" s="216"/>
    </row>
    <row r="1864" spans="1:9" ht="14.4" x14ac:dyDescent="0.3">
      <c r="A1864" s="197"/>
      <c r="B1864" s="203"/>
      <c r="C1864" s="204"/>
      <c r="D1864" s="205"/>
      <c r="E1864" s="206"/>
      <c r="F1864" s="218"/>
      <c r="G1864" s="206"/>
      <c r="H1864" s="219"/>
      <c r="I1864" s="220"/>
    </row>
    <row r="1865" spans="1:9" ht="15" thickBot="1" x14ac:dyDescent="0.35">
      <c r="A1865" s="207"/>
      <c r="B1865" s="208"/>
      <c r="C1865" s="209"/>
      <c r="D1865" s="210"/>
      <c r="E1865" s="211"/>
      <c r="F1865" s="221"/>
      <c r="G1865" s="211"/>
      <c r="H1865" s="222"/>
      <c r="I1865" s="223"/>
    </row>
    <row r="1866" spans="1:9" ht="14.4" thickBot="1" x14ac:dyDescent="0.35"/>
    <row r="1867" spans="1:9" ht="14.4" thickBot="1" x14ac:dyDescent="0.35">
      <c r="A1867" s="226" t="s">
        <v>1204</v>
      </c>
      <c r="B1867" s="224" t="s">
        <v>1205</v>
      </c>
      <c r="C1867" s="224" t="s">
        <v>1206</v>
      </c>
      <c r="D1867" s="224" t="s">
        <v>1207</v>
      </c>
      <c r="E1867" s="368" t="s">
        <v>1208</v>
      </c>
      <c r="F1867" s="368"/>
      <c r="G1867" s="368"/>
      <c r="H1867" s="224" t="s">
        <v>1209</v>
      </c>
      <c r="I1867" s="225" t="s">
        <v>1210</v>
      </c>
    </row>
    <row r="1868" spans="1:9" ht="14.4" x14ac:dyDescent="0.3">
      <c r="A1868" s="197"/>
      <c r="B1868" s="193"/>
      <c r="C1868" s="194"/>
      <c r="D1868" s="195"/>
      <c r="E1868" s="196"/>
      <c r="F1868" s="212"/>
      <c r="G1868" s="196"/>
      <c r="H1868" s="213"/>
      <c r="I1868" s="214"/>
    </row>
    <row r="1869" spans="1:9" ht="14.4" x14ac:dyDescent="0.3">
      <c r="A1869" s="197"/>
      <c r="B1869" s="198"/>
      <c r="C1869" s="199"/>
      <c r="D1869" s="200"/>
      <c r="E1869" s="201"/>
      <c r="F1869" s="212"/>
      <c r="G1869" s="201"/>
      <c r="H1869" s="215"/>
      <c r="I1869" s="216"/>
    </row>
    <row r="1870" spans="1:9" ht="14.4" x14ac:dyDescent="0.3">
      <c r="A1870" s="197"/>
      <c r="B1870" s="198"/>
      <c r="C1870" s="199"/>
      <c r="D1870" s="200"/>
      <c r="E1870" s="201"/>
      <c r="F1870" s="212"/>
      <c r="G1870" s="201"/>
      <c r="H1870" s="215"/>
      <c r="I1870" s="216"/>
    </row>
    <row r="1871" spans="1:9" ht="14.4" x14ac:dyDescent="0.3">
      <c r="A1871" s="197"/>
      <c r="B1871" s="198"/>
      <c r="C1871" s="199"/>
      <c r="D1871" s="200"/>
      <c r="E1871" s="201"/>
      <c r="F1871" s="212"/>
      <c r="G1871" s="201"/>
      <c r="H1871" s="215"/>
      <c r="I1871" s="217"/>
    </row>
    <row r="1872" spans="1:9" ht="14.4" x14ac:dyDescent="0.3">
      <c r="A1872" s="197"/>
      <c r="B1872" s="198"/>
      <c r="C1872" s="199"/>
      <c r="D1872" s="200"/>
      <c r="E1872" s="196"/>
      <c r="F1872" s="212"/>
      <c r="G1872" s="196"/>
      <c r="H1872" s="215"/>
      <c r="I1872" s="217"/>
    </row>
    <row r="1873" spans="1:9" ht="14.4" x14ac:dyDescent="0.3">
      <c r="A1873" s="197"/>
      <c r="B1873" s="198"/>
      <c r="C1873" s="199"/>
      <c r="D1873" s="200"/>
      <c r="E1873" s="196"/>
      <c r="F1873" s="212"/>
      <c r="G1873" s="196"/>
      <c r="H1873" s="215"/>
      <c r="I1873" s="216"/>
    </row>
    <row r="1874" spans="1:9" ht="14.4" x14ac:dyDescent="0.3">
      <c r="A1874" s="197"/>
      <c r="B1874" s="198"/>
      <c r="C1874" s="199"/>
      <c r="D1874" s="200"/>
      <c r="E1874" s="201"/>
      <c r="F1874" s="212"/>
      <c r="G1874" s="201"/>
      <c r="H1874" s="215"/>
      <c r="I1874" s="216"/>
    </row>
    <row r="1875" spans="1:9" ht="14.4" x14ac:dyDescent="0.3">
      <c r="A1875" s="197"/>
      <c r="B1875" s="198"/>
      <c r="C1875" s="199"/>
      <c r="D1875" s="200"/>
      <c r="E1875" s="202"/>
      <c r="F1875" s="212"/>
      <c r="G1875" s="201"/>
      <c r="H1875" s="215"/>
      <c r="I1875" s="216"/>
    </row>
    <row r="1876" spans="1:9" ht="14.4" x14ac:dyDescent="0.3">
      <c r="A1876" s="197"/>
      <c r="B1876" s="198"/>
      <c r="C1876" s="199"/>
      <c r="D1876" s="200"/>
      <c r="E1876" s="201"/>
      <c r="F1876" s="212"/>
      <c r="G1876" s="201"/>
      <c r="H1876" s="215"/>
      <c r="I1876" s="216"/>
    </row>
    <row r="1877" spans="1:9" ht="14.4" x14ac:dyDescent="0.3">
      <c r="A1877" s="197"/>
      <c r="B1877" s="198"/>
      <c r="C1877" s="199"/>
      <c r="D1877" s="200"/>
      <c r="E1877" s="201"/>
      <c r="F1877" s="212"/>
      <c r="G1877" s="201"/>
      <c r="H1877" s="215"/>
      <c r="I1877" s="216"/>
    </row>
    <row r="1878" spans="1:9" ht="14.4" x14ac:dyDescent="0.3">
      <c r="A1878" s="197"/>
      <c r="B1878" s="203"/>
      <c r="C1878" s="204"/>
      <c r="D1878" s="205"/>
      <c r="E1878" s="206"/>
      <c r="F1878" s="218"/>
      <c r="G1878" s="206"/>
      <c r="H1878" s="219"/>
      <c r="I1878" s="220"/>
    </row>
    <row r="1879" spans="1:9" ht="15" thickBot="1" x14ac:dyDescent="0.35">
      <c r="A1879" s="207"/>
      <c r="B1879" s="208"/>
      <c r="C1879" s="209"/>
      <c r="D1879" s="210"/>
      <c r="E1879" s="211"/>
      <c r="F1879" s="221"/>
      <c r="G1879" s="211"/>
      <c r="H1879" s="222"/>
      <c r="I1879" s="223"/>
    </row>
    <row r="1880" spans="1:9" ht="14.4" thickBot="1" x14ac:dyDescent="0.35"/>
    <row r="1881" spans="1:9" ht="14.4" thickBot="1" x14ac:dyDescent="0.35">
      <c r="A1881" s="226" t="s">
        <v>1204</v>
      </c>
      <c r="B1881" s="224" t="s">
        <v>1205</v>
      </c>
      <c r="C1881" s="224" t="s">
        <v>1206</v>
      </c>
      <c r="D1881" s="224" t="s">
        <v>1207</v>
      </c>
      <c r="E1881" s="368" t="s">
        <v>1208</v>
      </c>
      <c r="F1881" s="368"/>
      <c r="G1881" s="368"/>
      <c r="H1881" s="224" t="s">
        <v>1209</v>
      </c>
      <c r="I1881" s="225" t="s">
        <v>1210</v>
      </c>
    </row>
    <row r="1882" spans="1:9" ht="14.4" x14ac:dyDescent="0.3">
      <c r="A1882" s="197"/>
      <c r="B1882" s="193"/>
      <c r="C1882" s="194"/>
      <c r="D1882" s="195"/>
      <c r="E1882" s="196"/>
      <c r="F1882" s="212"/>
      <c r="G1882" s="196"/>
      <c r="H1882" s="213"/>
      <c r="I1882" s="214"/>
    </row>
    <row r="1883" spans="1:9" ht="14.4" x14ac:dyDescent="0.3">
      <c r="A1883" s="197"/>
      <c r="B1883" s="198"/>
      <c r="C1883" s="199"/>
      <c r="D1883" s="200"/>
      <c r="E1883" s="201"/>
      <c r="F1883" s="212"/>
      <c r="G1883" s="201"/>
      <c r="H1883" s="215"/>
      <c r="I1883" s="216"/>
    </row>
    <row r="1884" spans="1:9" ht="14.4" x14ac:dyDescent="0.3">
      <c r="A1884" s="197"/>
      <c r="B1884" s="198"/>
      <c r="C1884" s="199"/>
      <c r="D1884" s="200"/>
      <c r="E1884" s="201"/>
      <c r="F1884" s="212"/>
      <c r="G1884" s="201"/>
      <c r="H1884" s="215"/>
      <c r="I1884" s="216"/>
    </row>
    <row r="1885" spans="1:9" ht="14.4" x14ac:dyDescent="0.3">
      <c r="A1885" s="197"/>
      <c r="B1885" s="198"/>
      <c r="C1885" s="199"/>
      <c r="D1885" s="200"/>
      <c r="E1885" s="201"/>
      <c r="F1885" s="212"/>
      <c r="G1885" s="201"/>
      <c r="H1885" s="215"/>
      <c r="I1885" s="217"/>
    </row>
    <row r="1886" spans="1:9" ht="14.4" x14ac:dyDescent="0.3">
      <c r="A1886" s="197"/>
      <c r="B1886" s="198"/>
      <c r="C1886" s="199"/>
      <c r="D1886" s="200"/>
      <c r="E1886" s="196"/>
      <c r="F1886" s="212"/>
      <c r="G1886" s="196"/>
      <c r="H1886" s="215"/>
      <c r="I1886" s="217"/>
    </row>
    <row r="1887" spans="1:9" ht="14.4" x14ac:dyDescent="0.3">
      <c r="A1887" s="197"/>
      <c r="B1887" s="198"/>
      <c r="C1887" s="199"/>
      <c r="D1887" s="200"/>
      <c r="E1887" s="196"/>
      <c r="F1887" s="212"/>
      <c r="G1887" s="196"/>
      <c r="H1887" s="215"/>
      <c r="I1887" s="216"/>
    </row>
    <row r="1888" spans="1:9" ht="14.4" x14ac:dyDescent="0.3">
      <c r="A1888" s="197"/>
      <c r="B1888" s="198"/>
      <c r="C1888" s="199"/>
      <c r="D1888" s="200"/>
      <c r="E1888" s="201"/>
      <c r="F1888" s="212"/>
      <c r="G1888" s="201"/>
      <c r="H1888" s="215"/>
      <c r="I1888" s="216"/>
    </row>
    <row r="1889" spans="1:9" ht="14.4" x14ac:dyDescent="0.3">
      <c r="A1889" s="197"/>
      <c r="B1889" s="198"/>
      <c r="C1889" s="199"/>
      <c r="D1889" s="200"/>
      <c r="E1889" s="202"/>
      <c r="F1889" s="212"/>
      <c r="G1889" s="201"/>
      <c r="H1889" s="215"/>
      <c r="I1889" s="216"/>
    </row>
    <row r="1890" spans="1:9" ht="14.4" x14ac:dyDescent="0.3">
      <c r="A1890" s="197"/>
      <c r="B1890" s="198"/>
      <c r="C1890" s="199"/>
      <c r="D1890" s="200"/>
      <c r="E1890" s="201"/>
      <c r="F1890" s="212"/>
      <c r="G1890" s="201"/>
      <c r="H1890" s="215"/>
      <c r="I1890" s="216"/>
    </row>
    <row r="1891" spans="1:9" ht="14.4" x14ac:dyDescent="0.3">
      <c r="A1891" s="197"/>
      <c r="B1891" s="198"/>
      <c r="C1891" s="199"/>
      <c r="D1891" s="200"/>
      <c r="E1891" s="201"/>
      <c r="F1891" s="212"/>
      <c r="G1891" s="201"/>
      <c r="H1891" s="215"/>
      <c r="I1891" s="216"/>
    </row>
    <row r="1892" spans="1:9" ht="14.4" x14ac:dyDescent="0.3">
      <c r="A1892" s="197"/>
      <c r="B1892" s="203"/>
      <c r="C1892" s="204"/>
      <c r="D1892" s="205"/>
      <c r="E1892" s="206"/>
      <c r="F1892" s="218"/>
      <c r="G1892" s="206"/>
      <c r="H1892" s="219"/>
      <c r="I1892" s="220"/>
    </row>
    <row r="1893" spans="1:9" ht="15" thickBot="1" x14ac:dyDescent="0.35">
      <c r="A1893" s="207"/>
      <c r="B1893" s="208"/>
      <c r="C1893" s="209"/>
      <c r="D1893" s="210"/>
      <c r="E1893" s="211"/>
      <c r="F1893" s="221"/>
      <c r="G1893" s="211"/>
      <c r="H1893" s="222"/>
      <c r="I1893" s="223"/>
    </row>
    <row r="1894" spans="1:9" ht="14.4" thickBot="1" x14ac:dyDescent="0.35"/>
    <row r="1895" spans="1:9" ht="14.4" thickBot="1" x14ac:dyDescent="0.35">
      <c r="A1895" s="226" t="s">
        <v>1204</v>
      </c>
      <c r="B1895" s="224" t="s">
        <v>1205</v>
      </c>
      <c r="C1895" s="224" t="s">
        <v>1206</v>
      </c>
      <c r="D1895" s="224" t="s">
        <v>1207</v>
      </c>
      <c r="E1895" s="368" t="s">
        <v>1208</v>
      </c>
      <c r="F1895" s="368"/>
      <c r="G1895" s="368"/>
      <c r="H1895" s="224" t="s">
        <v>1209</v>
      </c>
      <c r="I1895" s="225" t="s">
        <v>1210</v>
      </c>
    </row>
    <row r="1896" spans="1:9" ht="14.4" x14ac:dyDescent="0.3">
      <c r="A1896" s="197"/>
      <c r="B1896" s="193"/>
      <c r="C1896" s="194"/>
      <c r="D1896" s="195"/>
      <c r="E1896" s="196"/>
      <c r="F1896" s="212"/>
      <c r="G1896" s="196"/>
      <c r="H1896" s="213"/>
      <c r="I1896" s="214"/>
    </row>
    <row r="1897" spans="1:9" ht="14.4" x14ac:dyDescent="0.3">
      <c r="A1897" s="197"/>
      <c r="B1897" s="198"/>
      <c r="C1897" s="199"/>
      <c r="D1897" s="200"/>
      <c r="E1897" s="201"/>
      <c r="F1897" s="212"/>
      <c r="G1897" s="201"/>
      <c r="H1897" s="215"/>
      <c r="I1897" s="216"/>
    </row>
    <row r="1898" spans="1:9" ht="14.4" x14ac:dyDescent="0.3">
      <c r="A1898" s="197"/>
      <c r="B1898" s="198"/>
      <c r="C1898" s="199"/>
      <c r="D1898" s="200"/>
      <c r="E1898" s="201"/>
      <c r="F1898" s="212"/>
      <c r="G1898" s="201"/>
      <c r="H1898" s="215"/>
      <c r="I1898" s="216"/>
    </row>
    <row r="1899" spans="1:9" ht="14.4" x14ac:dyDescent="0.3">
      <c r="A1899" s="197"/>
      <c r="B1899" s="198"/>
      <c r="C1899" s="199"/>
      <c r="D1899" s="200"/>
      <c r="E1899" s="201"/>
      <c r="F1899" s="212"/>
      <c r="G1899" s="201"/>
      <c r="H1899" s="215"/>
      <c r="I1899" s="217"/>
    </row>
    <row r="1900" spans="1:9" ht="14.4" x14ac:dyDescent="0.3">
      <c r="A1900" s="197"/>
      <c r="B1900" s="198"/>
      <c r="C1900" s="199"/>
      <c r="D1900" s="200"/>
      <c r="E1900" s="196"/>
      <c r="F1900" s="212"/>
      <c r="G1900" s="196"/>
      <c r="H1900" s="215"/>
      <c r="I1900" s="217"/>
    </row>
    <row r="1901" spans="1:9" ht="14.4" x14ac:dyDescent="0.3">
      <c r="A1901" s="197"/>
      <c r="B1901" s="198"/>
      <c r="C1901" s="199"/>
      <c r="D1901" s="200"/>
      <c r="E1901" s="196"/>
      <c r="F1901" s="212"/>
      <c r="G1901" s="196"/>
      <c r="H1901" s="215"/>
      <c r="I1901" s="216"/>
    </row>
    <row r="1902" spans="1:9" ht="14.4" x14ac:dyDescent="0.3">
      <c r="A1902" s="197"/>
      <c r="B1902" s="198"/>
      <c r="C1902" s="199"/>
      <c r="D1902" s="200"/>
      <c r="E1902" s="201"/>
      <c r="F1902" s="212"/>
      <c r="G1902" s="201"/>
      <c r="H1902" s="215"/>
      <c r="I1902" s="216"/>
    </row>
    <row r="1903" spans="1:9" ht="14.4" x14ac:dyDescent="0.3">
      <c r="A1903" s="197"/>
      <c r="B1903" s="198"/>
      <c r="C1903" s="199"/>
      <c r="D1903" s="200"/>
      <c r="E1903" s="202"/>
      <c r="F1903" s="212"/>
      <c r="G1903" s="201"/>
      <c r="H1903" s="215"/>
      <c r="I1903" s="216"/>
    </row>
    <row r="1904" spans="1:9" ht="14.4" x14ac:dyDescent="0.3">
      <c r="A1904" s="197"/>
      <c r="B1904" s="198"/>
      <c r="C1904" s="199"/>
      <c r="D1904" s="200"/>
      <c r="E1904" s="201"/>
      <c r="F1904" s="212"/>
      <c r="G1904" s="201"/>
      <c r="H1904" s="215"/>
      <c r="I1904" s="216"/>
    </row>
    <row r="1905" spans="1:9" ht="14.4" x14ac:dyDescent="0.3">
      <c r="A1905" s="197"/>
      <c r="B1905" s="198"/>
      <c r="C1905" s="199"/>
      <c r="D1905" s="200"/>
      <c r="E1905" s="201"/>
      <c r="F1905" s="212"/>
      <c r="G1905" s="201"/>
      <c r="H1905" s="215"/>
      <c r="I1905" s="216"/>
    </row>
    <row r="1906" spans="1:9" ht="14.4" x14ac:dyDescent="0.3">
      <c r="A1906" s="197"/>
      <c r="B1906" s="203"/>
      <c r="C1906" s="204"/>
      <c r="D1906" s="205"/>
      <c r="E1906" s="206"/>
      <c r="F1906" s="218"/>
      <c r="G1906" s="206"/>
      <c r="H1906" s="219"/>
      <c r="I1906" s="220"/>
    </row>
    <row r="1907" spans="1:9" ht="15" thickBot="1" x14ac:dyDescent="0.35">
      <c r="A1907" s="207"/>
      <c r="B1907" s="208"/>
      <c r="C1907" s="209"/>
      <c r="D1907" s="210"/>
      <c r="E1907" s="211"/>
      <c r="F1907" s="221"/>
      <c r="G1907" s="211"/>
      <c r="H1907" s="222"/>
      <c r="I1907" s="223"/>
    </row>
    <row r="1908" spans="1:9" ht="14.4" thickBot="1" x14ac:dyDescent="0.35"/>
    <row r="1909" spans="1:9" ht="14.4" thickBot="1" x14ac:dyDescent="0.35">
      <c r="A1909" s="226" t="s">
        <v>1204</v>
      </c>
      <c r="B1909" s="224" t="s">
        <v>1205</v>
      </c>
      <c r="C1909" s="224" t="s">
        <v>1206</v>
      </c>
      <c r="D1909" s="224" t="s">
        <v>1207</v>
      </c>
      <c r="E1909" s="368" t="s">
        <v>1208</v>
      </c>
      <c r="F1909" s="368"/>
      <c r="G1909" s="368"/>
      <c r="H1909" s="224" t="s">
        <v>1209</v>
      </c>
      <c r="I1909" s="225" t="s">
        <v>1210</v>
      </c>
    </row>
    <row r="1910" spans="1:9" ht="14.4" x14ac:dyDescent="0.3">
      <c r="A1910" s="197"/>
      <c r="B1910" s="193"/>
      <c r="C1910" s="194"/>
      <c r="D1910" s="195"/>
      <c r="E1910" s="196"/>
      <c r="F1910" s="212"/>
      <c r="G1910" s="196"/>
      <c r="H1910" s="213"/>
      <c r="I1910" s="214"/>
    </row>
    <row r="1911" spans="1:9" ht="14.4" x14ac:dyDescent="0.3">
      <c r="A1911" s="197"/>
      <c r="B1911" s="198"/>
      <c r="C1911" s="199"/>
      <c r="D1911" s="200"/>
      <c r="E1911" s="201"/>
      <c r="F1911" s="212"/>
      <c r="G1911" s="201"/>
      <c r="H1911" s="215"/>
      <c r="I1911" s="216"/>
    </row>
    <row r="1912" spans="1:9" ht="14.4" x14ac:dyDescent="0.3">
      <c r="A1912" s="197"/>
      <c r="B1912" s="198"/>
      <c r="C1912" s="199"/>
      <c r="D1912" s="200"/>
      <c r="E1912" s="201"/>
      <c r="F1912" s="212"/>
      <c r="G1912" s="201"/>
      <c r="H1912" s="215"/>
      <c r="I1912" s="216"/>
    </row>
    <row r="1913" spans="1:9" ht="14.4" x14ac:dyDescent="0.3">
      <c r="A1913" s="197"/>
      <c r="B1913" s="198"/>
      <c r="C1913" s="199"/>
      <c r="D1913" s="200"/>
      <c r="E1913" s="201"/>
      <c r="F1913" s="212"/>
      <c r="G1913" s="201"/>
      <c r="H1913" s="215"/>
      <c r="I1913" s="217"/>
    </row>
    <row r="1914" spans="1:9" ht="14.4" x14ac:dyDescent="0.3">
      <c r="A1914" s="197"/>
      <c r="B1914" s="198"/>
      <c r="C1914" s="199"/>
      <c r="D1914" s="200"/>
      <c r="E1914" s="196"/>
      <c r="F1914" s="212"/>
      <c r="G1914" s="196"/>
      <c r="H1914" s="215"/>
      <c r="I1914" s="217"/>
    </row>
    <row r="1915" spans="1:9" ht="14.4" x14ac:dyDescent="0.3">
      <c r="A1915" s="197"/>
      <c r="B1915" s="198"/>
      <c r="C1915" s="199"/>
      <c r="D1915" s="200"/>
      <c r="E1915" s="196"/>
      <c r="F1915" s="212"/>
      <c r="G1915" s="196"/>
      <c r="H1915" s="215"/>
      <c r="I1915" s="216"/>
    </row>
    <row r="1916" spans="1:9" ht="14.4" x14ac:dyDescent="0.3">
      <c r="A1916" s="197"/>
      <c r="B1916" s="198"/>
      <c r="C1916" s="199"/>
      <c r="D1916" s="200"/>
      <c r="E1916" s="201"/>
      <c r="F1916" s="212"/>
      <c r="G1916" s="201"/>
      <c r="H1916" s="215"/>
      <c r="I1916" s="216"/>
    </row>
    <row r="1917" spans="1:9" ht="14.4" x14ac:dyDescent="0.3">
      <c r="A1917" s="197"/>
      <c r="B1917" s="198"/>
      <c r="C1917" s="199"/>
      <c r="D1917" s="200"/>
      <c r="E1917" s="202"/>
      <c r="F1917" s="212"/>
      <c r="G1917" s="201"/>
      <c r="H1917" s="215"/>
      <c r="I1917" s="216"/>
    </row>
    <row r="1918" spans="1:9" ht="14.4" x14ac:dyDescent="0.3">
      <c r="A1918" s="197"/>
      <c r="B1918" s="198"/>
      <c r="C1918" s="199"/>
      <c r="D1918" s="200"/>
      <c r="E1918" s="201"/>
      <c r="F1918" s="212"/>
      <c r="G1918" s="201"/>
      <c r="H1918" s="215"/>
      <c r="I1918" s="216"/>
    </row>
    <row r="1919" spans="1:9" ht="14.4" x14ac:dyDescent="0.3">
      <c r="A1919" s="197"/>
      <c r="B1919" s="198"/>
      <c r="C1919" s="199"/>
      <c r="D1919" s="200"/>
      <c r="E1919" s="201"/>
      <c r="F1919" s="212"/>
      <c r="G1919" s="201"/>
      <c r="H1919" s="215"/>
      <c r="I1919" s="216"/>
    </row>
    <row r="1920" spans="1:9" ht="14.4" x14ac:dyDescent="0.3">
      <c r="A1920" s="197"/>
      <c r="B1920" s="203"/>
      <c r="C1920" s="204"/>
      <c r="D1920" s="205"/>
      <c r="E1920" s="206"/>
      <c r="F1920" s="218"/>
      <c r="G1920" s="206"/>
      <c r="H1920" s="219"/>
      <c r="I1920" s="220"/>
    </row>
    <row r="1921" spans="1:9" ht="15" thickBot="1" x14ac:dyDescent="0.35">
      <c r="A1921" s="207"/>
      <c r="B1921" s="208"/>
      <c r="C1921" s="209"/>
      <c r="D1921" s="210"/>
      <c r="E1921" s="211"/>
      <c r="F1921" s="221"/>
      <c r="G1921" s="211"/>
      <c r="H1921" s="222"/>
      <c r="I1921" s="223"/>
    </row>
    <row r="1922" spans="1:9" ht="14.4" thickBot="1" x14ac:dyDescent="0.35"/>
    <row r="1923" spans="1:9" ht="14.4" thickBot="1" x14ac:dyDescent="0.35">
      <c r="A1923" s="226" t="s">
        <v>1204</v>
      </c>
      <c r="B1923" s="224" t="s">
        <v>1205</v>
      </c>
      <c r="C1923" s="224" t="s">
        <v>1206</v>
      </c>
      <c r="D1923" s="224" t="s">
        <v>1207</v>
      </c>
      <c r="E1923" s="368" t="s">
        <v>1208</v>
      </c>
      <c r="F1923" s="368"/>
      <c r="G1923" s="368"/>
      <c r="H1923" s="224" t="s">
        <v>1209</v>
      </c>
      <c r="I1923" s="225" t="s">
        <v>1210</v>
      </c>
    </row>
    <row r="1924" spans="1:9" ht="14.4" x14ac:dyDescent="0.3">
      <c r="A1924" s="197"/>
      <c r="B1924" s="193"/>
      <c r="C1924" s="194"/>
      <c r="D1924" s="195"/>
      <c r="E1924" s="196"/>
      <c r="F1924" s="212"/>
      <c r="G1924" s="196"/>
      <c r="H1924" s="213"/>
      <c r="I1924" s="214"/>
    </row>
    <row r="1925" spans="1:9" ht="14.4" x14ac:dyDescent="0.3">
      <c r="A1925" s="197"/>
      <c r="B1925" s="198"/>
      <c r="C1925" s="199"/>
      <c r="D1925" s="200"/>
      <c r="E1925" s="201"/>
      <c r="F1925" s="212"/>
      <c r="G1925" s="201"/>
      <c r="H1925" s="215"/>
      <c r="I1925" s="216"/>
    </row>
    <row r="1926" spans="1:9" ht="14.4" x14ac:dyDescent="0.3">
      <c r="A1926" s="197"/>
      <c r="B1926" s="198"/>
      <c r="C1926" s="199"/>
      <c r="D1926" s="200"/>
      <c r="E1926" s="201"/>
      <c r="F1926" s="212"/>
      <c r="G1926" s="201"/>
      <c r="H1926" s="215"/>
      <c r="I1926" s="216"/>
    </row>
    <row r="1927" spans="1:9" ht="14.4" x14ac:dyDescent="0.3">
      <c r="A1927" s="197"/>
      <c r="B1927" s="198"/>
      <c r="C1927" s="199"/>
      <c r="D1927" s="200"/>
      <c r="E1927" s="201"/>
      <c r="F1927" s="212"/>
      <c r="G1927" s="201"/>
      <c r="H1927" s="215"/>
      <c r="I1927" s="217"/>
    </row>
    <row r="1928" spans="1:9" ht="14.4" x14ac:dyDescent="0.3">
      <c r="A1928" s="197"/>
      <c r="B1928" s="198"/>
      <c r="C1928" s="199"/>
      <c r="D1928" s="200"/>
      <c r="E1928" s="196"/>
      <c r="F1928" s="212"/>
      <c r="G1928" s="196"/>
      <c r="H1928" s="215"/>
      <c r="I1928" s="217"/>
    </row>
    <row r="1929" spans="1:9" ht="14.4" x14ac:dyDescent="0.3">
      <c r="A1929" s="197"/>
      <c r="B1929" s="198"/>
      <c r="C1929" s="199"/>
      <c r="D1929" s="200"/>
      <c r="E1929" s="196"/>
      <c r="F1929" s="212"/>
      <c r="G1929" s="196"/>
      <c r="H1929" s="215"/>
      <c r="I1929" s="216"/>
    </row>
    <row r="1930" spans="1:9" ht="14.4" x14ac:dyDescent="0.3">
      <c r="A1930" s="197"/>
      <c r="B1930" s="198"/>
      <c r="C1930" s="199"/>
      <c r="D1930" s="200"/>
      <c r="E1930" s="201"/>
      <c r="F1930" s="212"/>
      <c r="G1930" s="201"/>
      <c r="H1930" s="215"/>
      <c r="I1930" s="216"/>
    </row>
    <row r="1931" spans="1:9" ht="14.4" x14ac:dyDescent="0.3">
      <c r="A1931" s="197"/>
      <c r="B1931" s="198"/>
      <c r="C1931" s="199"/>
      <c r="D1931" s="200"/>
      <c r="E1931" s="202"/>
      <c r="F1931" s="212"/>
      <c r="G1931" s="201"/>
      <c r="H1931" s="215"/>
      <c r="I1931" s="216"/>
    </row>
    <row r="1932" spans="1:9" ht="14.4" x14ac:dyDescent="0.3">
      <c r="A1932" s="197"/>
      <c r="B1932" s="198"/>
      <c r="C1932" s="199"/>
      <c r="D1932" s="200"/>
      <c r="E1932" s="201"/>
      <c r="F1932" s="212"/>
      <c r="G1932" s="201"/>
      <c r="H1932" s="215"/>
      <c r="I1932" s="216"/>
    </row>
    <row r="1933" spans="1:9" ht="14.4" x14ac:dyDescent="0.3">
      <c r="A1933" s="197"/>
      <c r="B1933" s="198"/>
      <c r="C1933" s="199"/>
      <c r="D1933" s="200"/>
      <c r="E1933" s="201"/>
      <c r="F1933" s="212"/>
      <c r="G1933" s="201"/>
      <c r="H1933" s="215"/>
      <c r="I1933" s="216"/>
    </row>
    <row r="1934" spans="1:9" ht="14.4" x14ac:dyDescent="0.3">
      <c r="A1934" s="197"/>
      <c r="B1934" s="203"/>
      <c r="C1934" s="204"/>
      <c r="D1934" s="205"/>
      <c r="E1934" s="206"/>
      <c r="F1934" s="218"/>
      <c r="G1934" s="206"/>
      <c r="H1934" s="219"/>
      <c r="I1934" s="220"/>
    </row>
    <row r="1935" spans="1:9" ht="15" thickBot="1" x14ac:dyDescent="0.35">
      <c r="A1935" s="207"/>
      <c r="B1935" s="208"/>
      <c r="C1935" s="209"/>
      <c r="D1935" s="210"/>
      <c r="E1935" s="211"/>
      <c r="F1935" s="221"/>
      <c r="G1935" s="211"/>
      <c r="H1935" s="222"/>
      <c r="I1935" s="223"/>
    </row>
    <row r="1936" spans="1:9" ht="14.4" thickBot="1" x14ac:dyDescent="0.35"/>
    <row r="1937" spans="1:9" ht="14.4" thickBot="1" x14ac:dyDescent="0.35">
      <c r="A1937" s="226" t="s">
        <v>1204</v>
      </c>
      <c r="B1937" s="224" t="s">
        <v>1205</v>
      </c>
      <c r="C1937" s="224" t="s">
        <v>1206</v>
      </c>
      <c r="D1937" s="224" t="s">
        <v>1207</v>
      </c>
      <c r="E1937" s="368" t="s">
        <v>1208</v>
      </c>
      <c r="F1937" s="368"/>
      <c r="G1937" s="368"/>
      <c r="H1937" s="224" t="s">
        <v>1209</v>
      </c>
      <c r="I1937" s="225" t="s">
        <v>1210</v>
      </c>
    </row>
    <row r="1938" spans="1:9" ht="14.4" x14ac:dyDescent="0.3">
      <c r="A1938" s="197"/>
      <c r="B1938" s="193"/>
      <c r="C1938" s="194"/>
      <c r="D1938" s="195"/>
      <c r="E1938" s="196"/>
      <c r="F1938" s="212"/>
      <c r="G1938" s="196"/>
      <c r="H1938" s="213"/>
      <c r="I1938" s="214"/>
    </row>
    <row r="1939" spans="1:9" ht="14.4" x14ac:dyDescent="0.3">
      <c r="A1939" s="197"/>
      <c r="B1939" s="198"/>
      <c r="C1939" s="199"/>
      <c r="D1939" s="200"/>
      <c r="E1939" s="201"/>
      <c r="F1939" s="212"/>
      <c r="G1939" s="201"/>
      <c r="H1939" s="215"/>
      <c r="I1939" s="216"/>
    </row>
    <row r="1940" spans="1:9" ht="14.4" x14ac:dyDescent="0.3">
      <c r="A1940" s="197"/>
      <c r="B1940" s="198"/>
      <c r="C1940" s="199"/>
      <c r="D1940" s="200"/>
      <c r="E1940" s="201"/>
      <c r="F1940" s="212"/>
      <c r="G1940" s="201"/>
      <c r="H1940" s="215"/>
      <c r="I1940" s="216"/>
    </row>
    <row r="1941" spans="1:9" ht="14.4" x14ac:dyDescent="0.3">
      <c r="A1941" s="197"/>
      <c r="B1941" s="198"/>
      <c r="C1941" s="199"/>
      <c r="D1941" s="200"/>
      <c r="E1941" s="201"/>
      <c r="F1941" s="212"/>
      <c r="G1941" s="201"/>
      <c r="H1941" s="215"/>
      <c r="I1941" s="217"/>
    </row>
    <row r="1942" spans="1:9" ht="14.4" x14ac:dyDescent="0.3">
      <c r="A1942" s="197"/>
      <c r="B1942" s="198"/>
      <c r="C1942" s="199"/>
      <c r="D1942" s="200"/>
      <c r="E1942" s="196"/>
      <c r="F1942" s="212"/>
      <c r="G1942" s="196"/>
      <c r="H1942" s="215"/>
      <c r="I1942" s="217"/>
    </row>
    <row r="1943" spans="1:9" ht="14.4" x14ac:dyDescent="0.3">
      <c r="A1943" s="197"/>
      <c r="B1943" s="198"/>
      <c r="C1943" s="199"/>
      <c r="D1943" s="200"/>
      <c r="E1943" s="196"/>
      <c r="F1943" s="212"/>
      <c r="G1943" s="196"/>
      <c r="H1943" s="215"/>
      <c r="I1943" s="216"/>
    </row>
    <row r="1944" spans="1:9" ht="14.4" x14ac:dyDescent="0.3">
      <c r="A1944" s="197"/>
      <c r="B1944" s="198"/>
      <c r="C1944" s="199"/>
      <c r="D1944" s="200"/>
      <c r="E1944" s="201"/>
      <c r="F1944" s="212"/>
      <c r="G1944" s="201"/>
      <c r="H1944" s="215"/>
      <c r="I1944" s="216"/>
    </row>
    <row r="1945" spans="1:9" ht="14.4" x14ac:dyDescent="0.3">
      <c r="A1945" s="197"/>
      <c r="B1945" s="198"/>
      <c r="C1945" s="199"/>
      <c r="D1945" s="200"/>
      <c r="E1945" s="202"/>
      <c r="F1945" s="212"/>
      <c r="G1945" s="201"/>
      <c r="H1945" s="215"/>
      <c r="I1945" s="216"/>
    </row>
    <row r="1946" spans="1:9" ht="14.4" x14ac:dyDescent="0.3">
      <c r="A1946" s="197"/>
      <c r="B1946" s="198"/>
      <c r="C1946" s="199"/>
      <c r="D1946" s="200"/>
      <c r="E1946" s="201"/>
      <c r="F1946" s="212"/>
      <c r="G1946" s="201"/>
      <c r="H1946" s="215"/>
      <c r="I1946" s="216"/>
    </row>
    <row r="1947" spans="1:9" ht="14.4" x14ac:dyDescent="0.3">
      <c r="A1947" s="197"/>
      <c r="B1947" s="198"/>
      <c r="C1947" s="199"/>
      <c r="D1947" s="200"/>
      <c r="E1947" s="201"/>
      <c r="F1947" s="212"/>
      <c r="G1947" s="201"/>
      <c r="H1947" s="215"/>
      <c r="I1947" s="216"/>
    </row>
    <row r="1948" spans="1:9" ht="14.4" x14ac:dyDescent="0.3">
      <c r="A1948" s="197"/>
      <c r="B1948" s="203"/>
      <c r="C1948" s="204"/>
      <c r="D1948" s="205"/>
      <c r="E1948" s="206"/>
      <c r="F1948" s="218"/>
      <c r="G1948" s="206"/>
      <c r="H1948" s="219"/>
      <c r="I1948" s="220"/>
    </row>
    <row r="1949" spans="1:9" ht="15" thickBot="1" x14ac:dyDescent="0.35">
      <c r="A1949" s="207"/>
      <c r="B1949" s="208"/>
      <c r="C1949" s="209"/>
      <c r="D1949" s="210"/>
      <c r="E1949" s="211"/>
      <c r="F1949" s="221"/>
      <c r="G1949" s="211"/>
      <c r="H1949" s="222"/>
      <c r="I1949" s="223"/>
    </row>
    <row r="1950" spans="1:9" ht="14.4" thickBot="1" x14ac:dyDescent="0.35"/>
    <row r="1951" spans="1:9" ht="14.4" thickBot="1" x14ac:dyDescent="0.35">
      <c r="A1951" s="226" t="s">
        <v>1204</v>
      </c>
      <c r="B1951" s="224" t="s">
        <v>1205</v>
      </c>
      <c r="C1951" s="224" t="s">
        <v>1206</v>
      </c>
      <c r="D1951" s="224" t="s">
        <v>1207</v>
      </c>
      <c r="E1951" s="368" t="s">
        <v>1208</v>
      </c>
      <c r="F1951" s="368"/>
      <c r="G1951" s="368"/>
      <c r="H1951" s="224" t="s">
        <v>1209</v>
      </c>
      <c r="I1951" s="225" t="s">
        <v>1210</v>
      </c>
    </row>
    <row r="1952" spans="1:9" ht="14.4" x14ac:dyDescent="0.3">
      <c r="A1952" s="197"/>
      <c r="B1952" s="193"/>
      <c r="C1952" s="194"/>
      <c r="D1952" s="195"/>
      <c r="E1952" s="196"/>
      <c r="F1952" s="212"/>
      <c r="G1952" s="196"/>
      <c r="H1952" s="213"/>
      <c r="I1952" s="214"/>
    </row>
    <row r="1953" spans="1:9" ht="14.4" x14ac:dyDescent="0.3">
      <c r="A1953" s="197"/>
      <c r="B1953" s="198"/>
      <c r="C1953" s="199"/>
      <c r="D1953" s="200"/>
      <c r="E1953" s="201"/>
      <c r="F1953" s="212"/>
      <c r="G1953" s="201"/>
      <c r="H1953" s="215"/>
      <c r="I1953" s="216"/>
    </row>
    <row r="1954" spans="1:9" ht="14.4" x14ac:dyDescent="0.3">
      <c r="A1954" s="197"/>
      <c r="B1954" s="198"/>
      <c r="C1954" s="199"/>
      <c r="D1954" s="200"/>
      <c r="E1954" s="201"/>
      <c r="F1954" s="212"/>
      <c r="G1954" s="201"/>
      <c r="H1954" s="215"/>
      <c r="I1954" s="216"/>
    </row>
    <row r="1955" spans="1:9" ht="14.4" x14ac:dyDescent="0.3">
      <c r="A1955" s="197"/>
      <c r="B1955" s="198"/>
      <c r="C1955" s="199"/>
      <c r="D1955" s="200"/>
      <c r="E1955" s="201"/>
      <c r="F1955" s="212"/>
      <c r="G1955" s="201"/>
      <c r="H1955" s="215"/>
      <c r="I1955" s="217"/>
    </row>
    <row r="1956" spans="1:9" ht="14.4" x14ac:dyDescent="0.3">
      <c r="A1956" s="197"/>
      <c r="B1956" s="198"/>
      <c r="C1956" s="199"/>
      <c r="D1956" s="200"/>
      <c r="E1956" s="196"/>
      <c r="F1956" s="212"/>
      <c r="G1956" s="196"/>
      <c r="H1956" s="215"/>
      <c r="I1956" s="217"/>
    </row>
    <row r="1957" spans="1:9" ht="14.4" x14ac:dyDescent="0.3">
      <c r="A1957" s="197"/>
      <c r="B1957" s="198"/>
      <c r="C1957" s="199"/>
      <c r="D1957" s="200"/>
      <c r="E1957" s="196"/>
      <c r="F1957" s="212"/>
      <c r="G1957" s="196"/>
      <c r="H1957" s="215"/>
      <c r="I1957" s="216"/>
    </row>
    <row r="1958" spans="1:9" ht="14.4" x14ac:dyDescent="0.3">
      <c r="A1958" s="197"/>
      <c r="B1958" s="198"/>
      <c r="C1958" s="199"/>
      <c r="D1958" s="200"/>
      <c r="E1958" s="201"/>
      <c r="F1958" s="212"/>
      <c r="G1958" s="201"/>
      <c r="H1958" s="215"/>
      <c r="I1958" s="216"/>
    </row>
    <row r="1959" spans="1:9" ht="14.4" x14ac:dyDescent="0.3">
      <c r="A1959" s="197"/>
      <c r="B1959" s="198"/>
      <c r="C1959" s="199"/>
      <c r="D1959" s="200"/>
      <c r="E1959" s="202"/>
      <c r="F1959" s="212"/>
      <c r="G1959" s="201"/>
      <c r="H1959" s="215"/>
      <c r="I1959" s="216"/>
    </row>
    <row r="1960" spans="1:9" ht="14.4" x14ac:dyDescent="0.3">
      <c r="A1960" s="197"/>
      <c r="B1960" s="198"/>
      <c r="C1960" s="199"/>
      <c r="D1960" s="200"/>
      <c r="E1960" s="201"/>
      <c r="F1960" s="212"/>
      <c r="G1960" s="201"/>
      <c r="H1960" s="215"/>
      <c r="I1960" s="216"/>
    </row>
    <row r="1961" spans="1:9" ht="14.4" x14ac:dyDescent="0.3">
      <c r="A1961" s="197"/>
      <c r="B1961" s="198"/>
      <c r="C1961" s="199"/>
      <c r="D1961" s="200"/>
      <c r="E1961" s="201"/>
      <c r="F1961" s="212"/>
      <c r="G1961" s="201"/>
      <c r="H1961" s="215"/>
      <c r="I1961" s="216"/>
    </row>
    <row r="1962" spans="1:9" ht="14.4" x14ac:dyDescent="0.3">
      <c r="A1962" s="197"/>
      <c r="B1962" s="203"/>
      <c r="C1962" s="204"/>
      <c r="D1962" s="205"/>
      <c r="E1962" s="206"/>
      <c r="F1962" s="218"/>
      <c r="G1962" s="206"/>
      <c r="H1962" s="219"/>
      <c r="I1962" s="220"/>
    </row>
    <row r="1963" spans="1:9" ht="15" thickBot="1" x14ac:dyDescent="0.35">
      <c r="A1963" s="207"/>
      <c r="B1963" s="208"/>
      <c r="C1963" s="209"/>
      <c r="D1963" s="210"/>
      <c r="E1963" s="211"/>
      <c r="F1963" s="221"/>
      <c r="G1963" s="211"/>
      <c r="H1963" s="222"/>
      <c r="I1963" s="223"/>
    </row>
    <row r="1964" spans="1:9" ht="14.4" thickBot="1" x14ac:dyDescent="0.35"/>
    <row r="1965" spans="1:9" ht="14.4" thickBot="1" x14ac:dyDescent="0.35">
      <c r="A1965" s="226" t="s">
        <v>1204</v>
      </c>
      <c r="B1965" s="224" t="s">
        <v>1205</v>
      </c>
      <c r="C1965" s="224" t="s">
        <v>1206</v>
      </c>
      <c r="D1965" s="224" t="s">
        <v>1207</v>
      </c>
      <c r="E1965" s="368" t="s">
        <v>1208</v>
      </c>
      <c r="F1965" s="368"/>
      <c r="G1965" s="368"/>
      <c r="H1965" s="224" t="s">
        <v>1209</v>
      </c>
      <c r="I1965" s="225" t="s">
        <v>1210</v>
      </c>
    </row>
    <row r="1966" spans="1:9" ht="14.4" x14ac:dyDescent="0.3">
      <c r="A1966" s="197"/>
      <c r="B1966" s="193"/>
      <c r="C1966" s="194"/>
      <c r="D1966" s="195"/>
      <c r="E1966" s="196"/>
      <c r="F1966" s="212"/>
      <c r="G1966" s="196"/>
      <c r="H1966" s="213"/>
      <c r="I1966" s="214"/>
    </row>
    <row r="1967" spans="1:9" ht="14.4" x14ac:dyDescent="0.3">
      <c r="A1967" s="197"/>
      <c r="B1967" s="198"/>
      <c r="C1967" s="199"/>
      <c r="D1967" s="200"/>
      <c r="E1967" s="201"/>
      <c r="F1967" s="212"/>
      <c r="G1967" s="201"/>
      <c r="H1967" s="215"/>
      <c r="I1967" s="216"/>
    </row>
    <row r="1968" spans="1:9" ht="14.4" x14ac:dyDescent="0.3">
      <c r="A1968" s="197"/>
      <c r="B1968" s="198"/>
      <c r="C1968" s="199"/>
      <c r="D1968" s="200"/>
      <c r="E1968" s="201"/>
      <c r="F1968" s="212"/>
      <c r="G1968" s="201"/>
      <c r="H1968" s="215"/>
      <c r="I1968" s="216"/>
    </row>
    <row r="1969" spans="1:9" ht="14.4" x14ac:dyDescent="0.3">
      <c r="A1969" s="197"/>
      <c r="B1969" s="198"/>
      <c r="C1969" s="199"/>
      <c r="D1969" s="200"/>
      <c r="E1969" s="201"/>
      <c r="F1969" s="212"/>
      <c r="G1969" s="201"/>
      <c r="H1969" s="215"/>
      <c r="I1969" s="217"/>
    </row>
    <row r="1970" spans="1:9" ht="14.4" x14ac:dyDescent="0.3">
      <c r="A1970" s="197"/>
      <c r="B1970" s="198"/>
      <c r="C1970" s="199"/>
      <c r="D1970" s="200"/>
      <c r="E1970" s="196"/>
      <c r="F1970" s="212"/>
      <c r="G1970" s="196"/>
      <c r="H1970" s="215"/>
      <c r="I1970" s="217"/>
    </row>
    <row r="1971" spans="1:9" ht="14.4" x14ac:dyDescent="0.3">
      <c r="A1971" s="197"/>
      <c r="B1971" s="198"/>
      <c r="C1971" s="199"/>
      <c r="D1971" s="200"/>
      <c r="E1971" s="196"/>
      <c r="F1971" s="212"/>
      <c r="G1971" s="196"/>
      <c r="H1971" s="215"/>
      <c r="I1971" s="216"/>
    </row>
    <row r="1972" spans="1:9" ht="14.4" x14ac:dyDescent="0.3">
      <c r="A1972" s="197"/>
      <c r="B1972" s="198"/>
      <c r="C1972" s="199"/>
      <c r="D1972" s="200"/>
      <c r="E1972" s="201"/>
      <c r="F1972" s="212"/>
      <c r="G1972" s="201"/>
      <c r="H1972" s="215"/>
      <c r="I1972" s="216"/>
    </row>
    <row r="1973" spans="1:9" ht="14.4" x14ac:dyDescent="0.3">
      <c r="A1973" s="197"/>
      <c r="B1973" s="198"/>
      <c r="C1973" s="199"/>
      <c r="D1973" s="200"/>
      <c r="E1973" s="202"/>
      <c r="F1973" s="212"/>
      <c r="G1973" s="201"/>
      <c r="H1973" s="215"/>
      <c r="I1973" s="216"/>
    </row>
    <row r="1974" spans="1:9" ht="14.4" x14ac:dyDescent="0.3">
      <c r="A1974" s="197"/>
      <c r="B1974" s="198"/>
      <c r="C1974" s="199"/>
      <c r="D1974" s="200"/>
      <c r="E1974" s="201"/>
      <c r="F1974" s="212"/>
      <c r="G1974" s="201"/>
      <c r="H1974" s="215"/>
      <c r="I1974" s="216"/>
    </row>
    <row r="1975" spans="1:9" ht="14.4" x14ac:dyDescent="0.3">
      <c r="A1975" s="197"/>
      <c r="B1975" s="198"/>
      <c r="C1975" s="199"/>
      <c r="D1975" s="200"/>
      <c r="E1975" s="201"/>
      <c r="F1975" s="212"/>
      <c r="G1975" s="201"/>
      <c r="H1975" s="215"/>
      <c r="I1975" s="216"/>
    </row>
    <row r="1976" spans="1:9" ht="14.4" x14ac:dyDescent="0.3">
      <c r="A1976" s="197"/>
      <c r="B1976" s="203"/>
      <c r="C1976" s="204"/>
      <c r="D1976" s="205"/>
      <c r="E1976" s="206"/>
      <c r="F1976" s="218"/>
      <c r="G1976" s="206"/>
      <c r="H1976" s="219"/>
      <c r="I1976" s="220"/>
    </row>
    <row r="1977" spans="1:9" ht="15" thickBot="1" x14ac:dyDescent="0.35">
      <c r="A1977" s="207"/>
      <c r="B1977" s="208"/>
      <c r="C1977" s="209"/>
      <c r="D1977" s="210"/>
      <c r="E1977" s="211"/>
      <c r="F1977" s="221"/>
      <c r="G1977" s="211"/>
      <c r="H1977" s="222"/>
      <c r="I1977" s="223"/>
    </row>
    <row r="1978" spans="1:9" ht="14.4" thickBot="1" x14ac:dyDescent="0.35"/>
    <row r="1979" spans="1:9" ht="14.4" thickBot="1" x14ac:dyDescent="0.35">
      <c r="A1979" s="226" t="s">
        <v>1204</v>
      </c>
      <c r="B1979" s="224" t="s">
        <v>1205</v>
      </c>
      <c r="C1979" s="224" t="s">
        <v>1206</v>
      </c>
      <c r="D1979" s="224" t="s">
        <v>1207</v>
      </c>
      <c r="E1979" s="368" t="s">
        <v>1208</v>
      </c>
      <c r="F1979" s="368"/>
      <c r="G1979" s="368"/>
      <c r="H1979" s="224" t="s">
        <v>1209</v>
      </c>
      <c r="I1979" s="225" t="s">
        <v>1210</v>
      </c>
    </row>
    <row r="1980" spans="1:9" ht="14.4" x14ac:dyDescent="0.3">
      <c r="A1980" s="197"/>
      <c r="B1980" s="193"/>
      <c r="C1980" s="194"/>
      <c r="D1980" s="195"/>
      <c r="E1980" s="196"/>
      <c r="F1980" s="212"/>
      <c r="G1980" s="196"/>
      <c r="H1980" s="213"/>
      <c r="I1980" s="214"/>
    </row>
    <row r="1981" spans="1:9" ht="14.4" x14ac:dyDescent="0.3">
      <c r="A1981" s="197"/>
      <c r="B1981" s="198"/>
      <c r="C1981" s="199"/>
      <c r="D1981" s="200"/>
      <c r="E1981" s="201"/>
      <c r="F1981" s="212"/>
      <c r="G1981" s="201"/>
      <c r="H1981" s="215"/>
      <c r="I1981" s="216"/>
    </row>
    <row r="1982" spans="1:9" ht="14.4" x14ac:dyDescent="0.3">
      <c r="A1982" s="197"/>
      <c r="B1982" s="198"/>
      <c r="C1982" s="199"/>
      <c r="D1982" s="200"/>
      <c r="E1982" s="201"/>
      <c r="F1982" s="212"/>
      <c r="G1982" s="201"/>
      <c r="H1982" s="215"/>
      <c r="I1982" s="216"/>
    </row>
    <row r="1983" spans="1:9" ht="14.4" x14ac:dyDescent="0.3">
      <c r="A1983" s="197"/>
      <c r="B1983" s="198"/>
      <c r="C1983" s="199"/>
      <c r="D1983" s="200"/>
      <c r="E1983" s="201"/>
      <c r="F1983" s="212"/>
      <c r="G1983" s="201"/>
      <c r="H1983" s="215"/>
      <c r="I1983" s="217"/>
    </row>
    <row r="1984" spans="1:9" ht="14.4" x14ac:dyDescent="0.3">
      <c r="A1984" s="197"/>
      <c r="B1984" s="198"/>
      <c r="C1984" s="199"/>
      <c r="D1984" s="200"/>
      <c r="E1984" s="196"/>
      <c r="F1984" s="212"/>
      <c r="G1984" s="196"/>
      <c r="H1984" s="215"/>
      <c r="I1984" s="217"/>
    </row>
    <row r="1985" spans="1:9" ht="14.4" x14ac:dyDescent="0.3">
      <c r="A1985" s="197"/>
      <c r="B1985" s="198"/>
      <c r="C1985" s="199"/>
      <c r="D1985" s="200"/>
      <c r="E1985" s="196"/>
      <c r="F1985" s="212"/>
      <c r="G1985" s="196"/>
      <c r="H1985" s="215"/>
      <c r="I1985" s="216"/>
    </row>
    <row r="1986" spans="1:9" ht="14.4" x14ac:dyDescent="0.3">
      <c r="A1986" s="197"/>
      <c r="B1986" s="198"/>
      <c r="C1986" s="199"/>
      <c r="D1986" s="200"/>
      <c r="E1986" s="201"/>
      <c r="F1986" s="212"/>
      <c r="G1986" s="201"/>
      <c r="H1986" s="215"/>
      <c r="I1986" s="216"/>
    </row>
    <row r="1987" spans="1:9" ht="14.4" x14ac:dyDescent="0.3">
      <c r="A1987" s="197"/>
      <c r="B1987" s="198"/>
      <c r="C1987" s="199"/>
      <c r="D1987" s="200"/>
      <c r="E1987" s="202"/>
      <c r="F1987" s="212"/>
      <c r="G1987" s="201"/>
      <c r="H1987" s="215"/>
      <c r="I1987" s="216"/>
    </row>
    <row r="1988" spans="1:9" ht="14.4" x14ac:dyDescent="0.3">
      <c r="A1988" s="197"/>
      <c r="B1988" s="198"/>
      <c r="C1988" s="199"/>
      <c r="D1988" s="200"/>
      <c r="E1988" s="201"/>
      <c r="F1988" s="212"/>
      <c r="G1988" s="201"/>
      <c r="H1988" s="215"/>
      <c r="I1988" s="216"/>
    </row>
    <row r="1989" spans="1:9" ht="14.4" x14ac:dyDescent="0.3">
      <c r="A1989" s="197"/>
      <c r="B1989" s="198"/>
      <c r="C1989" s="199"/>
      <c r="D1989" s="200"/>
      <c r="E1989" s="201"/>
      <c r="F1989" s="212"/>
      <c r="G1989" s="201"/>
      <c r="H1989" s="215"/>
      <c r="I1989" s="216"/>
    </row>
    <row r="1990" spans="1:9" ht="14.4" x14ac:dyDescent="0.3">
      <c r="A1990" s="197"/>
      <c r="B1990" s="203"/>
      <c r="C1990" s="204"/>
      <c r="D1990" s="205"/>
      <c r="E1990" s="206"/>
      <c r="F1990" s="218"/>
      <c r="G1990" s="206"/>
      <c r="H1990" s="219"/>
      <c r="I1990" s="220"/>
    </row>
    <row r="1991" spans="1:9" ht="15" thickBot="1" x14ac:dyDescent="0.35">
      <c r="A1991" s="207"/>
      <c r="B1991" s="208"/>
      <c r="C1991" s="209"/>
      <c r="D1991" s="210"/>
      <c r="E1991" s="211"/>
      <c r="F1991" s="221"/>
      <c r="G1991" s="211"/>
      <c r="H1991" s="222"/>
      <c r="I1991" s="223"/>
    </row>
    <row r="1992" spans="1:9" ht="14.4" thickBot="1" x14ac:dyDescent="0.35"/>
    <row r="1993" spans="1:9" ht="14.4" thickBot="1" x14ac:dyDescent="0.35">
      <c r="A1993" s="226" t="s">
        <v>1204</v>
      </c>
      <c r="B1993" s="224" t="s">
        <v>1205</v>
      </c>
      <c r="C1993" s="224" t="s">
        <v>1206</v>
      </c>
      <c r="D1993" s="224" t="s">
        <v>1207</v>
      </c>
      <c r="E1993" s="368" t="s">
        <v>1208</v>
      </c>
      <c r="F1993" s="368"/>
      <c r="G1993" s="368"/>
      <c r="H1993" s="224" t="s">
        <v>1209</v>
      </c>
      <c r="I1993" s="225" t="s">
        <v>1210</v>
      </c>
    </row>
    <row r="1994" spans="1:9" ht="14.4" x14ac:dyDescent="0.3">
      <c r="A1994" s="197"/>
      <c r="B1994" s="193"/>
      <c r="C1994" s="194"/>
      <c r="D1994" s="195"/>
      <c r="E1994" s="196"/>
      <c r="F1994" s="212"/>
      <c r="G1994" s="196"/>
      <c r="H1994" s="213"/>
      <c r="I1994" s="214"/>
    </row>
    <row r="1995" spans="1:9" ht="14.4" x14ac:dyDescent="0.3">
      <c r="A1995" s="197"/>
      <c r="B1995" s="198"/>
      <c r="C1995" s="199"/>
      <c r="D1995" s="200"/>
      <c r="E1995" s="201"/>
      <c r="F1995" s="212"/>
      <c r="G1995" s="201"/>
      <c r="H1995" s="215"/>
      <c r="I1995" s="216"/>
    </row>
    <row r="1996" spans="1:9" ht="14.4" x14ac:dyDescent="0.3">
      <c r="A1996" s="197"/>
      <c r="B1996" s="198"/>
      <c r="C1996" s="199"/>
      <c r="D1996" s="200"/>
      <c r="E1996" s="201"/>
      <c r="F1996" s="212"/>
      <c r="G1996" s="201"/>
      <c r="H1996" s="215"/>
      <c r="I1996" s="216"/>
    </row>
    <row r="1997" spans="1:9" ht="14.4" x14ac:dyDescent="0.3">
      <c r="A1997" s="197"/>
      <c r="B1997" s="198"/>
      <c r="C1997" s="199"/>
      <c r="D1997" s="200"/>
      <c r="E1997" s="201"/>
      <c r="F1997" s="212"/>
      <c r="G1997" s="201"/>
      <c r="H1997" s="215"/>
      <c r="I1997" s="217"/>
    </row>
    <row r="1998" spans="1:9" ht="14.4" x14ac:dyDescent="0.3">
      <c r="A1998" s="197"/>
      <c r="B1998" s="198"/>
      <c r="C1998" s="199"/>
      <c r="D1998" s="200"/>
      <c r="E1998" s="196"/>
      <c r="F1998" s="212"/>
      <c r="G1998" s="196"/>
      <c r="H1998" s="215"/>
      <c r="I1998" s="217"/>
    </row>
    <row r="1999" spans="1:9" ht="14.4" x14ac:dyDescent="0.3">
      <c r="A1999" s="197"/>
      <c r="B1999" s="198"/>
      <c r="C1999" s="199"/>
      <c r="D1999" s="200"/>
      <c r="E1999" s="196"/>
      <c r="F1999" s="212"/>
      <c r="G1999" s="196"/>
      <c r="H1999" s="215"/>
      <c r="I1999" s="216"/>
    </row>
    <row r="2000" spans="1:9" ht="14.4" x14ac:dyDescent="0.3">
      <c r="A2000" s="197"/>
      <c r="B2000" s="198"/>
      <c r="C2000" s="199"/>
      <c r="D2000" s="200"/>
      <c r="E2000" s="201"/>
      <c r="F2000" s="212"/>
      <c r="G2000" s="201"/>
      <c r="H2000" s="215"/>
      <c r="I2000" s="216"/>
    </row>
    <row r="2001" spans="1:9" ht="14.4" x14ac:dyDescent="0.3">
      <c r="A2001" s="197"/>
      <c r="B2001" s="198"/>
      <c r="C2001" s="199"/>
      <c r="D2001" s="200"/>
      <c r="E2001" s="202"/>
      <c r="F2001" s="212"/>
      <c r="G2001" s="201"/>
      <c r="H2001" s="215"/>
      <c r="I2001" s="216"/>
    </row>
    <row r="2002" spans="1:9" ht="14.4" x14ac:dyDescent="0.3">
      <c r="A2002" s="197"/>
      <c r="B2002" s="198"/>
      <c r="C2002" s="199"/>
      <c r="D2002" s="200"/>
      <c r="E2002" s="201"/>
      <c r="F2002" s="212"/>
      <c r="G2002" s="201"/>
      <c r="H2002" s="215"/>
      <c r="I2002" s="216"/>
    </row>
    <row r="2003" spans="1:9" ht="14.4" x14ac:dyDescent="0.3">
      <c r="A2003" s="197"/>
      <c r="B2003" s="198"/>
      <c r="C2003" s="199"/>
      <c r="D2003" s="200"/>
      <c r="E2003" s="201"/>
      <c r="F2003" s="212"/>
      <c r="G2003" s="201"/>
      <c r="H2003" s="215"/>
      <c r="I2003" s="216"/>
    </row>
    <row r="2004" spans="1:9" ht="14.4" x14ac:dyDescent="0.3">
      <c r="A2004" s="197"/>
      <c r="B2004" s="203"/>
      <c r="C2004" s="204"/>
      <c r="D2004" s="205"/>
      <c r="E2004" s="206"/>
      <c r="F2004" s="218"/>
      <c r="G2004" s="206"/>
      <c r="H2004" s="219"/>
      <c r="I2004" s="220"/>
    </row>
    <row r="2005" spans="1:9" ht="15" thickBot="1" x14ac:dyDescent="0.35">
      <c r="A2005" s="207"/>
      <c r="B2005" s="208"/>
      <c r="C2005" s="209"/>
      <c r="D2005" s="210"/>
      <c r="E2005" s="211"/>
      <c r="F2005" s="221"/>
      <c r="G2005" s="211"/>
      <c r="H2005" s="222"/>
      <c r="I2005" s="223"/>
    </row>
    <row r="2006" spans="1:9" ht="14.4" thickBot="1" x14ac:dyDescent="0.35"/>
    <row r="2007" spans="1:9" ht="14.4" thickBot="1" x14ac:dyDescent="0.35">
      <c r="A2007" s="226" t="s">
        <v>1204</v>
      </c>
      <c r="B2007" s="224" t="s">
        <v>1205</v>
      </c>
      <c r="C2007" s="224" t="s">
        <v>1206</v>
      </c>
      <c r="D2007" s="224" t="s">
        <v>1207</v>
      </c>
      <c r="E2007" s="368" t="s">
        <v>1208</v>
      </c>
      <c r="F2007" s="368"/>
      <c r="G2007" s="368"/>
      <c r="H2007" s="224" t="s">
        <v>1209</v>
      </c>
      <c r="I2007" s="225" t="s">
        <v>1210</v>
      </c>
    </row>
    <row r="2008" spans="1:9" ht="14.4" x14ac:dyDescent="0.3">
      <c r="A2008" s="197"/>
      <c r="B2008" s="193"/>
      <c r="C2008" s="194"/>
      <c r="D2008" s="195"/>
      <c r="E2008" s="196"/>
      <c r="F2008" s="212"/>
      <c r="G2008" s="196"/>
      <c r="H2008" s="213"/>
      <c r="I2008" s="214"/>
    </row>
    <row r="2009" spans="1:9" ht="14.4" x14ac:dyDescent="0.3">
      <c r="A2009" s="197"/>
      <c r="B2009" s="198"/>
      <c r="C2009" s="199"/>
      <c r="D2009" s="200"/>
      <c r="E2009" s="201"/>
      <c r="F2009" s="212"/>
      <c r="G2009" s="201"/>
      <c r="H2009" s="215"/>
      <c r="I2009" s="216"/>
    </row>
    <row r="2010" spans="1:9" ht="14.4" x14ac:dyDescent="0.3">
      <c r="A2010" s="197"/>
      <c r="B2010" s="198"/>
      <c r="C2010" s="199"/>
      <c r="D2010" s="200"/>
      <c r="E2010" s="201"/>
      <c r="F2010" s="212"/>
      <c r="G2010" s="201"/>
      <c r="H2010" s="215"/>
      <c r="I2010" s="216"/>
    </row>
    <row r="2011" spans="1:9" ht="14.4" x14ac:dyDescent="0.3">
      <c r="A2011" s="197"/>
      <c r="B2011" s="198"/>
      <c r="C2011" s="199"/>
      <c r="D2011" s="200"/>
      <c r="E2011" s="201"/>
      <c r="F2011" s="212"/>
      <c r="G2011" s="201"/>
      <c r="H2011" s="215"/>
      <c r="I2011" s="217"/>
    </row>
    <row r="2012" spans="1:9" ht="14.4" x14ac:dyDescent="0.3">
      <c r="A2012" s="197"/>
      <c r="B2012" s="198"/>
      <c r="C2012" s="199"/>
      <c r="D2012" s="200"/>
      <c r="E2012" s="196"/>
      <c r="F2012" s="212"/>
      <c r="G2012" s="196"/>
      <c r="H2012" s="215"/>
      <c r="I2012" s="217"/>
    </row>
    <row r="2013" spans="1:9" ht="14.4" x14ac:dyDescent="0.3">
      <c r="A2013" s="197"/>
      <c r="B2013" s="198"/>
      <c r="C2013" s="199"/>
      <c r="D2013" s="200"/>
      <c r="E2013" s="196"/>
      <c r="F2013" s="212"/>
      <c r="G2013" s="196"/>
      <c r="H2013" s="215"/>
      <c r="I2013" s="216"/>
    </row>
    <row r="2014" spans="1:9" ht="14.4" x14ac:dyDescent="0.3">
      <c r="A2014" s="197"/>
      <c r="B2014" s="198"/>
      <c r="C2014" s="199"/>
      <c r="D2014" s="200"/>
      <c r="E2014" s="201"/>
      <c r="F2014" s="212"/>
      <c r="G2014" s="201"/>
      <c r="H2014" s="215"/>
      <c r="I2014" s="216"/>
    </row>
    <row r="2015" spans="1:9" ht="14.4" x14ac:dyDescent="0.3">
      <c r="A2015" s="197"/>
      <c r="B2015" s="198"/>
      <c r="C2015" s="199"/>
      <c r="D2015" s="200"/>
      <c r="E2015" s="202"/>
      <c r="F2015" s="212"/>
      <c r="G2015" s="201"/>
      <c r="H2015" s="215"/>
      <c r="I2015" s="216"/>
    </row>
    <row r="2016" spans="1:9" ht="14.4" x14ac:dyDescent="0.3">
      <c r="A2016" s="197"/>
      <c r="B2016" s="198"/>
      <c r="C2016" s="199"/>
      <c r="D2016" s="200"/>
      <c r="E2016" s="201"/>
      <c r="F2016" s="212"/>
      <c r="G2016" s="201"/>
      <c r="H2016" s="215"/>
      <c r="I2016" s="216"/>
    </row>
    <row r="2017" spans="1:9" ht="14.4" x14ac:dyDescent="0.3">
      <c r="A2017" s="197"/>
      <c r="B2017" s="198"/>
      <c r="C2017" s="199"/>
      <c r="D2017" s="200"/>
      <c r="E2017" s="201"/>
      <c r="F2017" s="212"/>
      <c r="G2017" s="201"/>
      <c r="H2017" s="215"/>
      <c r="I2017" s="216"/>
    </row>
    <row r="2018" spans="1:9" ht="14.4" x14ac:dyDescent="0.3">
      <c r="A2018" s="197"/>
      <c r="B2018" s="203"/>
      <c r="C2018" s="204"/>
      <c r="D2018" s="205"/>
      <c r="E2018" s="206"/>
      <c r="F2018" s="218"/>
      <c r="G2018" s="206"/>
      <c r="H2018" s="219"/>
      <c r="I2018" s="220"/>
    </row>
    <row r="2019" spans="1:9" ht="15" thickBot="1" x14ac:dyDescent="0.35">
      <c r="A2019" s="207"/>
      <c r="B2019" s="208"/>
      <c r="C2019" s="209"/>
      <c r="D2019" s="210"/>
      <c r="E2019" s="211"/>
      <c r="F2019" s="221"/>
      <c r="G2019" s="211"/>
      <c r="H2019" s="222"/>
      <c r="I2019" s="223"/>
    </row>
  </sheetData>
  <sheetProtection algorithmName="SHA-512" hashValue="PgZ1Ua8nWVWTnhOqOlc83Y7pUxpKJx/JgSpHdLA7Gtl+rHQRmKaPQdx4W9ju6tRu2wdq5IuKIGUROHS1k1bYzg==" saltValue="HRBvie6M/sMSasF1oyJ2Zg==" spinCount="100000" sheet="1" objects="1" scenarios="1"/>
  <mergeCells count="147">
    <mergeCell ref="E33:G33"/>
    <mergeCell ref="E47:G47"/>
    <mergeCell ref="E61:G61"/>
    <mergeCell ref="A1:I1"/>
    <mergeCell ref="A2:I2"/>
    <mergeCell ref="A3:I3"/>
    <mergeCell ref="E5:G5"/>
    <mergeCell ref="E19:G19"/>
    <mergeCell ref="E145:G145"/>
    <mergeCell ref="E159:G159"/>
    <mergeCell ref="E173:G173"/>
    <mergeCell ref="E187:G187"/>
    <mergeCell ref="E201:G201"/>
    <mergeCell ref="E75:G75"/>
    <mergeCell ref="E89:G89"/>
    <mergeCell ref="E103:G103"/>
    <mergeCell ref="E117:G117"/>
    <mergeCell ref="E131:G131"/>
    <mergeCell ref="E285:G285"/>
    <mergeCell ref="E299:G299"/>
    <mergeCell ref="E313:G313"/>
    <mergeCell ref="E327:G327"/>
    <mergeCell ref="E341:G341"/>
    <mergeCell ref="E215:G215"/>
    <mergeCell ref="E229:G229"/>
    <mergeCell ref="E243:G243"/>
    <mergeCell ref="E257:G257"/>
    <mergeCell ref="E271:G271"/>
    <mergeCell ref="E425:G425"/>
    <mergeCell ref="E439:G439"/>
    <mergeCell ref="E453:G453"/>
    <mergeCell ref="E467:G467"/>
    <mergeCell ref="E481:G481"/>
    <mergeCell ref="E355:G355"/>
    <mergeCell ref="E369:G369"/>
    <mergeCell ref="E383:G383"/>
    <mergeCell ref="E397:G397"/>
    <mergeCell ref="E411:G411"/>
    <mergeCell ref="E565:G565"/>
    <mergeCell ref="E579:G579"/>
    <mergeCell ref="E593:G593"/>
    <mergeCell ref="E607:G607"/>
    <mergeCell ref="E621:G621"/>
    <mergeCell ref="E495:G495"/>
    <mergeCell ref="E509:G509"/>
    <mergeCell ref="E523:G523"/>
    <mergeCell ref="E537:G537"/>
    <mergeCell ref="E551:G551"/>
    <mergeCell ref="E705:G705"/>
    <mergeCell ref="E719:G719"/>
    <mergeCell ref="E733:G733"/>
    <mergeCell ref="E747:G747"/>
    <mergeCell ref="E761:G761"/>
    <mergeCell ref="E635:G635"/>
    <mergeCell ref="E649:G649"/>
    <mergeCell ref="E663:G663"/>
    <mergeCell ref="E677:G677"/>
    <mergeCell ref="E691:G691"/>
    <mergeCell ref="E845:G845"/>
    <mergeCell ref="E859:G859"/>
    <mergeCell ref="E873:G873"/>
    <mergeCell ref="E887:G887"/>
    <mergeCell ref="E901:G901"/>
    <mergeCell ref="E775:G775"/>
    <mergeCell ref="E789:G789"/>
    <mergeCell ref="E803:G803"/>
    <mergeCell ref="E817:G817"/>
    <mergeCell ref="E831:G831"/>
    <mergeCell ref="E985:G985"/>
    <mergeCell ref="E999:G999"/>
    <mergeCell ref="E1013:G1013"/>
    <mergeCell ref="E1027:G1027"/>
    <mergeCell ref="E1041:G1041"/>
    <mergeCell ref="E915:G915"/>
    <mergeCell ref="E929:G929"/>
    <mergeCell ref="E943:G943"/>
    <mergeCell ref="E957:G957"/>
    <mergeCell ref="E971:G971"/>
    <mergeCell ref="E1125:G1125"/>
    <mergeCell ref="E1139:G1139"/>
    <mergeCell ref="E1153:G1153"/>
    <mergeCell ref="E1167:G1167"/>
    <mergeCell ref="E1181:G1181"/>
    <mergeCell ref="E1055:G1055"/>
    <mergeCell ref="E1069:G1069"/>
    <mergeCell ref="E1083:G1083"/>
    <mergeCell ref="E1097:G1097"/>
    <mergeCell ref="E1111:G1111"/>
    <mergeCell ref="E1265:G1265"/>
    <mergeCell ref="E1279:G1279"/>
    <mergeCell ref="E1293:G1293"/>
    <mergeCell ref="E1307:G1307"/>
    <mergeCell ref="E1321:G1321"/>
    <mergeCell ref="E1195:G1195"/>
    <mergeCell ref="E1209:G1209"/>
    <mergeCell ref="E1223:G1223"/>
    <mergeCell ref="E1237:G1237"/>
    <mergeCell ref="E1251:G1251"/>
    <mergeCell ref="E1405:G1405"/>
    <mergeCell ref="E1419:G1419"/>
    <mergeCell ref="E1433:G1433"/>
    <mergeCell ref="E1447:G1447"/>
    <mergeCell ref="E1461:G1461"/>
    <mergeCell ref="E1335:G1335"/>
    <mergeCell ref="E1349:G1349"/>
    <mergeCell ref="E1363:G1363"/>
    <mergeCell ref="E1377:G1377"/>
    <mergeCell ref="E1391:G1391"/>
    <mergeCell ref="E1545:G1545"/>
    <mergeCell ref="E1559:G1559"/>
    <mergeCell ref="E1573:G1573"/>
    <mergeCell ref="E1587:G1587"/>
    <mergeCell ref="E1601:G1601"/>
    <mergeCell ref="E1475:G1475"/>
    <mergeCell ref="E1489:G1489"/>
    <mergeCell ref="E1503:G1503"/>
    <mergeCell ref="E1517:G1517"/>
    <mergeCell ref="E1531:G1531"/>
    <mergeCell ref="E1685:G1685"/>
    <mergeCell ref="E1699:G1699"/>
    <mergeCell ref="E1713:G1713"/>
    <mergeCell ref="E1727:G1727"/>
    <mergeCell ref="E1741:G1741"/>
    <mergeCell ref="E1615:G1615"/>
    <mergeCell ref="E1629:G1629"/>
    <mergeCell ref="E1643:G1643"/>
    <mergeCell ref="E1657:G1657"/>
    <mergeCell ref="E1671:G1671"/>
    <mergeCell ref="E1825:G1825"/>
    <mergeCell ref="E1839:G1839"/>
    <mergeCell ref="E1853:G1853"/>
    <mergeCell ref="E1867:G1867"/>
    <mergeCell ref="E1881:G1881"/>
    <mergeCell ref="E1755:G1755"/>
    <mergeCell ref="E1769:G1769"/>
    <mergeCell ref="E1783:G1783"/>
    <mergeCell ref="E1797:G1797"/>
    <mergeCell ref="E1811:G1811"/>
    <mergeCell ref="E1965:G1965"/>
    <mergeCell ref="E1979:G1979"/>
    <mergeCell ref="E1993:G1993"/>
    <mergeCell ref="E2007:G2007"/>
    <mergeCell ref="E1895:G1895"/>
    <mergeCell ref="E1909:G1909"/>
    <mergeCell ref="E1923:G1923"/>
    <mergeCell ref="E1937:G1937"/>
    <mergeCell ref="E1951:G1951"/>
  </mergeCells>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2019"/>
  <sheetViews>
    <sheetView showGridLines="0" tabSelected="1" zoomScale="85" zoomScaleNormal="85" workbookViewId="0">
      <selection activeCell="I8" sqref="I8"/>
    </sheetView>
  </sheetViews>
  <sheetFormatPr defaultColWidth="9.109375" defaultRowHeight="13.8" x14ac:dyDescent="0.3"/>
  <cols>
    <col min="1" max="1" width="15.44140625" style="39" customWidth="1"/>
    <col min="2" max="2" width="18.5546875" style="39" customWidth="1"/>
    <col min="3" max="3" width="49.5546875" style="39" customWidth="1"/>
    <col min="4" max="4" width="11.88671875" style="39" customWidth="1"/>
    <col min="5" max="5" width="10.5546875" style="39" customWidth="1"/>
    <col min="6" max="6" width="2.44140625" style="39" customWidth="1"/>
    <col min="7" max="7" width="10.5546875" style="39" customWidth="1"/>
    <col min="8" max="8" width="16.5546875" style="39" customWidth="1"/>
    <col min="9" max="9" width="34.5546875" style="39" customWidth="1"/>
    <col min="10" max="10" width="16.5546875" style="38" customWidth="1"/>
    <col min="11" max="11" width="24.109375" style="38" customWidth="1"/>
    <col min="12" max="12" width="20.44140625" style="38" customWidth="1"/>
    <col min="13" max="13" width="4.5546875" style="38" customWidth="1"/>
    <col min="14" max="14" width="14.5546875" style="38" customWidth="1"/>
    <col min="15" max="16384" width="9.109375" style="38"/>
  </cols>
  <sheetData>
    <row r="1" spans="1:11" ht="18" x14ac:dyDescent="0.35">
      <c r="A1" s="369" t="str">
        <f>_xlfn.CONCAT("STI College ",'1 - Top Sheet'!C6:D6)</f>
        <v>STI College Novaliches</v>
      </c>
      <c r="B1" s="369"/>
      <c r="C1" s="369"/>
      <c r="D1" s="369"/>
      <c r="E1" s="369"/>
      <c r="F1" s="369"/>
      <c r="G1" s="369"/>
      <c r="H1" s="369"/>
      <c r="I1" s="369"/>
      <c r="J1" s="281"/>
      <c r="K1" s="281"/>
    </row>
    <row r="2" spans="1:11" ht="18" x14ac:dyDescent="0.35">
      <c r="A2" s="370" t="s">
        <v>1433</v>
      </c>
      <c r="B2" s="370"/>
      <c r="C2" s="370"/>
      <c r="D2" s="370"/>
      <c r="E2" s="370"/>
      <c r="F2" s="370"/>
      <c r="G2" s="370"/>
      <c r="H2" s="370"/>
      <c r="I2" s="370"/>
    </row>
    <row r="3" spans="1:11" ht="18" x14ac:dyDescent="0.35">
      <c r="A3" s="369" t="str">
        <f>_xlfn.CONCAT("School Year ",'1 - Top Sheet'!C7:D7," Term ", '1 - Top Sheet'!C8:D8)</f>
        <v>School Year 2024-2025 Term 1</v>
      </c>
      <c r="B3" s="369"/>
      <c r="C3" s="369"/>
      <c r="D3" s="369"/>
      <c r="E3" s="369"/>
      <c r="F3" s="369"/>
      <c r="G3" s="369"/>
      <c r="H3" s="369"/>
      <c r="I3" s="369"/>
      <c r="J3" s="281"/>
      <c r="K3" s="281"/>
    </row>
    <row r="4" spans="1:11" ht="12.75" customHeight="1" thickBot="1" x14ac:dyDescent="0.35"/>
    <row r="5" spans="1:11" ht="14.4" thickBot="1" x14ac:dyDescent="0.35">
      <c r="A5" s="226" t="s">
        <v>1204</v>
      </c>
      <c r="B5" s="224" t="s">
        <v>1434</v>
      </c>
      <c r="C5" s="224" t="s">
        <v>1435</v>
      </c>
      <c r="D5" s="224" t="s">
        <v>1207</v>
      </c>
      <c r="E5" s="368" t="s">
        <v>1208</v>
      </c>
      <c r="F5" s="368"/>
      <c r="G5" s="368"/>
      <c r="H5" s="224" t="s">
        <v>1209</v>
      </c>
      <c r="I5" s="225" t="s">
        <v>1436</v>
      </c>
    </row>
    <row r="6" spans="1:11" ht="14.4" x14ac:dyDescent="0.3">
      <c r="A6" s="197" t="s">
        <v>1437</v>
      </c>
      <c r="B6" s="193" t="s">
        <v>117</v>
      </c>
      <c r="C6" s="194" t="s">
        <v>118</v>
      </c>
      <c r="D6" s="195" t="s">
        <v>1247</v>
      </c>
      <c r="E6" s="196" t="s">
        <v>1331</v>
      </c>
      <c r="F6" s="212"/>
      <c r="G6" s="196" t="s">
        <v>1438</v>
      </c>
      <c r="H6" s="213" t="s">
        <v>1439</v>
      </c>
      <c r="I6" s="214" t="s">
        <v>1440</v>
      </c>
    </row>
    <row r="7" spans="1:11" ht="14.4" x14ac:dyDescent="0.3">
      <c r="A7" s="197"/>
      <c r="B7" s="198" t="s">
        <v>119</v>
      </c>
      <c r="C7" s="199" t="s">
        <v>120</v>
      </c>
      <c r="D7" s="200" t="s">
        <v>1224</v>
      </c>
      <c r="E7" s="201">
        <v>0.33333333333333331</v>
      </c>
      <c r="F7" s="212"/>
      <c r="G7" s="201">
        <v>0.41666666666666669</v>
      </c>
      <c r="H7" s="215">
        <v>201</v>
      </c>
      <c r="I7" s="216" t="s">
        <v>3162</v>
      </c>
    </row>
    <row r="8" spans="1:11" ht="14.4" x14ac:dyDescent="0.3">
      <c r="A8" s="197"/>
      <c r="B8" s="198" t="s">
        <v>119</v>
      </c>
      <c r="C8" s="199" t="s">
        <v>120</v>
      </c>
      <c r="D8" s="200" t="s">
        <v>1224</v>
      </c>
      <c r="E8" s="201">
        <v>0.41666666666666669</v>
      </c>
      <c r="F8" s="212"/>
      <c r="G8" s="201">
        <v>0.54166666666666663</v>
      </c>
      <c r="H8" s="215" t="s">
        <v>1442</v>
      </c>
      <c r="I8" s="216" t="s">
        <v>3162</v>
      </c>
    </row>
    <row r="9" spans="1:11" ht="14.4" x14ac:dyDescent="0.3">
      <c r="A9" s="197"/>
      <c r="B9" s="198" t="s">
        <v>121</v>
      </c>
      <c r="C9" s="199" t="s">
        <v>122</v>
      </c>
      <c r="D9" s="200" t="s">
        <v>1443</v>
      </c>
      <c r="E9" s="201" t="s">
        <v>1444</v>
      </c>
      <c r="F9" s="212"/>
      <c r="G9" s="201" t="s">
        <v>1418</v>
      </c>
      <c r="H9" s="215">
        <v>306</v>
      </c>
      <c r="I9" s="217" t="s">
        <v>1445</v>
      </c>
    </row>
    <row r="10" spans="1:11" ht="14.4" x14ac:dyDescent="0.3">
      <c r="A10" s="197"/>
      <c r="B10" s="198" t="s">
        <v>123</v>
      </c>
      <c r="C10" s="199" t="s">
        <v>124</v>
      </c>
      <c r="D10" s="200" t="s">
        <v>1443</v>
      </c>
      <c r="E10" s="196" t="s">
        <v>1418</v>
      </c>
      <c r="F10" s="212"/>
      <c r="G10" s="196" t="s">
        <v>1393</v>
      </c>
      <c r="H10" s="215">
        <v>306</v>
      </c>
      <c r="I10" s="217" t="s">
        <v>1445</v>
      </c>
    </row>
    <row r="11" spans="1:11" ht="14.4" x14ac:dyDescent="0.3">
      <c r="A11" s="197"/>
      <c r="B11" s="198" t="s">
        <v>125</v>
      </c>
      <c r="C11" s="199" t="s">
        <v>126</v>
      </c>
      <c r="D11" s="200" t="s">
        <v>1446</v>
      </c>
      <c r="E11" s="196">
        <v>0.60416666666666663</v>
      </c>
      <c r="F11" s="212"/>
      <c r="G11" s="196">
        <v>0.66666666666666663</v>
      </c>
      <c r="H11" s="215">
        <v>301</v>
      </c>
      <c r="I11" s="216" t="s">
        <v>1447</v>
      </c>
    </row>
    <row r="12" spans="1:11" ht="14.4" x14ac:dyDescent="0.3">
      <c r="A12" s="197"/>
      <c r="B12" s="198" t="s">
        <v>128</v>
      </c>
      <c r="C12" s="199" t="s">
        <v>129</v>
      </c>
      <c r="D12" s="200" t="s">
        <v>1247</v>
      </c>
      <c r="E12" s="201">
        <v>0.54166666666666663</v>
      </c>
      <c r="F12" s="212"/>
      <c r="G12" s="201">
        <v>0.60416666666666663</v>
      </c>
      <c r="H12" s="215">
        <v>302</v>
      </c>
      <c r="I12" s="216" t="s">
        <v>1448</v>
      </c>
    </row>
    <row r="13" spans="1:11" ht="14.4" x14ac:dyDescent="0.3">
      <c r="A13" s="197"/>
      <c r="B13" s="198" t="s">
        <v>130</v>
      </c>
      <c r="C13" s="199" t="s">
        <v>131</v>
      </c>
      <c r="D13" s="200" t="s">
        <v>1267</v>
      </c>
      <c r="E13" s="202">
        <v>0.5</v>
      </c>
      <c r="F13" s="212"/>
      <c r="G13" s="201">
        <v>0.58333333333333337</v>
      </c>
      <c r="H13" s="215" t="s">
        <v>1221</v>
      </c>
      <c r="I13" s="216" t="s">
        <v>1449</v>
      </c>
    </row>
    <row r="14" spans="1:11" ht="14.4" x14ac:dyDescent="0.3">
      <c r="A14" s="197"/>
      <c r="B14" s="198" t="s">
        <v>132</v>
      </c>
      <c r="C14" s="199" t="s">
        <v>133</v>
      </c>
      <c r="D14" s="200" t="s">
        <v>1247</v>
      </c>
      <c r="E14" s="201">
        <v>0.60416666666666663</v>
      </c>
      <c r="F14" s="212"/>
      <c r="G14" s="201">
        <v>0.66666666666666663</v>
      </c>
      <c r="H14" s="215">
        <v>407</v>
      </c>
      <c r="I14" s="216" t="s">
        <v>1450</v>
      </c>
    </row>
    <row r="15" spans="1:11" ht="14.4" x14ac:dyDescent="0.3">
      <c r="A15" s="197"/>
      <c r="B15" s="198" t="s">
        <v>134</v>
      </c>
      <c r="C15" s="199" t="s">
        <v>135</v>
      </c>
      <c r="D15" s="200" t="s">
        <v>1446</v>
      </c>
      <c r="E15" s="201">
        <v>0.60416666666666663</v>
      </c>
      <c r="F15" s="212"/>
      <c r="G15" s="201">
        <v>0.66666666666666663</v>
      </c>
      <c r="H15" s="215">
        <v>301</v>
      </c>
      <c r="I15" s="216" t="s">
        <v>1447</v>
      </c>
    </row>
    <row r="16" spans="1:11" ht="14.4" x14ac:dyDescent="0.3">
      <c r="A16" s="197"/>
      <c r="B16" s="318"/>
      <c r="C16" s="318"/>
      <c r="D16" s="319"/>
      <c r="E16" s="320"/>
      <c r="F16" s="321"/>
      <c r="G16" s="320"/>
      <c r="H16" s="322"/>
      <c r="I16" s="220"/>
    </row>
    <row r="17" spans="1:9" ht="14.4" x14ac:dyDescent="0.3">
      <c r="A17" s="207"/>
      <c r="B17" s="208"/>
      <c r="C17" s="209"/>
      <c r="D17" s="210"/>
      <c r="E17" s="211"/>
      <c r="F17" s="221"/>
      <c r="G17" s="211"/>
      <c r="H17" s="222"/>
      <c r="I17" s="223"/>
    </row>
    <row r="18" spans="1:9" ht="14.4" thickBot="1" x14ac:dyDescent="0.35"/>
    <row r="19" spans="1:9" ht="14.4" thickBot="1" x14ac:dyDescent="0.35">
      <c r="A19" s="226" t="s">
        <v>1204</v>
      </c>
      <c r="B19" s="224" t="s">
        <v>1434</v>
      </c>
      <c r="C19" s="224" t="s">
        <v>1435</v>
      </c>
      <c r="D19" s="224" t="s">
        <v>1207</v>
      </c>
      <c r="E19" s="368" t="s">
        <v>1208</v>
      </c>
      <c r="F19" s="368"/>
      <c r="G19" s="368"/>
      <c r="H19" s="224" t="s">
        <v>1209</v>
      </c>
      <c r="I19" s="225" t="s">
        <v>1436</v>
      </c>
    </row>
    <row r="20" spans="1:9" ht="14.4" x14ac:dyDescent="0.3">
      <c r="A20" s="197" t="s">
        <v>1451</v>
      </c>
      <c r="B20" s="193" t="s">
        <v>117</v>
      </c>
      <c r="C20" s="194" t="s">
        <v>118</v>
      </c>
      <c r="D20" s="195" t="s">
        <v>1285</v>
      </c>
      <c r="E20" s="196">
        <v>0.5</v>
      </c>
      <c r="F20" s="212"/>
      <c r="G20" s="196" t="s">
        <v>1362</v>
      </c>
      <c r="H20" s="213" t="s">
        <v>1452</v>
      </c>
      <c r="I20" s="214" t="s">
        <v>1453</v>
      </c>
    </row>
    <row r="21" spans="1:9" ht="14.4" x14ac:dyDescent="0.3">
      <c r="A21" s="197"/>
      <c r="B21" s="198" t="s">
        <v>119</v>
      </c>
      <c r="C21" s="199" t="s">
        <v>120</v>
      </c>
      <c r="D21" s="200" t="s">
        <v>1280</v>
      </c>
      <c r="E21" s="201">
        <v>0.33333333333333331</v>
      </c>
      <c r="F21" s="212"/>
      <c r="G21" s="201">
        <v>0.41666666666666669</v>
      </c>
      <c r="H21" s="215">
        <v>201</v>
      </c>
      <c r="I21" s="216" t="s">
        <v>1441</v>
      </c>
    </row>
    <row r="22" spans="1:9" ht="14.4" x14ac:dyDescent="0.3">
      <c r="A22" s="197"/>
      <c r="B22" s="198" t="s">
        <v>119</v>
      </c>
      <c r="C22" s="199" t="s">
        <v>120</v>
      </c>
      <c r="D22" s="200" t="s">
        <v>1280</v>
      </c>
      <c r="E22" s="201">
        <v>0.41666666666666669</v>
      </c>
      <c r="F22" s="212"/>
      <c r="G22" s="201">
        <v>0.54166666666666663</v>
      </c>
      <c r="H22" s="215" t="s">
        <v>1442</v>
      </c>
      <c r="I22" s="216" t="s">
        <v>1441</v>
      </c>
    </row>
    <row r="23" spans="1:9" ht="14.4" x14ac:dyDescent="0.3">
      <c r="A23" s="197"/>
      <c r="B23" s="198" t="s">
        <v>121</v>
      </c>
      <c r="C23" s="199" t="s">
        <v>122</v>
      </c>
      <c r="D23" s="200" t="s">
        <v>1446</v>
      </c>
      <c r="E23" s="201">
        <v>0.35416666666666669</v>
      </c>
      <c r="F23" s="212"/>
      <c r="G23" s="201">
        <v>0.41666666666666669</v>
      </c>
      <c r="H23" s="215">
        <v>302</v>
      </c>
      <c r="I23" s="217" t="s">
        <v>1445</v>
      </c>
    </row>
    <row r="24" spans="1:9" ht="14.4" x14ac:dyDescent="0.3">
      <c r="A24" s="197"/>
      <c r="B24" s="198" t="s">
        <v>123</v>
      </c>
      <c r="C24" s="199" t="s">
        <v>124</v>
      </c>
      <c r="D24" s="200" t="s">
        <v>1446</v>
      </c>
      <c r="E24" s="196">
        <v>0.66666666666666663</v>
      </c>
      <c r="F24" s="212"/>
      <c r="G24" s="196">
        <v>0.70833333333333337</v>
      </c>
      <c r="H24" s="215">
        <v>204</v>
      </c>
      <c r="I24" s="217" t="s">
        <v>1454</v>
      </c>
    </row>
    <row r="25" spans="1:9" ht="14.4" x14ac:dyDescent="0.3">
      <c r="A25" s="197"/>
      <c r="B25" s="198" t="s">
        <v>125</v>
      </c>
      <c r="C25" s="199" t="s">
        <v>126</v>
      </c>
      <c r="D25" s="200" t="s">
        <v>1446</v>
      </c>
      <c r="E25" s="196">
        <v>0.47916666666666669</v>
      </c>
      <c r="F25" s="212"/>
      <c r="G25" s="196">
        <v>0.54166666666666663</v>
      </c>
      <c r="H25" s="215">
        <v>308</v>
      </c>
      <c r="I25" s="216" t="s">
        <v>1447</v>
      </c>
    </row>
    <row r="26" spans="1:9" ht="14.4" x14ac:dyDescent="0.3">
      <c r="A26" s="197"/>
      <c r="B26" s="198" t="s">
        <v>128</v>
      </c>
      <c r="C26" s="199" t="s">
        <v>129</v>
      </c>
      <c r="D26" s="200" t="s">
        <v>1446</v>
      </c>
      <c r="E26" s="201">
        <v>0.29166666666666669</v>
      </c>
      <c r="F26" s="212"/>
      <c r="G26" s="201">
        <v>0.35416666666666669</v>
      </c>
      <c r="H26" s="215">
        <v>306</v>
      </c>
      <c r="I26" s="216" t="s">
        <v>1448</v>
      </c>
    </row>
    <row r="27" spans="1:9" ht="14.4" x14ac:dyDescent="0.3">
      <c r="A27" s="197"/>
      <c r="B27" s="198" t="s">
        <v>130</v>
      </c>
      <c r="C27" s="199" t="s">
        <v>131</v>
      </c>
      <c r="D27" s="200" t="s">
        <v>1280</v>
      </c>
      <c r="E27" s="202">
        <v>0.60416666666666663</v>
      </c>
      <c r="F27" s="212"/>
      <c r="G27" s="201">
        <v>0.6875</v>
      </c>
      <c r="H27" s="215" t="s">
        <v>1221</v>
      </c>
      <c r="I27" s="216" t="s">
        <v>1449</v>
      </c>
    </row>
    <row r="28" spans="1:9" ht="14.4" x14ac:dyDescent="0.3">
      <c r="A28" s="197"/>
      <c r="B28" s="198" t="s">
        <v>132</v>
      </c>
      <c r="C28" s="199" t="s">
        <v>133</v>
      </c>
      <c r="D28" s="200" t="s">
        <v>1226</v>
      </c>
      <c r="E28" s="201">
        <v>0.29166666666666669</v>
      </c>
      <c r="F28" s="212"/>
      <c r="G28" s="201">
        <v>0.41666666666666669</v>
      </c>
      <c r="H28" s="215">
        <v>302</v>
      </c>
      <c r="I28" s="216" t="s">
        <v>1455</v>
      </c>
    </row>
    <row r="29" spans="1:9" ht="14.4" x14ac:dyDescent="0.3">
      <c r="A29" s="197"/>
      <c r="B29" s="198" t="s">
        <v>134</v>
      </c>
      <c r="C29" s="199" t="s">
        <v>135</v>
      </c>
      <c r="D29" s="200" t="s">
        <v>1446</v>
      </c>
      <c r="E29" s="201">
        <v>0.60416666666666663</v>
      </c>
      <c r="F29" s="212"/>
      <c r="G29" s="201">
        <v>0.66666666666666663</v>
      </c>
      <c r="H29" s="215">
        <v>307</v>
      </c>
      <c r="I29" s="216" t="s">
        <v>1456</v>
      </c>
    </row>
    <row r="30" spans="1:9" ht="14.4" x14ac:dyDescent="0.3">
      <c r="A30" s="197"/>
      <c r="B30" s="203"/>
      <c r="C30" s="204"/>
      <c r="D30" s="205"/>
      <c r="E30" s="206"/>
      <c r="F30" s="218"/>
      <c r="G30" s="206"/>
      <c r="H30" s="219"/>
      <c r="I30" s="220"/>
    </row>
    <row r="31" spans="1:9" ht="14.4" x14ac:dyDescent="0.3">
      <c r="A31" s="207"/>
      <c r="B31" s="208"/>
      <c r="C31" s="209"/>
      <c r="D31" s="210"/>
      <c r="E31" s="211"/>
      <c r="F31" s="221"/>
      <c r="G31" s="211"/>
      <c r="H31" s="222"/>
      <c r="I31" s="223"/>
    </row>
    <row r="32" spans="1:9" ht="14.4" thickBot="1" x14ac:dyDescent="0.35"/>
    <row r="33" spans="1:9" ht="14.4" thickBot="1" x14ac:dyDescent="0.35">
      <c r="A33" s="226" t="s">
        <v>1204</v>
      </c>
      <c r="B33" s="224" t="s">
        <v>1434</v>
      </c>
      <c r="C33" s="224" t="s">
        <v>1435</v>
      </c>
      <c r="D33" s="224" t="s">
        <v>1207</v>
      </c>
      <c r="E33" s="368" t="s">
        <v>1208</v>
      </c>
      <c r="F33" s="368"/>
      <c r="G33" s="368"/>
      <c r="H33" s="224" t="s">
        <v>1209</v>
      </c>
      <c r="I33" s="225" t="s">
        <v>1436</v>
      </c>
    </row>
    <row r="34" spans="1:9" ht="14.4" x14ac:dyDescent="0.3">
      <c r="A34" s="197" t="s">
        <v>1457</v>
      </c>
      <c r="B34" s="193" t="s">
        <v>117</v>
      </c>
      <c r="C34" s="194" t="s">
        <v>118</v>
      </c>
      <c r="D34" s="195" t="s">
        <v>1267</v>
      </c>
      <c r="E34" s="196">
        <v>0.29166666666666669</v>
      </c>
      <c r="F34" s="212"/>
      <c r="G34" s="196" t="s">
        <v>1314</v>
      </c>
      <c r="H34" s="213" t="s">
        <v>1458</v>
      </c>
      <c r="I34" s="214" t="s">
        <v>1459</v>
      </c>
    </row>
    <row r="35" spans="1:9" ht="14.4" x14ac:dyDescent="0.3">
      <c r="A35" s="197"/>
      <c r="B35" s="198" t="s">
        <v>119</v>
      </c>
      <c r="C35" s="199" t="s">
        <v>120</v>
      </c>
      <c r="D35" s="200" t="s">
        <v>1224</v>
      </c>
      <c r="E35" s="201">
        <v>0.41666666666666669</v>
      </c>
      <c r="F35" s="212"/>
      <c r="G35" s="201">
        <v>0</v>
      </c>
      <c r="H35" s="215">
        <v>201</v>
      </c>
      <c r="I35" s="216" t="s">
        <v>1460</v>
      </c>
    </row>
    <row r="36" spans="1:9" ht="14.4" x14ac:dyDescent="0.3">
      <c r="A36" s="197"/>
      <c r="B36" s="198" t="s">
        <v>119</v>
      </c>
      <c r="C36" s="199" t="s">
        <v>120</v>
      </c>
      <c r="D36" s="200" t="s">
        <v>1224</v>
      </c>
      <c r="E36" s="201">
        <v>0.29166666666666669</v>
      </c>
      <c r="F36" s="212"/>
      <c r="G36" s="201">
        <v>0.41666666666666669</v>
      </c>
      <c r="H36" s="215" t="s">
        <v>1442</v>
      </c>
      <c r="I36" s="216" t="s">
        <v>1460</v>
      </c>
    </row>
    <row r="37" spans="1:9" ht="14.4" x14ac:dyDescent="0.3">
      <c r="A37" s="197"/>
      <c r="B37" s="198" t="s">
        <v>121</v>
      </c>
      <c r="C37" s="199" t="s">
        <v>122</v>
      </c>
      <c r="D37" s="200" t="s">
        <v>1226</v>
      </c>
      <c r="E37" s="201">
        <v>0.3125</v>
      </c>
      <c r="F37" s="212"/>
      <c r="G37" s="201">
        <v>0.4375</v>
      </c>
      <c r="H37" s="215">
        <v>308</v>
      </c>
      <c r="I37" s="217" t="s">
        <v>1461</v>
      </c>
    </row>
    <row r="38" spans="1:9" ht="14.4" x14ac:dyDescent="0.3">
      <c r="A38" s="197"/>
      <c r="B38" s="198" t="s">
        <v>123</v>
      </c>
      <c r="C38" s="199" t="s">
        <v>124</v>
      </c>
      <c r="D38" s="200" t="s">
        <v>1226</v>
      </c>
      <c r="E38" s="196">
        <v>0.4375</v>
      </c>
      <c r="F38" s="212"/>
      <c r="G38" s="196">
        <v>0.47916666666666669</v>
      </c>
      <c r="H38" s="215">
        <v>308</v>
      </c>
      <c r="I38" s="217" t="s">
        <v>1461</v>
      </c>
    </row>
    <row r="39" spans="1:9" ht="14.4" x14ac:dyDescent="0.3">
      <c r="A39" s="197"/>
      <c r="B39" s="198" t="s">
        <v>125</v>
      </c>
      <c r="C39" s="199" t="s">
        <v>126</v>
      </c>
      <c r="D39" s="200" t="s">
        <v>1247</v>
      </c>
      <c r="E39" s="196">
        <v>0.47916666666666669</v>
      </c>
      <c r="F39" s="212"/>
      <c r="G39" s="196">
        <v>0.54166666666666663</v>
      </c>
      <c r="H39" s="215">
        <v>306</v>
      </c>
      <c r="I39" s="216" t="s">
        <v>1462</v>
      </c>
    </row>
    <row r="40" spans="1:9" ht="14.4" x14ac:dyDescent="0.3">
      <c r="A40" s="197"/>
      <c r="B40" s="198" t="s">
        <v>128</v>
      </c>
      <c r="C40" s="199" t="s">
        <v>129</v>
      </c>
      <c r="D40" s="200" t="s">
        <v>1247</v>
      </c>
      <c r="E40" s="201">
        <v>0.41666666666666669</v>
      </c>
      <c r="F40" s="212"/>
      <c r="G40" s="201">
        <v>0.47916666666666669</v>
      </c>
      <c r="H40" s="215">
        <v>407</v>
      </c>
      <c r="I40" s="216" t="s">
        <v>1454</v>
      </c>
    </row>
    <row r="41" spans="1:9" ht="14.4" x14ac:dyDescent="0.3">
      <c r="A41" s="197"/>
      <c r="B41" s="198" t="s">
        <v>130</v>
      </c>
      <c r="C41" s="199" t="s">
        <v>131</v>
      </c>
      <c r="D41" s="200" t="s">
        <v>1285</v>
      </c>
      <c r="E41" s="202">
        <v>0.5625</v>
      </c>
      <c r="F41" s="212"/>
      <c r="G41" s="201">
        <v>0.64583333333333337</v>
      </c>
      <c r="H41" s="215" t="s">
        <v>1221</v>
      </c>
      <c r="I41" s="216" t="s">
        <v>1449</v>
      </c>
    </row>
    <row r="42" spans="1:9" ht="14.4" x14ac:dyDescent="0.3">
      <c r="A42" s="197"/>
      <c r="B42" s="198" t="s">
        <v>132</v>
      </c>
      <c r="C42" s="199" t="s">
        <v>133</v>
      </c>
      <c r="D42" s="200" t="s">
        <v>1226</v>
      </c>
      <c r="E42" s="201">
        <v>0.54166666666666663</v>
      </c>
      <c r="F42" s="212"/>
      <c r="G42" s="201">
        <v>0.66666666666666663</v>
      </c>
      <c r="H42" s="215">
        <v>201</v>
      </c>
      <c r="I42" s="216" t="s">
        <v>1455</v>
      </c>
    </row>
    <row r="43" spans="1:9" ht="14.4" x14ac:dyDescent="0.3">
      <c r="A43" s="197"/>
      <c r="B43" s="198" t="s">
        <v>134</v>
      </c>
      <c r="C43" s="199" t="s">
        <v>135</v>
      </c>
      <c r="D43" s="200" t="s">
        <v>1247</v>
      </c>
      <c r="E43" s="201">
        <v>0.29166666666666669</v>
      </c>
      <c r="F43" s="212"/>
      <c r="G43" s="201">
        <v>0.35416666666666669</v>
      </c>
      <c r="H43" s="215">
        <v>410</v>
      </c>
      <c r="I43" s="216" t="s">
        <v>1456</v>
      </c>
    </row>
    <row r="44" spans="1:9" ht="14.4" x14ac:dyDescent="0.3">
      <c r="A44" s="197"/>
      <c r="B44" s="203"/>
      <c r="C44" s="204"/>
      <c r="D44" s="205"/>
      <c r="E44" s="206"/>
      <c r="F44" s="218"/>
      <c r="G44" s="206"/>
      <c r="H44" s="219"/>
      <c r="I44" s="220"/>
    </row>
    <row r="45" spans="1:9" ht="14.4" x14ac:dyDescent="0.3">
      <c r="A45" s="207"/>
      <c r="B45" s="208"/>
      <c r="C45" s="209"/>
      <c r="D45" s="210"/>
      <c r="E45" s="211"/>
      <c r="F45" s="221"/>
      <c r="G45" s="211"/>
      <c r="H45" s="222"/>
      <c r="I45" s="223"/>
    </row>
    <row r="46" spans="1:9" ht="14.4" thickBot="1" x14ac:dyDescent="0.35"/>
    <row r="47" spans="1:9" ht="14.4" thickBot="1" x14ac:dyDescent="0.35">
      <c r="A47" s="226" t="s">
        <v>1204</v>
      </c>
      <c r="B47" s="224" t="s">
        <v>1434</v>
      </c>
      <c r="C47" s="224" t="s">
        <v>1435</v>
      </c>
      <c r="D47" s="224" t="s">
        <v>1207</v>
      </c>
      <c r="E47" s="368" t="s">
        <v>1208</v>
      </c>
      <c r="F47" s="368"/>
      <c r="G47" s="368"/>
      <c r="H47" s="224" t="s">
        <v>1209</v>
      </c>
      <c r="I47" s="225" t="s">
        <v>1436</v>
      </c>
    </row>
    <row r="48" spans="1:9" ht="14.4" x14ac:dyDescent="0.3">
      <c r="A48" s="197" t="s">
        <v>1463</v>
      </c>
      <c r="B48" s="193" t="s">
        <v>117</v>
      </c>
      <c r="C48" s="194" t="s">
        <v>118</v>
      </c>
      <c r="D48" s="195" t="s">
        <v>1280</v>
      </c>
      <c r="E48" s="196" t="s">
        <v>1415</v>
      </c>
      <c r="F48" s="212"/>
      <c r="G48" s="196" t="s">
        <v>1311</v>
      </c>
      <c r="H48" s="213" t="s">
        <v>1464</v>
      </c>
      <c r="I48" s="214" t="s">
        <v>1453</v>
      </c>
    </row>
    <row r="49" spans="1:9" ht="14.4" x14ac:dyDescent="0.3">
      <c r="A49" s="197"/>
      <c r="B49" s="198" t="s">
        <v>119</v>
      </c>
      <c r="C49" s="199" t="s">
        <v>120</v>
      </c>
      <c r="D49" s="200" t="s">
        <v>1226</v>
      </c>
      <c r="E49" s="201">
        <v>0.29166666666666669</v>
      </c>
      <c r="F49" s="212"/>
      <c r="G49" s="201">
        <v>0.41666666666666669</v>
      </c>
      <c r="H49" s="215" t="s">
        <v>1465</v>
      </c>
      <c r="I49" s="216" t="s">
        <v>1460</v>
      </c>
    </row>
    <row r="50" spans="1:9" ht="14.4" x14ac:dyDescent="0.3">
      <c r="A50" s="197"/>
      <c r="B50" s="198" t="s">
        <v>119</v>
      </c>
      <c r="C50" s="199" t="s">
        <v>120</v>
      </c>
      <c r="D50" s="200" t="s">
        <v>1226</v>
      </c>
      <c r="E50" s="201">
        <v>0.41666666666666669</v>
      </c>
      <c r="F50" s="212"/>
      <c r="G50" s="201">
        <v>0.5</v>
      </c>
      <c r="H50" s="215">
        <v>201</v>
      </c>
      <c r="I50" s="216" t="s">
        <v>1460</v>
      </c>
    </row>
    <row r="51" spans="1:9" ht="14.4" x14ac:dyDescent="0.3">
      <c r="A51" s="197"/>
      <c r="B51" s="198" t="s">
        <v>121</v>
      </c>
      <c r="C51" s="199" t="s">
        <v>122</v>
      </c>
      <c r="D51" s="200" t="s">
        <v>1446</v>
      </c>
      <c r="E51" s="201">
        <v>0.60416666666666663</v>
      </c>
      <c r="F51" s="212"/>
      <c r="G51" s="201">
        <v>0.66666666666666663</v>
      </c>
      <c r="H51" s="215">
        <v>306</v>
      </c>
      <c r="I51" s="217" t="s">
        <v>1466</v>
      </c>
    </row>
    <row r="52" spans="1:9" ht="14.4" x14ac:dyDescent="0.3">
      <c r="A52" s="197"/>
      <c r="B52" s="198" t="s">
        <v>123</v>
      </c>
      <c r="C52" s="199" t="s">
        <v>124</v>
      </c>
      <c r="D52" s="200" t="s">
        <v>1226</v>
      </c>
      <c r="E52" s="196">
        <v>0.5625</v>
      </c>
      <c r="F52" s="212"/>
      <c r="G52" s="196">
        <v>0.60416666666666663</v>
      </c>
      <c r="H52" s="215">
        <v>410</v>
      </c>
      <c r="I52" s="217" t="s">
        <v>1456</v>
      </c>
    </row>
    <row r="53" spans="1:9" ht="14.4" x14ac:dyDescent="0.3">
      <c r="A53" s="197"/>
      <c r="B53" s="198" t="s">
        <v>125</v>
      </c>
      <c r="C53" s="199" t="s">
        <v>126</v>
      </c>
      <c r="D53" s="200" t="s">
        <v>1446</v>
      </c>
      <c r="E53" s="196">
        <v>0.54166666666666663</v>
      </c>
      <c r="F53" s="212"/>
      <c r="G53" s="196">
        <v>0.60416666666666663</v>
      </c>
      <c r="H53" s="215">
        <v>306</v>
      </c>
      <c r="I53" s="216" t="s">
        <v>1467</v>
      </c>
    </row>
    <row r="54" spans="1:9" ht="14.4" x14ac:dyDescent="0.3">
      <c r="A54" s="197"/>
      <c r="B54" s="198" t="s">
        <v>128</v>
      </c>
      <c r="C54" s="199" t="s">
        <v>129</v>
      </c>
      <c r="D54" s="200" t="s">
        <v>1247</v>
      </c>
      <c r="E54" s="201">
        <v>0.60416666666666663</v>
      </c>
      <c r="F54" s="212"/>
      <c r="G54" s="201">
        <v>0.66666666666666663</v>
      </c>
      <c r="H54" s="215">
        <v>303</v>
      </c>
      <c r="I54" s="216" t="s">
        <v>1448</v>
      </c>
    </row>
    <row r="55" spans="1:9" ht="14.4" x14ac:dyDescent="0.3">
      <c r="A55" s="197"/>
      <c r="B55" s="198" t="s">
        <v>130</v>
      </c>
      <c r="C55" s="199" t="s">
        <v>131</v>
      </c>
      <c r="D55" s="200" t="s">
        <v>1267</v>
      </c>
      <c r="E55" s="202">
        <v>0.35416666666666669</v>
      </c>
      <c r="F55" s="212"/>
      <c r="G55" s="201">
        <v>0.4375</v>
      </c>
      <c r="H55" s="215" t="s">
        <v>1221</v>
      </c>
      <c r="I55" s="216" t="s">
        <v>1468</v>
      </c>
    </row>
    <row r="56" spans="1:9" ht="14.4" x14ac:dyDescent="0.3">
      <c r="A56" s="197"/>
      <c r="B56" s="198" t="s">
        <v>132</v>
      </c>
      <c r="C56" s="199" t="s">
        <v>133</v>
      </c>
      <c r="D56" s="200" t="s">
        <v>1247</v>
      </c>
      <c r="E56" s="201">
        <v>0.52083333333333337</v>
      </c>
      <c r="F56" s="212"/>
      <c r="G56" s="201">
        <v>0.58333333333333337</v>
      </c>
      <c r="H56" s="215">
        <v>202</v>
      </c>
      <c r="I56" s="216" t="s">
        <v>1450</v>
      </c>
    </row>
    <row r="57" spans="1:9" ht="14.4" x14ac:dyDescent="0.3">
      <c r="A57" s="197"/>
      <c r="B57" s="198" t="s">
        <v>134</v>
      </c>
      <c r="C57" s="199" t="s">
        <v>135</v>
      </c>
      <c r="D57" s="200" t="s">
        <v>1226</v>
      </c>
      <c r="E57" s="201">
        <v>0.60416666666666663</v>
      </c>
      <c r="F57" s="212"/>
      <c r="G57" s="201">
        <v>0.72916666666666663</v>
      </c>
      <c r="H57" s="215">
        <v>410</v>
      </c>
      <c r="I57" s="216" t="s">
        <v>1456</v>
      </c>
    </row>
    <row r="58" spans="1:9" ht="14.4" x14ac:dyDescent="0.3">
      <c r="A58" s="197"/>
      <c r="B58" s="203"/>
      <c r="C58" s="204"/>
      <c r="D58" s="205"/>
      <c r="E58" s="206"/>
      <c r="F58" s="218"/>
      <c r="G58" s="206"/>
      <c r="H58" s="219"/>
      <c r="I58" s="220"/>
    </row>
    <row r="59" spans="1:9" ht="15" thickBot="1" x14ac:dyDescent="0.35">
      <c r="A59" s="207"/>
      <c r="B59" s="208"/>
      <c r="C59" s="209"/>
      <c r="D59" s="210"/>
      <c r="E59" s="211"/>
      <c r="F59" s="221"/>
      <c r="G59" s="211"/>
      <c r="H59" s="222"/>
      <c r="I59" s="223"/>
    </row>
    <row r="60" spans="1:9" ht="14.4" thickBot="1" x14ac:dyDescent="0.35"/>
    <row r="61" spans="1:9" ht="14.4" thickBot="1" x14ac:dyDescent="0.35">
      <c r="A61" s="226" t="s">
        <v>1204</v>
      </c>
      <c r="B61" s="224" t="s">
        <v>1434</v>
      </c>
      <c r="C61" s="224" t="s">
        <v>1435</v>
      </c>
      <c r="D61" s="224" t="s">
        <v>1207</v>
      </c>
      <c r="E61" s="368" t="s">
        <v>1208</v>
      </c>
      <c r="F61" s="368"/>
      <c r="G61" s="368"/>
      <c r="H61" s="224" t="s">
        <v>1209</v>
      </c>
      <c r="I61" s="225" t="s">
        <v>1436</v>
      </c>
    </row>
    <row r="62" spans="1:9" ht="14.4" x14ac:dyDescent="0.3">
      <c r="A62" s="197" t="s">
        <v>1469</v>
      </c>
      <c r="B62" s="193" t="s">
        <v>117</v>
      </c>
      <c r="C62" s="194" t="s">
        <v>118</v>
      </c>
      <c r="D62" s="195" t="s">
        <v>1470</v>
      </c>
      <c r="E62" s="196" t="s">
        <v>1314</v>
      </c>
      <c r="F62" s="212"/>
      <c r="G62" s="196" t="s">
        <v>1311</v>
      </c>
      <c r="H62" s="213" t="s">
        <v>1471</v>
      </c>
      <c r="I62" s="214" t="s">
        <v>1472</v>
      </c>
    </row>
    <row r="63" spans="1:9" ht="14.4" x14ac:dyDescent="0.3">
      <c r="A63" s="197"/>
      <c r="B63" s="198" t="s">
        <v>119</v>
      </c>
      <c r="C63" s="199" t="s">
        <v>120</v>
      </c>
      <c r="D63" s="200" t="s">
        <v>1226</v>
      </c>
      <c r="E63" s="201">
        <v>0.41666666666666669</v>
      </c>
      <c r="F63" s="212"/>
      <c r="G63" s="201">
        <v>0.54166666666666663</v>
      </c>
      <c r="H63" s="215" t="s">
        <v>1442</v>
      </c>
      <c r="I63" s="216" t="s">
        <v>1441</v>
      </c>
    </row>
    <row r="64" spans="1:9" ht="14.4" x14ac:dyDescent="0.3">
      <c r="A64" s="197"/>
      <c r="B64" s="198" t="s">
        <v>119</v>
      </c>
      <c r="C64" s="199" t="s">
        <v>120</v>
      </c>
      <c r="D64" s="200" t="s">
        <v>1226</v>
      </c>
      <c r="E64" s="201">
        <v>0.33333333333333331</v>
      </c>
      <c r="F64" s="212"/>
      <c r="G64" s="201">
        <v>0.41666666666666669</v>
      </c>
      <c r="H64" s="215">
        <v>201</v>
      </c>
      <c r="I64" s="216" t="s">
        <v>1441</v>
      </c>
    </row>
    <row r="65" spans="1:9" ht="14.4" x14ac:dyDescent="0.3">
      <c r="A65" s="197"/>
      <c r="B65" s="198" t="s">
        <v>121</v>
      </c>
      <c r="C65" s="199" t="s">
        <v>122</v>
      </c>
      <c r="D65" s="200" t="s">
        <v>1247</v>
      </c>
      <c r="E65" s="201">
        <v>0.66666666666666663</v>
      </c>
      <c r="F65" s="212"/>
      <c r="G65" s="201">
        <v>0.72916666666666663</v>
      </c>
      <c r="H65" s="215">
        <v>206</v>
      </c>
      <c r="I65" s="217" t="s">
        <v>1445</v>
      </c>
    </row>
    <row r="66" spans="1:9" ht="14.4" x14ac:dyDescent="0.3">
      <c r="A66" s="197"/>
      <c r="B66" s="198" t="s">
        <v>123</v>
      </c>
      <c r="C66" s="199" t="s">
        <v>124</v>
      </c>
      <c r="D66" s="200" t="s">
        <v>1443</v>
      </c>
      <c r="E66" s="196">
        <v>0.66666666666666663</v>
      </c>
      <c r="F66" s="212"/>
      <c r="G66" s="196">
        <v>0.70833333333333337</v>
      </c>
      <c r="H66" s="215">
        <v>307</v>
      </c>
      <c r="I66" s="217" t="s">
        <v>1473</v>
      </c>
    </row>
    <row r="67" spans="1:9" ht="14.4" x14ac:dyDescent="0.3">
      <c r="A67" s="197"/>
      <c r="B67" s="198" t="s">
        <v>125</v>
      </c>
      <c r="C67" s="199" t="s">
        <v>126</v>
      </c>
      <c r="D67" s="200" t="s">
        <v>1247</v>
      </c>
      <c r="E67" s="196">
        <v>0.60416666666666663</v>
      </c>
      <c r="F67" s="212"/>
      <c r="G67" s="196">
        <v>0.66666666666666663</v>
      </c>
      <c r="H67" s="215">
        <v>206</v>
      </c>
      <c r="I67" s="216" t="s">
        <v>1467</v>
      </c>
    </row>
    <row r="68" spans="1:9" ht="14.4" x14ac:dyDescent="0.3">
      <c r="A68" s="197"/>
      <c r="B68" s="198" t="s">
        <v>128</v>
      </c>
      <c r="C68" s="199" t="s">
        <v>129</v>
      </c>
      <c r="D68" s="200" t="s">
        <v>1443</v>
      </c>
      <c r="E68" s="201">
        <v>0.54166666666666663</v>
      </c>
      <c r="F68" s="212"/>
      <c r="G68" s="201">
        <v>0.66666666666666663</v>
      </c>
      <c r="H68" s="215">
        <v>307</v>
      </c>
      <c r="I68" s="216" t="s">
        <v>1473</v>
      </c>
    </row>
    <row r="69" spans="1:9" ht="14.4" x14ac:dyDescent="0.3">
      <c r="A69" s="197"/>
      <c r="B69" s="198" t="s">
        <v>130</v>
      </c>
      <c r="C69" s="199" t="s">
        <v>131</v>
      </c>
      <c r="D69" s="200" t="s">
        <v>1267</v>
      </c>
      <c r="E69" s="202">
        <v>0.47916666666666669</v>
      </c>
      <c r="F69" s="212"/>
      <c r="G69" s="201">
        <v>0.5625</v>
      </c>
      <c r="H69" s="215" t="s">
        <v>1221</v>
      </c>
      <c r="I69" s="216" t="s">
        <v>1468</v>
      </c>
    </row>
    <row r="70" spans="1:9" ht="14.4" x14ac:dyDescent="0.3">
      <c r="A70" s="197"/>
      <c r="B70" s="198" t="s">
        <v>132</v>
      </c>
      <c r="C70" s="199" t="s">
        <v>133</v>
      </c>
      <c r="D70" s="200" t="s">
        <v>1267</v>
      </c>
      <c r="E70" s="201">
        <v>0.60416666666666663</v>
      </c>
      <c r="F70" s="212"/>
      <c r="G70" s="201">
        <v>0.72916666666666663</v>
      </c>
      <c r="H70" s="215">
        <v>302</v>
      </c>
      <c r="I70" s="216" t="s">
        <v>1450</v>
      </c>
    </row>
    <row r="71" spans="1:9" ht="14.4" x14ac:dyDescent="0.3">
      <c r="A71" s="197"/>
      <c r="B71" s="198" t="s">
        <v>134</v>
      </c>
      <c r="C71" s="199" t="s">
        <v>135</v>
      </c>
      <c r="D71" s="200" t="s">
        <v>1226</v>
      </c>
      <c r="E71" s="201" t="s">
        <v>1294</v>
      </c>
      <c r="F71" s="212"/>
      <c r="G71" s="201" t="s">
        <v>1351</v>
      </c>
      <c r="H71" s="215">
        <v>308</v>
      </c>
      <c r="I71" s="216" t="s">
        <v>1461</v>
      </c>
    </row>
    <row r="72" spans="1:9" ht="14.4" x14ac:dyDescent="0.3">
      <c r="A72" s="197"/>
      <c r="B72" s="203"/>
      <c r="C72" s="204"/>
      <c r="D72" s="205"/>
      <c r="E72" s="206"/>
      <c r="F72" s="218"/>
      <c r="G72" s="206"/>
      <c r="H72" s="219"/>
      <c r="I72" s="220"/>
    </row>
    <row r="73" spans="1:9" ht="14.4" x14ac:dyDescent="0.3">
      <c r="A73" s="207"/>
      <c r="B73" s="208"/>
      <c r="C73" s="209"/>
      <c r="D73" s="210"/>
      <c r="E73" s="211"/>
      <c r="F73" s="221"/>
      <c r="G73" s="211"/>
      <c r="H73" s="222"/>
      <c r="I73" s="223"/>
    </row>
    <row r="74" spans="1:9" ht="14.4" thickBot="1" x14ac:dyDescent="0.35"/>
    <row r="75" spans="1:9" ht="14.4" thickBot="1" x14ac:dyDescent="0.35">
      <c r="A75" s="226" t="s">
        <v>1204</v>
      </c>
      <c r="B75" s="224" t="s">
        <v>1434</v>
      </c>
      <c r="C75" s="224" t="s">
        <v>1435</v>
      </c>
      <c r="D75" s="224" t="s">
        <v>1207</v>
      </c>
      <c r="E75" s="368" t="s">
        <v>1208</v>
      </c>
      <c r="F75" s="368"/>
      <c r="G75" s="368"/>
      <c r="H75" s="224" t="s">
        <v>1209</v>
      </c>
      <c r="I75" s="225" t="s">
        <v>1436</v>
      </c>
    </row>
    <row r="76" spans="1:9" ht="14.4" x14ac:dyDescent="0.3">
      <c r="A76" s="197" t="s">
        <v>1474</v>
      </c>
      <c r="B76" s="193" t="s">
        <v>117</v>
      </c>
      <c r="C76" s="194" t="s">
        <v>118</v>
      </c>
      <c r="D76" s="195"/>
      <c r="E76" s="196"/>
      <c r="F76" s="212"/>
      <c r="G76" s="196"/>
      <c r="H76" s="213"/>
      <c r="I76" s="214"/>
    </row>
    <row r="77" spans="1:9" ht="14.4" x14ac:dyDescent="0.3">
      <c r="A77" s="197"/>
      <c r="B77" s="198" t="s">
        <v>119</v>
      </c>
      <c r="C77" s="199" t="s">
        <v>120</v>
      </c>
      <c r="D77" s="200" t="s">
        <v>1267</v>
      </c>
      <c r="E77" s="201">
        <v>0.41666666666666669</v>
      </c>
      <c r="F77" s="212"/>
      <c r="G77" s="201">
        <v>0.54166666666666663</v>
      </c>
      <c r="H77" s="215" t="s">
        <v>1442</v>
      </c>
      <c r="I77" s="216" t="s">
        <v>1441</v>
      </c>
    </row>
    <row r="78" spans="1:9" ht="14.4" x14ac:dyDescent="0.3">
      <c r="A78" s="197"/>
      <c r="B78" s="198" t="s">
        <v>119</v>
      </c>
      <c r="C78" s="199" t="s">
        <v>120</v>
      </c>
      <c r="D78" s="200" t="s">
        <v>1267</v>
      </c>
      <c r="E78" s="201">
        <v>0.33333333333333331</v>
      </c>
      <c r="F78" s="212"/>
      <c r="G78" s="201">
        <v>0.41666666666666669</v>
      </c>
      <c r="H78" s="215">
        <v>201</v>
      </c>
      <c r="I78" s="216" t="s">
        <v>1441</v>
      </c>
    </row>
    <row r="79" spans="1:9" ht="14.4" x14ac:dyDescent="0.3">
      <c r="A79" s="197"/>
      <c r="B79" s="198" t="s">
        <v>121</v>
      </c>
      <c r="C79" s="199" t="s">
        <v>122</v>
      </c>
      <c r="D79" s="200"/>
      <c r="E79" s="201"/>
      <c r="F79" s="212"/>
      <c r="G79" s="201"/>
      <c r="H79" s="215"/>
      <c r="I79" s="217"/>
    </row>
    <row r="80" spans="1:9" ht="14.4" x14ac:dyDescent="0.3">
      <c r="A80" s="197"/>
      <c r="B80" s="198" t="s">
        <v>123</v>
      </c>
      <c r="C80" s="199" t="s">
        <v>124</v>
      </c>
      <c r="D80" s="200"/>
      <c r="E80" s="196"/>
      <c r="F80" s="212"/>
      <c r="G80" s="196"/>
      <c r="H80" s="215"/>
      <c r="I80" s="217"/>
    </row>
    <row r="81" spans="1:9" ht="14.4" x14ac:dyDescent="0.3">
      <c r="A81" s="197"/>
      <c r="B81" s="198" t="s">
        <v>125</v>
      </c>
      <c r="C81" s="199" t="s">
        <v>126</v>
      </c>
      <c r="D81" s="200"/>
      <c r="E81" s="196"/>
      <c r="F81" s="212"/>
      <c r="G81" s="196"/>
      <c r="H81" s="215"/>
      <c r="I81" s="216"/>
    </row>
    <row r="82" spans="1:9" ht="14.4" x14ac:dyDescent="0.3">
      <c r="A82" s="197"/>
      <c r="B82" s="198" t="s">
        <v>128</v>
      </c>
      <c r="C82" s="199" t="s">
        <v>129</v>
      </c>
      <c r="D82" s="200"/>
      <c r="E82" s="201"/>
      <c r="F82" s="212"/>
      <c r="G82" s="201"/>
      <c r="H82" s="215"/>
      <c r="I82" s="216"/>
    </row>
    <row r="83" spans="1:9" ht="14.4" x14ac:dyDescent="0.3">
      <c r="A83" s="197"/>
      <c r="B83" s="198" t="s">
        <v>130</v>
      </c>
      <c r="C83" s="199" t="s">
        <v>131</v>
      </c>
      <c r="D83" s="200"/>
      <c r="E83" s="202"/>
      <c r="F83" s="212"/>
      <c r="G83" s="201"/>
      <c r="H83" s="215"/>
      <c r="I83" s="216"/>
    </row>
    <row r="84" spans="1:9" ht="14.4" x14ac:dyDescent="0.3">
      <c r="A84" s="197"/>
      <c r="B84" s="198" t="s">
        <v>132</v>
      </c>
      <c r="C84" s="199" t="s">
        <v>133</v>
      </c>
      <c r="D84" s="200"/>
      <c r="E84" s="201"/>
      <c r="F84" s="212"/>
      <c r="G84" s="201"/>
      <c r="H84" s="215"/>
      <c r="I84" s="216"/>
    </row>
    <row r="85" spans="1:9" ht="14.4" x14ac:dyDescent="0.3">
      <c r="A85" s="197"/>
      <c r="B85" s="198" t="s">
        <v>134</v>
      </c>
      <c r="C85" s="199" t="s">
        <v>135</v>
      </c>
      <c r="D85" s="200"/>
      <c r="E85" s="201"/>
      <c r="F85" s="212"/>
      <c r="G85" s="201"/>
      <c r="H85" s="215"/>
      <c r="I85" s="216"/>
    </row>
    <row r="86" spans="1:9" ht="14.4" x14ac:dyDescent="0.3">
      <c r="A86" s="197"/>
      <c r="B86" s="203"/>
      <c r="C86" s="204"/>
      <c r="D86" s="205"/>
      <c r="E86" s="206"/>
      <c r="F86" s="218"/>
      <c r="G86" s="206"/>
      <c r="H86" s="219"/>
      <c r="I86" s="220"/>
    </row>
    <row r="87" spans="1:9" ht="15" thickBot="1" x14ac:dyDescent="0.35">
      <c r="A87" s="207"/>
      <c r="B87" s="208"/>
      <c r="C87" s="209"/>
      <c r="D87" s="210"/>
      <c r="E87" s="211"/>
      <c r="F87" s="221"/>
      <c r="G87" s="211"/>
      <c r="H87" s="222"/>
      <c r="I87" s="223"/>
    </row>
    <row r="88" spans="1:9" ht="14.4" thickBot="1" x14ac:dyDescent="0.35"/>
    <row r="89" spans="1:9" ht="14.4" thickBot="1" x14ac:dyDescent="0.35">
      <c r="A89" s="226" t="s">
        <v>1204</v>
      </c>
      <c r="B89" s="224" t="s">
        <v>1434</v>
      </c>
      <c r="C89" s="224" t="s">
        <v>1435</v>
      </c>
      <c r="D89" s="224" t="s">
        <v>1207</v>
      </c>
      <c r="E89" s="368" t="s">
        <v>1208</v>
      </c>
      <c r="F89" s="368"/>
      <c r="G89" s="368"/>
      <c r="H89" s="224" t="s">
        <v>1209</v>
      </c>
      <c r="I89" s="225" t="s">
        <v>1436</v>
      </c>
    </row>
    <row r="90" spans="1:9" ht="14.4" x14ac:dyDescent="0.3">
      <c r="A90" s="197" t="s">
        <v>1475</v>
      </c>
      <c r="B90" s="193" t="s">
        <v>137</v>
      </c>
      <c r="C90" s="194" t="s">
        <v>138</v>
      </c>
      <c r="D90" s="195" t="s">
        <v>1226</v>
      </c>
      <c r="E90" s="196">
        <v>0.58333333333333337</v>
      </c>
      <c r="F90" s="212"/>
      <c r="G90" s="196">
        <v>0.66666666666666663</v>
      </c>
      <c r="H90" s="213">
        <v>205</v>
      </c>
      <c r="I90" s="214" t="s">
        <v>1476</v>
      </c>
    </row>
    <row r="91" spans="1:9" ht="14.4" x14ac:dyDescent="0.3">
      <c r="A91" s="197"/>
      <c r="B91" s="198" t="s">
        <v>137</v>
      </c>
      <c r="C91" s="199" t="s">
        <v>138</v>
      </c>
      <c r="D91" s="200" t="s">
        <v>1443</v>
      </c>
      <c r="E91" s="201">
        <v>0.54166666666666663</v>
      </c>
      <c r="F91" s="212"/>
      <c r="G91" s="201">
        <v>0.66666666666666663</v>
      </c>
      <c r="H91" s="215">
        <v>210</v>
      </c>
      <c r="I91" s="216" t="s">
        <v>1476</v>
      </c>
    </row>
    <row r="92" spans="1:9" ht="14.4" x14ac:dyDescent="0.3">
      <c r="A92" s="197"/>
      <c r="B92" s="198" t="s">
        <v>139</v>
      </c>
      <c r="C92" s="199" t="s">
        <v>140</v>
      </c>
      <c r="D92" s="200" t="s">
        <v>1443</v>
      </c>
      <c r="E92" s="201">
        <v>0.35416666666666669</v>
      </c>
      <c r="F92" s="212"/>
      <c r="G92" s="201">
        <v>0.47916666666666669</v>
      </c>
      <c r="H92" s="215">
        <v>204</v>
      </c>
      <c r="I92" s="216" t="s">
        <v>1477</v>
      </c>
    </row>
    <row r="93" spans="1:9" ht="14.4" x14ac:dyDescent="0.3">
      <c r="A93" s="197"/>
      <c r="B93" s="198" t="s">
        <v>142</v>
      </c>
      <c r="C93" s="199" t="s">
        <v>143</v>
      </c>
      <c r="D93" s="200" t="s">
        <v>1285</v>
      </c>
      <c r="E93" s="201">
        <v>0.29166666666666669</v>
      </c>
      <c r="F93" s="212"/>
      <c r="G93" s="201">
        <v>0.375</v>
      </c>
      <c r="H93" s="215" t="s">
        <v>1221</v>
      </c>
      <c r="I93" s="217" t="s">
        <v>1468</v>
      </c>
    </row>
    <row r="94" spans="1:9" ht="14.4" x14ac:dyDescent="0.3">
      <c r="A94" s="197"/>
      <c r="B94" s="198" t="s">
        <v>144</v>
      </c>
      <c r="C94" s="199" t="s">
        <v>145</v>
      </c>
      <c r="D94" s="200" t="s">
        <v>1247</v>
      </c>
      <c r="E94" s="196">
        <v>0.66666666666666663</v>
      </c>
      <c r="F94" s="212"/>
      <c r="G94" s="196">
        <v>0.72916666666666663</v>
      </c>
      <c r="H94" s="215">
        <v>602</v>
      </c>
      <c r="I94" s="217" t="s">
        <v>1456</v>
      </c>
    </row>
    <row r="95" spans="1:9" ht="14.4" x14ac:dyDescent="0.3">
      <c r="A95" s="197"/>
      <c r="B95" s="198" t="s">
        <v>146</v>
      </c>
      <c r="C95" s="199" t="s">
        <v>147</v>
      </c>
      <c r="D95" s="200" t="s">
        <v>1224</v>
      </c>
      <c r="E95" s="196">
        <v>0.97916666666666663</v>
      </c>
      <c r="F95" s="212"/>
      <c r="G95" s="196">
        <v>0.54166666666666663</v>
      </c>
      <c r="H95" s="215">
        <v>211</v>
      </c>
      <c r="I95" s="216" t="s">
        <v>1478</v>
      </c>
    </row>
    <row r="96" spans="1:9" ht="14.4" x14ac:dyDescent="0.3">
      <c r="A96" s="197"/>
      <c r="B96" s="198" t="s">
        <v>146</v>
      </c>
      <c r="C96" s="199" t="s">
        <v>147</v>
      </c>
      <c r="D96" s="200" t="s">
        <v>1224</v>
      </c>
      <c r="E96" s="201">
        <v>0.58333333333333337</v>
      </c>
      <c r="F96" s="212"/>
      <c r="G96" s="201">
        <v>0.66666666666666663</v>
      </c>
      <c r="H96" s="215">
        <v>204</v>
      </c>
      <c r="I96" s="216" t="s">
        <v>1478</v>
      </c>
    </row>
    <row r="97" spans="1:9" ht="14.4" x14ac:dyDescent="0.3">
      <c r="A97" s="197"/>
      <c r="B97" s="198" t="s">
        <v>1479</v>
      </c>
      <c r="C97" s="199" t="s">
        <v>148</v>
      </c>
      <c r="D97" s="200" t="s">
        <v>1280</v>
      </c>
      <c r="E97" s="202">
        <v>0.91666666666666663</v>
      </c>
      <c r="F97" s="212"/>
      <c r="G97" s="201">
        <v>0.5</v>
      </c>
      <c r="H97" s="215">
        <v>204</v>
      </c>
      <c r="I97" s="216" t="s">
        <v>1480</v>
      </c>
    </row>
    <row r="98" spans="1:9" ht="14.4" x14ac:dyDescent="0.3">
      <c r="A98" s="197"/>
      <c r="B98" s="198" t="s">
        <v>1479</v>
      </c>
      <c r="C98" s="199" t="s">
        <v>148</v>
      </c>
      <c r="D98" s="200" t="s">
        <v>1280</v>
      </c>
      <c r="E98" s="201">
        <v>0.58333333333333337</v>
      </c>
      <c r="F98" s="212"/>
      <c r="G98" s="201">
        <v>0.66666666666666663</v>
      </c>
      <c r="H98" s="215">
        <v>209</v>
      </c>
      <c r="I98" s="216" t="s">
        <v>1480</v>
      </c>
    </row>
    <row r="99" spans="1:9" ht="14.4" x14ac:dyDescent="0.3">
      <c r="A99" s="197"/>
      <c r="B99" s="198" t="s">
        <v>149</v>
      </c>
      <c r="C99" s="199" t="s">
        <v>150</v>
      </c>
      <c r="D99" s="200" t="s">
        <v>1446</v>
      </c>
      <c r="E99" s="201">
        <v>0.41666666666666669</v>
      </c>
      <c r="F99" s="212"/>
      <c r="G99" s="201" t="s">
        <v>1293</v>
      </c>
      <c r="H99" s="215" t="s">
        <v>1481</v>
      </c>
      <c r="I99" s="216" t="s">
        <v>1482</v>
      </c>
    </row>
    <row r="100" spans="1:9" ht="14.4" x14ac:dyDescent="0.3">
      <c r="A100" s="197"/>
      <c r="B100" s="203" t="s">
        <v>151</v>
      </c>
      <c r="C100" s="204" t="s">
        <v>152</v>
      </c>
      <c r="D100" s="205" t="s">
        <v>1280</v>
      </c>
      <c r="E100" s="206">
        <v>0.91666666666666663</v>
      </c>
      <c r="F100" s="218"/>
      <c r="G100" s="206">
        <v>0.5</v>
      </c>
      <c r="H100" s="219">
        <v>204</v>
      </c>
      <c r="I100" s="220" t="s">
        <v>1483</v>
      </c>
    </row>
    <row r="101" spans="1:9" ht="14.4" x14ac:dyDescent="0.3">
      <c r="A101" s="207"/>
      <c r="B101" s="208" t="s">
        <v>151</v>
      </c>
      <c r="C101" s="209" t="s">
        <v>152</v>
      </c>
      <c r="D101" s="210" t="s">
        <v>1280</v>
      </c>
      <c r="E101" s="211">
        <v>0.58333333333333337</v>
      </c>
      <c r="F101" s="221"/>
      <c r="G101" s="211">
        <v>0.66666666666666663</v>
      </c>
      <c r="H101" s="222">
        <v>211</v>
      </c>
      <c r="I101" s="223" t="s">
        <v>1483</v>
      </c>
    </row>
    <row r="103" spans="1:9" ht="14.4" thickBot="1" x14ac:dyDescent="0.35">
      <c r="A103" s="226" t="s">
        <v>1204</v>
      </c>
      <c r="B103" s="224" t="s">
        <v>1434</v>
      </c>
      <c r="C103" s="224" t="s">
        <v>1435</v>
      </c>
      <c r="D103" s="224" t="s">
        <v>1207</v>
      </c>
      <c r="E103" s="368" t="s">
        <v>1208</v>
      </c>
      <c r="F103" s="368"/>
      <c r="G103" s="368"/>
      <c r="H103" s="224" t="s">
        <v>1209</v>
      </c>
      <c r="I103" s="225" t="s">
        <v>1436</v>
      </c>
    </row>
    <row r="104" spans="1:9" ht="14.4" x14ac:dyDescent="0.3">
      <c r="A104" s="197" t="s">
        <v>1484</v>
      </c>
      <c r="B104" s="193" t="s">
        <v>137</v>
      </c>
      <c r="C104" s="194" t="s">
        <v>138</v>
      </c>
      <c r="D104" s="195" t="s">
        <v>1226</v>
      </c>
      <c r="E104" s="196">
        <v>0.33333333333333331</v>
      </c>
      <c r="F104" s="212"/>
      <c r="G104" s="196">
        <v>0.41666666666666669</v>
      </c>
      <c r="H104" s="213">
        <v>202</v>
      </c>
      <c r="I104" s="214" t="s">
        <v>1476</v>
      </c>
    </row>
    <row r="105" spans="1:9" ht="14.4" x14ac:dyDescent="0.3">
      <c r="A105" s="197"/>
      <c r="B105" s="198" t="s">
        <v>137</v>
      </c>
      <c r="C105" s="199" t="s">
        <v>138</v>
      </c>
      <c r="D105" s="200" t="s">
        <v>1226</v>
      </c>
      <c r="E105" s="201">
        <v>0.41666666666666669</v>
      </c>
      <c r="F105" s="212"/>
      <c r="G105" s="201">
        <v>0.54166666666666663</v>
      </c>
      <c r="H105" s="215">
        <v>211</v>
      </c>
      <c r="I105" s="216" t="s">
        <v>1476</v>
      </c>
    </row>
    <row r="106" spans="1:9" ht="14.4" x14ac:dyDescent="0.3">
      <c r="A106" s="197"/>
      <c r="B106" s="198" t="s">
        <v>139</v>
      </c>
      <c r="C106" s="199" t="s">
        <v>140</v>
      </c>
      <c r="D106" s="200" t="s">
        <v>1247</v>
      </c>
      <c r="E106" s="201">
        <v>0.54166666666666663</v>
      </c>
      <c r="F106" s="212"/>
      <c r="G106" s="201">
        <v>0.60416666666666663</v>
      </c>
      <c r="H106" s="215">
        <v>306</v>
      </c>
      <c r="I106" s="216" t="s">
        <v>1477</v>
      </c>
    </row>
    <row r="107" spans="1:9" ht="14.4" x14ac:dyDescent="0.3">
      <c r="A107" s="197"/>
      <c r="B107" s="198" t="s">
        <v>142</v>
      </c>
      <c r="C107" s="199" t="s">
        <v>143</v>
      </c>
      <c r="D107" s="200" t="s">
        <v>1267</v>
      </c>
      <c r="E107" s="201">
        <v>0.39583333333333331</v>
      </c>
      <c r="F107" s="212"/>
      <c r="G107" s="201">
        <v>0.47916666666666669</v>
      </c>
      <c r="H107" s="215" t="s">
        <v>1221</v>
      </c>
      <c r="I107" s="217" t="s">
        <v>1485</v>
      </c>
    </row>
    <row r="108" spans="1:9" ht="14.4" x14ac:dyDescent="0.3">
      <c r="A108" s="197"/>
      <c r="B108" s="198" t="s">
        <v>144</v>
      </c>
      <c r="C108" s="199" t="s">
        <v>145</v>
      </c>
      <c r="D108" s="200" t="s">
        <v>1446</v>
      </c>
      <c r="E108" s="196">
        <v>0.47916666666666669</v>
      </c>
      <c r="F108" s="212"/>
      <c r="G108" s="196">
        <v>0.54166666666666663</v>
      </c>
      <c r="H108" s="215">
        <v>402</v>
      </c>
      <c r="I108" s="217" t="s">
        <v>1456</v>
      </c>
    </row>
    <row r="109" spans="1:9" ht="14.4" x14ac:dyDescent="0.3">
      <c r="A109" s="197"/>
      <c r="B109" s="198" t="s">
        <v>146</v>
      </c>
      <c r="C109" s="199" t="s">
        <v>147</v>
      </c>
      <c r="D109" s="200" t="s">
        <v>1224</v>
      </c>
      <c r="E109" s="196">
        <v>0.33333333333333331</v>
      </c>
      <c r="F109" s="212"/>
      <c r="G109" s="196">
        <v>0.41666666666666669</v>
      </c>
      <c r="H109" s="215">
        <v>203</v>
      </c>
      <c r="I109" s="216" t="s">
        <v>1478</v>
      </c>
    </row>
    <row r="110" spans="1:9" ht="14.4" x14ac:dyDescent="0.3">
      <c r="A110" s="197"/>
      <c r="B110" s="198" t="s">
        <v>146</v>
      </c>
      <c r="C110" s="199" t="s">
        <v>147</v>
      </c>
      <c r="D110" s="200" t="s">
        <v>1224</v>
      </c>
      <c r="E110" s="201">
        <v>0.41666666666666669</v>
      </c>
      <c r="F110" s="212"/>
      <c r="G110" s="201">
        <v>0.47916666666666669</v>
      </c>
      <c r="H110" s="215">
        <v>211</v>
      </c>
      <c r="I110" s="216" t="s">
        <v>1478</v>
      </c>
    </row>
    <row r="111" spans="1:9" ht="14.4" x14ac:dyDescent="0.3">
      <c r="A111" s="197"/>
      <c r="B111" s="198"/>
      <c r="C111" s="199" t="s">
        <v>148</v>
      </c>
      <c r="D111" s="200" t="s">
        <v>1285</v>
      </c>
      <c r="E111" s="202">
        <v>0.33333333333333331</v>
      </c>
      <c r="F111" s="212"/>
      <c r="G111" s="201">
        <v>0.41666666666666669</v>
      </c>
      <c r="H111" s="215">
        <v>205</v>
      </c>
      <c r="I111" s="216" t="s">
        <v>1480</v>
      </c>
    </row>
    <row r="112" spans="1:9" ht="14.4" x14ac:dyDescent="0.3">
      <c r="A112" s="197"/>
      <c r="B112" s="198"/>
      <c r="C112" s="199" t="s">
        <v>148</v>
      </c>
      <c r="D112" s="200" t="s">
        <v>1285</v>
      </c>
      <c r="E112" s="201">
        <v>0.41666666666666669</v>
      </c>
      <c r="F112" s="212"/>
      <c r="G112" s="201">
        <v>0.5</v>
      </c>
      <c r="H112" s="215">
        <v>211</v>
      </c>
      <c r="I112" s="216" t="s">
        <v>1480</v>
      </c>
    </row>
    <row r="113" spans="1:9" ht="14.4" x14ac:dyDescent="0.3">
      <c r="A113" s="197"/>
      <c r="B113" s="198" t="s">
        <v>149</v>
      </c>
      <c r="C113" s="199" t="s">
        <v>150</v>
      </c>
      <c r="D113" s="200" t="s">
        <v>1486</v>
      </c>
      <c r="E113" s="201" t="s">
        <v>1331</v>
      </c>
      <c r="F113" s="212"/>
      <c r="G113" s="201" t="s">
        <v>1351</v>
      </c>
      <c r="H113" s="215">
        <v>207</v>
      </c>
      <c r="I113" s="216" t="s">
        <v>1482</v>
      </c>
    </row>
    <row r="114" spans="1:9" ht="14.4" x14ac:dyDescent="0.3">
      <c r="A114" s="197"/>
      <c r="B114" s="203" t="s">
        <v>151</v>
      </c>
      <c r="C114" s="204" t="s">
        <v>152</v>
      </c>
      <c r="D114" s="205" t="s">
        <v>1280</v>
      </c>
      <c r="E114" s="206">
        <v>0.33333333333333331</v>
      </c>
      <c r="F114" s="218"/>
      <c r="G114" s="206">
        <v>0.41666666666666669</v>
      </c>
      <c r="H114" s="219">
        <v>203</v>
      </c>
      <c r="I114" s="220" t="s">
        <v>1483</v>
      </c>
    </row>
    <row r="115" spans="1:9" ht="14.4" x14ac:dyDescent="0.3">
      <c r="A115" s="207"/>
      <c r="B115" s="208" t="s">
        <v>151</v>
      </c>
      <c r="C115" s="209" t="s">
        <v>152</v>
      </c>
      <c r="D115" s="210" t="s">
        <v>1280</v>
      </c>
      <c r="E115" s="211">
        <v>0.41666666666666669</v>
      </c>
      <c r="F115" s="221"/>
      <c r="G115" s="211">
        <v>0.54166666666666663</v>
      </c>
      <c r="H115" s="222">
        <v>211</v>
      </c>
      <c r="I115" s="223" t="s">
        <v>1483</v>
      </c>
    </row>
    <row r="116" spans="1:9" ht="14.4" thickBot="1" x14ac:dyDescent="0.35"/>
    <row r="117" spans="1:9" ht="14.4" thickBot="1" x14ac:dyDescent="0.35">
      <c r="A117" s="226" t="s">
        <v>1204</v>
      </c>
      <c r="B117" s="224" t="s">
        <v>1434</v>
      </c>
      <c r="C117" s="224" t="s">
        <v>1435</v>
      </c>
      <c r="D117" s="224" t="s">
        <v>1207</v>
      </c>
      <c r="E117" s="368" t="s">
        <v>1208</v>
      </c>
      <c r="F117" s="368"/>
      <c r="G117" s="368"/>
      <c r="H117" s="224" t="s">
        <v>1209</v>
      </c>
      <c r="I117" s="225" t="s">
        <v>1436</v>
      </c>
    </row>
    <row r="118" spans="1:9" ht="14.4" x14ac:dyDescent="0.3">
      <c r="A118" s="197" t="s">
        <v>1487</v>
      </c>
      <c r="B118" s="193" t="s">
        <v>137</v>
      </c>
      <c r="C118" s="194" t="s">
        <v>138</v>
      </c>
      <c r="D118" s="195" t="s">
        <v>1280</v>
      </c>
      <c r="E118" s="196">
        <v>0.41666666666666669</v>
      </c>
      <c r="F118" s="212"/>
      <c r="G118" s="196">
        <v>0.54166666666666663</v>
      </c>
      <c r="H118" s="213">
        <v>208</v>
      </c>
      <c r="I118" s="214" t="s">
        <v>1478</v>
      </c>
    </row>
    <row r="119" spans="1:9" ht="14.4" x14ac:dyDescent="0.3">
      <c r="A119" s="197"/>
      <c r="B119" s="198" t="s">
        <v>137</v>
      </c>
      <c r="C119" s="199" t="s">
        <v>138</v>
      </c>
      <c r="D119" s="200" t="s">
        <v>1280</v>
      </c>
      <c r="E119" s="201">
        <v>0.58333333333333337</v>
      </c>
      <c r="F119" s="212"/>
      <c r="G119" s="201">
        <v>0.66666666666666663</v>
      </c>
      <c r="H119" s="215">
        <v>206</v>
      </c>
      <c r="I119" s="216" t="s">
        <v>1478</v>
      </c>
    </row>
    <row r="120" spans="1:9" ht="14.4" x14ac:dyDescent="0.3">
      <c r="A120" s="197"/>
      <c r="B120" s="198" t="s">
        <v>139</v>
      </c>
      <c r="C120" s="199" t="s">
        <v>140</v>
      </c>
      <c r="D120" s="200" t="s">
        <v>1443</v>
      </c>
      <c r="E120" s="201">
        <v>0.58333333333333337</v>
      </c>
      <c r="F120" s="212"/>
      <c r="G120" s="201">
        <v>0.70833333333333337</v>
      </c>
      <c r="H120" s="215">
        <v>307</v>
      </c>
      <c r="I120" s="216" t="s">
        <v>1477</v>
      </c>
    </row>
    <row r="121" spans="1:9" ht="14.4" x14ac:dyDescent="0.3">
      <c r="A121" s="197"/>
      <c r="B121" s="198" t="s">
        <v>142</v>
      </c>
      <c r="C121" s="199" t="s">
        <v>143</v>
      </c>
      <c r="D121" s="200" t="s">
        <v>1267</v>
      </c>
      <c r="E121" s="201">
        <v>0.29166666666666669</v>
      </c>
      <c r="F121" s="212"/>
      <c r="G121" s="201">
        <v>0.375</v>
      </c>
      <c r="H121" s="215" t="s">
        <v>1221</v>
      </c>
      <c r="I121" s="217" t="s">
        <v>1488</v>
      </c>
    </row>
    <row r="122" spans="1:9" ht="14.4" x14ac:dyDescent="0.3">
      <c r="A122" s="197"/>
      <c r="B122" s="198" t="s">
        <v>144</v>
      </c>
      <c r="C122" s="199" t="s">
        <v>145</v>
      </c>
      <c r="D122" s="200" t="s">
        <v>1247</v>
      </c>
      <c r="E122" s="196">
        <v>0.35416666666666669</v>
      </c>
      <c r="F122" s="212"/>
      <c r="G122" s="196">
        <v>0.41666666666666669</v>
      </c>
      <c r="H122" s="215">
        <v>410</v>
      </c>
      <c r="I122" s="217" t="s">
        <v>1489</v>
      </c>
    </row>
    <row r="123" spans="1:9" ht="14.4" x14ac:dyDescent="0.3">
      <c r="A123" s="197"/>
      <c r="B123" s="198" t="s">
        <v>146</v>
      </c>
      <c r="C123" s="199" t="s">
        <v>147</v>
      </c>
      <c r="D123" s="200" t="s">
        <v>1267</v>
      </c>
      <c r="E123" s="196">
        <v>0.41666666666666669</v>
      </c>
      <c r="F123" s="212"/>
      <c r="G123" s="196">
        <v>0.5</v>
      </c>
      <c r="H123" s="215">
        <v>203</v>
      </c>
      <c r="I123" s="216" t="s">
        <v>1478</v>
      </c>
    </row>
    <row r="124" spans="1:9" ht="14.4" x14ac:dyDescent="0.3">
      <c r="A124" s="197"/>
      <c r="B124" s="198" t="s">
        <v>146</v>
      </c>
      <c r="C124" s="199" t="s">
        <v>147</v>
      </c>
      <c r="D124" s="200" t="s">
        <v>1285</v>
      </c>
      <c r="E124" s="201">
        <v>0.41666666666666669</v>
      </c>
      <c r="F124" s="212"/>
      <c r="G124" s="201">
        <v>0.47916666666666669</v>
      </c>
      <c r="H124" s="215">
        <v>201</v>
      </c>
      <c r="I124" s="216" t="s">
        <v>1478</v>
      </c>
    </row>
    <row r="125" spans="1:9" ht="14.4" x14ac:dyDescent="0.3">
      <c r="A125" s="197"/>
      <c r="B125" s="198"/>
      <c r="C125" s="199" t="s">
        <v>148</v>
      </c>
      <c r="D125" s="200" t="s">
        <v>1224</v>
      </c>
      <c r="E125" s="202" t="s">
        <v>1316</v>
      </c>
      <c r="F125" s="212"/>
      <c r="G125" s="201" t="s">
        <v>1331</v>
      </c>
      <c r="H125" s="215" t="s">
        <v>1490</v>
      </c>
      <c r="I125" s="216" t="s">
        <v>1480</v>
      </c>
    </row>
    <row r="126" spans="1:9" ht="14.4" x14ac:dyDescent="0.3">
      <c r="A126" s="197"/>
      <c r="B126" s="198"/>
      <c r="C126" s="199" t="s">
        <v>148</v>
      </c>
      <c r="D126" s="200" t="s">
        <v>1224</v>
      </c>
      <c r="E126" s="201" t="s">
        <v>1331</v>
      </c>
      <c r="F126" s="212"/>
      <c r="G126" s="201" t="s">
        <v>1438</v>
      </c>
      <c r="H126" s="215">
        <v>303</v>
      </c>
      <c r="I126" s="216" t="s">
        <v>1480</v>
      </c>
    </row>
    <row r="127" spans="1:9" ht="14.4" x14ac:dyDescent="0.3">
      <c r="A127" s="197"/>
      <c r="B127" s="198" t="s">
        <v>149</v>
      </c>
      <c r="C127" s="199" t="s">
        <v>150</v>
      </c>
      <c r="D127" s="200" t="s">
        <v>1285</v>
      </c>
      <c r="E127" s="201" t="s">
        <v>1316</v>
      </c>
      <c r="F127" s="212"/>
      <c r="G127" s="201" t="s">
        <v>1331</v>
      </c>
      <c r="H127" s="215" t="s">
        <v>1491</v>
      </c>
      <c r="I127" s="216" t="s">
        <v>1492</v>
      </c>
    </row>
    <row r="128" spans="1:9" ht="14.4" x14ac:dyDescent="0.3">
      <c r="A128" s="197"/>
      <c r="B128" s="203" t="s">
        <v>151</v>
      </c>
      <c r="C128" s="204" t="s">
        <v>152</v>
      </c>
      <c r="D128" s="205" t="s">
        <v>1443</v>
      </c>
      <c r="E128" s="206">
        <v>0.41666666666666669</v>
      </c>
      <c r="F128" s="218"/>
      <c r="G128" s="206">
        <v>0.54166666666666663</v>
      </c>
      <c r="H128" s="219">
        <v>210</v>
      </c>
      <c r="I128" s="220" t="s">
        <v>1483</v>
      </c>
    </row>
    <row r="129" spans="1:9" ht="14.4" x14ac:dyDescent="0.3">
      <c r="A129" s="207"/>
      <c r="B129" s="208" t="s">
        <v>151</v>
      </c>
      <c r="C129" s="209" t="s">
        <v>152</v>
      </c>
      <c r="D129" s="210" t="s">
        <v>1443</v>
      </c>
      <c r="E129" s="211">
        <v>0.41666666666666669</v>
      </c>
      <c r="F129" s="221"/>
      <c r="G129" s="211">
        <v>0.54166666666666663</v>
      </c>
      <c r="H129" s="222">
        <v>203</v>
      </c>
      <c r="I129" s="223" t="s">
        <v>1483</v>
      </c>
    </row>
    <row r="130" spans="1:9" ht="14.4" thickBot="1" x14ac:dyDescent="0.35"/>
    <row r="131" spans="1:9" ht="14.4" thickBot="1" x14ac:dyDescent="0.35">
      <c r="A131" s="226" t="s">
        <v>1204</v>
      </c>
      <c r="B131" s="224" t="s">
        <v>1434</v>
      </c>
      <c r="C131" s="224" t="s">
        <v>1435</v>
      </c>
      <c r="D131" s="224" t="s">
        <v>1207</v>
      </c>
      <c r="E131" s="368" t="s">
        <v>1208</v>
      </c>
      <c r="F131" s="368"/>
      <c r="G131" s="368"/>
      <c r="H131" s="224" t="s">
        <v>1209</v>
      </c>
      <c r="I131" s="225" t="s">
        <v>1436</v>
      </c>
    </row>
    <row r="132" spans="1:9" ht="14.4" x14ac:dyDescent="0.3">
      <c r="A132" s="197" t="s">
        <v>1493</v>
      </c>
      <c r="B132" s="193" t="s">
        <v>137</v>
      </c>
      <c r="C132" s="194" t="s">
        <v>138</v>
      </c>
      <c r="D132" s="195" t="s">
        <v>1443</v>
      </c>
      <c r="E132" s="196" t="s">
        <v>1311</v>
      </c>
      <c r="F132" s="212"/>
      <c r="G132" s="196" t="s">
        <v>1316</v>
      </c>
      <c r="H132" s="213" t="s">
        <v>1494</v>
      </c>
      <c r="I132" s="214" t="s">
        <v>1478</v>
      </c>
    </row>
    <row r="133" spans="1:9" ht="14.4" x14ac:dyDescent="0.3">
      <c r="A133" s="197"/>
      <c r="B133" s="198" t="s">
        <v>137</v>
      </c>
      <c r="C133" s="199" t="s">
        <v>138</v>
      </c>
      <c r="D133" s="200" t="s">
        <v>1443</v>
      </c>
      <c r="E133" s="201">
        <v>8.3333333333333329E-2</v>
      </c>
      <c r="F133" s="212"/>
      <c r="G133" s="201" t="s">
        <v>1331</v>
      </c>
      <c r="H133" s="215" t="s">
        <v>1494</v>
      </c>
      <c r="I133" s="216" t="s">
        <v>1478</v>
      </c>
    </row>
    <row r="134" spans="1:9" ht="14.4" x14ac:dyDescent="0.3">
      <c r="A134" s="197"/>
      <c r="B134" s="198" t="s">
        <v>139</v>
      </c>
      <c r="C134" s="199" t="s">
        <v>140</v>
      </c>
      <c r="D134" s="200" t="s">
        <v>1446</v>
      </c>
      <c r="E134" s="201">
        <v>0.60416666666666663</v>
      </c>
      <c r="F134" s="212"/>
      <c r="G134" s="201">
        <v>0.66666666666666663</v>
      </c>
      <c r="H134" s="215">
        <v>604</v>
      </c>
      <c r="I134" s="216" t="s">
        <v>1489</v>
      </c>
    </row>
    <row r="135" spans="1:9" ht="14.4" x14ac:dyDescent="0.3">
      <c r="A135" s="197"/>
      <c r="B135" s="198" t="s">
        <v>142</v>
      </c>
      <c r="C135" s="199" t="s">
        <v>143</v>
      </c>
      <c r="D135" s="200" t="s">
        <v>1226</v>
      </c>
      <c r="E135" s="201">
        <v>0.29166666666666669</v>
      </c>
      <c r="F135" s="212"/>
      <c r="G135" s="201">
        <v>0.375</v>
      </c>
      <c r="H135" s="215" t="s">
        <v>1221</v>
      </c>
      <c r="I135" s="217" t="s">
        <v>1485</v>
      </c>
    </row>
    <row r="136" spans="1:9" ht="14.4" x14ac:dyDescent="0.3">
      <c r="A136" s="197"/>
      <c r="B136" s="198" t="s">
        <v>144</v>
      </c>
      <c r="C136" s="199" t="s">
        <v>145</v>
      </c>
      <c r="D136" s="200" t="s">
        <v>1446</v>
      </c>
      <c r="E136" s="196">
        <v>0.54166666666666663</v>
      </c>
      <c r="F136" s="212"/>
      <c r="G136" s="196">
        <v>0.60416666666666663</v>
      </c>
      <c r="H136" s="215">
        <v>304</v>
      </c>
      <c r="I136" s="217" t="s">
        <v>1495</v>
      </c>
    </row>
    <row r="137" spans="1:9" ht="14.4" x14ac:dyDescent="0.3">
      <c r="A137" s="197"/>
      <c r="B137" s="198" t="s">
        <v>146</v>
      </c>
      <c r="C137" s="199" t="s">
        <v>147</v>
      </c>
      <c r="D137" s="200" t="s">
        <v>1226</v>
      </c>
      <c r="E137" s="196">
        <v>0.41666666666666669</v>
      </c>
      <c r="F137" s="212"/>
      <c r="G137" s="196">
        <v>0.5</v>
      </c>
      <c r="H137" s="215">
        <v>202</v>
      </c>
      <c r="I137" s="216" t="s">
        <v>1496</v>
      </c>
    </row>
    <row r="138" spans="1:9" ht="14.4" x14ac:dyDescent="0.3">
      <c r="A138" s="197"/>
      <c r="B138" s="198" t="s">
        <v>146</v>
      </c>
      <c r="C138" s="199" t="s">
        <v>147</v>
      </c>
      <c r="D138" s="200" t="s">
        <v>1285</v>
      </c>
      <c r="E138" s="201">
        <v>0.47916666666666669</v>
      </c>
      <c r="F138" s="212"/>
      <c r="G138" s="201">
        <v>0.54166666666666663</v>
      </c>
      <c r="H138" s="215" t="s">
        <v>1442</v>
      </c>
      <c r="I138" s="216" t="s">
        <v>1496</v>
      </c>
    </row>
    <row r="139" spans="1:9" ht="14.4" x14ac:dyDescent="0.3">
      <c r="A139" s="197"/>
      <c r="B139" s="198"/>
      <c r="C139" s="199" t="s">
        <v>148</v>
      </c>
      <c r="D139" s="200" t="s">
        <v>1226</v>
      </c>
      <c r="E139" s="202" t="s">
        <v>1316</v>
      </c>
      <c r="F139" s="212"/>
      <c r="G139" s="201" t="s">
        <v>1331</v>
      </c>
      <c r="H139" s="215" t="s">
        <v>1490</v>
      </c>
      <c r="I139" s="216" t="s">
        <v>1480</v>
      </c>
    </row>
    <row r="140" spans="1:9" ht="14.4" x14ac:dyDescent="0.3">
      <c r="A140" s="197"/>
      <c r="B140" s="198"/>
      <c r="C140" s="199" t="s">
        <v>148</v>
      </c>
      <c r="D140" s="200" t="s">
        <v>1285</v>
      </c>
      <c r="E140" s="201" t="s">
        <v>1362</v>
      </c>
      <c r="F140" s="212"/>
      <c r="G140" s="201" t="s">
        <v>1331</v>
      </c>
      <c r="H140" s="215">
        <v>206</v>
      </c>
      <c r="I140" s="216" t="s">
        <v>1480</v>
      </c>
    </row>
    <row r="141" spans="1:9" ht="14.4" x14ac:dyDescent="0.3">
      <c r="A141" s="197"/>
      <c r="B141" s="198" t="s">
        <v>149</v>
      </c>
      <c r="C141" s="199" t="s">
        <v>150</v>
      </c>
      <c r="D141" s="200" t="s">
        <v>1267</v>
      </c>
      <c r="E141" s="201" t="s">
        <v>1314</v>
      </c>
      <c r="F141" s="212"/>
      <c r="G141" s="201" t="s">
        <v>1293</v>
      </c>
      <c r="H141" s="215" t="s">
        <v>1497</v>
      </c>
      <c r="I141" s="216" t="s">
        <v>1492</v>
      </c>
    </row>
    <row r="142" spans="1:9" ht="14.4" x14ac:dyDescent="0.3">
      <c r="A142" s="197"/>
      <c r="B142" s="203" t="s">
        <v>151</v>
      </c>
      <c r="C142" s="204" t="s">
        <v>152</v>
      </c>
      <c r="D142" s="205" t="s">
        <v>1285</v>
      </c>
      <c r="E142" s="206" t="s">
        <v>1331</v>
      </c>
      <c r="F142" s="218"/>
      <c r="G142" s="206" t="s">
        <v>1438</v>
      </c>
      <c r="H142" s="219">
        <v>202</v>
      </c>
      <c r="I142" s="220" t="s">
        <v>1480</v>
      </c>
    </row>
    <row r="143" spans="1:9" ht="14.4" x14ac:dyDescent="0.3">
      <c r="A143" s="207"/>
      <c r="B143" s="208" t="s">
        <v>151</v>
      </c>
      <c r="C143" s="209" t="s">
        <v>152</v>
      </c>
      <c r="D143" s="210" t="s">
        <v>1443</v>
      </c>
      <c r="E143" s="211" t="s">
        <v>1331</v>
      </c>
      <c r="F143" s="221"/>
      <c r="G143" s="211" t="s">
        <v>1351</v>
      </c>
      <c r="H143" s="222" t="s">
        <v>1442</v>
      </c>
      <c r="I143" s="223" t="s">
        <v>1480</v>
      </c>
    </row>
    <row r="144" spans="1:9" ht="14.4" thickBot="1" x14ac:dyDescent="0.35"/>
    <row r="145" spans="1:9" ht="14.4" thickBot="1" x14ac:dyDescent="0.35">
      <c r="A145" s="226" t="s">
        <v>1204</v>
      </c>
      <c r="B145" s="224" t="s">
        <v>1434</v>
      </c>
      <c r="C145" s="224" t="s">
        <v>1435</v>
      </c>
      <c r="D145" s="224" t="s">
        <v>1207</v>
      </c>
      <c r="E145" s="368" t="s">
        <v>1208</v>
      </c>
      <c r="F145" s="368"/>
      <c r="G145" s="368"/>
      <c r="H145" s="224" t="s">
        <v>1209</v>
      </c>
      <c r="I145" s="225" t="s">
        <v>1436</v>
      </c>
    </row>
    <row r="146" spans="1:9" ht="14.4" x14ac:dyDescent="0.3">
      <c r="A146" s="197" t="s">
        <v>1498</v>
      </c>
      <c r="B146" s="193" t="s">
        <v>137</v>
      </c>
      <c r="C146" s="194" t="s">
        <v>138</v>
      </c>
      <c r="D146" s="195" t="s">
        <v>1285</v>
      </c>
      <c r="E146" s="196">
        <v>0.41666666666666669</v>
      </c>
      <c r="F146" s="212"/>
      <c r="G146" s="196" t="s">
        <v>1361</v>
      </c>
      <c r="H146" s="213">
        <v>202</v>
      </c>
      <c r="I146" s="214" t="s">
        <v>1478</v>
      </c>
    </row>
    <row r="147" spans="1:9" ht="14.4" x14ac:dyDescent="0.3">
      <c r="A147" s="197"/>
      <c r="B147" s="198" t="s">
        <v>137</v>
      </c>
      <c r="C147" s="199" t="s">
        <v>138</v>
      </c>
      <c r="D147" s="200" t="s">
        <v>1285</v>
      </c>
      <c r="E147" s="201">
        <v>0.29166666666666669</v>
      </c>
      <c r="F147" s="212"/>
      <c r="G147" s="201">
        <v>0.41666666666666669</v>
      </c>
      <c r="H147" s="215" t="s">
        <v>1490</v>
      </c>
      <c r="I147" s="216" t="s">
        <v>1478</v>
      </c>
    </row>
    <row r="148" spans="1:9" ht="14.4" x14ac:dyDescent="0.3">
      <c r="A148" s="197"/>
      <c r="B148" s="198" t="s">
        <v>139</v>
      </c>
      <c r="C148" s="199" t="s">
        <v>140</v>
      </c>
      <c r="D148" s="200" t="s">
        <v>1446</v>
      </c>
      <c r="E148" s="201">
        <v>0.29166666666666669</v>
      </c>
      <c r="F148" s="212"/>
      <c r="G148" s="201">
        <v>0.35416666666666669</v>
      </c>
      <c r="H148" s="215">
        <v>307</v>
      </c>
      <c r="I148" s="216" t="s">
        <v>1477</v>
      </c>
    </row>
    <row r="149" spans="1:9" ht="14.4" x14ac:dyDescent="0.3">
      <c r="A149" s="197"/>
      <c r="B149" s="198" t="s">
        <v>142</v>
      </c>
      <c r="C149" s="199" t="s">
        <v>143</v>
      </c>
      <c r="D149" s="200" t="s">
        <v>1267</v>
      </c>
      <c r="E149" s="201">
        <v>0.4375</v>
      </c>
      <c r="F149" s="212"/>
      <c r="G149" s="201">
        <v>0.52083333333333337</v>
      </c>
      <c r="H149" s="215" t="s">
        <v>1221</v>
      </c>
      <c r="I149" s="217" t="s">
        <v>1485</v>
      </c>
    </row>
    <row r="150" spans="1:9" ht="14.4" x14ac:dyDescent="0.3">
      <c r="A150" s="197"/>
      <c r="B150" s="198" t="s">
        <v>144</v>
      </c>
      <c r="C150" s="199" t="s">
        <v>145</v>
      </c>
      <c r="D150" s="200" t="s">
        <v>1446</v>
      </c>
      <c r="E150" s="196">
        <v>0.41666666666666669</v>
      </c>
      <c r="F150" s="212"/>
      <c r="G150" s="196">
        <v>0.47916666666666669</v>
      </c>
      <c r="H150" s="215">
        <v>304</v>
      </c>
      <c r="I150" s="217" t="s">
        <v>1456</v>
      </c>
    </row>
    <row r="151" spans="1:9" ht="14.4" x14ac:dyDescent="0.3">
      <c r="A151" s="197"/>
      <c r="B151" s="198" t="s">
        <v>146</v>
      </c>
      <c r="C151" s="199" t="s">
        <v>147</v>
      </c>
      <c r="D151" s="200" t="s">
        <v>1267</v>
      </c>
      <c r="E151" s="196" t="s">
        <v>1314</v>
      </c>
      <c r="F151" s="212"/>
      <c r="G151" s="196" t="s">
        <v>1311</v>
      </c>
      <c r="H151" s="215" t="s">
        <v>1442</v>
      </c>
      <c r="I151" s="216" t="s">
        <v>1496</v>
      </c>
    </row>
    <row r="152" spans="1:9" ht="14.4" x14ac:dyDescent="0.3">
      <c r="A152" s="197"/>
      <c r="B152" s="198" t="s">
        <v>146</v>
      </c>
      <c r="C152" s="199" t="s">
        <v>147</v>
      </c>
      <c r="D152" s="200" t="s">
        <v>1443</v>
      </c>
      <c r="E152" s="201">
        <v>0.41666666666666669</v>
      </c>
      <c r="F152" s="212"/>
      <c r="G152" s="201">
        <v>0.5</v>
      </c>
      <c r="H152" s="215">
        <v>203</v>
      </c>
      <c r="I152" s="216" t="s">
        <v>1496</v>
      </c>
    </row>
    <row r="153" spans="1:9" ht="14.4" x14ac:dyDescent="0.3">
      <c r="A153" s="197"/>
      <c r="B153" s="198"/>
      <c r="C153" s="199" t="s">
        <v>148</v>
      </c>
      <c r="D153" s="200" t="s">
        <v>1280</v>
      </c>
      <c r="E153" s="202" t="s">
        <v>1317</v>
      </c>
      <c r="F153" s="212"/>
      <c r="G153" s="201" t="s">
        <v>1311</v>
      </c>
      <c r="H153" s="215" t="s">
        <v>1442</v>
      </c>
      <c r="I153" s="216" t="s">
        <v>1480</v>
      </c>
    </row>
    <row r="154" spans="1:9" ht="14.4" x14ac:dyDescent="0.3">
      <c r="A154" s="197"/>
      <c r="B154" s="198"/>
      <c r="C154" s="199" t="s">
        <v>148</v>
      </c>
      <c r="D154" s="200" t="s">
        <v>1443</v>
      </c>
      <c r="E154" s="201" t="s">
        <v>1415</v>
      </c>
      <c r="F154" s="212"/>
      <c r="G154" s="201">
        <v>0.41666666666666669</v>
      </c>
      <c r="H154" s="215">
        <v>203</v>
      </c>
      <c r="I154" s="216" t="s">
        <v>1480</v>
      </c>
    </row>
    <row r="155" spans="1:9" ht="14.4" x14ac:dyDescent="0.3">
      <c r="A155" s="197"/>
      <c r="B155" s="198" t="s">
        <v>149</v>
      </c>
      <c r="C155" s="199" t="s">
        <v>150</v>
      </c>
      <c r="D155" s="200" t="s">
        <v>1280</v>
      </c>
      <c r="E155" s="201" t="s">
        <v>1293</v>
      </c>
      <c r="F155" s="212"/>
      <c r="G155" s="201" t="s">
        <v>1353</v>
      </c>
      <c r="H155" s="215" t="s">
        <v>1491</v>
      </c>
      <c r="I155" s="216" t="s">
        <v>1492</v>
      </c>
    </row>
    <row r="156" spans="1:9" ht="14.4" x14ac:dyDescent="0.3">
      <c r="A156" s="197"/>
      <c r="B156" s="203" t="s">
        <v>151</v>
      </c>
      <c r="C156" s="204" t="s">
        <v>152</v>
      </c>
      <c r="D156" s="205" t="s">
        <v>1226</v>
      </c>
      <c r="E156" s="206" t="s">
        <v>1314</v>
      </c>
      <c r="F156" s="218"/>
      <c r="G156" s="206" t="s">
        <v>1311</v>
      </c>
      <c r="H156" s="219" t="s">
        <v>1494</v>
      </c>
      <c r="I156" s="220" t="s">
        <v>1480</v>
      </c>
    </row>
    <row r="157" spans="1:9" ht="15" thickBot="1" x14ac:dyDescent="0.35">
      <c r="A157" s="207"/>
      <c r="B157" s="208" t="s">
        <v>151</v>
      </c>
      <c r="C157" s="209" t="s">
        <v>152</v>
      </c>
      <c r="D157" s="210"/>
      <c r="E157" s="211"/>
      <c r="F157" s="221"/>
      <c r="G157" s="211"/>
      <c r="H157" s="222"/>
      <c r="I157" s="223" t="s">
        <v>1480</v>
      </c>
    </row>
    <row r="158" spans="1:9" ht="14.4" thickBot="1" x14ac:dyDescent="0.35"/>
    <row r="159" spans="1:9" ht="14.4" thickBot="1" x14ac:dyDescent="0.35">
      <c r="A159" s="226" t="s">
        <v>1204</v>
      </c>
      <c r="B159" s="224" t="s">
        <v>1434</v>
      </c>
      <c r="C159" s="224" t="s">
        <v>1435</v>
      </c>
      <c r="D159" s="224" t="s">
        <v>1207</v>
      </c>
      <c r="E159" s="368" t="s">
        <v>1208</v>
      </c>
      <c r="F159" s="368"/>
      <c r="G159" s="368"/>
      <c r="H159" s="224" t="s">
        <v>1209</v>
      </c>
      <c r="I159" s="225" t="s">
        <v>1436</v>
      </c>
    </row>
    <row r="160" spans="1:9" ht="14.4" x14ac:dyDescent="0.3">
      <c r="A160" s="197" t="s">
        <v>1499</v>
      </c>
      <c r="B160" s="193" t="s">
        <v>153</v>
      </c>
      <c r="C160" s="194" t="s">
        <v>154</v>
      </c>
      <c r="D160" s="195" t="s">
        <v>1226</v>
      </c>
      <c r="E160" s="196" t="s">
        <v>1316</v>
      </c>
      <c r="F160" s="212"/>
      <c r="G160" s="196" t="s">
        <v>1500</v>
      </c>
      <c r="H160" s="213" t="s">
        <v>1501</v>
      </c>
      <c r="I160" s="214" t="s">
        <v>1502</v>
      </c>
    </row>
    <row r="161" spans="1:9" ht="14.4" x14ac:dyDescent="0.3">
      <c r="A161" s="197"/>
      <c r="B161" s="198" t="s">
        <v>155</v>
      </c>
      <c r="C161" s="199" t="s">
        <v>156</v>
      </c>
      <c r="D161" s="200" t="s">
        <v>1446</v>
      </c>
      <c r="E161" s="201">
        <v>0.16666666666666666</v>
      </c>
      <c r="F161" s="212"/>
      <c r="G161" s="201" t="s">
        <v>1500</v>
      </c>
      <c r="H161" s="215" t="s">
        <v>1503</v>
      </c>
      <c r="I161" s="216" t="s">
        <v>1476</v>
      </c>
    </row>
    <row r="162" spans="1:9" ht="14.4" x14ac:dyDescent="0.3">
      <c r="A162" s="197"/>
      <c r="B162" s="198" t="s">
        <v>157</v>
      </c>
      <c r="C162" s="199" t="s">
        <v>158</v>
      </c>
      <c r="D162" s="200" t="s">
        <v>1280</v>
      </c>
      <c r="E162" s="201" t="s">
        <v>1311</v>
      </c>
      <c r="F162" s="212"/>
      <c r="G162" s="201" t="s">
        <v>1361</v>
      </c>
      <c r="H162" s="215" t="s">
        <v>1504</v>
      </c>
      <c r="I162" s="216" t="s">
        <v>1505</v>
      </c>
    </row>
    <row r="163" spans="1:9" ht="14.4" x14ac:dyDescent="0.3">
      <c r="A163" s="197"/>
      <c r="B163" s="198" t="s">
        <v>159</v>
      </c>
      <c r="C163" s="199" t="s">
        <v>160</v>
      </c>
      <c r="D163" s="200" t="s">
        <v>1224</v>
      </c>
      <c r="E163" s="201" t="s">
        <v>1316</v>
      </c>
      <c r="F163" s="212"/>
      <c r="G163" s="201" t="s">
        <v>1331</v>
      </c>
      <c r="H163" s="215" t="s">
        <v>1481</v>
      </c>
      <c r="I163" s="217" t="s">
        <v>1459</v>
      </c>
    </row>
    <row r="164" spans="1:9" ht="14.4" x14ac:dyDescent="0.3">
      <c r="A164" s="197"/>
      <c r="B164" s="198" t="s">
        <v>161</v>
      </c>
      <c r="C164" s="199" t="s">
        <v>162</v>
      </c>
      <c r="D164" s="200" t="s">
        <v>1224</v>
      </c>
      <c r="E164" s="196" t="s">
        <v>1314</v>
      </c>
      <c r="F164" s="212"/>
      <c r="G164" s="196" t="s">
        <v>1293</v>
      </c>
      <c r="H164" s="215" t="s">
        <v>1491</v>
      </c>
      <c r="I164" s="217" t="s">
        <v>1496</v>
      </c>
    </row>
    <row r="165" spans="1:9" ht="14.4" x14ac:dyDescent="0.3">
      <c r="A165" s="197"/>
      <c r="B165" s="198"/>
      <c r="C165" s="199" t="s">
        <v>163</v>
      </c>
      <c r="D165" s="200" t="s">
        <v>1486</v>
      </c>
      <c r="E165" s="196" t="s">
        <v>1331</v>
      </c>
      <c r="F165" s="212"/>
      <c r="G165" s="196" t="s">
        <v>1500</v>
      </c>
      <c r="H165" s="215" t="s">
        <v>1506</v>
      </c>
      <c r="I165" s="216" t="s">
        <v>1507</v>
      </c>
    </row>
    <row r="166" spans="1:9" ht="14.4" x14ac:dyDescent="0.3">
      <c r="A166" s="197"/>
      <c r="B166" s="198" t="s">
        <v>164</v>
      </c>
      <c r="C166" s="199" t="s">
        <v>165</v>
      </c>
      <c r="D166" s="200" t="s">
        <v>1285</v>
      </c>
      <c r="E166" s="201" t="s">
        <v>1316</v>
      </c>
      <c r="F166" s="212"/>
      <c r="G166" s="201" t="s">
        <v>1500</v>
      </c>
      <c r="H166" s="215" t="s">
        <v>1508</v>
      </c>
      <c r="I166" s="216" t="s">
        <v>1478</v>
      </c>
    </row>
    <row r="167" spans="1:9" ht="14.4" x14ac:dyDescent="0.3">
      <c r="A167" s="197"/>
      <c r="B167" s="198"/>
      <c r="C167" s="199"/>
      <c r="D167" s="200"/>
      <c r="E167" s="202"/>
      <c r="F167" s="212"/>
      <c r="G167" s="201"/>
      <c r="H167" s="215"/>
      <c r="I167" s="216"/>
    </row>
    <row r="168" spans="1:9" ht="14.4" x14ac:dyDescent="0.3">
      <c r="A168" s="197"/>
      <c r="B168" s="198"/>
      <c r="C168" s="199"/>
      <c r="D168" s="200"/>
      <c r="E168" s="201"/>
      <c r="F168" s="212"/>
      <c r="G168" s="201"/>
      <c r="H168" s="215"/>
      <c r="I168" s="216"/>
    </row>
    <row r="169" spans="1:9" ht="14.4" x14ac:dyDescent="0.3">
      <c r="A169" s="197"/>
      <c r="B169" s="198"/>
      <c r="C169" s="199"/>
      <c r="D169" s="200"/>
      <c r="E169" s="201"/>
      <c r="F169" s="212"/>
      <c r="G169" s="201"/>
      <c r="H169" s="215"/>
      <c r="I169" s="216"/>
    </row>
    <row r="170" spans="1:9" ht="14.4" x14ac:dyDescent="0.3">
      <c r="A170" s="197"/>
      <c r="B170" s="203"/>
      <c r="C170" s="204"/>
      <c r="D170" s="205"/>
      <c r="E170" s="206"/>
      <c r="F170" s="218"/>
      <c r="G170" s="206"/>
      <c r="H170" s="219"/>
      <c r="I170" s="220"/>
    </row>
    <row r="171" spans="1:9" ht="15" thickBot="1" x14ac:dyDescent="0.35">
      <c r="A171" s="207"/>
      <c r="B171" s="208"/>
      <c r="C171" s="209"/>
      <c r="D171" s="210"/>
      <c r="E171" s="211"/>
      <c r="F171" s="221"/>
      <c r="G171" s="211"/>
      <c r="H171" s="222"/>
      <c r="I171" s="223"/>
    </row>
    <row r="172" spans="1:9" ht="14.4" thickBot="1" x14ac:dyDescent="0.35"/>
    <row r="173" spans="1:9" ht="14.4" thickBot="1" x14ac:dyDescent="0.35">
      <c r="A173" s="226" t="s">
        <v>1204</v>
      </c>
      <c r="B173" s="224" t="s">
        <v>1434</v>
      </c>
      <c r="C173" s="224" t="s">
        <v>1435</v>
      </c>
      <c r="D173" s="224" t="s">
        <v>1207</v>
      </c>
      <c r="E173" s="368" t="s">
        <v>1208</v>
      </c>
      <c r="F173" s="368"/>
      <c r="G173" s="368"/>
      <c r="H173" s="224" t="s">
        <v>1209</v>
      </c>
      <c r="I173" s="225" t="s">
        <v>1436</v>
      </c>
    </row>
    <row r="174" spans="1:9" ht="14.4" x14ac:dyDescent="0.3">
      <c r="A174" s="197" t="s">
        <v>1509</v>
      </c>
      <c r="B174" s="193" t="s">
        <v>153</v>
      </c>
      <c r="C174" s="194" t="s">
        <v>154</v>
      </c>
      <c r="D174" s="195" t="s">
        <v>1443</v>
      </c>
      <c r="E174" s="196" t="s">
        <v>1317</v>
      </c>
      <c r="F174" s="212"/>
      <c r="G174" s="196" t="s">
        <v>1361</v>
      </c>
      <c r="H174" s="213" t="s">
        <v>1510</v>
      </c>
      <c r="I174" s="214" t="s">
        <v>1502</v>
      </c>
    </row>
    <row r="175" spans="1:9" ht="14.4" x14ac:dyDescent="0.3">
      <c r="A175" s="197"/>
      <c r="B175" s="198" t="s">
        <v>155</v>
      </c>
      <c r="C175" s="199" t="s">
        <v>156</v>
      </c>
      <c r="D175" s="200" t="s">
        <v>1224</v>
      </c>
      <c r="E175" s="201" t="s">
        <v>1317</v>
      </c>
      <c r="F175" s="212"/>
      <c r="G175" s="201" t="s">
        <v>1361</v>
      </c>
      <c r="H175" s="215" t="s">
        <v>1511</v>
      </c>
      <c r="I175" s="216" t="s">
        <v>1476</v>
      </c>
    </row>
    <row r="176" spans="1:9" ht="14.4" x14ac:dyDescent="0.3">
      <c r="A176" s="197"/>
      <c r="B176" s="198" t="s">
        <v>157</v>
      </c>
      <c r="C176" s="199" t="s">
        <v>158</v>
      </c>
      <c r="D176" s="200" t="s">
        <v>1267</v>
      </c>
      <c r="E176" s="201" t="s">
        <v>1311</v>
      </c>
      <c r="F176" s="212"/>
      <c r="G176" s="201" t="s">
        <v>1361</v>
      </c>
      <c r="H176" s="215" t="s">
        <v>1504</v>
      </c>
      <c r="I176" s="216" t="s">
        <v>1505</v>
      </c>
    </row>
    <row r="177" spans="1:9" ht="14.4" x14ac:dyDescent="0.3">
      <c r="A177" s="197"/>
      <c r="B177" s="198" t="s">
        <v>159</v>
      </c>
      <c r="C177" s="199" t="s">
        <v>160</v>
      </c>
      <c r="D177" s="200" t="s">
        <v>1226</v>
      </c>
      <c r="E177" s="201" t="s">
        <v>1331</v>
      </c>
      <c r="F177" s="212"/>
      <c r="G177" s="201" t="s">
        <v>1500</v>
      </c>
      <c r="H177" s="215">
        <v>207</v>
      </c>
      <c r="I177" s="217" t="s">
        <v>1459</v>
      </c>
    </row>
    <row r="178" spans="1:9" ht="14.4" x14ac:dyDescent="0.3">
      <c r="A178" s="197"/>
      <c r="B178" s="198" t="s">
        <v>161</v>
      </c>
      <c r="C178" s="199" t="s">
        <v>162</v>
      </c>
      <c r="D178" s="200" t="s">
        <v>1226</v>
      </c>
      <c r="E178" s="196" t="s">
        <v>1316</v>
      </c>
      <c r="F178" s="212"/>
      <c r="G178" s="196" t="s">
        <v>1331</v>
      </c>
      <c r="H178" s="215" t="s">
        <v>1481</v>
      </c>
      <c r="I178" s="217" t="s">
        <v>1496</v>
      </c>
    </row>
    <row r="179" spans="1:9" ht="14.4" x14ac:dyDescent="0.3">
      <c r="A179" s="197"/>
      <c r="B179" s="198"/>
      <c r="C179" s="199" t="s">
        <v>163</v>
      </c>
      <c r="D179" s="200" t="s">
        <v>1285</v>
      </c>
      <c r="E179" s="196" t="s">
        <v>1316</v>
      </c>
      <c r="F179" s="212"/>
      <c r="G179" s="196" t="s">
        <v>1438</v>
      </c>
      <c r="H179" s="215" t="s">
        <v>1512</v>
      </c>
      <c r="I179" s="216" t="s">
        <v>1472</v>
      </c>
    </row>
    <row r="180" spans="1:9" ht="14.4" x14ac:dyDescent="0.3">
      <c r="A180" s="197"/>
      <c r="B180" s="198" t="s">
        <v>164</v>
      </c>
      <c r="C180" s="199" t="s">
        <v>165</v>
      </c>
      <c r="D180" s="200" t="s">
        <v>1513</v>
      </c>
      <c r="E180" s="201" t="s">
        <v>1331</v>
      </c>
      <c r="F180" s="212"/>
      <c r="G180" s="201" t="s">
        <v>1438</v>
      </c>
      <c r="H180" s="215" t="s">
        <v>1514</v>
      </c>
      <c r="I180" s="216" t="s">
        <v>1478</v>
      </c>
    </row>
    <row r="181" spans="1:9" ht="14.4" x14ac:dyDescent="0.3">
      <c r="A181" s="197"/>
      <c r="B181" s="198"/>
      <c r="C181" s="199"/>
      <c r="D181" s="200"/>
      <c r="E181" s="202"/>
      <c r="F181" s="212"/>
      <c r="G181" s="201"/>
      <c r="H181" s="215"/>
      <c r="I181" s="216"/>
    </row>
    <row r="182" spans="1:9" ht="14.4" x14ac:dyDescent="0.3">
      <c r="A182" s="197"/>
      <c r="B182" s="198"/>
      <c r="C182" s="199"/>
      <c r="D182" s="200"/>
      <c r="E182" s="201"/>
      <c r="F182" s="212"/>
      <c r="G182" s="201"/>
      <c r="H182" s="215"/>
      <c r="I182" s="216"/>
    </row>
    <row r="183" spans="1:9" ht="14.4" x14ac:dyDescent="0.3">
      <c r="A183" s="197"/>
      <c r="B183" s="198"/>
      <c r="C183" s="199"/>
      <c r="D183" s="200"/>
      <c r="E183" s="201"/>
      <c r="F183" s="212"/>
      <c r="G183" s="201"/>
      <c r="H183" s="215"/>
      <c r="I183" s="216"/>
    </row>
    <row r="184" spans="1:9" ht="14.4" x14ac:dyDescent="0.3">
      <c r="A184" s="197"/>
      <c r="B184" s="203"/>
      <c r="C184" s="204"/>
      <c r="D184" s="205"/>
      <c r="E184" s="206"/>
      <c r="F184" s="218"/>
      <c r="G184" s="206"/>
      <c r="H184" s="219"/>
      <c r="I184" s="220"/>
    </row>
    <row r="185" spans="1:9" ht="15" thickBot="1" x14ac:dyDescent="0.35">
      <c r="A185" s="207"/>
      <c r="B185" s="208"/>
      <c r="C185" s="209"/>
      <c r="D185" s="210"/>
      <c r="E185" s="211"/>
      <c r="F185" s="221"/>
      <c r="G185" s="211"/>
      <c r="H185" s="222"/>
      <c r="I185" s="223"/>
    </row>
    <row r="186" spans="1:9" ht="14.4" thickBot="1" x14ac:dyDescent="0.35"/>
    <row r="187" spans="1:9" ht="14.4" thickBot="1" x14ac:dyDescent="0.35">
      <c r="A187" s="226" t="s">
        <v>1204</v>
      </c>
      <c r="B187" s="224" t="s">
        <v>1434</v>
      </c>
      <c r="C187" s="224" t="s">
        <v>1435</v>
      </c>
      <c r="D187" s="224" t="s">
        <v>1207</v>
      </c>
      <c r="E187" s="368" t="s">
        <v>1208</v>
      </c>
      <c r="F187" s="368"/>
      <c r="G187" s="368"/>
      <c r="H187" s="224" t="s">
        <v>1209</v>
      </c>
      <c r="I187" s="225" t="s">
        <v>1436</v>
      </c>
    </row>
    <row r="188" spans="1:9" ht="14.4" x14ac:dyDescent="0.3">
      <c r="A188" s="197" t="s">
        <v>1515</v>
      </c>
      <c r="B188" s="193" t="s">
        <v>153</v>
      </c>
      <c r="C188" s="194" t="s">
        <v>154</v>
      </c>
      <c r="D188" s="195" t="s">
        <v>1516</v>
      </c>
      <c r="E188" s="196" t="s">
        <v>1331</v>
      </c>
      <c r="F188" s="212"/>
      <c r="G188" s="196" t="s">
        <v>1500</v>
      </c>
      <c r="H188" s="213" t="s">
        <v>1517</v>
      </c>
      <c r="I188" s="214" t="s">
        <v>1453</v>
      </c>
    </row>
    <row r="189" spans="1:9" ht="14.4" x14ac:dyDescent="0.3">
      <c r="A189" s="197"/>
      <c r="B189" s="198" t="s">
        <v>155</v>
      </c>
      <c r="C189" s="199" t="s">
        <v>156</v>
      </c>
      <c r="D189" s="200" t="s">
        <v>1267</v>
      </c>
      <c r="E189" s="201" t="s">
        <v>1316</v>
      </c>
      <c r="F189" s="212"/>
      <c r="G189" s="201" t="s">
        <v>1438</v>
      </c>
      <c r="H189" s="215" t="s">
        <v>1518</v>
      </c>
      <c r="I189" s="216" t="s">
        <v>1441</v>
      </c>
    </row>
    <row r="190" spans="1:9" ht="14.4" x14ac:dyDescent="0.3">
      <c r="A190" s="197"/>
      <c r="B190" s="198" t="s">
        <v>157</v>
      </c>
      <c r="C190" s="199" t="s">
        <v>158</v>
      </c>
      <c r="D190" s="200" t="s">
        <v>1285</v>
      </c>
      <c r="E190" s="201" t="s">
        <v>1311</v>
      </c>
      <c r="F190" s="212"/>
      <c r="G190" s="201" t="s">
        <v>1361</v>
      </c>
      <c r="H190" s="215" t="s">
        <v>1504</v>
      </c>
      <c r="I190" s="216" t="s">
        <v>1505</v>
      </c>
    </row>
    <row r="191" spans="1:9" ht="14.4" x14ac:dyDescent="0.3">
      <c r="A191" s="197"/>
      <c r="B191" s="198" t="s">
        <v>159</v>
      </c>
      <c r="C191" s="199" t="s">
        <v>160</v>
      </c>
      <c r="D191" s="200" t="s">
        <v>1280</v>
      </c>
      <c r="E191" s="201" t="s">
        <v>1316</v>
      </c>
      <c r="F191" s="212"/>
      <c r="G191" s="201" t="s">
        <v>1331</v>
      </c>
      <c r="H191" s="215">
        <v>301</v>
      </c>
      <c r="I191" s="217" t="s">
        <v>1459</v>
      </c>
    </row>
    <row r="192" spans="1:9" ht="14.4" x14ac:dyDescent="0.3">
      <c r="A192" s="197"/>
      <c r="B192" s="198" t="s">
        <v>161</v>
      </c>
      <c r="C192" s="199" t="s">
        <v>162</v>
      </c>
      <c r="D192" s="200" t="s">
        <v>1443</v>
      </c>
      <c r="E192" s="196" t="s">
        <v>1311</v>
      </c>
      <c r="F192" s="212"/>
      <c r="G192" s="196" t="s">
        <v>1316</v>
      </c>
      <c r="H192" s="215">
        <v>306</v>
      </c>
      <c r="I192" s="217" t="s">
        <v>1472</v>
      </c>
    </row>
    <row r="193" spans="1:9" ht="14.4" x14ac:dyDescent="0.3">
      <c r="A193" s="197"/>
      <c r="B193" s="198"/>
      <c r="C193" s="199" t="s">
        <v>163</v>
      </c>
      <c r="D193" s="200" t="s">
        <v>1519</v>
      </c>
      <c r="E193" s="196" t="s">
        <v>1316</v>
      </c>
      <c r="F193" s="212"/>
      <c r="G193" s="196" t="s">
        <v>1331</v>
      </c>
      <c r="H193" s="215" t="s">
        <v>1520</v>
      </c>
      <c r="I193" s="216" t="s">
        <v>1472</v>
      </c>
    </row>
    <row r="194" spans="1:9" ht="14.4" x14ac:dyDescent="0.3">
      <c r="A194" s="197"/>
      <c r="B194" s="198" t="s">
        <v>164</v>
      </c>
      <c r="C194" s="199" t="s">
        <v>165</v>
      </c>
      <c r="D194" s="200" t="s">
        <v>1521</v>
      </c>
      <c r="E194" s="201" t="s">
        <v>1331</v>
      </c>
      <c r="F194" s="212"/>
      <c r="G194" s="201" t="s">
        <v>1500</v>
      </c>
      <c r="H194" s="215" t="s">
        <v>1522</v>
      </c>
      <c r="I194" s="216" t="s">
        <v>1459</v>
      </c>
    </row>
    <row r="195" spans="1:9" ht="14.4" x14ac:dyDescent="0.3">
      <c r="A195" s="197"/>
      <c r="B195" s="198"/>
      <c r="C195" s="199"/>
      <c r="D195" s="200"/>
      <c r="E195" s="202"/>
      <c r="F195" s="212"/>
      <c r="G195" s="201"/>
      <c r="H195" s="215"/>
      <c r="I195" s="216"/>
    </row>
    <row r="196" spans="1:9" ht="14.4" x14ac:dyDescent="0.3">
      <c r="A196" s="197"/>
      <c r="B196" s="198"/>
      <c r="C196" s="199"/>
      <c r="D196" s="200"/>
      <c r="E196" s="201"/>
      <c r="F196" s="212"/>
      <c r="G196" s="201"/>
      <c r="H196" s="215"/>
      <c r="I196" s="216"/>
    </row>
    <row r="197" spans="1:9" ht="14.4" x14ac:dyDescent="0.3">
      <c r="A197" s="197"/>
      <c r="B197" s="198"/>
      <c r="C197" s="199"/>
      <c r="D197" s="200"/>
      <c r="E197" s="201"/>
      <c r="F197" s="212"/>
      <c r="G197" s="201"/>
      <c r="H197" s="215"/>
      <c r="I197" s="216"/>
    </row>
    <row r="198" spans="1:9" ht="14.4" x14ac:dyDescent="0.3">
      <c r="A198" s="197"/>
      <c r="B198" s="203"/>
      <c r="C198" s="204"/>
      <c r="D198" s="205"/>
      <c r="E198" s="206"/>
      <c r="F198" s="218"/>
      <c r="G198" s="206"/>
      <c r="H198" s="219"/>
      <c r="I198" s="220"/>
    </row>
    <row r="199" spans="1:9" ht="15" thickBot="1" x14ac:dyDescent="0.35">
      <c r="A199" s="207"/>
      <c r="B199" s="208"/>
      <c r="C199" s="209"/>
      <c r="D199" s="210"/>
      <c r="E199" s="211"/>
      <c r="F199" s="221"/>
      <c r="G199" s="211"/>
      <c r="H199" s="222"/>
      <c r="I199" s="223"/>
    </row>
    <row r="200" spans="1:9" ht="14.4" thickBot="1" x14ac:dyDescent="0.35"/>
    <row r="201" spans="1:9" ht="14.4" thickBot="1" x14ac:dyDescent="0.35">
      <c r="A201" s="226" t="s">
        <v>1204</v>
      </c>
      <c r="B201" s="224" t="s">
        <v>1434</v>
      </c>
      <c r="C201" s="224" t="s">
        <v>1435</v>
      </c>
      <c r="D201" s="224" t="s">
        <v>1207</v>
      </c>
      <c r="E201" s="368" t="s">
        <v>1208</v>
      </c>
      <c r="F201" s="368"/>
      <c r="G201" s="368"/>
      <c r="H201" s="224" t="s">
        <v>1209</v>
      </c>
      <c r="I201" s="225" t="s">
        <v>1436</v>
      </c>
    </row>
    <row r="202" spans="1:9" ht="14.4" x14ac:dyDescent="0.3">
      <c r="A202" s="197" t="s">
        <v>1523</v>
      </c>
      <c r="B202" s="193" t="s">
        <v>153</v>
      </c>
      <c r="C202" s="194" t="s">
        <v>154</v>
      </c>
      <c r="D202" s="195" t="s">
        <v>1524</v>
      </c>
      <c r="E202" s="196" t="s">
        <v>1525</v>
      </c>
      <c r="F202" s="212"/>
      <c r="G202" s="196" t="s">
        <v>1361</v>
      </c>
      <c r="H202" s="213" t="s">
        <v>1526</v>
      </c>
      <c r="I202" s="214" t="s">
        <v>1453</v>
      </c>
    </row>
    <row r="203" spans="1:9" ht="14.4" x14ac:dyDescent="0.3">
      <c r="A203" s="197"/>
      <c r="B203" s="198" t="s">
        <v>155</v>
      </c>
      <c r="C203" s="199" t="s">
        <v>156</v>
      </c>
      <c r="D203" s="200" t="s">
        <v>1443</v>
      </c>
      <c r="E203" s="201" t="s">
        <v>1311</v>
      </c>
      <c r="F203" s="212"/>
      <c r="G203" s="201" t="s">
        <v>1361</v>
      </c>
      <c r="H203" s="215" t="s">
        <v>1527</v>
      </c>
      <c r="I203" s="216" t="s">
        <v>1441</v>
      </c>
    </row>
    <row r="204" spans="1:9" ht="14.4" x14ac:dyDescent="0.3">
      <c r="A204" s="197"/>
      <c r="B204" s="198" t="s">
        <v>157</v>
      </c>
      <c r="C204" s="199" t="s">
        <v>158</v>
      </c>
      <c r="D204" s="200" t="s">
        <v>1524</v>
      </c>
      <c r="E204" s="201" t="s">
        <v>1317</v>
      </c>
      <c r="F204" s="212"/>
      <c r="G204" s="201" t="s">
        <v>1311</v>
      </c>
      <c r="H204" s="215" t="s">
        <v>1528</v>
      </c>
      <c r="I204" s="216" t="s">
        <v>1507</v>
      </c>
    </row>
    <row r="205" spans="1:9" ht="14.4" x14ac:dyDescent="0.3">
      <c r="A205" s="197"/>
      <c r="B205" s="198" t="s">
        <v>159</v>
      </c>
      <c r="C205" s="199" t="s">
        <v>160</v>
      </c>
      <c r="D205" s="200" t="s">
        <v>1470</v>
      </c>
      <c r="E205" s="201" t="s">
        <v>1316</v>
      </c>
      <c r="F205" s="212"/>
      <c r="G205" s="201" t="s">
        <v>1294</v>
      </c>
      <c r="H205" s="215" t="s">
        <v>1529</v>
      </c>
      <c r="I205" s="217" t="s">
        <v>1453</v>
      </c>
    </row>
    <row r="206" spans="1:9" ht="14.4" x14ac:dyDescent="0.3">
      <c r="A206" s="197"/>
      <c r="B206" s="198" t="s">
        <v>161</v>
      </c>
      <c r="C206" s="199" t="s">
        <v>162</v>
      </c>
      <c r="D206" s="200" t="s">
        <v>1516</v>
      </c>
      <c r="E206" s="196" t="s">
        <v>1317</v>
      </c>
      <c r="F206" s="212"/>
      <c r="G206" s="196" t="s">
        <v>1311</v>
      </c>
      <c r="H206" s="215" t="s">
        <v>1491</v>
      </c>
      <c r="I206" s="217" t="s">
        <v>1472</v>
      </c>
    </row>
    <row r="207" spans="1:9" ht="14.4" x14ac:dyDescent="0.3">
      <c r="A207" s="197"/>
      <c r="B207" s="198"/>
      <c r="C207" s="199" t="s">
        <v>163</v>
      </c>
      <c r="D207" s="200" t="s">
        <v>1530</v>
      </c>
      <c r="E207" s="196" t="s">
        <v>1311</v>
      </c>
      <c r="F207" s="212"/>
      <c r="G207" s="196" t="s">
        <v>1361</v>
      </c>
      <c r="H207" s="215" t="s">
        <v>1481</v>
      </c>
      <c r="I207" s="216" t="s">
        <v>1472</v>
      </c>
    </row>
    <row r="208" spans="1:9" ht="14.4" x14ac:dyDescent="0.3">
      <c r="A208" s="197"/>
      <c r="B208" s="198" t="s">
        <v>164</v>
      </c>
      <c r="C208" s="199" t="s">
        <v>165</v>
      </c>
      <c r="D208" s="200" t="s">
        <v>1486</v>
      </c>
      <c r="E208" s="201" t="s">
        <v>1317</v>
      </c>
      <c r="F208" s="212"/>
      <c r="G208" s="201" t="s">
        <v>1311</v>
      </c>
      <c r="H208" s="215" t="s">
        <v>1531</v>
      </c>
      <c r="I208" s="216" t="s">
        <v>1478</v>
      </c>
    </row>
    <row r="209" spans="1:9" ht="14.4" x14ac:dyDescent="0.3">
      <c r="A209" s="197"/>
      <c r="B209" s="198"/>
      <c r="C209" s="199"/>
      <c r="D209" s="200"/>
      <c r="E209" s="202"/>
      <c r="F209" s="212"/>
      <c r="G209" s="201"/>
      <c r="H209" s="215"/>
      <c r="I209" s="216"/>
    </row>
    <row r="210" spans="1:9" ht="14.4" x14ac:dyDescent="0.3">
      <c r="A210" s="197"/>
      <c r="B210" s="198"/>
      <c r="C210" s="199"/>
      <c r="D210" s="200"/>
      <c r="E210" s="201"/>
      <c r="F210" s="212"/>
      <c r="G210" s="201"/>
      <c r="H210" s="215"/>
      <c r="I210" s="216"/>
    </row>
    <row r="211" spans="1:9" ht="14.4" x14ac:dyDescent="0.3">
      <c r="A211" s="197"/>
      <c r="B211" s="198"/>
      <c r="C211" s="199"/>
      <c r="D211" s="200"/>
      <c r="E211" s="201"/>
      <c r="F211" s="212"/>
      <c r="G211" s="201"/>
      <c r="H211" s="215"/>
      <c r="I211" s="216"/>
    </row>
    <row r="212" spans="1:9" ht="14.4" x14ac:dyDescent="0.3">
      <c r="A212" s="197"/>
      <c r="B212" s="203"/>
      <c r="C212" s="204"/>
      <c r="D212" s="205"/>
      <c r="E212" s="206"/>
      <c r="F212" s="218"/>
      <c r="G212" s="206"/>
      <c r="H212" s="219"/>
      <c r="I212" s="220"/>
    </row>
    <row r="213" spans="1:9" ht="15" thickBot="1" x14ac:dyDescent="0.35">
      <c r="A213" s="207"/>
      <c r="B213" s="208"/>
      <c r="C213" s="209"/>
      <c r="D213" s="210"/>
      <c r="E213" s="211"/>
      <c r="F213" s="221"/>
      <c r="G213" s="211"/>
      <c r="H213" s="222"/>
      <c r="I213" s="223"/>
    </row>
    <row r="214" spans="1:9" ht="14.4" thickBot="1" x14ac:dyDescent="0.35"/>
    <row r="215" spans="1:9" ht="14.4" thickBot="1" x14ac:dyDescent="0.35">
      <c r="A215" s="226" t="s">
        <v>1204</v>
      </c>
      <c r="B215" s="224" t="s">
        <v>1434</v>
      </c>
      <c r="C215" s="224" t="s">
        <v>1435</v>
      </c>
      <c r="D215" s="224" t="s">
        <v>1207</v>
      </c>
      <c r="E215" s="368" t="s">
        <v>1208</v>
      </c>
      <c r="F215" s="368"/>
      <c r="G215" s="368"/>
      <c r="H215" s="224" t="s">
        <v>1209</v>
      </c>
      <c r="I215" s="225" t="s">
        <v>1436</v>
      </c>
    </row>
    <row r="216" spans="1:9" ht="14.4" x14ac:dyDescent="0.3">
      <c r="A216" s="197" t="s">
        <v>1532</v>
      </c>
      <c r="B216" s="193" t="s">
        <v>167</v>
      </c>
      <c r="C216" s="194" t="s">
        <v>168</v>
      </c>
      <c r="D216" s="195" t="s">
        <v>1267</v>
      </c>
      <c r="E216" s="196">
        <v>0.60416666666666663</v>
      </c>
      <c r="F216" s="212"/>
      <c r="G216" s="196">
        <v>0.64583333333333337</v>
      </c>
      <c r="H216" s="213">
        <v>512</v>
      </c>
      <c r="I216" s="214" t="s">
        <v>1455</v>
      </c>
    </row>
    <row r="217" spans="1:9" ht="14.4" x14ac:dyDescent="0.3">
      <c r="A217" s="197"/>
      <c r="B217" s="198" t="s">
        <v>169</v>
      </c>
      <c r="C217" s="199" t="s">
        <v>170</v>
      </c>
      <c r="D217" s="200" t="s">
        <v>1533</v>
      </c>
      <c r="E217" s="201" t="s">
        <v>1316</v>
      </c>
      <c r="F217" s="212"/>
      <c r="G217" s="201" t="s">
        <v>1331</v>
      </c>
      <c r="H217" s="215"/>
      <c r="I217" s="216" t="s">
        <v>1502</v>
      </c>
    </row>
    <row r="218" spans="1:9" ht="14.4" x14ac:dyDescent="0.3">
      <c r="A218" s="197"/>
      <c r="B218" s="198"/>
      <c r="C218" s="199" t="s">
        <v>171</v>
      </c>
      <c r="D218" s="200" t="s">
        <v>1534</v>
      </c>
      <c r="E218" s="201" t="s">
        <v>1361</v>
      </c>
      <c r="F218" s="212"/>
      <c r="G218" s="201" t="s">
        <v>1362</v>
      </c>
      <c r="H218" s="215" t="s">
        <v>1535</v>
      </c>
      <c r="I218" s="216" t="s">
        <v>1441</v>
      </c>
    </row>
    <row r="219" spans="1:9" ht="14.4" x14ac:dyDescent="0.3">
      <c r="A219" s="197"/>
      <c r="B219" s="198" t="s">
        <v>172</v>
      </c>
      <c r="C219" s="199" t="s">
        <v>173</v>
      </c>
      <c r="D219" s="200" t="s">
        <v>1470</v>
      </c>
      <c r="E219" s="201" t="s">
        <v>1331</v>
      </c>
      <c r="F219" s="212"/>
      <c r="G219" s="201" t="s">
        <v>1500</v>
      </c>
      <c r="H219" s="215" t="s">
        <v>1536</v>
      </c>
      <c r="I219" s="217" t="s">
        <v>1507</v>
      </c>
    </row>
    <row r="220" spans="1:9" ht="14.4" x14ac:dyDescent="0.3">
      <c r="A220" s="197"/>
      <c r="B220" s="198" t="s">
        <v>174</v>
      </c>
      <c r="C220" s="199" t="s">
        <v>175</v>
      </c>
      <c r="D220" s="200" t="s">
        <v>1534</v>
      </c>
      <c r="E220" s="196" t="s">
        <v>1294</v>
      </c>
      <c r="F220" s="212"/>
      <c r="G220" s="196" t="s">
        <v>1331</v>
      </c>
      <c r="H220" s="215" t="s">
        <v>1537</v>
      </c>
      <c r="I220" s="217" t="s">
        <v>1453</v>
      </c>
    </row>
    <row r="221" spans="1:9" ht="14.4" x14ac:dyDescent="0.3">
      <c r="A221" s="197"/>
      <c r="B221" s="198" t="s">
        <v>176</v>
      </c>
      <c r="C221" s="199" t="s">
        <v>177</v>
      </c>
      <c r="D221" s="200" t="s">
        <v>1443</v>
      </c>
      <c r="E221" s="196" t="s">
        <v>1538</v>
      </c>
      <c r="F221" s="212"/>
      <c r="G221" s="196" t="s">
        <v>1402</v>
      </c>
      <c r="H221" s="215" t="s">
        <v>1539</v>
      </c>
      <c r="I221" s="216" t="s">
        <v>1496</v>
      </c>
    </row>
    <row r="222" spans="1:9" ht="14.4" x14ac:dyDescent="0.3">
      <c r="A222" s="197"/>
      <c r="B222" s="198" t="s">
        <v>178</v>
      </c>
      <c r="C222" s="199" t="s">
        <v>179</v>
      </c>
      <c r="D222" s="200" t="s">
        <v>1540</v>
      </c>
      <c r="E222" s="201" t="s">
        <v>1331</v>
      </c>
      <c r="F222" s="212"/>
      <c r="G222" s="201" t="s">
        <v>1438</v>
      </c>
      <c r="H222" s="215" t="s">
        <v>1541</v>
      </c>
      <c r="I222" s="216" t="s">
        <v>1507</v>
      </c>
    </row>
    <row r="223" spans="1:9" ht="14.4" x14ac:dyDescent="0.3">
      <c r="A223" s="197"/>
      <c r="B223" s="198"/>
      <c r="C223" s="199"/>
      <c r="D223" s="200"/>
      <c r="E223" s="202"/>
      <c r="F223" s="212"/>
      <c r="G223" s="201"/>
      <c r="H223" s="215"/>
      <c r="I223" s="216"/>
    </row>
    <row r="224" spans="1:9" ht="14.4" x14ac:dyDescent="0.3">
      <c r="A224" s="197"/>
      <c r="B224" s="198"/>
      <c r="C224" s="199"/>
      <c r="D224" s="200"/>
      <c r="E224" s="201"/>
      <c r="F224" s="212"/>
      <c r="G224" s="201"/>
      <c r="H224" s="215"/>
      <c r="I224" s="216"/>
    </row>
    <row r="225" spans="1:9" ht="14.4" x14ac:dyDescent="0.3">
      <c r="A225" s="197"/>
      <c r="B225" s="198"/>
      <c r="C225" s="199"/>
      <c r="D225" s="200"/>
      <c r="E225" s="201"/>
      <c r="F225" s="212"/>
      <c r="G225" s="201"/>
      <c r="H225" s="215"/>
      <c r="I225" s="216"/>
    </row>
    <row r="226" spans="1:9" ht="14.4" x14ac:dyDescent="0.3">
      <c r="A226" s="197"/>
      <c r="B226" s="203"/>
      <c r="C226" s="204"/>
      <c r="D226" s="205"/>
      <c r="E226" s="206"/>
      <c r="F226" s="218"/>
      <c r="G226" s="206"/>
      <c r="H226" s="219"/>
      <c r="I226" s="220"/>
    </row>
    <row r="227" spans="1:9" ht="15" thickBot="1" x14ac:dyDescent="0.35">
      <c r="A227" s="207"/>
      <c r="B227" s="208"/>
      <c r="C227" s="209"/>
      <c r="D227" s="210"/>
      <c r="E227" s="211"/>
      <c r="F227" s="221"/>
      <c r="G227" s="211"/>
      <c r="H227" s="222"/>
      <c r="I227" s="223"/>
    </row>
    <row r="228" spans="1:9" ht="14.4" thickBot="1" x14ac:dyDescent="0.35"/>
    <row r="229" spans="1:9" ht="14.4" thickBot="1" x14ac:dyDescent="0.35">
      <c r="A229" s="226" t="s">
        <v>1204</v>
      </c>
      <c r="B229" s="224" t="s">
        <v>1434</v>
      </c>
      <c r="C229" s="224" t="s">
        <v>1435</v>
      </c>
      <c r="D229" s="224" t="s">
        <v>1207</v>
      </c>
      <c r="E229" s="368" t="s">
        <v>1208</v>
      </c>
      <c r="F229" s="368"/>
      <c r="G229" s="368"/>
      <c r="H229" s="224" t="s">
        <v>1209</v>
      </c>
      <c r="I229" s="225" t="s">
        <v>1436</v>
      </c>
    </row>
    <row r="230" spans="1:9" ht="14.4" x14ac:dyDescent="0.3">
      <c r="A230" s="197" t="s">
        <v>1542</v>
      </c>
      <c r="B230" s="193" t="s">
        <v>167</v>
      </c>
      <c r="C230" s="194" t="s">
        <v>168</v>
      </c>
      <c r="D230" s="195" t="s">
        <v>1226</v>
      </c>
      <c r="E230" s="196">
        <v>0.4375</v>
      </c>
      <c r="F230" s="212"/>
      <c r="G230" s="196">
        <v>0.47916666666666669</v>
      </c>
      <c r="H230" s="213">
        <v>503</v>
      </c>
      <c r="I230" s="214" t="s">
        <v>1455</v>
      </c>
    </row>
    <row r="231" spans="1:9" ht="14.4" x14ac:dyDescent="0.3">
      <c r="A231" s="197"/>
      <c r="B231" s="198" t="s">
        <v>169</v>
      </c>
      <c r="C231" s="199" t="s">
        <v>170</v>
      </c>
      <c r="D231" s="200" t="s">
        <v>1285</v>
      </c>
      <c r="E231" s="201" t="s">
        <v>1316</v>
      </c>
      <c r="F231" s="212"/>
      <c r="G231" s="201" t="s">
        <v>1500</v>
      </c>
      <c r="H231" s="215"/>
      <c r="I231" s="216" t="s">
        <v>1502</v>
      </c>
    </row>
    <row r="232" spans="1:9" ht="14.4" x14ac:dyDescent="0.3">
      <c r="A232" s="197"/>
      <c r="B232" s="198"/>
      <c r="C232" s="199" t="s">
        <v>171</v>
      </c>
      <c r="D232" s="200" t="s">
        <v>1543</v>
      </c>
      <c r="E232" s="201" t="s">
        <v>1331</v>
      </c>
      <c r="F232" s="212"/>
      <c r="G232" s="201" t="s">
        <v>1438</v>
      </c>
      <c r="H232" s="215" t="s">
        <v>1544</v>
      </c>
      <c r="I232" s="216" t="s">
        <v>1441</v>
      </c>
    </row>
    <row r="233" spans="1:9" ht="14.4" x14ac:dyDescent="0.3">
      <c r="A233" s="197"/>
      <c r="B233" s="198" t="s">
        <v>172</v>
      </c>
      <c r="C233" s="199" t="s">
        <v>173</v>
      </c>
      <c r="D233" s="200" t="s">
        <v>1280</v>
      </c>
      <c r="E233" s="201" t="s">
        <v>1316</v>
      </c>
      <c r="F233" s="212"/>
      <c r="G233" s="201" t="s">
        <v>1331</v>
      </c>
      <c r="H233" s="215" t="s">
        <v>1465</v>
      </c>
      <c r="I233" s="217" t="s">
        <v>1507</v>
      </c>
    </row>
    <row r="234" spans="1:9" ht="14.4" x14ac:dyDescent="0.3">
      <c r="A234" s="197"/>
      <c r="B234" s="198" t="s">
        <v>174</v>
      </c>
      <c r="C234" s="199" t="s">
        <v>175</v>
      </c>
      <c r="D234" s="200" t="s">
        <v>1267</v>
      </c>
      <c r="E234" s="196" t="s">
        <v>1331</v>
      </c>
      <c r="F234" s="212"/>
      <c r="G234" s="196" t="s">
        <v>1500</v>
      </c>
      <c r="H234" s="215">
        <v>301</v>
      </c>
      <c r="I234" s="217" t="s">
        <v>1453</v>
      </c>
    </row>
    <row r="235" spans="1:9" ht="14.4" x14ac:dyDescent="0.3">
      <c r="A235" s="197"/>
      <c r="B235" s="198" t="s">
        <v>176</v>
      </c>
      <c r="C235" s="199" t="s">
        <v>177</v>
      </c>
      <c r="D235" s="200" t="s">
        <v>1224</v>
      </c>
      <c r="E235" s="196" t="s">
        <v>1316</v>
      </c>
      <c r="F235" s="212"/>
      <c r="G235" s="196" t="s">
        <v>1500</v>
      </c>
      <c r="H235" s="215" t="s">
        <v>1545</v>
      </c>
      <c r="I235" s="216" t="s">
        <v>1502</v>
      </c>
    </row>
    <row r="236" spans="1:9" ht="14.4" x14ac:dyDescent="0.3">
      <c r="A236" s="197"/>
      <c r="B236" s="198" t="s">
        <v>178</v>
      </c>
      <c r="C236" s="199" t="s">
        <v>179</v>
      </c>
      <c r="D236" s="200" t="s">
        <v>1524</v>
      </c>
      <c r="E236" s="201" t="s">
        <v>1361</v>
      </c>
      <c r="F236" s="212"/>
      <c r="G236" s="201" t="s">
        <v>1362</v>
      </c>
      <c r="H236" s="215" t="s">
        <v>1546</v>
      </c>
      <c r="I236" s="216" t="s">
        <v>1507</v>
      </c>
    </row>
    <row r="237" spans="1:9" ht="14.4" x14ac:dyDescent="0.3">
      <c r="A237" s="197"/>
      <c r="B237" s="198"/>
      <c r="C237" s="199"/>
      <c r="D237" s="200"/>
      <c r="E237" s="202"/>
      <c r="F237" s="212"/>
      <c r="G237" s="201"/>
      <c r="H237" s="215"/>
      <c r="I237" s="216"/>
    </row>
    <row r="238" spans="1:9" ht="14.4" x14ac:dyDescent="0.3">
      <c r="A238" s="197"/>
      <c r="B238" s="198"/>
      <c r="C238" s="199"/>
      <c r="D238" s="200"/>
      <c r="E238" s="201"/>
      <c r="F238" s="212"/>
      <c r="G238" s="201"/>
      <c r="H238" s="215"/>
      <c r="I238" s="216"/>
    </row>
    <row r="239" spans="1:9" ht="14.4" x14ac:dyDescent="0.3">
      <c r="A239" s="197"/>
      <c r="B239" s="198"/>
      <c r="C239" s="199"/>
      <c r="D239" s="200"/>
      <c r="E239" s="201"/>
      <c r="F239" s="212"/>
      <c r="G239" s="201"/>
      <c r="H239" s="215"/>
      <c r="I239" s="216"/>
    </row>
    <row r="240" spans="1:9" ht="14.4" x14ac:dyDescent="0.3">
      <c r="A240" s="197"/>
      <c r="B240" s="203"/>
      <c r="C240" s="204"/>
      <c r="D240" s="205"/>
      <c r="E240" s="206"/>
      <c r="F240" s="218"/>
      <c r="G240" s="206"/>
      <c r="H240" s="219"/>
      <c r="I240" s="220"/>
    </row>
    <row r="241" spans="1:9" ht="15" thickBot="1" x14ac:dyDescent="0.35">
      <c r="A241" s="207"/>
      <c r="B241" s="208"/>
      <c r="C241" s="209"/>
      <c r="D241" s="210"/>
      <c r="E241" s="211"/>
      <c r="F241" s="221"/>
      <c r="G241" s="211"/>
      <c r="H241" s="222"/>
      <c r="I241" s="223"/>
    </row>
    <row r="242" spans="1:9" ht="14.4" thickBot="1" x14ac:dyDescent="0.35"/>
    <row r="243" spans="1:9" ht="14.4" thickBot="1" x14ac:dyDescent="0.35">
      <c r="A243" s="226" t="s">
        <v>1204</v>
      </c>
      <c r="B243" s="224" t="s">
        <v>1434</v>
      </c>
      <c r="C243" s="224" t="s">
        <v>1435</v>
      </c>
      <c r="D243" s="224" t="s">
        <v>1207</v>
      </c>
      <c r="E243" s="368" t="s">
        <v>1208</v>
      </c>
      <c r="F243" s="368"/>
      <c r="G243" s="368"/>
      <c r="H243" s="224" t="s">
        <v>1209</v>
      </c>
      <c r="I243" s="225" t="s">
        <v>1436</v>
      </c>
    </row>
    <row r="244" spans="1:9" ht="14.4" x14ac:dyDescent="0.3">
      <c r="A244" s="197" t="s">
        <v>1547</v>
      </c>
      <c r="B244" s="193" t="s">
        <v>167</v>
      </c>
      <c r="C244" s="194" t="s">
        <v>168</v>
      </c>
      <c r="D244" s="195" t="s">
        <v>1226</v>
      </c>
      <c r="E244" s="196">
        <v>0.66666666666666663</v>
      </c>
      <c r="F244" s="212"/>
      <c r="G244" s="196">
        <v>0.70833333333333337</v>
      </c>
      <c r="H244" s="213">
        <v>202</v>
      </c>
      <c r="I244" s="214" t="s">
        <v>1455</v>
      </c>
    </row>
    <row r="245" spans="1:9" ht="14.4" x14ac:dyDescent="0.3">
      <c r="A245" s="197"/>
      <c r="B245" s="198" t="s">
        <v>169</v>
      </c>
      <c r="C245" s="199" t="s">
        <v>170</v>
      </c>
      <c r="D245" s="200" t="s">
        <v>1443</v>
      </c>
      <c r="E245" s="201" t="s">
        <v>1316</v>
      </c>
      <c r="F245" s="212"/>
      <c r="G245" s="201" t="s">
        <v>1500</v>
      </c>
      <c r="H245" s="215"/>
      <c r="I245" s="216" t="s">
        <v>1502</v>
      </c>
    </row>
    <row r="246" spans="1:9" ht="14.4" x14ac:dyDescent="0.3">
      <c r="A246" s="197"/>
      <c r="B246" s="198"/>
      <c r="C246" s="199" t="s">
        <v>171</v>
      </c>
      <c r="D246" s="200" t="s">
        <v>1224</v>
      </c>
      <c r="E246" s="201" t="s">
        <v>1362</v>
      </c>
      <c r="F246" s="212"/>
      <c r="G246" s="201" t="s">
        <v>1500</v>
      </c>
      <c r="H246" s="215" t="s">
        <v>1548</v>
      </c>
      <c r="I246" s="216" t="s">
        <v>1441</v>
      </c>
    </row>
    <row r="247" spans="1:9" ht="14.4" x14ac:dyDescent="0.3">
      <c r="A247" s="197"/>
      <c r="B247" s="198" t="s">
        <v>172</v>
      </c>
      <c r="C247" s="199" t="s">
        <v>173</v>
      </c>
      <c r="D247" s="200" t="s">
        <v>1533</v>
      </c>
      <c r="E247" s="201" t="s">
        <v>1361</v>
      </c>
      <c r="F247" s="212"/>
      <c r="G247" s="201" t="s">
        <v>1362</v>
      </c>
      <c r="H247" s="215" t="s">
        <v>1549</v>
      </c>
      <c r="I247" s="217" t="s">
        <v>1507</v>
      </c>
    </row>
    <row r="248" spans="1:9" ht="14.4" x14ac:dyDescent="0.3">
      <c r="A248" s="197"/>
      <c r="B248" s="198" t="s">
        <v>174</v>
      </c>
      <c r="C248" s="199" t="s">
        <v>175</v>
      </c>
      <c r="D248" s="200" t="s">
        <v>1226</v>
      </c>
      <c r="E248" s="196" t="s">
        <v>1331</v>
      </c>
      <c r="F248" s="212"/>
      <c r="G248" s="196" t="s">
        <v>1500</v>
      </c>
      <c r="H248" s="215">
        <v>212</v>
      </c>
      <c r="I248" s="217" t="s">
        <v>1453</v>
      </c>
    </row>
    <row r="249" spans="1:9" ht="14.4" x14ac:dyDescent="0.3">
      <c r="A249" s="197"/>
      <c r="B249" s="198" t="s">
        <v>176</v>
      </c>
      <c r="C249" s="199" t="s">
        <v>177</v>
      </c>
      <c r="D249" s="200" t="s">
        <v>1470</v>
      </c>
      <c r="E249" s="196" t="s">
        <v>1331</v>
      </c>
      <c r="F249" s="212"/>
      <c r="G249" s="196" t="s">
        <v>1500</v>
      </c>
      <c r="H249" s="215" t="s">
        <v>1518</v>
      </c>
      <c r="I249" s="216" t="s">
        <v>1502</v>
      </c>
    </row>
    <row r="250" spans="1:9" ht="14.4" x14ac:dyDescent="0.3">
      <c r="A250" s="197"/>
      <c r="B250" s="198" t="s">
        <v>178</v>
      </c>
      <c r="C250" s="199" t="s">
        <v>179</v>
      </c>
      <c r="D250" s="200" t="s">
        <v>1550</v>
      </c>
      <c r="E250" s="201" t="s">
        <v>1316</v>
      </c>
      <c r="F250" s="212"/>
      <c r="G250" s="201" t="s">
        <v>1331</v>
      </c>
      <c r="H250" s="215" t="s">
        <v>1551</v>
      </c>
      <c r="I250" s="216" t="s">
        <v>1507</v>
      </c>
    </row>
    <row r="251" spans="1:9" ht="14.4" x14ac:dyDescent="0.3">
      <c r="A251" s="197"/>
      <c r="B251" s="198"/>
      <c r="C251" s="199"/>
      <c r="D251" s="200"/>
      <c r="E251" s="202"/>
      <c r="F251" s="212"/>
      <c r="G251" s="201"/>
      <c r="H251" s="215"/>
      <c r="I251" s="216"/>
    </row>
    <row r="252" spans="1:9" ht="14.4" x14ac:dyDescent="0.3">
      <c r="A252" s="197"/>
      <c r="B252" s="198"/>
      <c r="C252" s="199"/>
      <c r="D252" s="200"/>
      <c r="E252" s="201"/>
      <c r="F252" s="212"/>
      <c r="G252" s="201"/>
      <c r="H252" s="215"/>
      <c r="I252" s="216"/>
    </row>
    <row r="253" spans="1:9" ht="14.4" x14ac:dyDescent="0.3">
      <c r="A253" s="197"/>
      <c r="B253" s="198"/>
      <c r="C253" s="199"/>
      <c r="D253" s="200"/>
      <c r="E253" s="201"/>
      <c r="F253" s="212"/>
      <c r="G253" s="201"/>
      <c r="H253" s="215"/>
      <c r="I253" s="216"/>
    </row>
    <row r="254" spans="1:9" ht="14.4" x14ac:dyDescent="0.3">
      <c r="A254" s="197"/>
      <c r="B254" s="203"/>
      <c r="C254" s="204"/>
      <c r="D254" s="205"/>
      <c r="E254" s="206"/>
      <c r="F254" s="218"/>
      <c r="G254" s="206"/>
      <c r="H254" s="219"/>
      <c r="I254" s="220"/>
    </row>
    <row r="255" spans="1:9" ht="15" thickBot="1" x14ac:dyDescent="0.35">
      <c r="A255" s="207"/>
      <c r="B255" s="208"/>
      <c r="C255" s="209"/>
      <c r="D255" s="210"/>
      <c r="E255" s="211"/>
      <c r="F255" s="221"/>
      <c r="G255" s="211"/>
      <c r="H255" s="222"/>
      <c r="I255" s="223"/>
    </row>
    <row r="256" spans="1:9" ht="14.4" thickBot="1" x14ac:dyDescent="0.35"/>
    <row r="257" spans="1:9" ht="14.4" thickBot="1" x14ac:dyDescent="0.35">
      <c r="A257" s="226" t="s">
        <v>1204</v>
      </c>
      <c r="B257" s="224" t="s">
        <v>1434</v>
      </c>
      <c r="C257" s="224" t="s">
        <v>1435</v>
      </c>
      <c r="D257" s="224" t="s">
        <v>1207</v>
      </c>
      <c r="E257" s="368" t="s">
        <v>1208</v>
      </c>
      <c r="F257" s="368"/>
      <c r="G257" s="368"/>
      <c r="H257" s="224" t="s">
        <v>1209</v>
      </c>
      <c r="I257" s="225" t="s">
        <v>1436</v>
      </c>
    </row>
    <row r="258" spans="1:9" ht="14.4" x14ac:dyDescent="0.3">
      <c r="A258" s="197" t="s">
        <v>1552</v>
      </c>
      <c r="B258" s="193" t="s">
        <v>117</v>
      </c>
      <c r="C258" s="194" t="s">
        <v>118</v>
      </c>
      <c r="D258" s="195" t="s">
        <v>1550</v>
      </c>
      <c r="E258" s="196" t="s">
        <v>1311</v>
      </c>
      <c r="F258" s="212"/>
      <c r="G258" s="196" t="s">
        <v>1293</v>
      </c>
      <c r="H258" s="213" t="s">
        <v>1503</v>
      </c>
      <c r="I258" s="214" t="s">
        <v>1459</v>
      </c>
    </row>
    <row r="259" spans="1:9" ht="14.4" x14ac:dyDescent="0.3">
      <c r="A259" s="197"/>
      <c r="B259" s="198" t="s">
        <v>119</v>
      </c>
      <c r="C259" s="199" t="s">
        <v>120</v>
      </c>
      <c r="D259" s="200" t="s">
        <v>1280</v>
      </c>
      <c r="E259" s="201" t="s">
        <v>1317</v>
      </c>
      <c r="F259" s="212"/>
      <c r="G259" s="201" t="s">
        <v>1293</v>
      </c>
      <c r="H259" s="215" t="s">
        <v>1553</v>
      </c>
      <c r="I259" s="216" t="s">
        <v>1459</v>
      </c>
    </row>
    <row r="260" spans="1:9" ht="14.4" x14ac:dyDescent="0.3">
      <c r="A260" s="197"/>
      <c r="B260" s="198" t="s">
        <v>121</v>
      </c>
      <c r="C260" s="199" t="s">
        <v>122</v>
      </c>
      <c r="D260" s="200" t="s">
        <v>1247</v>
      </c>
      <c r="E260" s="201">
        <v>0.54166666666666663</v>
      </c>
      <c r="F260" s="212"/>
      <c r="G260" s="201">
        <v>0.60416666666666663</v>
      </c>
      <c r="H260" s="215">
        <v>212</v>
      </c>
      <c r="I260" s="216" t="s">
        <v>1445</v>
      </c>
    </row>
    <row r="261" spans="1:9" ht="14.4" x14ac:dyDescent="0.3">
      <c r="A261" s="197"/>
      <c r="B261" s="198" t="s">
        <v>123</v>
      </c>
      <c r="C261" s="199" t="s">
        <v>124</v>
      </c>
      <c r="D261" s="200" t="s">
        <v>1285</v>
      </c>
      <c r="E261" s="201">
        <v>0.4375</v>
      </c>
      <c r="F261" s="212"/>
      <c r="G261" s="201">
        <v>0.47916666666666669</v>
      </c>
      <c r="H261" s="215">
        <v>511</v>
      </c>
      <c r="I261" s="217" t="s">
        <v>1489</v>
      </c>
    </row>
    <row r="262" spans="1:9" ht="14.4" x14ac:dyDescent="0.3">
      <c r="A262" s="197"/>
      <c r="B262" s="198" t="s">
        <v>125</v>
      </c>
      <c r="C262" s="199" t="s">
        <v>126</v>
      </c>
      <c r="D262" s="200" t="s">
        <v>1446</v>
      </c>
      <c r="E262" s="196">
        <v>0.54166666666666663</v>
      </c>
      <c r="F262" s="212"/>
      <c r="G262" s="196">
        <v>0.60416666666666663</v>
      </c>
      <c r="H262" s="215">
        <v>303</v>
      </c>
      <c r="I262" s="217" t="s">
        <v>1447</v>
      </c>
    </row>
    <row r="263" spans="1:9" ht="14.4" x14ac:dyDescent="0.3">
      <c r="A263" s="197"/>
      <c r="B263" s="198" t="s">
        <v>128</v>
      </c>
      <c r="C263" s="199" t="s">
        <v>129</v>
      </c>
      <c r="D263" s="200" t="s">
        <v>1446</v>
      </c>
      <c r="E263" s="196">
        <v>0.41666666666666669</v>
      </c>
      <c r="F263" s="212"/>
      <c r="G263" s="196">
        <v>0.47916666666666669</v>
      </c>
      <c r="H263" s="215">
        <v>605</v>
      </c>
      <c r="I263" s="216" t="s">
        <v>1454</v>
      </c>
    </row>
    <row r="264" spans="1:9" ht="14.4" x14ac:dyDescent="0.3">
      <c r="A264" s="197"/>
      <c r="B264" s="198" t="s">
        <v>130</v>
      </c>
      <c r="C264" s="199" t="s">
        <v>131</v>
      </c>
      <c r="D264" s="200" t="s">
        <v>1224</v>
      </c>
      <c r="E264" s="201">
        <v>0.3125</v>
      </c>
      <c r="F264" s="212"/>
      <c r="G264" s="201">
        <v>0.39583333333333331</v>
      </c>
      <c r="H264" s="215" t="s">
        <v>1221</v>
      </c>
      <c r="I264" s="216" t="s">
        <v>1468</v>
      </c>
    </row>
    <row r="265" spans="1:9" ht="14.4" x14ac:dyDescent="0.3">
      <c r="A265" s="197"/>
      <c r="B265" s="198" t="s">
        <v>134</v>
      </c>
      <c r="C265" s="199" t="s">
        <v>135</v>
      </c>
      <c r="D265" s="200" t="s">
        <v>1226</v>
      </c>
      <c r="E265" s="202">
        <v>0.29166666666666669</v>
      </c>
      <c r="F265" s="212"/>
      <c r="G265" s="201">
        <v>0.41666666666666669</v>
      </c>
      <c r="H265" s="215">
        <v>306</v>
      </c>
      <c r="I265" s="216" t="s">
        <v>1495</v>
      </c>
    </row>
    <row r="266" spans="1:9" ht="14.4" x14ac:dyDescent="0.3">
      <c r="A266" s="197"/>
      <c r="B266" s="198"/>
      <c r="C266" s="199"/>
      <c r="D266" s="200"/>
      <c r="E266" s="201"/>
      <c r="F266" s="212"/>
      <c r="G266" s="201"/>
      <c r="H266" s="215"/>
      <c r="I266" s="216"/>
    </row>
    <row r="267" spans="1:9" ht="14.4" x14ac:dyDescent="0.3">
      <c r="A267" s="197"/>
      <c r="B267" s="198"/>
      <c r="C267" s="199"/>
      <c r="D267" s="200"/>
      <c r="E267" s="201"/>
      <c r="F267" s="212"/>
      <c r="G267" s="201"/>
      <c r="H267" s="215"/>
      <c r="I267" s="216"/>
    </row>
    <row r="268" spans="1:9" ht="14.4" x14ac:dyDescent="0.3">
      <c r="A268" s="197"/>
      <c r="B268" s="203"/>
      <c r="C268" s="204"/>
      <c r="D268" s="205"/>
      <c r="E268" s="206"/>
      <c r="F268" s="218"/>
      <c r="G268" s="206"/>
      <c r="H268" s="219"/>
      <c r="I268" s="220"/>
    </row>
    <row r="269" spans="1:9" ht="15" thickBot="1" x14ac:dyDescent="0.35">
      <c r="A269" s="207"/>
      <c r="B269" s="208"/>
      <c r="C269" s="209"/>
      <c r="D269" s="210"/>
      <c r="E269" s="211"/>
      <c r="F269" s="221"/>
      <c r="G269" s="211"/>
      <c r="H269" s="222"/>
      <c r="I269" s="223"/>
    </row>
    <row r="270" spans="1:9" ht="14.4" thickBot="1" x14ac:dyDescent="0.35"/>
    <row r="271" spans="1:9" ht="14.4" thickBot="1" x14ac:dyDescent="0.35">
      <c r="A271" s="226" t="s">
        <v>1204</v>
      </c>
      <c r="B271" s="224" t="s">
        <v>1434</v>
      </c>
      <c r="C271" s="224" t="s">
        <v>1435</v>
      </c>
      <c r="D271" s="224" t="s">
        <v>1207</v>
      </c>
      <c r="E271" s="368" t="s">
        <v>1208</v>
      </c>
      <c r="F271" s="368"/>
      <c r="G271" s="368"/>
      <c r="H271" s="224" t="s">
        <v>1209</v>
      </c>
      <c r="I271" s="225" t="s">
        <v>1436</v>
      </c>
    </row>
    <row r="272" spans="1:9" ht="14.4" x14ac:dyDescent="0.3">
      <c r="A272" s="197" t="s">
        <v>1554</v>
      </c>
      <c r="B272" s="193" t="s">
        <v>137</v>
      </c>
      <c r="C272" s="194" t="s">
        <v>138</v>
      </c>
      <c r="D272" s="195" t="s">
        <v>1280</v>
      </c>
      <c r="E272" s="196" t="s">
        <v>1415</v>
      </c>
      <c r="F272" s="212"/>
      <c r="G272" s="196" t="s">
        <v>1316</v>
      </c>
      <c r="H272" s="213" t="s">
        <v>1514</v>
      </c>
      <c r="I272" s="214" t="s">
        <v>1476</v>
      </c>
    </row>
    <row r="273" spans="1:9" ht="14.4" x14ac:dyDescent="0.3">
      <c r="A273" s="197"/>
      <c r="B273" s="198" t="s">
        <v>183</v>
      </c>
      <c r="C273" s="199" t="s">
        <v>184</v>
      </c>
      <c r="D273" s="200" t="s">
        <v>1446</v>
      </c>
      <c r="E273" s="201">
        <v>0.60416666666666663</v>
      </c>
      <c r="F273" s="212"/>
      <c r="G273" s="201">
        <v>0.66666666666666663</v>
      </c>
      <c r="H273" s="215">
        <v>304</v>
      </c>
      <c r="I273" s="216" t="s">
        <v>1555</v>
      </c>
    </row>
    <row r="274" spans="1:9" ht="14.4" x14ac:dyDescent="0.3">
      <c r="A274" s="197"/>
      <c r="B274" s="198" t="s">
        <v>185</v>
      </c>
      <c r="C274" s="199" t="s">
        <v>186</v>
      </c>
      <c r="D274" s="200" t="s">
        <v>1226</v>
      </c>
      <c r="E274" s="201">
        <v>0.47916666666666669</v>
      </c>
      <c r="F274" s="212"/>
      <c r="G274" s="201">
        <v>0.60416666666666663</v>
      </c>
      <c r="H274" s="215">
        <v>206</v>
      </c>
      <c r="I274" s="216" t="s">
        <v>1556</v>
      </c>
    </row>
    <row r="275" spans="1:9" ht="14.4" x14ac:dyDescent="0.3">
      <c r="A275" s="197"/>
      <c r="B275" s="198" t="s">
        <v>142</v>
      </c>
      <c r="C275" s="199" t="s">
        <v>143</v>
      </c>
      <c r="D275" s="200" t="s">
        <v>1226</v>
      </c>
      <c r="E275" s="201">
        <v>0.375</v>
      </c>
      <c r="F275" s="212"/>
      <c r="G275" s="201">
        <v>0.45833333333333331</v>
      </c>
      <c r="H275" s="215" t="s">
        <v>1221</v>
      </c>
      <c r="I275" s="217" t="s">
        <v>1485</v>
      </c>
    </row>
    <row r="276" spans="1:9" ht="14.4" x14ac:dyDescent="0.3">
      <c r="A276" s="197"/>
      <c r="B276" s="198" t="s">
        <v>139</v>
      </c>
      <c r="C276" s="199" t="s">
        <v>140</v>
      </c>
      <c r="D276" s="200" t="s">
        <v>1226</v>
      </c>
      <c r="E276" s="196">
        <v>0.64583333333333337</v>
      </c>
      <c r="F276" s="212"/>
      <c r="G276" s="196">
        <v>0.77083333333333337</v>
      </c>
      <c r="H276" s="215">
        <v>508</v>
      </c>
      <c r="I276" s="217" t="s">
        <v>1495</v>
      </c>
    </row>
    <row r="277" spans="1:9" ht="14.4" x14ac:dyDescent="0.3">
      <c r="A277" s="197"/>
      <c r="B277" s="198" t="s">
        <v>149</v>
      </c>
      <c r="C277" s="199" t="s">
        <v>150</v>
      </c>
      <c r="D277" s="200" t="s">
        <v>1446</v>
      </c>
      <c r="E277" s="196" t="s">
        <v>1293</v>
      </c>
      <c r="F277" s="212"/>
      <c r="G277" s="196" t="s">
        <v>1316</v>
      </c>
      <c r="H277" s="215">
        <v>407</v>
      </c>
      <c r="I277" s="216" t="s">
        <v>1482</v>
      </c>
    </row>
    <row r="278" spans="1:9" ht="14.4" x14ac:dyDescent="0.3">
      <c r="A278" s="197"/>
      <c r="B278" s="198" t="s">
        <v>187</v>
      </c>
      <c r="C278" s="199" t="s">
        <v>188</v>
      </c>
      <c r="D278" s="200" t="s">
        <v>1443</v>
      </c>
      <c r="E278" s="201" t="s">
        <v>1415</v>
      </c>
      <c r="F278" s="212"/>
      <c r="G278" s="201" t="s">
        <v>1316</v>
      </c>
      <c r="H278" s="215" t="s">
        <v>1557</v>
      </c>
      <c r="I278" s="216" t="s">
        <v>1507</v>
      </c>
    </row>
    <row r="279" spans="1:9" ht="14.4" x14ac:dyDescent="0.3">
      <c r="A279" s="197"/>
      <c r="B279" s="198" t="s">
        <v>144</v>
      </c>
      <c r="C279" s="199" t="s">
        <v>145</v>
      </c>
      <c r="D279" s="200" t="s">
        <v>1446</v>
      </c>
      <c r="E279" s="202">
        <v>0.54166666666666663</v>
      </c>
      <c r="F279" s="212"/>
      <c r="G279" s="201">
        <v>0.60416666666666663</v>
      </c>
      <c r="H279" s="215">
        <v>304</v>
      </c>
      <c r="I279" s="216" t="s">
        <v>1495</v>
      </c>
    </row>
    <row r="280" spans="1:9" ht="14.4" x14ac:dyDescent="0.3">
      <c r="A280" s="197"/>
      <c r="B280" s="198"/>
      <c r="C280" s="199"/>
      <c r="D280" s="200"/>
      <c r="E280" s="201"/>
      <c r="F280" s="212"/>
      <c r="G280" s="201"/>
      <c r="H280" s="215"/>
      <c r="I280" s="216"/>
    </row>
    <row r="281" spans="1:9" ht="14.4" x14ac:dyDescent="0.3">
      <c r="A281" s="197"/>
      <c r="B281" s="198"/>
      <c r="C281" s="199"/>
      <c r="D281" s="200"/>
      <c r="E281" s="201"/>
      <c r="F281" s="212"/>
      <c r="G281" s="201"/>
      <c r="H281" s="215"/>
      <c r="I281" s="216"/>
    </row>
    <row r="282" spans="1:9" ht="14.4" x14ac:dyDescent="0.3">
      <c r="A282" s="197"/>
      <c r="B282" s="203"/>
      <c r="C282" s="204"/>
      <c r="D282" s="205"/>
      <c r="E282" s="206"/>
      <c r="F282" s="218"/>
      <c r="G282" s="206"/>
      <c r="H282" s="219"/>
      <c r="I282" s="220"/>
    </row>
    <row r="283" spans="1:9" ht="15" thickBot="1" x14ac:dyDescent="0.35">
      <c r="A283" s="207"/>
      <c r="B283" s="208"/>
      <c r="C283" s="209"/>
      <c r="D283" s="210"/>
      <c r="E283" s="211"/>
      <c r="F283" s="221"/>
      <c r="G283" s="211"/>
      <c r="H283" s="222"/>
      <c r="I283" s="223"/>
    </row>
    <row r="284" spans="1:9" ht="14.4" thickBot="1" x14ac:dyDescent="0.35"/>
    <row r="285" spans="1:9" ht="14.4" thickBot="1" x14ac:dyDescent="0.35">
      <c r="A285" s="226" t="s">
        <v>1204</v>
      </c>
      <c r="B285" s="224" t="s">
        <v>1434</v>
      </c>
      <c r="C285" s="224" t="s">
        <v>1435</v>
      </c>
      <c r="D285" s="224" t="s">
        <v>1207</v>
      </c>
      <c r="E285" s="368" t="s">
        <v>1208</v>
      </c>
      <c r="F285" s="368"/>
      <c r="G285" s="368"/>
      <c r="H285" s="224" t="s">
        <v>1209</v>
      </c>
      <c r="I285" s="225" t="s">
        <v>1436</v>
      </c>
    </row>
    <row r="286" spans="1:9" ht="14.4" x14ac:dyDescent="0.3">
      <c r="A286" s="197" t="s">
        <v>1558</v>
      </c>
      <c r="B286" s="193" t="s">
        <v>189</v>
      </c>
      <c r="C286" s="194" t="s">
        <v>190</v>
      </c>
      <c r="D286" s="195" t="s">
        <v>1267</v>
      </c>
      <c r="E286" s="196" t="s">
        <v>1316</v>
      </c>
      <c r="F286" s="212"/>
      <c r="G286" s="196" t="s">
        <v>1331</v>
      </c>
      <c r="H286" s="213" t="s">
        <v>1481</v>
      </c>
      <c r="I286" s="214" t="s">
        <v>1502</v>
      </c>
    </row>
    <row r="287" spans="1:9" ht="14.4" x14ac:dyDescent="0.3">
      <c r="A287" s="197"/>
      <c r="B287" s="198" t="s">
        <v>153</v>
      </c>
      <c r="C287" s="199" t="s">
        <v>154</v>
      </c>
      <c r="D287" s="200" t="s">
        <v>1226</v>
      </c>
      <c r="E287" s="201" t="s">
        <v>1317</v>
      </c>
      <c r="F287" s="212"/>
      <c r="G287" s="201" t="s">
        <v>1316</v>
      </c>
      <c r="H287" s="215" t="s">
        <v>1559</v>
      </c>
      <c r="I287" s="216" t="s">
        <v>1502</v>
      </c>
    </row>
    <row r="288" spans="1:9" ht="14.4" x14ac:dyDescent="0.3">
      <c r="A288" s="197"/>
      <c r="B288" s="198" t="s">
        <v>191</v>
      </c>
      <c r="C288" s="199" t="s">
        <v>192</v>
      </c>
      <c r="D288" s="200" t="s">
        <v>1224</v>
      </c>
      <c r="E288" s="201" t="s">
        <v>1294</v>
      </c>
      <c r="F288" s="212"/>
      <c r="G288" s="201" t="s">
        <v>1438</v>
      </c>
      <c r="H288" s="215" t="s">
        <v>1560</v>
      </c>
      <c r="I288" s="216" t="s">
        <v>1496</v>
      </c>
    </row>
    <row r="289" spans="1:9" ht="14.4" x14ac:dyDescent="0.3">
      <c r="A289" s="197"/>
      <c r="B289" s="198" t="s">
        <v>193</v>
      </c>
      <c r="C289" s="199" t="s">
        <v>194</v>
      </c>
      <c r="D289" s="200" t="s">
        <v>1226</v>
      </c>
      <c r="E289" s="201">
        <v>0.625</v>
      </c>
      <c r="F289" s="212"/>
      <c r="G289" s="201">
        <v>0.75</v>
      </c>
      <c r="H289" s="215">
        <v>308</v>
      </c>
      <c r="I289" s="217" t="s">
        <v>1555</v>
      </c>
    </row>
    <row r="290" spans="1:9" ht="14.4" x14ac:dyDescent="0.3">
      <c r="A290" s="197"/>
      <c r="B290" s="198" t="s">
        <v>1561</v>
      </c>
      <c r="C290" s="199" t="s">
        <v>195</v>
      </c>
      <c r="D290" s="200" t="s">
        <v>1443</v>
      </c>
      <c r="E290" s="196" t="s">
        <v>1362</v>
      </c>
      <c r="F290" s="212"/>
      <c r="G290" s="196" t="s">
        <v>1500</v>
      </c>
      <c r="H290" s="215" t="s">
        <v>1557</v>
      </c>
      <c r="I290" s="217" t="s">
        <v>1507</v>
      </c>
    </row>
    <row r="291" spans="1:9" ht="14.4" x14ac:dyDescent="0.3">
      <c r="A291" s="197"/>
      <c r="B291" s="198" t="s">
        <v>196</v>
      </c>
      <c r="C291" s="199" t="s">
        <v>197</v>
      </c>
      <c r="D291" s="200" t="s">
        <v>1446</v>
      </c>
      <c r="E291" s="196" t="s">
        <v>1293</v>
      </c>
      <c r="F291" s="212"/>
      <c r="G291" s="196" t="s">
        <v>1316</v>
      </c>
      <c r="H291" s="215">
        <v>207</v>
      </c>
      <c r="I291" s="216" t="s">
        <v>1502</v>
      </c>
    </row>
    <row r="292" spans="1:9" ht="14.4" x14ac:dyDescent="0.3">
      <c r="A292" s="197"/>
      <c r="B292" s="198" t="s">
        <v>198</v>
      </c>
      <c r="C292" s="199" t="s">
        <v>199</v>
      </c>
      <c r="D292" s="200" t="s">
        <v>1446</v>
      </c>
      <c r="E292" s="201" t="s">
        <v>1391</v>
      </c>
      <c r="F292" s="212"/>
      <c r="G292" s="201" t="s">
        <v>1293</v>
      </c>
      <c r="H292" s="215" t="s">
        <v>1549</v>
      </c>
      <c r="I292" s="216" t="s">
        <v>1502</v>
      </c>
    </row>
    <row r="293" spans="1:9" ht="14.4" x14ac:dyDescent="0.3">
      <c r="A293" s="197"/>
      <c r="B293" s="198" t="s">
        <v>200</v>
      </c>
      <c r="C293" s="199" t="s">
        <v>201</v>
      </c>
      <c r="D293" s="200" t="s">
        <v>1534</v>
      </c>
      <c r="E293" s="202" t="s">
        <v>1316</v>
      </c>
      <c r="F293" s="212"/>
      <c r="G293" s="201" t="s">
        <v>1294</v>
      </c>
      <c r="H293" s="215" t="s">
        <v>1491</v>
      </c>
      <c r="I293" s="216" t="s">
        <v>1502</v>
      </c>
    </row>
    <row r="294" spans="1:9" ht="14.4" x14ac:dyDescent="0.3">
      <c r="A294" s="197"/>
      <c r="B294" s="198"/>
      <c r="C294" s="199"/>
      <c r="D294" s="200"/>
      <c r="E294" s="201"/>
      <c r="F294" s="212"/>
      <c r="G294" s="201"/>
      <c r="H294" s="215"/>
      <c r="I294" s="216"/>
    </row>
    <row r="295" spans="1:9" ht="14.4" x14ac:dyDescent="0.3">
      <c r="A295" s="197"/>
      <c r="B295" s="198"/>
      <c r="C295" s="199"/>
      <c r="D295" s="200"/>
      <c r="E295" s="201"/>
      <c r="F295" s="212"/>
      <c r="G295" s="201"/>
      <c r="H295" s="215"/>
      <c r="I295" s="216"/>
    </row>
    <row r="296" spans="1:9" ht="14.4" x14ac:dyDescent="0.3">
      <c r="A296" s="197"/>
      <c r="B296" s="203"/>
      <c r="C296" s="204"/>
      <c r="D296" s="205"/>
      <c r="E296" s="206"/>
      <c r="F296" s="218"/>
      <c r="G296" s="206"/>
      <c r="H296" s="219"/>
      <c r="I296" s="220"/>
    </row>
    <row r="297" spans="1:9" ht="15" thickBot="1" x14ac:dyDescent="0.35">
      <c r="A297" s="207"/>
      <c r="B297" s="208"/>
      <c r="C297" s="209"/>
      <c r="D297" s="210"/>
      <c r="E297" s="211"/>
      <c r="F297" s="221"/>
      <c r="G297" s="211"/>
      <c r="H297" s="222"/>
      <c r="I297" s="223"/>
    </row>
    <row r="298" spans="1:9" ht="14.4" thickBot="1" x14ac:dyDescent="0.35"/>
    <row r="299" spans="1:9" x14ac:dyDescent="0.3">
      <c r="A299" s="226" t="s">
        <v>1204</v>
      </c>
      <c r="B299" s="224" t="s">
        <v>1434</v>
      </c>
      <c r="C299" s="224" t="s">
        <v>1435</v>
      </c>
      <c r="D299" s="224" t="s">
        <v>1207</v>
      </c>
      <c r="E299" s="368" t="s">
        <v>1208</v>
      </c>
      <c r="F299" s="368"/>
      <c r="G299" s="368"/>
      <c r="H299" s="224" t="s">
        <v>1209</v>
      </c>
      <c r="I299" s="225" t="s">
        <v>1436</v>
      </c>
    </row>
    <row r="300" spans="1:9" ht="14.4" x14ac:dyDescent="0.3">
      <c r="A300" s="197" t="s">
        <v>1562</v>
      </c>
      <c r="B300" s="193" t="s">
        <v>151</v>
      </c>
      <c r="C300" s="194" t="s">
        <v>152</v>
      </c>
      <c r="D300" s="195" t="s">
        <v>1446</v>
      </c>
      <c r="E300" s="196" t="s">
        <v>1294</v>
      </c>
      <c r="F300" s="212"/>
      <c r="G300" s="196" t="s">
        <v>1393</v>
      </c>
      <c r="H300" s="213" t="s">
        <v>1563</v>
      </c>
      <c r="I300" s="214" t="s">
        <v>1483</v>
      </c>
    </row>
    <row r="301" spans="1:9" ht="14.4" x14ac:dyDescent="0.3">
      <c r="A301" s="197"/>
      <c r="B301" s="198" t="s">
        <v>203</v>
      </c>
      <c r="C301" s="199" t="s">
        <v>204</v>
      </c>
      <c r="D301" s="200" t="s">
        <v>1280</v>
      </c>
      <c r="E301" s="201" t="s">
        <v>1362</v>
      </c>
      <c r="F301" s="212"/>
      <c r="G301" s="201" t="s">
        <v>1500</v>
      </c>
      <c r="H301" s="215">
        <v>204</v>
      </c>
      <c r="I301" s="216" t="s">
        <v>1507</v>
      </c>
    </row>
    <row r="302" spans="1:9" ht="14.4" x14ac:dyDescent="0.3">
      <c r="A302" s="197"/>
      <c r="B302" s="198" t="s">
        <v>205</v>
      </c>
      <c r="C302" s="199" t="s">
        <v>206</v>
      </c>
      <c r="D302" s="200" t="s">
        <v>1524</v>
      </c>
      <c r="E302" s="201" t="s">
        <v>1331</v>
      </c>
      <c r="F302" s="212"/>
      <c r="G302" s="201" t="s">
        <v>1438</v>
      </c>
      <c r="H302" s="215" t="s">
        <v>1481</v>
      </c>
      <c r="I302" s="216"/>
    </row>
    <row r="303" spans="1:9" ht="14.4" x14ac:dyDescent="0.3">
      <c r="A303" s="197"/>
      <c r="B303" s="198" t="s">
        <v>167</v>
      </c>
      <c r="C303" s="199" t="s">
        <v>168</v>
      </c>
      <c r="D303" s="200" t="s">
        <v>1224</v>
      </c>
      <c r="E303" s="201">
        <v>0.54166666666666663</v>
      </c>
      <c r="F303" s="212"/>
      <c r="G303" s="201">
        <v>0.58333333333333337</v>
      </c>
      <c r="H303" s="215">
        <v>308</v>
      </c>
      <c r="I303" s="217" t="s">
        <v>1461</v>
      </c>
    </row>
    <row r="304" spans="1:9" ht="14.4" x14ac:dyDescent="0.3">
      <c r="A304" s="197"/>
      <c r="B304" s="198" t="s">
        <v>207</v>
      </c>
      <c r="C304" s="199" t="s">
        <v>208</v>
      </c>
      <c r="D304" s="200"/>
      <c r="E304" s="196"/>
      <c r="F304" s="212"/>
      <c r="G304" s="196"/>
      <c r="H304" s="215"/>
      <c r="I304" s="217"/>
    </row>
    <row r="305" spans="1:9" ht="14.4" x14ac:dyDescent="0.3">
      <c r="A305" s="197"/>
      <c r="B305" s="198" t="s">
        <v>161</v>
      </c>
      <c r="C305" s="199" t="s">
        <v>162</v>
      </c>
      <c r="D305" s="200" t="s">
        <v>1446</v>
      </c>
      <c r="E305" s="196" t="s">
        <v>1316</v>
      </c>
      <c r="F305" s="212"/>
      <c r="G305" s="196" t="s">
        <v>1294</v>
      </c>
      <c r="H305" s="215" t="s">
        <v>1491</v>
      </c>
      <c r="I305" s="216" t="s">
        <v>1496</v>
      </c>
    </row>
    <row r="306" spans="1:9" ht="14.4" x14ac:dyDescent="0.3">
      <c r="A306" s="197"/>
      <c r="B306" s="198" t="s">
        <v>176</v>
      </c>
      <c r="C306" s="199" t="s">
        <v>177</v>
      </c>
      <c r="D306" s="200" t="s">
        <v>1285</v>
      </c>
      <c r="E306" s="201" t="s">
        <v>1362</v>
      </c>
      <c r="F306" s="212"/>
      <c r="G306" s="201" t="s">
        <v>1351</v>
      </c>
      <c r="H306" s="215" t="s">
        <v>1563</v>
      </c>
      <c r="I306" s="216" t="s">
        <v>1496</v>
      </c>
    </row>
    <row r="307" spans="1:9" ht="14.4" x14ac:dyDescent="0.3">
      <c r="A307" s="197"/>
      <c r="B307" s="198" t="s">
        <v>209</v>
      </c>
      <c r="C307" s="199" t="s">
        <v>210</v>
      </c>
      <c r="D307" s="200" t="s">
        <v>1285</v>
      </c>
      <c r="E307" s="202" t="s">
        <v>1311</v>
      </c>
      <c r="F307" s="212"/>
      <c r="G307" s="201" t="s">
        <v>1316</v>
      </c>
      <c r="H307" s="215">
        <v>201</v>
      </c>
      <c r="I307" s="216" t="s">
        <v>1502</v>
      </c>
    </row>
    <row r="308" spans="1:9" ht="14.4" x14ac:dyDescent="0.3">
      <c r="A308" s="197"/>
      <c r="B308" s="198"/>
      <c r="C308" s="199"/>
      <c r="D308" s="200"/>
      <c r="E308" s="201"/>
      <c r="F308" s="212"/>
      <c r="G308" s="201"/>
      <c r="H308" s="215"/>
      <c r="I308" s="216"/>
    </row>
    <row r="309" spans="1:9" ht="14.4" x14ac:dyDescent="0.3">
      <c r="A309" s="197"/>
      <c r="B309" s="198"/>
      <c r="C309" s="199"/>
      <c r="D309" s="200"/>
      <c r="E309" s="201"/>
      <c r="F309" s="212"/>
      <c r="G309" s="201"/>
      <c r="H309" s="215"/>
      <c r="I309" s="216"/>
    </row>
    <row r="310" spans="1:9" ht="14.4" x14ac:dyDescent="0.3">
      <c r="A310" s="197"/>
      <c r="B310" s="203"/>
      <c r="C310" s="204"/>
      <c r="D310" s="205"/>
      <c r="E310" s="206"/>
      <c r="F310" s="218"/>
      <c r="G310" s="206"/>
      <c r="H310" s="219"/>
      <c r="I310" s="220"/>
    </row>
    <row r="311" spans="1:9" ht="14.4" x14ac:dyDescent="0.3">
      <c r="A311" s="207"/>
      <c r="B311" s="208"/>
      <c r="C311" s="209"/>
      <c r="D311" s="210"/>
      <c r="E311" s="211"/>
      <c r="F311" s="221"/>
      <c r="G311" s="211"/>
      <c r="H311" s="222"/>
      <c r="I311" s="223"/>
    </row>
    <row r="312" spans="1:9" ht="14.4" thickBot="1" x14ac:dyDescent="0.35"/>
    <row r="313" spans="1:9" ht="14.4" thickBot="1" x14ac:dyDescent="0.35">
      <c r="A313" s="226" t="s">
        <v>1204</v>
      </c>
      <c r="B313" s="224" t="s">
        <v>1434</v>
      </c>
      <c r="C313" s="224" t="s">
        <v>1435</v>
      </c>
      <c r="D313" s="224" t="s">
        <v>1207</v>
      </c>
      <c r="E313" s="368" t="s">
        <v>1208</v>
      </c>
      <c r="F313" s="368"/>
      <c r="G313" s="368"/>
      <c r="H313" s="224" t="s">
        <v>1209</v>
      </c>
      <c r="I313" s="225" t="s">
        <v>1436</v>
      </c>
    </row>
    <row r="314" spans="1:9" ht="14.4" x14ac:dyDescent="0.3">
      <c r="A314" s="197" t="s">
        <v>1564</v>
      </c>
      <c r="B314" s="193" t="s">
        <v>213</v>
      </c>
      <c r="C314" s="194" t="s">
        <v>214</v>
      </c>
      <c r="D314" s="195" t="s">
        <v>1540</v>
      </c>
      <c r="E314" s="196" t="s">
        <v>1311</v>
      </c>
      <c r="F314" s="212"/>
      <c r="G314" s="196" t="s">
        <v>1316</v>
      </c>
      <c r="H314" s="213" t="s">
        <v>1565</v>
      </c>
      <c r="I314" s="214" t="s">
        <v>1480</v>
      </c>
    </row>
    <row r="315" spans="1:9" ht="14.4" x14ac:dyDescent="0.3">
      <c r="A315" s="197"/>
      <c r="B315" s="198" t="s">
        <v>121</v>
      </c>
      <c r="C315" s="199" t="s">
        <v>215</v>
      </c>
      <c r="D315" s="200" t="s">
        <v>1247</v>
      </c>
      <c r="E315" s="201">
        <v>0.35416666666666669</v>
      </c>
      <c r="F315" s="212"/>
      <c r="G315" s="201">
        <v>0.41666666666666669</v>
      </c>
      <c r="H315" s="215">
        <v>205</v>
      </c>
      <c r="I315" s="216" t="s">
        <v>1461</v>
      </c>
    </row>
    <row r="316" spans="1:9" ht="14.4" x14ac:dyDescent="0.3">
      <c r="A316" s="197"/>
      <c r="B316" s="198" t="s">
        <v>123</v>
      </c>
      <c r="C316" s="199" t="s">
        <v>216</v>
      </c>
      <c r="D316" s="200" t="s">
        <v>1226</v>
      </c>
      <c r="E316" s="201">
        <v>0.54166666666666663</v>
      </c>
      <c r="F316" s="212"/>
      <c r="G316" s="201">
        <v>0.58333333333333337</v>
      </c>
      <c r="H316" s="215">
        <v>307</v>
      </c>
      <c r="I316" s="216"/>
    </row>
    <row r="317" spans="1:9" ht="14.4" x14ac:dyDescent="0.3">
      <c r="A317" s="197"/>
      <c r="B317" s="198" t="s">
        <v>217</v>
      </c>
      <c r="C317" s="199" t="s">
        <v>218</v>
      </c>
      <c r="D317" s="200" t="s">
        <v>1446</v>
      </c>
      <c r="E317" s="201">
        <v>0.54166666666666663</v>
      </c>
      <c r="F317" s="212"/>
      <c r="G317" s="201">
        <v>0.60416666666666663</v>
      </c>
      <c r="H317" s="215">
        <v>301</v>
      </c>
      <c r="I317" s="217" t="s">
        <v>1555</v>
      </c>
    </row>
    <row r="318" spans="1:9" ht="14.4" x14ac:dyDescent="0.3">
      <c r="A318" s="197"/>
      <c r="B318" s="198" t="s">
        <v>128</v>
      </c>
      <c r="C318" s="199" t="s">
        <v>129</v>
      </c>
      <c r="D318" s="200" t="s">
        <v>1247</v>
      </c>
      <c r="E318" s="196">
        <v>0.29166666666666669</v>
      </c>
      <c r="F318" s="212"/>
      <c r="G318" s="196">
        <v>0.35416666666666669</v>
      </c>
      <c r="H318" s="215">
        <v>507</v>
      </c>
      <c r="I318" s="217" t="s">
        <v>1473</v>
      </c>
    </row>
    <row r="319" spans="1:9" ht="14.4" x14ac:dyDescent="0.3">
      <c r="A319" s="197"/>
      <c r="B319" s="198" t="s">
        <v>130</v>
      </c>
      <c r="C319" s="199" t="s">
        <v>131</v>
      </c>
      <c r="D319" s="200" t="s">
        <v>1267</v>
      </c>
      <c r="E319" s="196">
        <v>0.39583333333333331</v>
      </c>
      <c r="F319" s="212"/>
      <c r="G319" s="196">
        <v>0.47916666666666669</v>
      </c>
      <c r="H319" s="215" t="s">
        <v>1221</v>
      </c>
      <c r="I319" s="216" t="s">
        <v>1449</v>
      </c>
    </row>
    <row r="320" spans="1:9" ht="14.4" x14ac:dyDescent="0.3">
      <c r="A320" s="197"/>
      <c r="B320" s="198" t="s">
        <v>134</v>
      </c>
      <c r="C320" s="199" t="s">
        <v>135</v>
      </c>
      <c r="D320" s="200" t="s">
        <v>1247</v>
      </c>
      <c r="E320" s="201">
        <v>0.54166666666666663</v>
      </c>
      <c r="F320" s="212"/>
      <c r="G320" s="201">
        <v>0.60416666666666663</v>
      </c>
      <c r="H320" s="215">
        <v>407</v>
      </c>
      <c r="I320" s="216" t="s">
        <v>1455</v>
      </c>
    </row>
    <row r="321" spans="1:9" ht="14.4" x14ac:dyDescent="0.3">
      <c r="A321" s="197"/>
      <c r="B321" s="198" t="s">
        <v>219</v>
      </c>
      <c r="C321" s="199" t="s">
        <v>220</v>
      </c>
      <c r="D321" s="200" t="s">
        <v>1446</v>
      </c>
      <c r="E321" s="202">
        <v>0.29166666666666669</v>
      </c>
      <c r="F321" s="212"/>
      <c r="G321" s="201">
        <v>0.35416666666666669</v>
      </c>
      <c r="H321" s="215">
        <v>505</v>
      </c>
      <c r="I321" s="216" t="s">
        <v>1566</v>
      </c>
    </row>
    <row r="322" spans="1:9" ht="14.4" x14ac:dyDescent="0.3">
      <c r="A322" s="197"/>
      <c r="B322" s="198" t="s">
        <v>222</v>
      </c>
      <c r="C322" s="199" t="s">
        <v>1567</v>
      </c>
      <c r="D322" s="200" t="s">
        <v>1247</v>
      </c>
      <c r="E322" s="201">
        <v>0.47916666666666669</v>
      </c>
      <c r="F322" s="212"/>
      <c r="G322" s="201">
        <v>0.54166666666666663</v>
      </c>
      <c r="H322" s="215">
        <v>308</v>
      </c>
      <c r="I322" s="216" t="s">
        <v>1568</v>
      </c>
    </row>
    <row r="323" spans="1:9" ht="14.4" x14ac:dyDescent="0.3">
      <c r="A323" s="197"/>
      <c r="B323" s="198" t="s">
        <v>222</v>
      </c>
      <c r="C323" s="199" t="s">
        <v>1569</v>
      </c>
      <c r="D323" s="200" t="s">
        <v>1247</v>
      </c>
      <c r="E323" s="201">
        <v>0.60416666666666663</v>
      </c>
      <c r="F323" s="212"/>
      <c r="G323" s="201">
        <v>0.72916666666666663</v>
      </c>
      <c r="H323" s="215">
        <v>408</v>
      </c>
      <c r="I323" s="216" t="s">
        <v>1568</v>
      </c>
    </row>
    <row r="324" spans="1:9" ht="14.4" x14ac:dyDescent="0.3">
      <c r="A324" s="197"/>
      <c r="B324" s="203" t="s">
        <v>224</v>
      </c>
      <c r="C324" s="204" t="s">
        <v>225</v>
      </c>
      <c r="D324" s="205"/>
      <c r="E324" s="206"/>
      <c r="F324" s="218"/>
      <c r="G324" s="206"/>
      <c r="H324" s="219"/>
      <c r="I324" s="220"/>
    </row>
    <row r="325" spans="1:9" ht="14.4" x14ac:dyDescent="0.3">
      <c r="A325" s="207"/>
      <c r="B325" s="208"/>
      <c r="C325" s="209"/>
      <c r="D325" s="210"/>
      <c r="E325" s="211"/>
      <c r="F325" s="221"/>
      <c r="G325" s="211"/>
      <c r="H325" s="222"/>
      <c r="I325" s="223"/>
    </row>
    <row r="326" spans="1:9" ht="14.4" thickBot="1" x14ac:dyDescent="0.35"/>
    <row r="327" spans="1:9" ht="14.4" thickBot="1" x14ac:dyDescent="0.35">
      <c r="A327" s="226" t="s">
        <v>1204</v>
      </c>
      <c r="B327" s="224" t="s">
        <v>1434</v>
      </c>
      <c r="C327" s="224" t="s">
        <v>1435</v>
      </c>
      <c r="D327" s="224" t="s">
        <v>1207</v>
      </c>
      <c r="E327" s="368" t="s">
        <v>1208</v>
      </c>
      <c r="F327" s="368"/>
      <c r="G327" s="368"/>
      <c r="H327" s="224" t="s">
        <v>1209</v>
      </c>
      <c r="I327" s="225" t="s">
        <v>1436</v>
      </c>
    </row>
    <row r="328" spans="1:9" ht="14.4" x14ac:dyDescent="0.3">
      <c r="A328" s="197" t="s">
        <v>1570</v>
      </c>
      <c r="B328" s="193" t="s">
        <v>226</v>
      </c>
      <c r="C328" s="194" t="s">
        <v>227</v>
      </c>
      <c r="D328" s="195" t="s">
        <v>1226</v>
      </c>
      <c r="E328" s="196" t="s">
        <v>1317</v>
      </c>
      <c r="F328" s="212"/>
      <c r="G328" s="196" t="s">
        <v>1361</v>
      </c>
      <c r="H328" s="213" t="s">
        <v>1571</v>
      </c>
      <c r="I328" s="214" t="s">
        <v>1572</v>
      </c>
    </row>
    <row r="329" spans="1:9" ht="14.4" x14ac:dyDescent="0.3">
      <c r="A329" s="197"/>
      <c r="B329" s="198" t="s">
        <v>228</v>
      </c>
      <c r="C329" s="199" t="s">
        <v>229</v>
      </c>
      <c r="D329" s="200" t="s">
        <v>1247</v>
      </c>
      <c r="E329" s="201" t="s">
        <v>1294</v>
      </c>
      <c r="F329" s="212"/>
      <c r="G329" s="201" t="s">
        <v>1331</v>
      </c>
      <c r="H329" s="215" t="s">
        <v>1573</v>
      </c>
      <c r="I329" s="216" t="s">
        <v>1483</v>
      </c>
    </row>
    <row r="330" spans="1:9" ht="14.4" x14ac:dyDescent="0.3">
      <c r="A330" s="197"/>
      <c r="B330" s="198" t="s">
        <v>230</v>
      </c>
      <c r="C330" s="199" t="s">
        <v>138</v>
      </c>
      <c r="D330" s="200" t="s">
        <v>1470</v>
      </c>
      <c r="E330" s="201" t="s">
        <v>1311</v>
      </c>
      <c r="F330" s="212"/>
      <c r="G330" s="201" t="s">
        <v>1316</v>
      </c>
      <c r="H330" s="215" t="s">
        <v>1565</v>
      </c>
      <c r="I330" s="216" t="s">
        <v>1476</v>
      </c>
    </row>
    <row r="331" spans="1:9" ht="14.4" x14ac:dyDescent="0.3">
      <c r="A331" s="197"/>
      <c r="B331" s="198" t="s">
        <v>231</v>
      </c>
      <c r="C331" s="199" t="s">
        <v>232</v>
      </c>
      <c r="D331" s="200" t="s">
        <v>1267</v>
      </c>
      <c r="E331" s="201" t="s">
        <v>1317</v>
      </c>
      <c r="F331" s="212"/>
      <c r="G331" s="201" t="s">
        <v>1311</v>
      </c>
      <c r="H331" s="215" t="s">
        <v>1481</v>
      </c>
      <c r="I331" s="217" t="s">
        <v>1483</v>
      </c>
    </row>
    <row r="332" spans="1:9" ht="14.4" x14ac:dyDescent="0.3">
      <c r="A332" s="197"/>
      <c r="B332" s="198" t="s">
        <v>185</v>
      </c>
      <c r="C332" s="199" t="s">
        <v>186</v>
      </c>
      <c r="D332" s="200" t="s">
        <v>1247</v>
      </c>
      <c r="E332" s="196">
        <v>0.29166666666666669</v>
      </c>
      <c r="F332" s="212"/>
      <c r="G332" s="196">
        <v>0.35416666666666669</v>
      </c>
      <c r="H332" s="215">
        <v>508</v>
      </c>
      <c r="I332" s="217" t="s">
        <v>1556</v>
      </c>
    </row>
    <row r="333" spans="1:9" ht="14.4" x14ac:dyDescent="0.3">
      <c r="A333" s="197"/>
      <c r="B333" s="198" t="s">
        <v>144</v>
      </c>
      <c r="C333" s="199" t="s">
        <v>145</v>
      </c>
      <c r="D333" s="200" t="s">
        <v>1443</v>
      </c>
      <c r="E333" s="196">
        <v>0.58333333333333337</v>
      </c>
      <c r="F333" s="212"/>
      <c r="G333" s="196">
        <v>0.70833333333333337</v>
      </c>
      <c r="H333" s="215">
        <v>308</v>
      </c>
      <c r="I333" s="216" t="s">
        <v>1450</v>
      </c>
    </row>
    <row r="334" spans="1:9" ht="14.4" x14ac:dyDescent="0.3">
      <c r="A334" s="197"/>
      <c r="B334" s="198" t="s">
        <v>142</v>
      </c>
      <c r="C334" s="199" t="s">
        <v>143</v>
      </c>
      <c r="D334" s="200" t="s">
        <v>1226</v>
      </c>
      <c r="E334" s="201">
        <v>0.47916666666666669</v>
      </c>
      <c r="F334" s="212"/>
      <c r="G334" s="201">
        <v>0.5625</v>
      </c>
      <c r="H334" s="215" t="s">
        <v>1221</v>
      </c>
      <c r="I334" s="216" t="s">
        <v>1485</v>
      </c>
    </row>
    <row r="335" spans="1:9" ht="14.4" x14ac:dyDescent="0.3">
      <c r="A335" s="197"/>
      <c r="B335" s="198" t="s">
        <v>233</v>
      </c>
      <c r="C335" s="199" t="s">
        <v>234</v>
      </c>
      <c r="D335" s="200" t="s">
        <v>1247</v>
      </c>
      <c r="E335" s="202">
        <v>0.5</v>
      </c>
      <c r="F335" s="212"/>
      <c r="G335" s="201">
        <v>0.5625</v>
      </c>
      <c r="H335" s="215">
        <v>201</v>
      </c>
      <c r="I335" s="216" t="s">
        <v>1574</v>
      </c>
    </row>
    <row r="336" spans="1:9" ht="14.4" x14ac:dyDescent="0.3">
      <c r="A336" s="197"/>
      <c r="B336" s="198" t="s">
        <v>139</v>
      </c>
      <c r="C336" s="199" t="s">
        <v>140</v>
      </c>
      <c r="D336" s="200" t="s">
        <v>1247</v>
      </c>
      <c r="E336" s="201">
        <v>0.41666666666666669</v>
      </c>
      <c r="F336" s="212"/>
      <c r="G336" s="201">
        <v>0.47916666666666669</v>
      </c>
      <c r="H336" s="215">
        <v>205</v>
      </c>
      <c r="I336" s="216" t="s">
        <v>1456</v>
      </c>
    </row>
    <row r="337" spans="1:9" ht="14.4" x14ac:dyDescent="0.3">
      <c r="A337" s="197"/>
      <c r="B337" s="198"/>
      <c r="C337" s="199"/>
      <c r="D337" s="200"/>
      <c r="E337" s="201"/>
      <c r="F337" s="212"/>
      <c r="G337" s="201"/>
      <c r="H337" s="215"/>
      <c r="I337" s="216"/>
    </row>
    <row r="338" spans="1:9" ht="14.4" x14ac:dyDescent="0.3">
      <c r="A338" s="197"/>
      <c r="B338" s="203"/>
      <c r="C338" s="204"/>
      <c r="D338" s="205"/>
      <c r="E338" s="206"/>
      <c r="F338" s="218"/>
      <c r="G338" s="206"/>
      <c r="H338" s="219"/>
      <c r="I338" s="220"/>
    </row>
    <row r="339" spans="1:9" ht="14.4" x14ac:dyDescent="0.3">
      <c r="A339" s="207"/>
      <c r="B339" s="208"/>
      <c r="C339" s="209"/>
      <c r="D339" s="210"/>
      <c r="E339" s="211"/>
      <c r="F339" s="221"/>
      <c r="G339" s="211"/>
      <c r="H339" s="222"/>
      <c r="I339" s="223"/>
    </row>
    <row r="340" spans="1:9" ht="14.4" thickBot="1" x14ac:dyDescent="0.35"/>
    <row r="341" spans="1:9" ht="14.4" thickBot="1" x14ac:dyDescent="0.35">
      <c r="A341" s="226" t="s">
        <v>1204</v>
      </c>
      <c r="B341" s="224" t="s">
        <v>1434</v>
      </c>
      <c r="C341" s="224" t="s">
        <v>1435</v>
      </c>
      <c r="D341" s="224" t="s">
        <v>1207</v>
      </c>
      <c r="E341" s="368" t="s">
        <v>1208</v>
      </c>
      <c r="F341" s="368"/>
      <c r="G341" s="368"/>
      <c r="H341" s="224" t="s">
        <v>1209</v>
      </c>
      <c r="I341" s="225" t="s">
        <v>1436</v>
      </c>
    </row>
    <row r="342" spans="1:9" ht="14.4" x14ac:dyDescent="0.3">
      <c r="A342" s="197" t="s">
        <v>1575</v>
      </c>
      <c r="B342" s="193" t="s">
        <v>235</v>
      </c>
      <c r="C342" s="194" t="s">
        <v>236</v>
      </c>
      <c r="D342" s="195" t="s">
        <v>1443</v>
      </c>
      <c r="E342" s="196" t="s">
        <v>1311</v>
      </c>
      <c r="F342" s="212"/>
      <c r="G342" s="196" t="s">
        <v>1316</v>
      </c>
      <c r="H342" s="213" t="s">
        <v>1576</v>
      </c>
      <c r="I342" s="214" t="s">
        <v>1572</v>
      </c>
    </row>
    <row r="343" spans="1:9" ht="14.4" x14ac:dyDescent="0.3">
      <c r="A343" s="197"/>
      <c r="B343" s="198"/>
      <c r="C343" s="199" t="s">
        <v>237</v>
      </c>
      <c r="D343" s="200" t="s">
        <v>1280</v>
      </c>
      <c r="E343" s="201" t="s">
        <v>1358</v>
      </c>
      <c r="F343" s="212"/>
      <c r="G343" s="201" t="s">
        <v>1331</v>
      </c>
      <c r="H343" s="215" t="s">
        <v>1577</v>
      </c>
      <c r="I343" s="216" t="s">
        <v>1482</v>
      </c>
    </row>
    <row r="344" spans="1:9" ht="14.4" x14ac:dyDescent="0.3">
      <c r="A344" s="197"/>
      <c r="B344" s="198" t="s">
        <v>238</v>
      </c>
      <c r="C344" s="199" t="s">
        <v>239</v>
      </c>
      <c r="D344" s="200" t="s">
        <v>1446</v>
      </c>
      <c r="E344" s="201" t="s">
        <v>1293</v>
      </c>
      <c r="F344" s="212"/>
      <c r="G344" s="201" t="s">
        <v>1316</v>
      </c>
      <c r="H344" s="215" t="s">
        <v>1576</v>
      </c>
      <c r="I344" s="216" t="s">
        <v>1483</v>
      </c>
    </row>
    <row r="345" spans="1:9" ht="14.4" x14ac:dyDescent="0.3">
      <c r="A345" s="197"/>
      <c r="B345" s="198" t="s">
        <v>240</v>
      </c>
      <c r="C345" s="199" t="s">
        <v>160</v>
      </c>
      <c r="D345" s="200" t="s">
        <v>1486</v>
      </c>
      <c r="E345" s="201" t="s">
        <v>1331</v>
      </c>
      <c r="F345" s="212"/>
      <c r="G345" s="201" t="s">
        <v>1351</v>
      </c>
      <c r="H345" s="215" t="s">
        <v>1578</v>
      </c>
      <c r="I345" s="217" t="s">
        <v>1453</v>
      </c>
    </row>
    <row r="346" spans="1:9" ht="14.4" x14ac:dyDescent="0.3">
      <c r="A346" s="197"/>
      <c r="B346" s="198" t="s">
        <v>241</v>
      </c>
      <c r="C346" s="199" t="s">
        <v>242</v>
      </c>
      <c r="D346" s="200" t="s">
        <v>1224</v>
      </c>
      <c r="E346" s="196" t="s">
        <v>1316</v>
      </c>
      <c r="F346" s="212"/>
      <c r="G346" s="196" t="s">
        <v>1362</v>
      </c>
      <c r="H346" s="215">
        <v>512</v>
      </c>
      <c r="I346" s="217" t="s">
        <v>1483</v>
      </c>
    </row>
    <row r="347" spans="1:9" ht="14.4" x14ac:dyDescent="0.3">
      <c r="A347" s="197"/>
      <c r="B347" s="198" t="s">
        <v>243</v>
      </c>
      <c r="C347" s="199" t="s">
        <v>244</v>
      </c>
      <c r="D347" s="200" t="s">
        <v>1224</v>
      </c>
      <c r="E347" s="196" t="s">
        <v>1311</v>
      </c>
      <c r="F347" s="212"/>
      <c r="G347" s="196" t="s">
        <v>1358</v>
      </c>
      <c r="H347" s="215">
        <v>512</v>
      </c>
      <c r="I347" s="216" t="s">
        <v>1483</v>
      </c>
    </row>
    <row r="348" spans="1:9" ht="14.4" x14ac:dyDescent="0.3">
      <c r="A348" s="197"/>
      <c r="B348" s="198" t="s">
        <v>245</v>
      </c>
      <c r="C348" s="199" t="s">
        <v>246</v>
      </c>
      <c r="D348" s="200" t="s">
        <v>1226</v>
      </c>
      <c r="E348" s="201" t="s">
        <v>1316</v>
      </c>
      <c r="F348" s="212"/>
      <c r="G348" s="201" t="s">
        <v>1331</v>
      </c>
      <c r="H348" s="215">
        <v>512</v>
      </c>
      <c r="I348" s="216" t="s">
        <v>1572</v>
      </c>
    </row>
    <row r="349" spans="1:9" ht="14.4" x14ac:dyDescent="0.3">
      <c r="A349" s="197"/>
      <c r="B349" s="198" t="s">
        <v>247</v>
      </c>
      <c r="C349" s="199" t="s">
        <v>248</v>
      </c>
      <c r="D349" s="200" t="s">
        <v>1443</v>
      </c>
      <c r="E349" s="202" t="s">
        <v>1311</v>
      </c>
      <c r="F349" s="212"/>
      <c r="G349" s="201" t="s">
        <v>1316</v>
      </c>
      <c r="H349" s="215" t="s">
        <v>1576</v>
      </c>
      <c r="I349" s="216" t="s">
        <v>1572</v>
      </c>
    </row>
    <row r="350" spans="1:9" ht="14.4" x14ac:dyDescent="0.3">
      <c r="A350" s="197"/>
      <c r="B350" s="198" t="s">
        <v>249</v>
      </c>
      <c r="C350" s="199" t="s">
        <v>201</v>
      </c>
      <c r="D350" s="200" t="s">
        <v>1226</v>
      </c>
      <c r="E350" s="201" t="s">
        <v>1311</v>
      </c>
      <c r="F350" s="212"/>
      <c r="G350" s="201" t="s">
        <v>1361</v>
      </c>
      <c r="H350" s="215"/>
      <c r="I350" s="216" t="s">
        <v>1579</v>
      </c>
    </row>
    <row r="351" spans="1:9" ht="14.4" x14ac:dyDescent="0.3">
      <c r="A351" s="197"/>
      <c r="B351" s="198"/>
      <c r="C351" s="199"/>
      <c r="D351" s="200"/>
      <c r="E351" s="201"/>
      <c r="F351" s="212"/>
      <c r="G351" s="201"/>
      <c r="H351" s="215"/>
      <c r="I351" s="216"/>
    </row>
    <row r="352" spans="1:9" ht="14.4" x14ac:dyDescent="0.3">
      <c r="A352" s="197"/>
      <c r="B352" s="203"/>
      <c r="C352" s="204"/>
      <c r="D352" s="205"/>
      <c r="E352" s="206"/>
      <c r="F352" s="218"/>
      <c r="G352" s="206"/>
      <c r="H352" s="219"/>
      <c r="I352" s="220"/>
    </row>
    <row r="353" spans="1:9" ht="14.4" x14ac:dyDescent="0.3">
      <c r="A353" s="207"/>
      <c r="B353" s="208"/>
      <c r="C353" s="209"/>
      <c r="D353" s="210"/>
      <c r="E353" s="211"/>
      <c r="F353" s="221"/>
      <c r="G353" s="211"/>
      <c r="H353" s="222"/>
      <c r="I353" s="223"/>
    </row>
    <row r="354" spans="1:9" ht="14.4" thickBot="1" x14ac:dyDescent="0.35"/>
    <row r="355" spans="1:9" ht="14.4" thickBot="1" x14ac:dyDescent="0.35">
      <c r="A355" s="226" t="s">
        <v>1204</v>
      </c>
      <c r="B355" s="224" t="s">
        <v>1434</v>
      </c>
      <c r="C355" s="224" t="s">
        <v>1435</v>
      </c>
      <c r="D355" s="224" t="s">
        <v>1207</v>
      </c>
      <c r="E355" s="368" t="s">
        <v>1208</v>
      </c>
      <c r="F355" s="368"/>
      <c r="G355" s="368"/>
      <c r="H355" s="224" t="s">
        <v>1209</v>
      </c>
      <c r="I355" s="225" t="s">
        <v>1436</v>
      </c>
    </row>
    <row r="356" spans="1:9" ht="14.4" x14ac:dyDescent="0.3">
      <c r="A356" s="197" t="s">
        <v>1580</v>
      </c>
      <c r="B356" s="193" t="s">
        <v>251</v>
      </c>
      <c r="C356" s="194" t="s">
        <v>252</v>
      </c>
      <c r="D356" s="195" t="s">
        <v>1267</v>
      </c>
      <c r="E356" s="196" t="s">
        <v>1362</v>
      </c>
      <c r="F356" s="212"/>
      <c r="G356" s="196" t="s">
        <v>1500</v>
      </c>
      <c r="H356" s="213" t="s">
        <v>1581</v>
      </c>
      <c r="I356" s="214" t="s">
        <v>1482</v>
      </c>
    </row>
    <row r="357" spans="1:9" ht="14.4" x14ac:dyDescent="0.3">
      <c r="A357" s="197"/>
      <c r="B357" s="198" t="s">
        <v>253</v>
      </c>
      <c r="C357" s="199" t="s">
        <v>254</v>
      </c>
      <c r="D357" s="200" t="s">
        <v>1224</v>
      </c>
      <c r="E357" s="201" t="s">
        <v>1362</v>
      </c>
      <c r="F357" s="212"/>
      <c r="G357" s="201" t="s">
        <v>1500</v>
      </c>
      <c r="H357" s="215" t="s">
        <v>1581</v>
      </c>
      <c r="I357" s="216" t="s">
        <v>1482</v>
      </c>
    </row>
    <row r="358" spans="1:9" ht="14.4" x14ac:dyDescent="0.3">
      <c r="A358" s="197"/>
      <c r="B358" s="198" t="s">
        <v>255</v>
      </c>
      <c r="C358" s="199" t="s">
        <v>256</v>
      </c>
      <c r="D358" s="200"/>
      <c r="E358" s="201"/>
      <c r="F358" s="212"/>
      <c r="G358" s="201"/>
      <c r="H358" s="215"/>
      <c r="I358" s="216" t="s">
        <v>1482</v>
      </c>
    </row>
    <row r="359" spans="1:9" ht="14.4" x14ac:dyDescent="0.3">
      <c r="A359" s="197"/>
      <c r="B359" s="198" t="s">
        <v>257</v>
      </c>
      <c r="C359" s="199" t="s">
        <v>258</v>
      </c>
      <c r="D359" s="200" t="s">
        <v>1226</v>
      </c>
      <c r="E359" s="201" t="s">
        <v>1418</v>
      </c>
      <c r="F359" s="212"/>
      <c r="G359" s="201" t="s">
        <v>1582</v>
      </c>
      <c r="H359" s="215" t="s">
        <v>1491</v>
      </c>
      <c r="I359" s="217" t="s">
        <v>1482</v>
      </c>
    </row>
    <row r="360" spans="1:9" ht="14.4" x14ac:dyDescent="0.3">
      <c r="A360" s="197"/>
      <c r="B360" s="198" t="s">
        <v>259</v>
      </c>
      <c r="C360" s="199" t="s">
        <v>260</v>
      </c>
      <c r="D360" s="200" t="s">
        <v>1540</v>
      </c>
      <c r="E360" s="196" t="s">
        <v>1317</v>
      </c>
      <c r="F360" s="212"/>
      <c r="G360" s="196" t="s">
        <v>1311</v>
      </c>
      <c r="H360" s="215" t="s">
        <v>1583</v>
      </c>
      <c r="I360" s="217" t="s">
        <v>1483</v>
      </c>
    </row>
    <row r="361" spans="1:9" ht="14.4" x14ac:dyDescent="0.3">
      <c r="A361" s="197"/>
      <c r="B361" s="198" t="s">
        <v>167</v>
      </c>
      <c r="C361" s="199" t="s">
        <v>168</v>
      </c>
      <c r="D361" s="200" t="s">
        <v>1267</v>
      </c>
      <c r="E361" s="196">
        <v>0.5</v>
      </c>
      <c r="F361" s="212"/>
      <c r="G361" s="196">
        <v>0.54166666666666663</v>
      </c>
      <c r="H361" s="215">
        <v>201</v>
      </c>
      <c r="I361" s="216"/>
    </row>
    <row r="362" spans="1:9" ht="14.4" x14ac:dyDescent="0.3">
      <c r="A362" s="197"/>
      <c r="B362" s="198" t="s">
        <v>261</v>
      </c>
      <c r="C362" s="199" t="s">
        <v>262</v>
      </c>
      <c r="D362" s="200" t="s">
        <v>1533</v>
      </c>
      <c r="E362" s="201" t="s">
        <v>1311</v>
      </c>
      <c r="F362" s="212"/>
      <c r="G362" s="201" t="s">
        <v>1316</v>
      </c>
      <c r="H362" s="215" t="s">
        <v>1481</v>
      </c>
      <c r="I362" s="216" t="s">
        <v>1502</v>
      </c>
    </row>
    <row r="363" spans="1:9" ht="14.4" x14ac:dyDescent="0.3">
      <c r="A363" s="197"/>
      <c r="B363" s="198" t="s">
        <v>263</v>
      </c>
      <c r="C363" s="199" t="s">
        <v>264</v>
      </c>
      <c r="D363" s="200" t="s">
        <v>1285</v>
      </c>
      <c r="E363" s="202" t="s">
        <v>1331</v>
      </c>
      <c r="F363" s="212"/>
      <c r="G363" s="201" t="s">
        <v>1500</v>
      </c>
      <c r="H363" s="215" t="s">
        <v>1481</v>
      </c>
      <c r="I363" s="216" t="s">
        <v>1483</v>
      </c>
    </row>
    <row r="364" spans="1:9" ht="14.4" x14ac:dyDescent="0.3">
      <c r="A364" s="197"/>
      <c r="B364" s="198"/>
      <c r="C364" s="199"/>
      <c r="D364" s="200"/>
      <c r="E364" s="201"/>
      <c r="F364" s="212"/>
      <c r="G364" s="201"/>
      <c r="H364" s="215"/>
      <c r="I364" s="216"/>
    </row>
    <row r="365" spans="1:9" ht="14.4" x14ac:dyDescent="0.3">
      <c r="A365" s="197"/>
      <c r="B365" s="198"/>
      <c r="C365" s="199"/>
      <c r="D365" s="200"/>
      <c r="E365" s="201"/>
      <c r="F365" s="212"/>
      <c r="G365" s="201"/>
      <c r="H365" s="215"/>
      <c r="I365" s="216"/>
    </row>
    <row r="366" spans="1:9" ht="14.4" x14ac:dyDescent="0.3">
      <c r="A366" s="197"/>
      <c r="B366" s="203"/>
      <c r="C366" s="204"/>
      <c r="D366" s="205"/>
      <c r="E366" s="206"/>
      <c r="F366" s="218"/>
      <c r="G366" s="206"/>
      <c r="H366" s="219"/>
      <c r="I366" s="220"/>
    </row>
    <row r="367" spans="1:9" ht="14.4" x14ac:dyDescent="0.3">
      <c r="A367" s="207"/>
      <c r="B367" s="208"/>
      <c r="C367" s="209"/>
      <c r="D367" s="210"/>
      <c r="E367" s="211"/>
      <c r="F367" s="221"/>
      <c r="G367" s="211"/>
      <c r="H367" s="222"/>
      <c r="I367" s="223"/>
    </row>
    <row r="368" spans="1:9" ht="14.4" thickBot="1" x14ac:dyDescent="0.35"/>
    <row r="369" spans="1:9" ht="14.4" thickBot="1" x14ac:dyDescent="0.35">
      <c r="A369" s="226" t="s">
        <v>1204</v>
      </c>
      <c r="B369" s="224" t="s">
        <v>1434</v>
      </c>
      <c r="C369" s="224" t="s">
        <v>1435</v>
      </c>
      <c r="D369" s="224" t="s">
        <v>1207</v>
      </c>
      <c r="E369" s="368" t="s">
        <v>1208</v>
      </c>
      <c r="F369" s="368"/>
      <c r="G369" s="368"/>
      <c r="H369" s="224" t="s">
        <v>1209</v>
      </c>
      <c r="I369" s="225" t="s">
        <v>1436</v>
      </c>
    </row>
    <row r="370" spans="1:9" ht="14.4" x14ac:dyDescent="0.3">
      <c r="A370" s="197" t="s">
        <v>1584</v>
      </c>
      <c r="B370" s="193" t="s">
        <v>123</v>
      </c>
      <c r="C370" s="194" t="s">
        <v>124</v>
      </c>
      <c r="D370" s="195"/>
      <c r="E370" s="196"/>
      <c r="F370" s="212"/>
      <c r="G370" s="196"/>
      <c r="H370" s="213"/>
      <c r="I370" s="214"/>
    </row>
    <row r="371" spans="1:9" ht="14.4" x14ac:dyDescent="0.3">
      <c r="A371" s="197"/>
      <c r="B371" s="198" t="s">
        <v>217</v>
      </c>
      <c r="C371" s="199" t="s">
        <v>218</v>
      </c>
      <c r="D371" s="200" t="s">
        <v>1446</v>
      </c>
      <c r="E371" s="201">
        <v>0.35416666666666669</v>
      </c>
      <c r="F371" s="212"/>
      <c r="G371" s="201">
        <v>0.41666666666666669</v>
      </c>
      <c r="H371" s="215">
        <v>205</v>
      </c>
      <c r="I371" s="216"/>
    </row>
    <row r="372" spans="1:9" ht="14.4" x14ac:dyDescent="0.3">
      <c r="A372" s="197"/>
      <c r="B372" s="198" t="s">
        <v>128</v>
      </c>
      <c r="C372" s="199" t="s">
        <v>129</v>
      </c>
      <c r="D372" s="200" t="s">
        <v>1226</v>
      </c>
      <c r="E372" s="201">
        <v>0.29166666666666669</v>
      </c>
      <c r="F372" s="212"/>
      <c r="G372" s="201">
        <v>0.41666666666666669</v>
      </c>
      <c r="H372" s="215">
        <v>408</v>
      </c>
      <c r="I372" s="216" t="s">
        <v>1473</v>
      </c>
    </row>
    <row r="373" spans="1:9" ht="14.4" x14ac:dyDescent="0.3">
      <c r="A373" s="197"/>
      <c r="B373" s="198" t="s">
        <v>130</v>
      </c>
      <c r="C373" s="199" t="s">
        <v>292</v>
      </c>
      <c r="D373" s="200" t="s">
        <v>1280</v>
      </c>
      <c r="E373" s="201">
        <v>0.47916666666666669</v>
      </c>
      <c r="F373" s="212"/>
      <c r="G373" s="201">
        <v>0.5625</v>
      </c>
      <c r="H373" s="215" t="s">
        <v>1221</v>
      </c>
      <c r="I373" s="217" t="s">
        <v>1488</v>
      </c>
    </row>
    <row r="374" spans="1:9" ht="14.4" x14ac:dyDescent="0.3">
      <c r="A374" s="197"/>
      <c r="B374" s="198" t="s">
        <v>139</v>
      </c>
      <c r="C374" s="199" t="s">
        <v>140</v>
      </c>
      <c r="D374" s="200" t="s">
        <v>1247</v>
      </c>
      <c r="E374" s="196">
        <v>0.35416666666666669</v>
      </c>
      <c r="F374" s="212"/>
      <c r="G374" s="196">
        <v>0.41666666666666669</v>
      </c>
      <c r="H374" s="215">
        <v>206</v>
      </c>
      <c r="I374" s="217"/>
    </row>
    <row r="375" spans="1:9" ht="14.4" x14ac:dyDescent="0.3">
      <c r="A375" s="197"/>
      <c r="B375" s="198" t="s">
        <v>134</v>
      </c>
      <c r="C375" s="199" t="s">
        <v>135</v>
      </c>
      <c r="D375" s="200" t="s">
        <v>1247</v>
      </c>
      <c r="E375" s="196">
        <v>0.29166666666666669</v>
      </c>
      <c r="F375" s="196"/>
      <c r="G375" s="196">
        <v>0.35416666666666669</v>
      </c>
      <c r="H375" s="215">
        <v>306</v>
      </c>
      <c r="I375" s="216"/>
    </row>
    <row r="376" spans="1:9" ht="14.4" x14ac:dyDescent="0.3">
      <c r="A376" s="197"/>
      <c r="B376" s="198" t="s">
        <v>293</v>
      </c>
      <c r="C376" s="199" t="s">
        <v>294</v>
      </c>
      <c r="D376" s="200" t="s">
        <v>1585</v>
      </c>
      <c r="E376" s="201">
        <v>0.47916666666666669</v>
      </c>
      <c r="F376" s="212"/>
      <c r="G376" s="201" t="s">
        <v>1316</v>
      </c>
      <c r="H376" s="215">
        <v>308</v>
      </c>
      <c r="I376" s="216"/>
    </row>
    <row r="377" spans="1:9" ht="14.4" x14ac:dyDescent="0.3">
      <c r="A377" s="197"/>
      <c r="B377" s="198" t="s">
        <v>295</v>
      </c>
      <c r="C377" s="199" t="s">
        <v>296</v>
      </c>
      <c r="D377" s="200" t="s">
        <v>1585</v>
      </c>
      <c r="E377" s="202">
        <v>0.54166666666666663</v>
      </c>
      <c r="F377" s="212"/>
      <c r="G377" s="201">
        <v>0.60416666666666663</v>
      </c>
      <c r="H377" s="215">
        <v>307</v>
      </c>
      <c r="I377" s="216"/>
    </row>
    <row r="378" spans="1:9" ht="14.4" x14ac:dyDescent="0.3">
      <c r="A378" s="197"/>
      <c r="B378" s="198"/>
      <c r="C378" s="199"/>
      <c r="D378" s="200"/>
      <c r="E378" s="201"/>
      <c r="F378" s="212"/>
      <c r="G378" s="201"/>
      <c r="H378" s="215"/>
      <c r="I378" s="216"/>
    </row>
    <row r="379" spans="1:9" ht="14.4" x14ac:dyDescent="0.3">
      <c r="A379" s="197"/>
      <c r="B379" s="198"/>
      <c r="C379" s="199"/>
      <c r="D379" s="200"/>
      <c r="E379" s="201"/>
      <c r="F379" s="212"/>
      <c r="G379" s="201"/>
      <c r="H379" s="215"/>
      <c r="I379" s="216"/>
    </row>
    <row r="380" spans="1:9" ht="14.4" x14ac:dyDescent="0.3">
      <c r="A380" s="197"/>
      <c r="B380" s="203"/>
      <c r="C380" s="204"/>
      <c r="D380" s="205"/>
      <c r="E380" s="206"/>
      <c r="F380" s="218"/>
      <c r="G380" s="206"/>
      <c r="H380" s="219"/>
      <c r="I380" s="220"/>
    </row>
    <row r="381" spans="1:9" ht="14.4" x14ac:dyDescent="0.3">
      <c r="A381" s="207"/>
      <c r="B381" s="208"/>
      <c r="C381" s="209"/>
      <c r="D381" s="210"/>
      <c r="E381" s="211"/>
      <c r="F381" s="221"/>
      <c r="G381" s="211"/>
      <c r="H381" s="222"/>
      <c r="I381" s="223"/>
    </row>
    <row r="382" spans="1:9" ht="14.4" thickBot="1" x14ac:dyDescent="0.35"/>
    <row r="383" spans="1:9" ht="14.4" thickBot="1" x14ac:dyDescent="0.35">
      <c r="A383" s="226" t="s">
        <v>1204</v>
      </c>
      <c r="B383" s="224" t="s">
        <v>1434</v>
      </c>
      <c r="C383" s="224" t="s">
        <v>1435</v>
      </c>
      <c r="D383" s="224" t="s">
        <v>1207</v>
      </c>
      <c r="E383" s="368" t="s">
        <v>1208</v>
      </c>
      <c r="F383" s="368"/>
      <c r="G383" s="368"/>
      <c r="H383" s="224" t="s">
        <v>1209</v>
      </c>
      <c r="I383" s="225" t="s">
        <v>1436</v>
      </c>
    </row>
    <row r="384" spans="1:9" ht="14.4" x14ac:dyDescent="0.3">
      <c r="A384" s="197" t="s">
        <v>1586</v>
      </c>
      <c r="B384" s="193" t="s">
        <v>123</v>
      </c>
      <c r="C384" s="194" t="s">
        <v>124</v>
      </c>
      <c r="D384" s="195"/>
      <c r="E384" s="196"/>
      <c r="F384" s="212"/>
      <c r="G384" s="196"/>
      <c r="H384" s="213"/>
      <c r="I384" s="214"/>
    </row>
    <row r="385" spans="1:9" ht="14.4" x14ac:dyDescent="0.3">
      <c r="A385" s="197"/>
      <c r="B385" s="198" t="s">
        <v>217</v>
      </c>
      <c r="C385" s="199" t="s">
        <v>218</v>
      </c>
      <c r="D385" s="200" t="s">
        <v>1446</v>
      </c>
      <c r="E385" s="201">
        <v>0.29166666666666669</v>
      </c>
      <c r="F385" s="212"/>
      <c r="G385" s="201">
        <v>0.35416666666666669</v>
      </c>
      <c r="H385" s="215">
        <v>205</v>
      </c>
      <c r="I385" s="216"/>
    </row>
    <row r="386" spans="1:9" ht="14.4" x14ac:dyDescent="0.3">
      <c r="A386" s="197"/>
      <c r="B386" s="198" t="s">
        <v>128</v>
      </c>
      <c r="C386" s="199" t="s">
        <v>129</v>
      </c>
      <c r="D386" s="200" t="s">
        <v>1247</v>
      </c>
      <c r="E386" s="201">
        <v>0.29166666666666669</v>
      </c>
      <c r="F386" s="212"/>
      <c r="G386" s="201">
        <v>0.35416666666666669</v>
      </c>
      <c r="H386" s="215">
        <v>408</v>
      </c>
      <c r="I386" s="216" t="s">
        <v>1448</v>
      </c>
    </row>
    <row r="387" spans="1:9" ht="14.4" x14ac:dyDescent="0.3">
      <c r="A387" s="197"/>
      <c r="B387" s="198" t="s">
        <v>130</v>
      </c>
      <c r="C387" s="199" t="s">
        <v>292</v>
      </c>
      <c r="D387" s="200" t="s">
        <v>1224</v>
      </c>
      <c r="E387" s="201">
        <v>0.45833333333333331</v>
      </c>
      <c r="F387" s="212"/>
      <c r="G387" s="201">
        <v>0.54166666666666663</v>
      </c>
      <c r="H387" s="215" t="s">
        <v>1221</v>
      </c>
      <c r="I387" s="217" t="s">
        <v>1488</v>
      </c>
    </row>
    <row r="388" spans="1:9" ht="14.4" x14ac:dyDescent="0.3">
      <c r="A388" s="197"/>
      <c r="B388" s="198" t="s">
        <v>139</v>
      </c>
      <c r="C388" s="199" t="s">
        <v>140</v>
      </c>
      <c r="D388" s="200" t="s">
        <v>1446</v>
      </c>
      <c r="E388" s="196">
        <v>0.35416666666666669</v>
      </c>
      <c r="F388" s="212"/>
      <c r="G388" s="196">
        <v>0.41666666666666669</v>
      </c>
      <c r="H388" s="215">
        <v>204</v>
      </c>
      <c r="I388" s="217"/>
    </row>
    <row r="389" spans="1:9" ht="14.4" x14ac:dyDescent="0.3">
      <c r="A389" s="197"/>
      <c r="B389" s="198" t="s">
        <v>134</v>
      </c>
      <c r="C389" s="199" t="s">
        <v>135</v>
      </c>
      <c r="D389" s="200" t="s">
        <v>1247</v>
      </c>
      <c r="E389" s="196">
        <v>0.35416666666666669</v>
      </c>
      <c r="F389" s="212"/>
      <c r="G389" s="196">
        <v>0.41666666666666669</v>
      </c>
      <c r="H389" s="215">
        <v>205</v>
      </c>
      <c r="I389" s="216"/>
    </row>
    <row r="390" spans="1:9" ht="14.4" x14ac:dyDescent="0.3">
      <c r="A390" s="197"/>
      <c r="B390" s="198" t="s">
        <v>293</v>
      </c>
      <c r="C390" s="199" t="s">
        <v>294</v>
      </c>
      <c r="D390" s="200" t="s">
        <v>1226</v>
      </c>
      <c r="E390" s="201">
        <v>0.29166666666666669</v>
      </c>
      <c r="F390" s="212"/>
      <c r="G390" s="201">
        <v>0.41666666666666669</v>
      </c>
      <c r="H390" s="215">
        <v>305</v>
      </c>
      <c r="I390" s="216"/>
    </row>
    <row r="391" spans="1:9" ht="14.4" x14ac:dyDescent="0.3">
      <c r="A391" s="197"/>
      <c r="B391" s="198" t="s">
        <v>295</v>
      </c>
      <c r="C391" s="199" t="s">
        <v>296</v>
      </c>
      <c r="D391" s="200" t="s">
        <v>1226</v>
      </c>
      <c r="E391" s="202">
        <v>0.4375</v>
      </c>
      <c r="F391" s="212"/>
      <c r="G391" s="201" t="s">
        <v>1425</v>
      </c>
      <c r="H391" s="215">
        <v>304</v>
      </c>
      <c r="I391" s="216"/>
    </row>
    <row r="392" spans="1:9" ht="14.4" x14ac:dyDescent="0.3">
      <c r="A392" s="197"/>
      <c r="B392" s="198"/>
      <c r="C392" s="199"/>
      <c r="D392" s="200"/>
      <c r="E392" s="201"/>
      <c r="F392" s="212"/>
      <c r="G392" s="201"/>
      <c r="H392" s="215"/>
      <c r="I392" s="216"/>
    </row>
    <row r="393" spans="1:9" ht="14.4" x14ac:dyDescent="0.3">
      <c r="A393" s="197"/>
      <c r="B393" s="198"/>
      <c r="C393" s="199"/>
      <c r="D393" s="200"/>
      <c r="E393" s="201"/>
      <c r="F393" s="212"/>
      <c r="G393" s="201"/>
      <c r="H393" s="215"/>
      <c r="I393" s="216"/>
    </row>
    <row r="394" spans="1:9" ht="14.4" x14ac:dyDescent="0.3">
      <c r="A394" s="197"/>
      <c r="B394" s="203"/>
      <c r="C394" s="204"/>
      <c r="D394" s="205"/>
      <c r="E394" s="206"/>
      <c r="F394" s="218"/>
      <c r="G394" s="206"/>
      <c r="H394" s="219"/>
      <c r="I394" s="220"/>
    </row>
    <row r="395" spans="1:9" ht="14.4" x14ac:dyDescent="0.3">
      <c r="A395" s="207"/>
      <c r="B395" s="208"/>
      <c r="C395" s="209"/>
      <c r="D395" s="210"/>
      <c r="E395" s="211"/>
      <c r="F395" s="221"/>
      <c r="G395" s="211"/>
      <c r="H395" s="222"/>
      <c r="I395" s="223"/>
    </row>
    <row r="396" spans="1:9" ht="14.4" thickBot="1" x14ac:dyDescent="0.35"/>
    <row r="397" spans="1:9" ht="14.4" thickBot="1" x14ac:dyDescent="0.35">
      <c r="A397" s="226" t="s">
        <v>1204</v>
      </c>
      <c r="B397" s="224" t="s">
        <v>1434</v>
      </c>
      <c r="C397" s="224" t="s">
        <v>1435</v>
      </c>
      <c r="D397" s="224" t="s">
        <v>1207</v>
      </c>
      <c r="E397" s="368" t="s">
        <v>1208</v>
      </c>
      <c r="F397" s="368"/>
      <c r="G397" s="368"/>
      <c r="H397" s="224" t="s">
        <v>1209</v>
      </c>
      <c r="I397" s="225" t="s">
        <v>1436</v>
      </c>
    </row>
    <row r="398" spans="1:9" ht="14.4" x14ac:dyDescent="0.3">
      <c r="A398" s="197" t="s">
        <v>1587</v>
      </c>
      <c r="B398" s="193" t="s">
        <v>123</v>
      </c>
      <c r="C398" s="194" t="s">
        <v>124</v>
      </c>
      <c r="D398" s="195" t="s">
        <v>1224</v>
      </c>
      <c r="E398" s="196">
        <v>0.5</v>
      </c>
      <c r="F398" s="212"/>
      <c r="G398" s="196">
        <v>0.54166666666666663</v>
      </c>
      <c r="H398" s="213">
        <v>206</v>
      </c>
      <c r="I398" s="214"/>
    </row>
    <row r="399" spans="1:9" ht="14.4" x14ac:dyDescent="0.3">
      <c r="A399" s="197"/>
      <c r="B399" s="198" t="s">
        <v>217</v>
      </c>
      <c r="C399" s="199" t="s">
        <v>218</v>
      </c>
      <c r="D399" s="200" t="s">
        <v>1247</v>
      </c>
      <c r="E399" s="201">
        <v>0.29166666666666669</v>
      </c>
      <c r="F399" s="212"/>
      <c r="G399" s="201">
        <v>0.35416666666666669</v>
      </c>
      <c r="H399" s="215">
        <v>504</v>
      </c>
      <c r="I399" s="216"/>
    </row>
    <row r="400" spans="1:9" ht="14.4" x14ac:dyDescent="0.3">
      <c r="A400" s="197"/>
      <c r="B400" s="198" t="s">
        <v>128</v>
      </c>
      <c r="C400" s="199" t="s">
        <v>129</v>
      </c>
      <c r="D400" s="200" t="s">
        <v>1446</v>
      </c>
      <c r="E400" s="201">
        <v>0.29166666666666669</v>
      </c>
      <c r="F400" s="212"/>
      <c r="G400" s="201">
        <v>0.35416666666666669</v>
      </c>
      <c r="H400" s="215">
        <v>408</v>
      </c>
      <c r="I400" s="216" t="s">
        <v>1454</v>
      </c>
    </row>
    <row r="401" spans="1:9" ht="14.4" x14ac:dyDescent="0.3">
      <c r="A401" s="197"/>
      <c r="B401" s="198" t="s">
        <v>130</v>
      </c>
      <c r="C401" s="199" t="s">
        <v>292</v>
      </c>
      <c r="D401" s="200" t="s">
        <v>1226</v>
      </c>
      <c r="E401" s="201">
        <v>0.60416666666666663</v>
      </c>
      <c r="F401" s="212"/>
      <c r="G401" s="201">
        <v>0.6875</v>
      </c>
      <c r="H401" s="215" t="s">
        <v>1221</v>
      </c>
      <c r="I401" s="217" t="s">
        <v>1468</v>
      </c>
    </row>
    <row r="402" spans="1:9" ht="14.4" x14ac:dyDescent="0.3">
      <c r="A402" s="197"/>
      <c r="B402" s="198" t="s">
        <v>139</v>
      </c>
      <c r="C402" s="199" t="s">
        <v>140</v>
      </c>
      <c r="D402" s="200" t="s">
        <v>1247</v>
      </c>
      <c r="E402" s="196">
        <v>0.35416666666666669</v>
      </c>
      <c r="F402" s="212"/>
      <c r="G402" s="196">
        <v>0.41666666666666669</v>
      </c>
      <c r="H402" s="215">
        <v>402</v>
      </c>
      <c r="I402" s="217"/>
    </row>
    <row r="403" spans="1:9" ht="14.4" x14ac:dyDescent="0.3">
      <c r="A403" s="197"/>
      <c r="B403" s="198" t="s">
        <v>134</v>
      </c>
      <c r="C403" s="199" t="s">
        <v>135</v>
      </c>
      <c r="D403" s="200" t="s">
        <v>1446</v>
      </c>
      <c r="E403" s="196">
        <v>0.41666666666666669</v>
      </c>
      <c r="F403" s="212"/>
      <c r="G403" s="196">
        <v>0.47916666666666669</v>
      </c>
      <c r="H403" s="215">
        <v>305</v>
      </c>
      <c r="I403" s="216"/>
    </row>
    <row r="404" spans="1:9" ht="14.4" x14ac:dyDescent="0.3">
      <c r="A404" s="197"/>
      <c r="B404" s="198" t="s">
        <v>293</v>
      </c>
      <c r="C404" s="199" t="s">
        <v>294</v>
      </c>
      <c r="D404" s="200" t="s">
        <v>1226</v>
      </c>
      <c r="E404" s="201">
        <v>0.4375</v>
      </c>
      <c r="F404" s="212"/>
      <c r="G404" s="201" t="s">
        <v>1425</v>
      </c>
      <c r="H404" s="215">
        <v>305</v>
      </c>
      <c r="I404" s="216"/>
    </row>
    <row r="405" spans="1:9" ht="14.4" x14ac:dyDescent="0.3">
      <c r="A405" s="197"/>
      <c r="B405" s="198" t="s">
        <v>295</v>
      </c>
      <c r="C405" s="199" t="s">
        <v>296</v>
      </c>
      <c r="D405" s="200" t="s">
        <v>1226</v>
      </c>
      <c r="E405" s="202">
        <v>0.29166666666666669</v>
      </c>
      <c r="F405" s="212"/>
      <c r="G405" s="201">
        <v>0.41666666666666669</v>
      </c>
      <c r="H405" s="215">
        <v>304</v>
      </c>
      <c r="I405" s="216"/>
    </row>
    <row r="406" spans="1:9" ht="14.4" x14ac:dyDescent="0.3">
      <c r="A406" s="197"/>
      <c r="B406" s="198"/>
      <c r="C406" s="199"/>
      <c r="D406" s="200"/>
      <c r="E406" s="201"/>
      <c r="F406" s="212"/>
      <c r="G406" s="201"/>
      <c r="H406" s="215"/>
      <c r="I406" s="216"/>
    </row>
    <row r="407" spans="1:9" ht="14.4" x14ac:dyDescent="0.3">
      <c r="A407" s="197"/>
      <c r="B407" s="198"/>
      <c r="C407" s="199"/>
      <c r="D407" s="200"/>
      <c r="E407" s="201"/>
      <c r="F407" s="212"/>
      <c r="G407" s="201"/>
      <c r="H407" s="215"/>
      <c r="I407" s="216"/>
    </row>
    <row r="408" spans="1:9" ht="14.4" x14ac:dyDescent="0.3">
      <c r="A408" s="197"/>
      <c r="B408" s="203"/>
      <c r="C408" s="204"/>
      <c r="D408" s="205"/>
      <c r="E408" s="206"/>
      <c r="F408" s="218"/>
      <c r="G408" s="206"/>
      <c r="H408" s="219"/>
      <c r="I408" s="220"/>
    </row>
    <row r="409" spans="1:9" ht="14.4" x14ac:dyDescent="0.3">
      <c r="A409" s="207"/>
      <c r="B409" s="208"/>
      <c r="C409" s="209"/>
      <c r="D409" s="210"/>
      <c r="E409" s="211"/>
      <c r="F409" s="221"/>
      <c r="G409" s="211"/>
      <c r="H409" s="222"/>
      <c r="I409" s="223"/>
    </row>
    <row r="410" spans="1:9" ht="14.4" thickBot="1" x14ac:dyDescent="0.35"/>
    <row r="411" spans="1:9" ht="14.4" thickBot="1" x14ac:dyDescent="0.35">
      <c r="A411" s="226" t="s">
        <v>1204</v>
      </c>
      <c r="B411" s="224" t="s">
        <v>1434</v>
      </c>
      <c r="C411" s="224" t="s">
        <v>1435</v>
      </c>
      <c r="D411" s="224" t="s">
        <v>1207</v>
      </c>
      <c r="E411" s="368" t="s">
        <v>1208</v>
      </c>
      <c r="F411" s="368"/>
      <c r="G411" s="368"/>
      <c r="H411" s="224" t="s">
        <v>1209</v>
      </c>
      <c r="I411" s="225" t="s">
        <v>1436</v>
      </c>
    </row>
    <row r="412" spans="1:9" ht="14.4" x14ac:dyDescent="0.3">
      <c r="A412" s="197" t="s">
        <v>1588</v>
      </c>
      <c r="B412" s="193" t="s">
        <v>123</v>
      </c>
      <c r="C412" s="194" t="s">
        <v>124</v>
      </c>
      <c r="D412" s="195"/>
      <c r="E412" s="196"/>
      <c r="F412" s="212"/>
      <c r="G412" s="196"/>
      <c r="H412" s="213"/>
      <c r="I412" s="214"/>
    </row>
    <row r="413" spans="1:9" ht="14.4" x14ac:dyDescent="0.3">
      <c r="A413" s="197"/>
      <c r="B413" s="198" t="s">
        <v>217</v>
      </c>
      <c r="C413" s="199" t="s">
        <v>218</v>
      </c>
      <c r="D413" s="200"/>
      <c r="E413" s="201"/>
      <c r="F413" s="212"/>
      <c r="G413" s="201"/>
      <c r="H413" s="215"/>
      <c r="I413" s="216"/>
    </row>
    <row r="414" spans="1:9" ht="14.4" x14ac:dyDescent="0.3">
      <c r="A414" s="197"/>
      <c r="B414" s="198" t="s">
        <v>128</v>
      </c>
      <c r="C414" s="199" t="s">
        <v>129</v>
      </c>
      <c r="D414" s="200"/>
      <c r="E414" s="201"/>
      <c r="F414" s="212"/>
      <c r="G414" s="201"/>
      <c r="H414" s="215"/>
      <c r="I414" s="216"/>
    </row>
    <row r="415" spans="1:9" ht="14.4" x14ac:dyDescent="0.3">
      <c r="A415" s="197"/>
      <c r="B415" s="198" t="s">
        <v>130</v>
      </c>
      <c r="C415" s="199" t="s">
        <v>292</v>
      </c>
      <c r="D415" s="200"/>
      <c r="E415" s="201"/>
      <c r="F415" s="212"/>
      <c r="G415" s="201"/>
      <c r="H415" s="215"/>
      <c r="I415" s="217"/>
    </row>
    <row r="416" spans="1:9" ht="14.4" x14ac:dyDescent="0.3">
      <c r="A416" s="197"/>
      <c r="B416" s="198" t="s">
        <v>139</v>
      </c>
      <c r="C416" s="199" t="s">
        <v>140</v>
      </c>
      <c r="D416" s="200"/>
      <c r="E416" s="196"/>
      <c r="F416" s="212"/>
      <c r="G416" s="196"/>
      <c r="H416" s="215"/>
      <c r="I416" s="217"/>
    </row>
    <row r="417" spans="1:9" ht="14.4" x14ac:dyDescent="0.3">
      <c r="A417" s="197"/>
      <c r="B417" s="198" t="s">
        <v>134</v>
      </c>
      <c r="C417" s="199" t="s">
        <v>135</v>
      </c>
      <c r="D417" s="200"/>
      <c r="E417" s="196"/>
      <c r="F417" s="212"/>
      <c r="G417" s="196"/>
      <c r="H417" s="215"/>
      <c r="I417" s="216"/>
    </row>
    <row r="418" spans="1:9" ht="14.4" x14ac:dyDescent="0.3">
      <c r="A418" s="197"/>
      <c r="B418" s="198" t="s">
        <v>293</v>
      </c>
      <c r="C418" s="199" t="s">
        <v>294</v>
      </c>
      <c r="D418" s="200" t="s">
        <v>1585</v>
      </c>
      <c r="E418" s="201">
        <v>0.29166666666666669</v>
      </c>
      <c r="F418" s="212"/>
      <c r="G418" s="201">
        <v>0.35416666666666669</v>
      </c>
      <c r="H418" s="215">
        <v>305</v>
      </c>
      <c r="I418" s="216"/>
    </row>
    <row r="419" spans="1:9" ht="14.4" x14ac:dyDescent="0.3">
      <c r="A419" s="197"/>
      <c r="B419" s="198" t="s">
        <v>295</v>
      </c>
      <c r="C419" s="199" t="s">
        <v>296</v>
      </c>
      <c r="D419" s="200" t="s">
        <v>1589</v>
      </c>
      <c r="E419" s="202">
        <v>0.35416666666666669</v>
      </c>
      <c r="F419" s="212"/>
      <c r="G419" s="201">
        <v>0.41666666666666669</v>
      </c>
      <c r="H419" s="215">
        <v>306</v>
      </c>
      <c r="I419" s="216"/>
    </row>
    <row r="420" spans="1:9" ht="14.4" x14ac:dyDescent="0.3">
      <c r="A420" s="197"/>
      <c r="B420" s="198"/>
      <c r="C420" s="199"/>
      <c r="D420" s="200"/>
      <c r="E420" s="201"/>
      <c r="F420" s="212"/>
      <c r="G420" s="201"/>
      <c r="H420" s="215"/>
      <c r="I420" s="216"/>
    </row>
    <row r="421" spans="1:9" ht="14.4" x14ac:dyDescent="0.3">
      <c r="A421" s="197"/>
      <c r="B421" s="198"/>
      <c r="C421" s="199"/>
      <c r="D421" s="200"/>
      <c r="E421" s="201"/>
      <c r="F421" s="212"/>
      <c r="G421" s="201"/>
      <c r="H421" s="215"/>
      <c r="I421" s="216"/>
    </row>
    <row r="422" spans="1:9" ht="14.4" x14ac:dyDescent="0.3">
      <c r="A422" s="197"/>
      <c r="B422" s="203"/>
      <c r="C422" s="204"/>
      <c r="D422" s="205"/>
      <c r="E422" s="206"/>
      <c r="F422" s="218"/>
      <c r="G422" s="206"/>
      <c r="H422" s="219"/>
      <c r="I422" s="220"/>
    </row>
    <row r="423" spans="1:9" ht="14.4" x14ac:dyDescent="0.3">
      <c r="A423" s="207"/>
      <c r="B423" s="208"/>
      <c r="C423" s="209"/>
      <c r="D423" s="210"/>
      <c r="E423" s="211"/>
      <c r="F423" s="221"/>
      <c r="G423" s="211"/>
      <c r="H423" s="222"/>
      <c r="I423" s="223"/>
    </row>
    <row r="424" spans="1:9" ht="14.4" thickBot="1" x14ac:dyDescent="0.35"/>
    <row r="425" spans="1:9" ht="14.4" thickBot="1" x14ac:dyDescent="0.35">
      <c r="A425" s="226" t="s">
        <v>1204</v>
      </c>
      <c r="B425" s="224" t="s">
        <v>1434</v>
      </c>
      <c r="C425" s="224" t="s">
        <v>1435</v>
      </c>
      <c r="D425" s="224" t="s">
        <v>1207</v>
      </c>
      <c r="E425" s="368" t="s">
        <v>1208</v>
      </c>
      <c r="F425" s="368"/>
      <c r="G425" s="368"/>
      <c r="H425" s="224" t="s">
        <v>1209</v>
      </c>
      <c r="I425" s="225" t="s">
        <v>1436</v>
      </c>
    </row>
    <row r="426" spans="1:9" ht="14.4" x14ac:dyDescent="0.3">
      <c r="A426" s="197" t="s">
        <v>1590</v>
      </c>
      <c r="B426" s="193" t="s">
        <v>297</v>
      </c>
      <c r="C426" s="194" t="s">
        <v>298</v>
      </c>
      <c r="D426" s="195" t="s">
        <v>1226</v>
      </c>
      <c r="E426" s="196">
        <v>0.41666666666666669</v>
      </c>
      <c r="F426" s="212"/>
      <c r="G426" s="196" t="s">
        <v>1316</v>
      </c>
      <c r="H426" s="213">
        <v>308</v>
      </c>
      <c r="I426" s="214"/>
    </row>
    <row r="427" spans="1:9" ht="14.4" x14ac:dyDescent="0.3">
      <c r="A427" s="197"/>
      <c r="B427" s="198" t="s">
        <v>142</v>
      </c>
      <c r="C427" s="199" t="s">
        <v>143</v>
      </c>
      <c r="D427" s="200" t="s">
        <v>1226</v>
      </c>
      <c r="E427" s="201" t="s">
        <v>1294</v>
      </c>
      <c r="F427" s="212"/>
      <c r="G427" s="201" t="s">
        <v>1393</v>
      </c>
      <c r="H427" s="215" t="s">
        <v>1221</v>
      </c>
      <c r="I427" s="216"/>
    </row>
    <row r="428" spans="1:9" ht="14.4" x14ac:dyDescent="0.3">
      <c r="A428" s="197"/>
      <c r="B428" s="198" t="s">
        <v>299</v>
      </c>
      <c r="C428" s="199" t="s">
        <v>300</v>
      </c>
      <c r="D428" s="200" t="s">
        <v>1589</v>
      </c>
      <c r="E428" s="201" t="s">
        <v>1316</v>
      </c>
      <c r="F428" s="212"/>
      <c r="G428" s="201" t="s">
        <v>1294</v>
      </c>
      <c r="H428" s="215">
        <v>402</v>
      </c>
      <c r="I428" s="216"/>
    </row>
    <row r="429" spans="1:9" ht="14.4" x14ac:dyDescent="0.3">
      <c r="A429" s="197"/>
      <c r="B429" s="198" t="s">
        <v>301</v>
      </c>
      <c r="C429" s="199" t="s">
        <v>302</v>
      </c>
      <c r="D429" s="200" t="s">
        <v>1267</v>
      </c>
      <c r="E429" s="201">
        <v>0.33333333333333331</v>
      </c>
      <c r="F429" s="212"/>
      <c r="G429" s="201" t="s">
        <v>1361</v>
      </c>
      <c r="H429" s="215" t="s">
        <v>1591</v>
      </c>
      <c r="I429" s="217"/>
    </row>
    <row r="430" spans="1:9" ht="14.4" x14ac:dyDescent="0.3">
      <c r="A430" s="197"/>
      <c r="B430" s="198" t="s">
        <v>303</v>
      </c>
      <c r="C430" s="199" t="s">
        <v>304</v>
      </c>
      <c r="D430" s="325" t="s">
        <v>1224</v>
      </c>
      <c r="E430" s="196">
        <v>0.29166666666666669</v>
      </c>
      <c r="F430" s="212"/>
      <c r="G430" s="196" t="s">
        <v>1361</v>
      </c>
      <c r="H430" s="215" t="s">
        <v>1592</v>
      </c>
      <c r="I430" s="217"/>
    </row>
    <row r="431" spans="1:9" ht="14.4" x14ac:dyDescent="0.3">
      <c r="A431" s="197"/>
      <c r="B431" s="198" t="s">
        <v>305</v>
      </c>
      <c r="C431" s="199" t="s">
        <v>306</v>
      </c>
      <c r="D431" s="200"/>
      <c r="E431" s="196"/>
      <c r="F431" s="212"/>
      <c r="G431" s="196"/>
      <c r="H431" s="215"/>
      <c r="I431" s="216"/>
    </row>
    <row r="432" spans="1:9" ht="14.4" x14ac:dyDescent="0.3">
      <c r="A432" s="197"/>
      <c r="B432" s="198" t="s">
        <v>307</v>
      </c>
      <c r="C432" s="199" t="s">
        <v>308</v>
      </c>
      <c r="D432" s="200" t="s">
        <v>1589</v>
      </c>
      <c r="E432" s="201" t="s">
        <v>1294</v>
      </c>
      <c r="F432" s="212"/>
      <c r="G432" s="201" t="s">
        <v>1331</v>
      </c>
      <c r="H432" s="215">
        <v>407</v>
      </c>
      <c r="I432" s="216"/>
    </row>
    <row r="433" spans="1:9" ht="14.4" x14ac:dyDescent="0.3">
      <c r="A433" s="197"/>
      <c r="B433" s="198"/>
      <c r="C433" s="199"/>
      <c r="D433" s="200"/>
      <c r="E433" s="202"/>
      <c r="F433" s="212"/>
      <c r="G433" s="201"/>
      <c r="H433" s="215"/>
      <c r="I433" s="216"/>
    </row>
    <row r="434" spans="1:9" ht="14.4" x14ac:dyDescent="0.3">
      <c r="A434" s="197"/>
      <c r="B434" s="198"/>
      <c r="C434" s="199"/>
      <c r="D434" s="200"/>
      <c r="E434" s="201"/>
      <c r="F434" s="212"/>
      <c r="G434" s="201"/>
      <c r="H434" s="215"/>
      <c r="I434" s="216"/>
    </row>
    <row r="435" spans="1:9" ht="14.4" x14ac:dyDescent="0.3">
      <c r="A435" s="197"/>
      <c r="B435" s="198"/>
      <c r="C435" s="199"/>
      <c r="D435" s="200"/>
      <c r="E435" s="201"/>
      <c r="F435" s="212"/>
      <c r="G435" s="201"/>
      <c r="H435" s="215"/>
      <c r="I435" s="216"/>
    </row>
    <row r="436" spans="1:9" ht="14.4" x14ac:dyDescent="0.3">
      <c r="A436" s="197"/>
      <c r="B436" s="203"/>
      <c r="C436" s="204"/>
      <c r="D436" s="205"/>
      <c r="E436" s="206"/>
      <c r="F436" s="218"/>
      <c r="G436" s="206"/>
      <c r="H436" s="219"/>
      <c r="I436" s="220"/>
    </row>
    <row r="437" spans="1:9" ht="14.4" x14ac:dyDescent="0.3">
      <c r="A437" s="207"/>
      <c r="B437" s="208"/>
      <c r="C437" s="209"/>
      <c r="D437" s="210"/>
      <c r="E437" s="211"/>
      <c r="F437" s="221"/>
      <c r="G437" s="211"/>
      <c r="H437" s="222"/>
      <c r="I437" s="223"/>
    </row>
    <row r="438" spans="1:9" ht="14.4" thickBot="1" x14ac:dyDescent="0.35"/>
    <row r="439" spans="1:9" ht="14.4" thickBot="1" x14ac:dyDescent="0.35">
      <c r="A439" s="226" t="s">
        <v>1204</v>
      </c>
      <c r="B439" s="224" t="s">
        <v>1434</v>
      </c>
      <c r="C439" s="224" t="s">
        <v>1435</v>
      </c>
      <c r="D439" s="224" t="s">
        <v>1207</v>
      </c>
      <c r="E439" s="368" t="s">
        <v>1208</v>
      </c>
      <c r="F439" s="368"/>
      <c r="G439" s="368"/>
      <c r="H439" s="224" t="s">
        <v>1209</v>
      </c>
      <c r="I439" s="225" t="s">
        <v>1436</v>
      </c>
    </row>
    <row r="440" spans="1:9" ht="14.4" x14ac:dyDescent="0.3">
      <c r="A440" s="197" t="s">
        <v>1593</v>
      </c>
      <c r="B440" s="193" t="s">
        <v>297</v>
      </c>
      <c r="C440" s="194" t="s">
        <v>298</v>
      </c>
      <c r="D440" s="195" t="s">
        <v>1585</v>
      </c>
      <c r="E440" s="196" t="s">
        <v>1294</v>
      </c>
      <c r="F440" s="212"/>
      <c r="G440" s="196" t="s">
        <v>1331</v>
      </c>
      <c r="H440" s="213">
        <v>305</v>
      </c>
      <c r="I440" s="214"/>
    </row>
    <row r="441" spans="1:9" ht="14.4" x14ac:dyDescent="0.3">
      <c r="A441" s="197"/>
      <c r="B441" s="198" t="s">
        <v>142</v>
      </c>
      <c r="C441" s="199" t="s">
        <v>143</v>
      </c>
      <c r="D441" s="200" t="s">
        <v>1267</v>
      </c>
      <c r="E441" s="201"/>
      <c r="F441" s="212"/>
      <c r="G441" s="201"/>
      <c r="H441" s="215"/>
      <c r="I441" s="216"/>
    </row>
    <row r="442" spans="1:9" ht="14.4" x14ac:dyDescent="0.3">
      <c r="A442" s="197"/>
      <c r="B442" s="198" t="s">
        <v>299</v>
      </c>
      <c r="C442" s="199" t="s">
        <v>300</v>
      </c>
      <c r="D442" s="200" t="s">
        <v>1585</v>
      </c>
      <c r="E442" s="201">
        <v>0.41666666666666669</v>
      </c>
      <c r="F442" s="212"/>
      <c r="G442" s="201">
        <v>0.47916666666666669</v>
      </c>
      <c r="H442" s="215">
        <v>305</v>
      </c>
      <c r="I442" s="216"/>
    </row>
    <row r="443" spans="1:9" ht="14.4" x14ac:dyDescent="0.3">
      <c r="A443" s="197"/>
      <c r="B443" s="198" t="s">
        <v>301</v>
      </c>
      <c r="C443" s="199" t="s">
        <v>302</v>
      </c>
      <c r="D443" s="200" t="s">
        <v>1285</v>
      </c>
      <c r="E443" s="201">
        <v>0.33333333333333331</v>
      </c>
      <c r="F443" s="212"/>
      <c r="G443" s="201" t="s">
        <v>1361</v>
      </c>
      <c r="H443" s="215" t="s">
        <v>1591</v>
      </c>
      <c r="I443" s="217"/>
    </row>
    <row r="444" spans="1:9" ht="14.4" x14ac:dyDescent="0.3">
      <c r="A444" s="197"/>
      <c r="B444" s="198" t="s">
        <v>303</v>
      </c>
      <c r="C444" s="199" t="s">
        <v>304</v>
      </c>
      <c r="D444" s="200" t="s">
        <v>1280</v>
      </c>
      <c r="E444" s="196">
        <v>0.29166666666666669</v>
      </c>
      <c r="F444" s="212"/>
      <c r="G444" s="196" t="s">
        <v>1361</v>
      </c>
      <c r="H444" s="215" t="s">
        <v>1592</v>
      </c>
      <c r="I444" s="217"/>
    </row>
    <row r="445" spans="1:9" ht="14.4" x14ac:dyDescent="0.3">
      <c r="A445" s="197"/>
      <c r="B445" s="198" t="s">
        <v>305</v>
      </c>
      <c r="C445" s="199" t="s">
        <v>306</v>
      </c>
      <c r="D445" s="200"/>
      <c r="E445" s="196"/>
      <c r="F445" s="212"/>
      <c r="G445" s="196"/>
      <c r="H445" s="215"/>
      <c r="I445" s="216"/>
    </row>
    <row r="446" spans="1:9" ht="14.4" x14ac:dyDescent="0.3">
      <c r="A446" s="197"/>
      <c r="B446" s="198" t="s">
        <v>307</v>
      </c>
      <c r="C446" s="199" t="s">
        <v>308</v>
      </c>
      <c r="D446" s="200" t="s">
        <v>1585</v>
      </c>
      <c r="E446" s="201" t="s">
        <v>1316</v>
      </c>
      <c r="F446" s="212"/>
      <c r="G446" s="201" t="s">
        <v>1294</v>
      </c>
      <c r="H446" s="215">
        <v>407</v>
      </c>
      <c r="I446" s="216"/>
    </row>
    <row r="447" spans="1:9" ht="14.4" x14ac:dyDescent="0.3">
      <c r="A447" s="197"/>
      <c r="B447" s="198"/>
      <c r="C447" s="199"/>
      <c r="D447" s="200"/>
      <c r="E447" s="202"/>
      <c r="F447" s="212"/>
      <c r="G447" s="201"/>
      <c r="H447" s="215"/>
      <c r="I447" s="216"/>
    </row>
    <row r="448" spans="1:9" ht="14.4" x14ac:dyDescent="0.3">
      <c r="A448" s="197"/>
      <c r="B448" s="198"/>
      <c r="C448" s="199"/>
      <c r="D448" s="200"/>
      <c r="E448" s="201"/>
      <c r="F448" s="212"/>
      <c r="G448" s="201"/>
      <c r="H448" s="215"/>
      <c r="I448" s="216"/>
    </row>
    <row r="449" spans="1:9" ht="14.4" x14ac:dyDescent="0.3">
      <c r="A449" s="197"/>
      <c r="B449" s="198"/>
      <c r="C449" s="199"/>
      <c r="D449" s="200"/>
      <c r="E449" s="201"/>
      <c r="F449" s="212"/>
      <c r="G449" s="201"/>
      <c r="H449" s="215"/>
      <c r="I449" s="216"/>
    </row>
    <row r="450" spans="1:9" ht="14.4" x14ac:dyDescent="0.3">
      <c r="A450" s="197"/>
      <c r="B450" s="203"/>
      <c r="C450" s="204"/>
      <c r="D450" s="205"/>
      <c r="E450" s="206"/>
      <c r="F450" s="218"/>
      <c r="G450" s="206"/>
      <c r="H450" s="219"/>
      <c r="I450" s="220"/>
    </row>
    <row r="451" spans="1:9" ht="14.4" x14ac:dyDescent="0.3">
      <c r="A451" s="207"/>
      <c r="B451" s="208"/>
      <c r="C451" s="209"/>
      <c r="D451" s="210"/>
      <c r="E451" s="211"/>
      <c r="F451" s="221"/>
      <c r="G451" s="211"/>
      <c r="H451" s="222"/>
      <c r="I451" s="223"/>
    </row>
    <row r="452" spans="1:9" ht="14.4" thickBot="1" x14ac:dyDescent="0.35"/>
    <row r="453" spans="1:9" ht="14.4" thickBot="1" x14ac:dyDescent="0.35">
      <c r="A453" s="226" t="s">
        <v>1204</v>
      </c>
      <c r="B453" s="224" t="s">
        <v>1434</v>
      </c>
      <c r="C453" s="224" t="s">
        <v>1435</v>
      </c>
      <c r="D453" s="224" t="s">
        <v>1207</v>
      </c>
      <c r="E453" s="368" t="s">
        <v>1208</v>
      </c>
      <c r="F453" s="368"/>
      <c r="G453" s="368"/>
      <c r="H453" s="224" t="s">
        <v>1209</v>
      </c>
      <c r="I453" s="225" t="s">
        <v>1436</v>
      </c>
    </row>
    <row r="454" spans="1:9" ht="14.4" x14ac:dyDescent="0.3">
      <c r="A454" s="197" t="s">
        <v>1594</v>
      </c>
      <c r="B454" s="193" t="s">
        <v>297</v>
      </c>
      <c r="C454" s="194" t="s">
        <v>298</v>
      </c>
      <c r="D454" s="195" t="s">
        <v>1585</v>
      </c>
      <c r="E454" s="196" t="s">
        <v>1316</v>
      </c>
      <c r="F454" s="212"/>
      <c r="G454" s="196" t="s">
        <v>1294</v>
      </c>
      <c r="H454" s="213">
        <v>306</v>
      </c>
      <c r="I454" s="214"/>
    </row>
    <row r="455" spans="1:9" ht="14.4" x14ac:dyDescent="0.3">
      <c r="A455" s="197"/>
      <c r="B455" s="198" t="s">
        <v>142</v>
      </c>
      <c r="C455" s="199" t="s">
        <v>143</v>
      </c>
      <c r="D455" s="200" t="s">
        <v>1280</v>
      </c>
      <c r="E455" s="201">
        <v>0.29166666666666669</v>
      </c>
      <c r="F455" s="212"/>
      <c r="G455" s="201">
        <v>0.375</v>
      </c>
      <c r="H455" s="215" t="s">
        <v>1221</v>
      </c>
      <c r="I455" s="216" t="s">
        <v>1468</v>
      </c>
    </row>
    <row r="456" spans="1:9" ht="14.4" x14ac:dyDescent="0.3">
      <c r="A456" s="197"/>
      <c r="B456" s="198" t="s">
        <v>299</v>
      </c>
      <c r="C456" s="199" t="s">
        <v>300</v>
      </c>
      <c r="D456" s="200" t="s">
        <v>1589</v>
      </c>
      <c r="E456" s="201">
        <v>0.41666666666666669</v>
      </c>
      <c r="F456" s="212"/>
      <c r="G456" s="201">
        <v>0.47916666666666669</v>
      </c>
      <c r="H456" s="215">
        <v>402</v>
      </c>
      <c r="I456" s="216"/>
    </row>
    <row r="457" spans="1:9" ht="14.4" x14ac:dyDescent="0.3">
      <c r="A457" s="197"/>
      <c r="B457" s="198" t="s">
        <v>301</v>
      </c>
      <c r="C457" s="199" t="s">
        <v>302</v>
      </c>
      <c r="D457" s="200" t="s">
        <v>1224</v>
      </c>
      <c r="E457" s="201">
        <v>0.375</v>
      </c>
      <c r="F457" s="212"/>
      <c r="G457" s="201" t="s">
        <v>1361</v>
      </c>
      <c r="H457" s="215" t="s">
        <v>1591</v>
      </c>
      <c r="I457" s="217"/>
    </row>
    <row r="458" spans="1:9" ht="14.4" x14ac:dyDescent="0.3">
      <c r="A458" s="197"/>
      <c r="B458" s="198" t="s">
        <v>303</v>
      </c>
      <c r="C458" s="199" t="s">
        <v>304</v>
      </c>
      <c r="D458" s="200" t="s">
        <v>1267</v>
      </c>
      <c r="E458" s="196">
        <v>0.29166666666666669</v>
      </c>
      <c r="F458" s="212"/>
      <c r="G458" s="196" t="s">
        <v>1361</v>
      </c>
      <c r="H458" s="215" t="s">
        <v>1592</v>
      </c>
      <c r="I458" s="217"/>
    </row>
    <row r="459" spans="1:9" ht="14.4" x14ac:dyDescent="0.3">
      <c r="A459" s="197"/>
      <c r="B459" s="198" t="s">
        <v>305</v>
      </c>
      <c r="C459" s="199" t="s">
        <v>306</v>
      </c>
      <c r="D459" s="200"/>
      <c r="E459" s="196"/>
      <c r="F459" s="212"/>
      <c r="G459" s="196"/>
      <c r="H459" s="215"/>
      <c r="I459" s="216"/>
    </row>
    <row r="460" spans="1:9" ht="14.4" x14ac:dyDescent="0.3">
      <c r="A460" s="197"/>
      <c r="B460" s="198" t="s">
        <v>307</v>
      </c>
      <c r="C460" s="199" t="s">
        <v>308</v>
      </c>
      <c r="D460" s="200" t="s">
        <v>1247</v>
      </c>
      <c r="E460" s="201">
        <v>0.47916666666666669</v>
      </c>
      <c r="F460" s="212"/>
      <c r="G460" s="201">
        <v>0.54166666666666663</v>
      </c>
      <c r="H460" s="215">
        <v>308</v>
      </c>
      <c r="I460" s="216"/>
    </row>
    <row r="461" spans="1:9" ht="14.4" x14ac:dyDescent="0.3">
      <c r="A461" s="197"/>
      <c r="B461" s="198"/>
      <c r="C461" s="199"/>
      <c r="D461" s="200"/>
      <c r="E461" s="202"/>
      <c r="F461" s="212"/>
      <c r="G461" s="201"/>
      <c r="H461" s="215"/>
      <c r="I461" s="216"/>
    </row>
    <row r="462" spans="1:9" ht="14.4" x14ac:dyDescent="0.3">
      <c r="A462" s="197"/>
      <c r="B462" s="198"/>
      <c r="C462" s="199"/>
      <c r="D462" s="200"/>
      <c r="E462" s="201"/>
      <c r="F462" s="212"/>
      <c r="G462" s="201"/>
      <c r="H462" s="215"/>
      <c r="I462" s="216"/>
    </row>
    <row r="463" spans="1:9" ht="14.4" x14ac:dyDescent="0.3">
      <c r="A463" s="197"/>
      <c r="B463" s="198"/>
      <c r="C463" s="199"/>
      <c r="D463" s="200"/>
      <c r="E463" s="201"/>
      <c r="F463" s="212"/>
      <c r="G463" s="201"/>
      <c r="H463" s="215"/>
      <c r="I463" s="216"/>
    </row>
    <row r="464" spans="1:9" ht="14.4" x14ac:dyDescent="0.3">
      <c r="A464" s="197"/>
      <c r="B464" s="203"/>
      <c r="C464" s="204"/>
      <c r="D464" s="205"/>
      <c r="E464" s="206"/>
      <c r="F464" s="218"/>
      <c r="G464" s="206"/>
      <c r="H464" s="219"/>
      <c r="I464" s="220"/>
    </row>
    <row r="465" spans="1:9" ht="15" thickBot="1" x14ac:dyDescent="0.35">
      <c r="A465" s="207"/>
      <c r="B465" s="208"/>
      <c r="C465" s="209"/>
      <c r="D465" s="210"/>
      <c r="E465" s="211"/>
      <c r="F465" s="221"/>
      <c r="G465" s="211"/>
      <c r="H465" s="222"/>
      <c r="I465" s="223"/>
    </row>
    <row r="466" spans="1:9" ht="14.4" thickBot="1" x14ac:dyDescent="0.35"/>
    <row r="467" spans="1:9" ht="14.4" thickBot="1" x14ac:dyDescent="0.35">
      <c r="A467" s="226" t="s">
        <v>1204</v>
      </c>
      <c r="B467" s="224" t="s">
        <v>1434</v>
      </c>
      <c r="C467" s="224" t="s">
        <v>1435</v>
      </c>
      <c r="D467" s="224" t="s">
        <v>1207</v>
      </c>
      <c r="E467" s="368" t="s">
        <v>1208</v>
      </c>
      <c r="F467" s="368"/>
      <c r="G467" s="368"/>
      <c r="H467" s="224" t="s">
        <v>1209</v>
      </c>
      <c r="I467" s="225" t="s">
        <v>1436</v>
      </c>
    </row>
    <row r="468" spans="1:9" ht="14.4" x14ac:dyDescent="0.3">
      <c r="A468" s="197" t="s">
        <v>1595</v>
      </c>
      <c r="B468" s="193" t="s">
        <v>297</v>
      </c>
      <c r="C468" s="194" t="s">
        <v>298</v>
      </c>
      <c r="D468" s="195"/>
      <c r="E468" s="196"/>
      <c r="F468" s="212"/>
      <c r="G468" s="196"/>
      <c r="H468" s="213"/>
      <c r="I468" s="214"/>
    </row>
    <row r="469" spans="1:9" ht="14.4" x14ac:dyDescent="0.3">
      <c r="A469" s="197"/>
      <c r="B469" s="198" t="s">
        <v>142</v>
      </c>
      <c r="C469" s="199" t="s">
        <v>143</v>
      </c>
      <c r="D469" s="200"/>
      <c r="E469" s="201"/>
      <c r="F469" s="212"/>
      <c r="G469" s="201"/>
      <c r="H469" s="215"/>
      <c r="I469" s="216"/>
    </row>
    <row r="470" spans="1:9" ht="14.4" x14ac:dyDescent="0.3">
      <c r="A470" s="197"/>
      <c r="B470" s="198" t="s">
        <v>299</v>
      </c>
      <c r="C470" s="199" t="s">
        <v>300</v>
      </c>
      <c r="D470" s="200"/>
      <c r="E470" s="201"/>
      <c r="F470" s="212"/>
      <c r="G470" s="201"/>
      <c r="H470" s="215"/>
      <c r="I470" s="216"/>
    </row>
    <row r="471" spans="1:9" ht="14.4" x14ac:dyDescent="0.3">
      <c r="A471" s="197"/>
      <c r="B471" s="198" t="s">
        <v>301</v>
      </c>
      <c r="C471" s="199" t="s">
        <v>302</v>
      </c>
      <c r="D471" s="200"/>
      <c r="E471" s="201"/>
      <c r="F471" s="212"/>
      <c r="G471" s="201"/>
      <c r="H471" s="215"/>
      <c r="I471" s="217"/>
    </row>
    <row r="472" spans="1:9" ht="14.4" x14ac:dyDescent="0.3">
      <c r="A472" s="197"/>
      <c r="B472" s="198" t="s">
        <v>303</v>
      </c>
      <c r="C472" s="199" t="s">
        <v>304</v>
      </c>
      <c r="D472" s="200"/>
      <c r="E472" s="196"/>
      <c r="F472" s="212"/>
      <c r="G472" s="196"/>
      <c r="H472" s="215"/>
      <c r="I472" s="217"/>
    </row>
    <row r="473" spans="1:9" ht="14.4" x14ac:dyDescent="0.3">
      <c r="A473" s="197"/>
      <c r="B473" s="198" t="s">
        <v>305</v>
      </c>
      <c r="C473" s="199" t="s">
        <v>306</v>
      </c>
      <c r="D473" s="200"/>
      <c r="E473" s="196"/>
      <c r="F473" s="212"/>
      <c r="G473" s="196"/>
      <c r="H473" s="215"/>
      <c r="I473" s="216"/>
    </row>
    <row r="474" spans="1:9" ht="14.4" x14ac:dyDescent="0.3">
      <c r="A474" s="197"/>
      <c r="B474" s="198" t="s">
        <v>307</v>
      </c>
      <c r="C474" s="199" t="s">
        <v>308</v>
      </c>
      <c r="D474" s="200"/>
      <c r="E474" s="201"/>
      <c r="F474" s="212"/>
      <c r="G474" s="201"/>
      <c r="H474" s="215"/>
      <c r="I474" s="216"/>
    </row>
    <row r="475" spans="1:9" ht="14.4" x14ac:dyDescent="0.3">
      <c r="A475" s="197"/>
      <c r="B475" s="198"/>
      <c r="C475" s="199"/>
      <c r="D475" s="200"/>
      <c r="E475" s="202"/>
      <c r="F475" s="212"/>
      <c r="G475" s="201"/>
      <c r="H475" s="215"/>
      <c r="I475" s="216"/>
    </row>
    <row r="476" spans="1:9" ht="14.4" x14ac:dyDescent="0.3">
      <c r="A476" s="197"/>
      <c r="B476" s="198"/>
      <c r="C476" s="199"/>
      <c r="D476" s="200"/>
      <c r="E476" s="201"/>
      <c r="F476" s="212"/>
      <c r="G476" s="201"/>
      <c r="H476" s="215"/>
      <c r="I476" s="216"/>
    </row>
    <row r="477" spans="1:9" ht="14.4" x14ac:dyDescent="0.3">
      <c r="A477" s="197"/>
      <c r="B477" s="198"/>
      <c r="C477" s="199"/>
      <c r="D477" s="200"/>
      <c r="E477" s="201"/>
      <c r="F477" s="212"/>
      <c r="G477" s="201"/>
      <c r="H477" s="215"/>
      <c r="I477" s="216"/>
    </row>
    <row r="478" spans="1:9" ht="14.4" x14ac:dyDescent="0.3">
      <c r="A478" s="197"/>
      <c r="B478" s="203"/>
      <c r="C478" s="204"/>
      <c r="D478" s="205"/>
      <c r="E478" s="206"/>
      <c r="F478" s="218"/>
      <c r="G478" s="206"/>
      <c r="H478" s="219"/>
      <c r="I478" s="220"/>
    </row>
    <row r="479" spans="1:9" ht="15" thickBot="1" x14ac:dyDescent="0.35">
      <c r="A479" s="207"/>
      <c r="B479" s="208"/>
      <c r="C479" s="209"/>
      <c r="D479" s="210"/>
      <c r="E479" s="211"/>
      <c r="F479" s="221"/>
      <c r="G479" s="211"/>
      <c r="H479" s="222"/>
      <c r="I479" s="223"/>
    </row>
    <row r="480" spans="1:9" ht="14.4" thickBot="1" x14ac:dyDescent="0.35"/>
    <row r="481" spans="1:9" ht="14.4" thickBot="1" x14ac:dyDescent="0.35">
      <c r="A481" s="226" t="s">
        <v>1204</v>
      </c>
      <c r="B481" s="224" t="s">
        <v>1434</v>
      </c>
      <c r="C481" s="224" t="s">
        <v>1435</v>
      </c>
      <c r="D481" s="224" t="s">
        <v>1207</v>
      </c>
      <c r="E481" s="368" t="s">
        <v>1208</v>
      </c>
      <c r="F481" s="368"/>
      <c r="G481" s="368"/>
      <c r="H481" s="224" t="s">
        <v>1209</v>
      </c>
      <c r="I481" s="225" t="s">
        <v>1436</v>
      </c>
    </row>
    <row r="482" spans="1:9" ht="14.4" x14ac:dyDescent="0.3">
      <c r="A482" s="197" t="s">
        <v>1596</v>
      </c>
      <c r="B482" s="193" t="s">
        <v>309</v>
      </c>
      <c r="C482" s="194" t="s">
        <v>310</v>
      </c>
      <c r="D482" s="195" t="s">
        <v>1247</v>
      </c>
      <c r="E482" s="196" t="s">
        <v>1293</v>
      </c>
      <c r="F482" s="212"/>
      <c r="G482" s="196" t="s">
        <v>1316</v>
      </c>
      <c r="H482" s="213">
        <v>212</v>
      </c>
      <c r="I482" s="214"/>
    </row>
    <row r="483" spans="1:9" ht="14.4" x14ac:dyDescent="0.3">
      <c r="A483" s="197"/>
      <c r="B483" s="198" t="s">
        <v>185</v>
      </c>
      <c r="C483" s="199" t="s">
        <v>186</v>
      </c>
      <c r="D483" s="200" t="s">
        <v>1226</v>
      </c>
      <c r="E483" s="201">
        <v>0.29166666666666669</v>
      </c>
      <c r="F483" s="212"/>
      <c r="G483" s="201">
        <v>0.41666666666666669</v>
      </c>
      <c r="H483" s="215">
        <v>301</v>
      </c>
      <c r="I483" s="216"/>
    </row>
    <row r="484" spans="1:9" ht="14.4" x14ac:dyDescent="0.3">
      <c r="A484" s="197"/>
      <c r="B484" s="198" t="s">
        <v>274</v>
      </c>
      <c r="C484" s="199" t="s">
        <v>275</v>
      </c>
      <c r="D484" s="200" t="s">
        <v>1446</v>
      </c>
      <c r="E484" s="201">
        <v>0.66666666666666663</v>
      </c>
      <c r="F484" s="212"/>
      <c r="G484" s="201">
        <v>0.72916666666666663</v>
      </c>
      <c r="H484" s="215">
        <v>305</v>
      </c>
      <c r="I484" s="216"/>
    </row>
    <row r="485" spans="1:9" ht="14.4" x14ac:dyDescent="0.3">
      <c r="A485" s="197"/>
      <c r="B485" s="198" t="s">
        <v>311</v>
      </c>
      <c r="C485" s="199" t="s">
        <v>312</v>
      </c>
      <c r="D485" s="200" t="s">
        <v>1224</v>
      </c>
      <c r="E485" s="201">
        <v>0.41666666666666669</v>
      </c>
      <c r="F485" s="212"/>
      <c r="G485" s="201">
        <v>0.5</v>
      </c>
      <c r="H485" s="215">
        <v>410</v>
      </c>
      <c r="I485" s="217"/>
    </row>
    <row r="486" spans="1:9" ht="14.4" x14ac:dyDescent="0.3">
      <c r="A486" s="197"/>
      <c r="B486" s="198" t="s">
        <v>311</v>
      </c>
      <c r="C486" s="199" t="s">
        <v>312</v>
      </c>
      <c r="D486" s="200" t="s">
        <v>1224</v>
      </c>
      <c r="E486" s="196">
        <v>0.54166666666666663</v>
      </c>
      <c r="F486" s="212"/>
      <c r="G486" s="196" t="s">
        <v>1331</v>
      </c>
      <c r="H486" s="215" t="s">
        <v>1597</v>
      </c>
      <c r="I486" s="217"/>
    </row>
    <row r="487" spans="1:9" ht="14.4" x14ac:dyDescent="0.3">
      <c r="A487" s="197"/>
      <c r="B487" s="198" t="s">
        <v>313</v>
      </c>
      <c r="C487" s="199" t="s">
        <v>314</v>
      </c>
      <c r="D487" s="200" t="s">
        <v>1267</v>
      </c>
      <c r="E487" s="196">
        <v>0.41666666666666669</v>
      </c>
      <c r="F487" s="212"/>
      <c r="G487" s="196">
        <v>0.5</v>
      </c>
      <c r="H487" s="215">
        <v>205</v>
      </c>
      <c r="I487" s="216"/>
    </row>
    <row r="488" spans="1:9" ht="14.4" x14ac:dyDescent="0.3">
      <c r="A488" s="197"/>
      <c r="B488" s="198" t="s">
        <v>313</v>
      </c>
      <c r="C488" s="199" t="s">
        <v>314</v>
      </c>
      <c r="D488" s="200" t="s">
        <v>1267</v>
      </c>
      <c r="E488" s="201">
        <v>0.54166666666666663</v>
      </c>
      <c r="F488" s="212"/>
      <c r="G488" s="201" t="s">
        <v>1331</v>
      </c>
      <c r="H488" s="215">
        <v>211</v>
      </c>
      <c r="I488" s="216"/>
    </row>
    <row r="489" spans="1:9" ht="14.4" x14ac:dyDescent="0.3">
      <c r="A489" s="197"/>
      <c r="B489" s="198" t="s">
        <v>315</v>
      </c>
      <c r="C489" s="199" t="s">
        <v>316</v>
      </c>
      <c r="D489" s="200" t="s">
        <v>1247</v>
      </c>
      <c r="E489" s="202">
        <v>0.60416666666666663</v>
      </c>
      <c r="F489" s="212"/>
      <c r="G489" s="201">
        <v>0.66666666666666663</v>
      </c>
      <c r="H489" s="215">
        <v>508</v>
      </c>
      <c r="I489" s="216"/>
    </row>
    <row r="490" spans="1:9" ht="14.4" x14ac:dyDescent="0.3">
      <c r="A490" s="197"/>
      <c r="B490" s="198" t="s">
        <v>317</v>
      </c>
      <c r="C490" s="199" t="s">
        <v>318</v>
      </c>
      <c r="D490" s="200" t="s">
        <v>1247</v>
      </c>
      <c r="E490" s="201">
        <v>0.66666666666666663</v>
      </c>
      <c r="F490" s="212"/>
      <c r="G490" s="201">
        <v>0.72916666666666663</v>
      </c>
      <c r="H490" s="215">
        <v>410</v>
      </c>
      <c r="I490" s="216"/>
    </row>
    <row r="491" spans="1:9" ht="14.4" x14ac:dyDescent="0.3">
      <c r="A491" s="197"/>
      <c r="B491" s="198" t="s">
        <v>319</v>
      </c>
      <c r="C491" s="199" t="s">
        <v>320</v>
      </c>
      <c r="D491" s="200" t="s">
        <v>1226</v>
      </c>
      <c r="E491" s="201">
        <v>0.4375</v>
      </c>
      <c r="F491" s="212"/>
      <c r="G491" s="201" t="s">
        <v>1425</v>
      </c>
      <c r="H491" s="215">
        <v>402</v>
      </c>
      <c r="I491" s="216"/>
    </row>
    <row r="492" spans="1:9" ht="14.4" x14ac:dyDescent="0.3">
      <c r="A492" s="197"/>
      <c r="B492" s="203"/>
      <c r="C492" s="204"/>
      <c r="D492" s="205"/>
      <c r="E492" s="206"/>
      <c r="F492" s="218"/>
      <c r="G492" s="206"/>
      <c r="H492" s="219"/>
      <c r="I492" s="220"/>
    </row>
    <row r="493" spans="1:9" ht="15" thickBot="1" x14ac:dyDescent="0.35">
      <c r="A493" s="207"/>
      <c r="B493" s="208"/>
      <c r="C493" s="209"/>
      <c r="D493" s="210"/>
      <c r="E493" s="211"/>
      <c r="F493" s="221"/>
      <c r="G493" s="211"/>
      <c r="H493" s="222"/>
      <c r="I493" s="223"/>
    </row>
    <row r="494" spans="1:9" ht="14.4" thickBot="1" x14ac:dyDescent="0.35"/>
    <row r="495" spans="1:9" ht="14.4" thickBot="1" x14ac:dyDescent="0.35">
      <c r="A495" s="226" t="s">
        <v>1204</v>
      </c>
      <c r="B495" s="224" t="s">
        <v>1434</v>
      </c>
      <c r="C495" s="224" t="s">
        <v>1435</v>
      </c>
      <c r="D495" s="224" t="s">
        <v>1207</v>
      </c>
      <c r="E495" s="368" t="s">
        <v>1208</v>
      </c>
      <c r="F495" s="368"/>
      <c r="G495" s="368"/>
      <c r="H495" s="224" t="s">
        <v>1209</v>
      </c>
      <c r="I495" s="225" t="s">
        <v>1436</v>
      </c>
    </row>
    <row r="496" spans="1:9" ht="14.4" x14ac:dyDescent="0.3">
      <c r="A496" s="197" t="s">
        <v>1598</v>
      </c>
      <c r="B496" s="193" t="s">
        <v>309</v>
      </c>
      <c r="C496" s="194" t="s">
        <v>310</v>
      </c>
      <c r="D496" s="195" t="s">
        <v>1247</v>
      </c>
      <c r="E496" s="196" t="s">
        <v>1316</v>
      </c>
      <c r="F496" s="212"/>
      <c r="G496" s="196" t="s">
        <v>1294</v>
      </c>
      <c r="H496" s="213">
        <v>212</v>
      </c>
      <c r="I496" s="214"/>
    </row>
    <row r="497" spans="1:9" ht="14.4" x14ac:dyDescent="0.3">
      <c r="A497" s="197"/>
      <c r="B497" s="198" t="s">
        <v>185</v>
      </c>
      <c r="C497" s="199" t="s">
        <v>186</v>
      </c>
      <c r="D497" s="200" t="s">
        <v>1247</v>
      </c>
      <c r="E497" s="201">
        <v>0.41666666666666669</v>
      </c>
      <c r="F497" s="212"/>
      <c r="G497" s="201">
        <v>0.47916666666666669</v>
      </c>
      <c r="H497" s="215">
        <v>304</v>
      </c>
      <c r="I497" s="216"/>
    </row>
    <row r="498" spans="1:9" ht="14.4" x14ac:dyDescent="0.3">
      <c r="A498" s="197"/>
      <c r="B498" s="198" t="s">
        <v>274</v>
      </c>
      <c r="C498" s="199" t="s">
        <v>275</v>
      </c>
      <c r="D498" s="200" t="s">
        <v>1446</v>
      </c>
      <c r="E498" s="201">
        <v>0.66666666666666663</v>
      </c>
      <c r="F498" s="212"/>
      <c r="G498" s="201">
        <v>0.72916666666666663</v>
      </c>
      <c r="H498" s="215">
        <v>503</v>
      </c>
      <c r="I498" s="216"/>
    </row>
    <row r="499" spans="1:9" ht="14.4" x14ac:dyDescent="0.3">
      <c r="A499" s="197"/>
      <c r="B499" s="198" t="s">
        <v>311</v>
      </c>
      <c r="C499" s="199" t="s">
        <v>312</v>
      </c>
      <c r="D499" s="200" t="s">
        <v>1267</v>
      </c>
      <c r="E499" s="201" t="s">
        <v>1311</v>
      </c>
      <c r="F499" s="212"/>
      <c r="G499" s="201">
        <v>0.5</v>
      </c>
      <c r="H499" s="215">
        <v>410</v>
      </c>
      <c r="I499" s="217"/>
    </row>
    <row r="500" spans="1:9" ht="14.4" x14ac:dyDescent="0.3">
      <c r="A500" s="197"/>
      <c r="B500" s="198" t="s">
        <v>311</v>
      </c>
      <c r="C500" s="199" t="s">
        <v>312</v>
      </c>
      <c r="D500" s="200" t="s">
        <v>1267</v>
      </c>
      <c r="E500" s="196">
        <v>0.54166666666666663</v>
      </c>
      <c r="F500" s="212"/>
      <c r="G500" s="196" t="s">
        <v>1331</v>
      </c>
      <c r="H500" s="215" t="s">
        <v>1597</v>
      </c>
      <c r="I500" s="217"/>
    </row>
    <row r="501" spans="1:9" ht="14.4" x14ac:dyDescent="0.3">
      <c r="A501" s="197"/>
      <c r="B501" s="198" t="s">
        <v>313</v>
      </c>
      <c r="C501" s="199" t="s">
        <v>314</v>
      </c>
      <c r="D501" s="200" t="s">
        <v>1224</v>
      </c>
      <c r="E501" s="196" t="s">
        <v>1311</v>
      </c>
      <c r="F501" s="212"/>
      <c r="G501" s="196">
        <v>0.5</v>
      </c>
      <c r="H501" s="215">
        <v>205</v>
      </c>
      <c r="I501" s="216"/>
    </row>
    <row r="502" spans="1:9" ht="14.4" x14ac:dyDescent="0.3">
      <c r="A502" s="197"/>
      <c r="B502" s="198" t="s">
        <v>313</v>
      </c>
      <c r="C502" s="199" t="s">
        <v>314</v>
      </c>
      <c r="D502" s="200" t="s">
        <v>1224</v>
      </c>
      <c r="E502" s="201">
        <v>0.54166666666666663</v>
      </c>
      <c r="F502" s="212"/>
      <c r="G502" s="201" t="s">
        <v>1331</v>
      </c>
      <c r="H502" s="215">
        <v>211</v>
      </c>
      <c r="I502" s="216"/>
    </row>
    <row r="503" spans="1:9" ht="14.4" x14ac:dyDescent="0.3">
      <c r="A503" s="197"/>
      <c r="B503" s="198" t="s">
        <v>315</v>
      </c>
      <c r="C503" s="199" t="s">
        <v>316</v>
      </c>
      <c r="D503" s="200" t="s">
        <v>1247</v>
      </c>
      <c r="E503" s="202" t="s">
        <v>1294</v>
      </c>
      <c r="F503" s="212"/>
      <c r="G503" s="201" t="s">
        <v>1331</v>
      </c>
      <c r="H503" s="215">
        <v>410</v>
      </c>
      <c r="I503" s="216"/>
    </row>
    <row r="504" spans="1:9" ht="14.4" x14ac:dyDescent="0.3">
      <c r="A504" s="197"/>
      <c r="B504" s="198" t="s">
        <v>317</v>
      </c>
      <c r="C504" s="199" t="s">
        <v>318</v>
      </c>
      <c r="D504" s="200" t="s">
        <v>1226</v>
      </c>
      <c r="E504" s="201">
        <v>0.41666666666666669</v>
      </c>
      <c r="F504" s="212"/>
      <c r="G504" s="201" t="s">
        <v>1316</v>
      </c>
      <c r="H504" s="215">
        <v>407</v>
      </c>
      <c r="I504" s="216"/>
    </row>
    <row r="505" spans="1:9" ht="14.4" x14ac:dyDescent="0.3">
      <c r="A505" s="197"/>
      <c r="B505" s="198" t="s">
        <v>319</v>
      </c>
      <c r="C505" s="199" t="s">
        <v>320</v>
      </c>
      <c r="D505" s="200" t="s">
        <v>1226</v>
      </c>
      <c r="E505" s="201" t="s">
        <v>1294</v>
      </c>
      <c r="F505" s="212"/>
      <c r="G505" s="201" t="s">
        <v>1351</v>
      </c>
      <c r="H505" s="215">
        <v>402</v>
      </c>
      <c r="I505" s="216"/>
    </row>
    <row r="506" spans="1:9" ht="14.4" x14ac:dyDescent="0.3">
      <c r="A506" s="197"/>
      <c r="B506" s="203"/>
      <c r="C506" s="204"/>
      <c r="D506" s="205"/>
      <c r="E506" s="206"/>
      <c r="F506" s="218"/>
      <c r="G506" s="206"/>
      <c r="H506" s="219"/>
      <c r="I506" s="220"/>
    </row>
    <row r="507" spans="1:9" ht="15" thickBot="1" x14ac:dyDescent="0.35">
      <c r="A507" s="207"/>
      <c r="B507" s="208"/>
      <c r="C507" s="209"/>
      <c r="D507" s="210"/>
      <c r="E507" s="211"/>
      <c r="F507" s="221"/>
      <c r="G507" s="211"/>
      <c r="H507" s="222"/>
      <c r="I507" s="223"/>
    </row>
    <row r="508" spans="1:9" ht="14.4" thickBot="1" x14ac:dyDescent="0.35"/>
    <row r="509" spans="1:9" ht="14.4" thickBot="1" x14ac:dyDescent="0.35">
      <c r="A509" s="226" t="s">
        <v>1204</v>
      </c>
      <c r="B509" s="224" t="s">
        <v>1434</v>
      </c>
      <c r="C509" s="224" t="s">
        <v>1435</v>
      </c>
      <c r="D509" s="224" t="s">
        <v>1207</v>
      </c>
      <c r="E509" s="368" t="s">
        <v>1208</v>
      </c>
      <c r="F509" s="368"/>
      <c r="G509" s="368"/>
      <c r="H509" s="224" t="s">
        <v>1209</v>
      </c>
      <c r="I509" s="225" t="s">
        <v>1436</v>
      </c>
    </row>
    <row r="510" spans="1:9" ht="14.4" x14ac:dyDescent="0.3">
      <c r="A510" s="197" t="s">
        <v>1599</v>
      </c>
      <c r="B510" s="193" t="s">
        <v>121</v>
      </c>
      <c r="C510" s="194" t="s">
        <v>122</v>
      </c>
      <c r="D510" s="195" t="s">
        <v>1446</v>
      </c>
      <c r="E510" s="196">
        <v>0.54166666666666663</v>
      </c>
      <c r="F510" s="212"/>
      <c r="G510" s="196">
        <v>0.60416666666666663</v>
      </c>
      <c r="H510" s="213">
        <v>305</v>
      </c>
      <c r="I510" s="214"/>
    </row>
    <row r="511" spans="1:9" ht="14.4" x14ac:dyDescent="0.3">
      <c r="A511" s="197"/>
      <c r="B511" s="198" t="s">
        <v>167</v>
      </c>
      <c r="C511" s="199" t="s">
        <v>168</v>
      </c>
      <c r="D511" s="200" t="s">
        <v>1280</v>
      </c>
      <c r="E511" s="201" t="s">
        <v>1361</v>
      </c>
      <c r="F511" s="212"/>
      <c r="G511" s="201" t="s">
        <v>1316</v>
      </c>
      <c r="H511" s="215" t="s">
        <v>1592</v>
      </c>
      <c r="I511" s="216"/>
    </row>
    <row r="512" spans="1:9" ht="14.4" x14ac:dyDescent="0.3">
      <c r="A512" s="197"/>
      <c r="B512" s="198" t="s">
        <v>144</v>
      </c>
      <c r="C512" s="199" t="s">
        <v>145</v>
      </c>
      <c r="D512" s="200" t="s">
        <v>1446</v>
      </c>
      <c r="E512" s="201">
        <v>0.60416666666666663</v>
      </c>
      <c r="F512" s="212"/>
      <c r="G512" s="201">
        <v>0.66666666666666663</v>
      </c>
      <c r="H512" s="215">
        <v>307</v>
      </c>
      <c r="I512" s="216"/>
    </row>
    <row r="513" spans="1:9" ht="14.4" x14ac:dyDescent="0.3">
      <c r="A513" s="197"/>
      <c r="B513" s="198" t="s">
        <v>322</v>
      </c>
      <c r="C513" s="199" t="s">
        <v>323</v>
      </c>
      <c r="D513" s="200" t="s">
        <v>1443</v>
      </c>
      <c r="E513" s="201">
        <v>0.29166666666666669</v>
      </c>
      <c r="F513" s="212"/>
      <c r="G513" s="201">
        <v>0.45833333333333331</v>
      </c>
      <c r="H513" s="215" t="s">
        <v>1597</v>
      </c>
      <c r="I513" s="217"/>
    </row>
    <row r="514" spans="1:9" ht="14.4" x14ac:dyDescent="0.3">
      <c r="A514" s="197"/>
      <c r="B514" s="198" t="s">
        <v>324</v>
      </c>
      <c r="C514" s="199" t="s">
        <v>325</v>
      </c>
      <c r="D514" s="200" t="s">
        <v>1285</v>
      </c>
      <c r="E514" s="196" t="s">
        <v>1316</v>
      </c>
      <c r="F514" s="212"/>
      <c r="G514" s="196" t="s">
        <v>1402</v>
      </c>
      <c r="H514" s="215" t="s">
        <v>1592</v>
      </c>
      <c r="I514" s="217"/>
    </row>
    <row r="515" spans="1:9" ht="14.4" x14ac:dyDescent="0.3">
      <c r="A515" s="197"/>
      <c r="B515" s="198"/>
      <c r="C515" s="199"/>
      <c r="D515" s="200" t="s">
        <v>1285</v>
      </c>
      <c r="E515" s="196">
        <v>0.625</v>
      </c>
      <c r="F515" s="212"/>
      <c r="G515" s="196" t="s">
        <v>1438</v>
      </c>
      <c r="H515" s="215" t="s">
        <v>1592</v>
      </c>
      <c r="I515" s="216"/>
    </row>
    <row r="516" spans="1:9" ht="14.4" x14ac:dyDescent="0.3">
      <c r="A516" s="197"/>
      <c r="B516" s="198"/>
      <c r="C516" s="199"/>
      <c r="D516" s="200"/>
      <c r="E516" s="201"/>
      <c r="F516" s="212"/>
      <c r="G516" s="201"/>
      <c r="H516" s="215"/>
      <c r="I516" s="216"/>
    </row>
    <row r="517" spans="1:9" ht="14.4" x14ac:dyDescent="0.3">
      <c r="A517" s="197"/>
      <c r="B517" s="198"/>
      <c r="C517" s="199"/>
      <c r="D517" s="200"/>
      <c r="E517" s="202"/>
      <c r="F517" s="212"/>
      <c r="G517" s="201"/>
      <c r="H517" s="215"/>
      <c r="I517" s="216"/>
    </row>
    <row r="518" spans="1:9" ht="14.4" x14ac:dyDescent="0.3">
      <c r="A518" s="197"/>
      <c r="B518" s="198"/>
      <c r="C518" s="199"/>
      <c r="D518" s="200"/>
      <c r="E518" s="201"/>
      <c r="F518" s="212"/>
      <c r="G518" s="201"/>
      <c r="H518" s="215"/>
      <c r="I518" s="216"/>
    </row>
    <row r="519" spans="1:9" ht="14.4" x14ac:dyDescent="0.3">
      <c r="A519" s="197"/>
      <c r="B519" s="198"/>
      <c r="C519" s="199"/>
      <c r="D519" s="200"/>
      <c r="E519" s="201"/>
      <c r="F519" s="212"/>
      <c r="G519" s="201"/>
      <c r="H519" s="215"/>
      <c r="I519" s="216"/>
    </row>
    <row r="520" spans="1:9" ht="14.4" x14ac:dyDescent="0.3">
      <c r="A520" s="197"/>
      <c r="B520" s="203"/>
      <c r="C520" s="204"/>
      <c r="D520" s="205"/>
      <c r="E520" s="206"/>
      <c r="F520" s="218"/>
      <c r="G520" s="206"/>
      <c r="H520" s="219"/>
      <c r="I520" s="220"/>
    </row>
    <row r="521" spans="1:9" ht="15" thickBot="1" x14ac:dyDescent="0.35">
      <c r="A521" s="207"/>
      <c r="B521" s="208"/>
      <c r="C521" s="209"/>
      <c r="D521" s="210"/>
      <c r="E521" s="211"/>
      <c r="F521" s="221"/>
      <c r="G521" s="211"/>
      <c r="H521" s="222"/>
      <c r="I521" s="223"/>
    </row>
    <row r="522" spans="1:9" ht="14.4" thickBot="1" x14ac:dyDescent="0.35"/>
    <row r="523" spans="1:9" ht="14.4" thickBot="1" x14ac:dyDescent="0.35">
      <c r="A523" s="226" t="s">
        <v>1204</v>
      </c>
      <c r="B523" s="224" t="s">
        <v>1434</v>
      </c>
      <c r="C523" s="224" t="s">
        <v>1435</v>
      </c>
      <c r="D523" s="224" t="s">
        <v>1207</v>
      </c>
      <c r="E523" s="368" t="s">
        <v>1208</v>
      </c>
      <c r="F523" s="368"/>
      <c r="G523" s="368"/>
      <c r="H523" s="224" t="s">
        <v>1209</v>
      </c>
      <c r="I523" s="225" t="s">
        <v>1436</v>
      </c>
    </row>
    <row r="524" spans="1:9" ht="14.4" x14ac:dyDescent="0.3">
      <c r="A524" s="197" t="s">
        <v>1600</v>
      </c>
      <c r="B524" s="193" t="s">
        <v>121</v>
      </c>
      <c r="C524" s="194" t="s">
        <v>122</v>
      </c>
      <c r="D524" s="195" t="s">
        <v>1585</v>
      </c>
      <c r="E524" s="196" t="s">
        <v>1294</v>
      </c>
      <c r="F524" s="212"/>
      <c r="G524" s="196" t="s">
        <v>1331</v>
      </c>
      <c r="H524" s="213"/>
      <c r="I524" s="214"/>
    </row>
    <row r="525" spans="1:9" ht="14.4" x14ac:dyDescent="0.3">
      <c r="A525" s="197"/>
      <c r="B525" s="198" t="s">
        <v>167</v>
      </c>
      <c r="C525" s="199" t="s">
        <v>168</v>
      </c>
      <c r="D525" s="200"/>
      <c r="E525" s="201"/>
      <c r="F525" s="212"/>
      <c r="G525" s="201"/>
      <c r="H525" s="215"/>
      <c r="I525" s="216"/>
    </row>
    <row r="526" spans="1:9" ht="14.4" x14ac:dyDescent="0.3">
      <c r="A526" s="197"/>
      <c r="B526" s="198" t="s">
        <v>144</v>
      </c>
      <c r="C526" s="199" t="s">
        <v>145</v>
      </c>
      <c r="D526" s="200" t="s">
        <v>1585</v>
      </c>
      <c r="E526" s="201" t="s">
        <v>1331</v>
      </c>
      <c r="F526" s="212"/>
      <c r="G526" s="201" t="s">
        <v>1351</v>
      </c>
      <c r="H526" s="215"/>
      <c r="I526" s="216"/>
    </row>
    <row r="527" spans="1:9" ht="14.4" x14ac:dyDescent="0.3">
      <c r="A527" s="197"/>
      <c r="B527" s="198" t="s">
        <v>322</v>
      </c>
      <c r="C527" s="199" t="s">
        <v>323</v>
      </c>
      <c r="D527" s="200" t="s">
        <v>1443</v>
      </c>
      <c r="E527" s="201" t="s">
        <v>1361</v>
      </c>
      <c r="F527" s="212"/>
      <c r="G527" s="201" t="s">
        <v>1316</v>
      </c>
      <c r="H527" s="215"/>
      <c r="I527" s="217"/>
    </row>
    <row r="528" spans="1:9" ht="14.4" x14ac:dyDescent="0.3">
      <c r="A528" s="197"/>
      <c r="B528" s="198" t="s">
        <v>322</v>
      </c>
      <c r="C528" s="199" t="s">
        <v>323</v>
      </c>
      <c r="D528" s="200" t="s">
        <v>1443</v>
      </c>
      <c r="E528" s="196" t="s">
        <v>1316</v>
      </c>
      <c r="F528" s="212"/>
      <c r="G528" s="196" t="s">
        <v>1331</v>
      </c>
      <c r="H528" s="215"/>
      <c r="I528" s="217"/>
    </row>
    <row r="529" spans="1:9" ht="14.4" x14ac:dyDescent="0.3">
      <c r="A529" s="197"/>
      <c r="B529" s="198" t="s">
        <v>324</v>
      </c>
      <c r="C529" s="199" t="s">
        <v>325</v>
      </c>
      <c r="D529" s="200" t="s">
        <v>1280</v>
      </c>
      <c r="E529" s="196" t="s">
        <v>1316</v>
      </c>
      <c r="F529" s="212"/>
      <c r="G529" s="196" t="s">
        <v>1402</v>
      </c>
      <c r="H529" s="215"/>
      <c r="I529" s="216"/>
    </row>
    <row r="530" spans="1:9" ht="14.4" x14ac:dyDescent="0.3">
      <c r="A530" s="197"/>
      <c r="B530" s="198" t="s">
        <v>324</v>
      </c>
      <c r="C530" s="199" t="s">
        <v>325</v>
      </c>
      <c r="D530" s="200" t="s">
        <v>1280</v>
      </c>
      <c r="E530" s="201" t="s">
        <v>1402</v>
      </c>
      <c r="F530" s="212"/>
      <c r="G530" s="201" t="s">
        <v>1438</v>
      </c>
      <c r="H530" s="215"/>
      <c r="I530" s="216"/>
    </row>
    <row r="531" spans="1:9" ht="14.4" x14ac:dyDescent="0.3">
      <c r="A531" s="197"/>
      <c r="B531" s="198"/>
      <c r="C531" s="199"/>
      <c r="D531" s="200"/>
      <c r="E531" s="202"/>
      <c r="F531" s="212"/>
      <c r="G531" s="201"/>
      <c r="H531" s="215"/>
      <c r="I531" s="216"/>
    </row>
    <row r="532" spans="1:9" ht="14.4" x14ac:dyDescent="0.3">
      <c r="A532" s="197"/>
      <c r="B532" s="198"/>
      <c r="C532" s="199"/>
      <c r="D532" s="200"/>
      <c r="E532" s="201"/>
      <c r="F532" s="212"/>
      <c r="G532" s="201"/>
      <c r="H532" s="215"/>
      <c r="I532" s="216"/>
    </row>
    <row r="533" spans="1:9" ht="14.4" x14ac:dyDescent="0.3">
      <c r="A533" s="197"/>
      <c r="B533" s="198"/>
      <c r="C533" s="199"/>
      <c r="D533" s="200"/>
      <c r="E533" s="201"/>
      <c r="F533" s="212"/>
      <c r="G533" s="201"/>
      <c r="H533" s="215"/>
      <c r="I533" s="216"/>
    </row>
    <row r="534" spans="1:9" ht="14.4" x14ac:dyDescent="0.3">
      <c r="A534" s="197"/>
      <c r="B534" s="203"/>
      <c r="C534" s="204"/>
      <c r="D534" s="205"/>
      <c r="E534" s="206"/>
      <c r="F534" s="218"/>
      <c r="G534" s="206"/>
      <c r="H534" s="219"/>
      <c r="I534" s="220"/>
    </row>
    <row r="535" spans="1:9" ht="15" thickBot="1" x14ac:dyDescent="0.35">
      <c r="A535" s="207"/>
      <c r="B535" s="208"/>
      <c r="C535" s="209"/>
      <c r="D535" s="210"/>
      <c r="E535" s="211"/>
      <c r="F535" s="221"/>
      <c r="G535" s="211"/>
      <c r="H535" s="222"/>
      <c r="I535" s="223"/>
    </row>
    <row r="536" spans="1:9" ht="14.4" thickBot="1" x14ac:dyDescent="0.35"/>
    <row r="537" spans="1:9" ht="14.4" thickBot="1" x14ac:dyDescent="0.35">
      <c r="A537" s="226" t="s">
        <v>1204</v>
      </c>
      <c r="B537" s="224" t="s">
        <v>1434</v>
      </c>
      <c r="C537" s="224" t="s">
        <v>1435</v>
      </c>
      <c r="D537" s="224" t="s">
        <v>1207</v>
      </c>
      <c r="E537" s="368" t="s">
        <v>1208</v>
      </c>
      <c r="F537" s="368"/>
      <c r="G537" s="368"/>
      <c r="H537" s="224" t="s">
        <v>1209</v>
      </c>
      <c r="I537" s="225" t="s">
        <v>1436</v>
      </c>
    </row>
    <row r="538" spans="1:9" ht="14.4" x14ac:dyDescent="0.3">
      <c r="A538" s="197" t="s">
        <v>1601</v>
      </c>
      <c r="B538" s="193" t="s">
        <v>123</v>
      </c>
      <c r="C538" s="194" t="s">
        <v>124</v>
      </c>
      <c r="D538" s="195"/>
      <c r="E538" s="196"/>
      <c r="F538" s="212"/>
      <c r="G538" s="196"/>
      <c r="H538" s="213"/>
      <c r="I538" s="214"/>
    </row>
    <row r="539" spans="1:9" ht="14.4" x14ac:dyDescent="0.3">
      <c r="A539" s="197"/>
      <c r="B539" s="198" t="s">
        <v>217</v>
      </c>
      <c r="C539" s="199" t="s">
        <v>218</v>
      </c>
      <c r="D539" s="200" t="s">
        <v>1226</v>
      </c>
      <c r="E539" s="201">
        <v>0.29166666666666669</v>
      </c>
      <c r="F539" s="212"/>
      <c r="G539" s="201">
        <v>0.41666666666666669</v>
      </c>
      <c r="H539" s="215">
        <v>206</v>
      </c>
      <c r="I539" s="216" t="s">
        <v>1566</v>
      </c>
    </row>
    <row r="540" spans="1:9" ht="14.4" x14ac:dyDescent="0.3">
      <c r="A540" s="197"/>
      <c r="B540" s="198" t="s">
        <v>128</v>
      </c>
      <c r="C540" s="199" t="s">
        <v>129</v>
      </c>
      <c r="D540" s="200" t="s">
        <v>1247</v>
      </c>
      <c r="E540" s="201">
        <v>0.35416666666666669</v>
      </c>
      <c r="F540" s="212"/>
      <c r="G540" s="201">
        <v>0.41666666666666669</v>
      </c>
      <c r="H540" s="215">
        <v>409</v>
      </c>
      <c r="I540" s="216" t="s">
        <v>1473</v>
      </c>
    </row>
    <row r="541" spans="1:9" ht="14.4" x14ac:dyDescent="0.3">
      <c r="A541" s="197"/>
      <c r="B541" s="198" t="s">
        <v>130</v>
      </c>
      <c r="C541" s="199" t="s">
        <v>292</v>
      </c>
      <c r="D541" s="200" t="s">
        <v>1226</v>
      </c>
      <c r="E541" s="201">
        <v>0.45833333333333331</v>
      </c>
      <c r="F541" s="212"/>
      <c r="G541" s="201">
        <v>0.54166666666666663</v>
      </c>
      <c r="H541" s="215" t="s">
        <v>1221</v>
      </c>
      <c r="I541" s="217" t="s">
        <v>1468</v>
      </c>
    </row>
    <row r="542" spans="1:9" ht="14.4" x14ac:dyDescent="0.3">
      <c r="A542" s="197"/>
      <c r="B542" s="198" t="s">
        <v>139</v>
      </c>
      <c r="C542" s="199" t="s">
        <v>140</v>
      </c>
      <c r="D542" s="200" t="s">
        <v>1446</v>
      </c>
      <c r="E542" s="196">
        <v>0.47916666666666669</v>
      </c>
      <c r="F542" s="212"/>
      <c r="G542" s="196">
        <v>0.54166666666666663</v>
      </c>
      <c r="H542" s="215">
        <v>301</v>
      </c>
      <c r="I542" s="217"/>
    </row>
    <row r="543" spans="1:9" ht="14.4" x14ac:dyDescent="0.3">
      <c r="A543" s="197"/>
      <c r="B543" s="198" t="s">
        <v>134</v>
      </c>
      <c r="C543" s="199" t="s">
        <v>135</v>
      </c>
      <c r="D543" s="200" t="s">
        <v>1446</v>
      </c>
      <c r="E543" s="196">
        <v>0.35416666666666669</v>
      </c>
      <c r="F543" s="212"/>
      <c r="G543" s="196">
        <v>0.41666666666666669</v>
      </c>
      <c r="H543" s="215">
        <v>304</v>
      </c>
      <c r="I543" s="216"/>
    </row>
    <row r="544" spans="1:9" ht="14.4" x14ac:dyDescent="0.3">
      <c r="A544" s="197"/>
      <c r="B544" s="198" t="s">
        <v>293</v>
      </c>
      <c r="C544" s="199" t="s">
        <v>294</v>
      </c>
      <c r="D544" s="200" t="s">
        <v>1585</v>
      </c>
      <c r="E544" s="201">
        <v>0.29166666666666669</v>
      </c>
      <c r="F544" s="212"/>
      <c r="G544" s="201">
        <v>0.35416666666666669</v>
      </c>
      <c r="H544" s="215">
        <v>410</v>
      </c>
      <c r="I544" s="216"/>
    </row>
    <row r="545" spans="1:9" ht="14.4" x14ac:dyDescent="0.3">
      <c r="A545" s="197"/>
      <c r="B545" s="198" t="s">
        <v>295</v>
      </c>
      <c r="C545" s="199" t="s">
        <v>296</v>
      </c>
      <c r="D545" s="200" t="s">
        <v>1247</v>
      </c>
      <c r="E545" s="202">
        <v>0.29166666666666669</v>
      </c>
      <c r="F545" s="212"/>
      <c r="G545" s="201">
        <v>0.35416666666666669</v>
      </c>
      <c r="H545" s="215">
        <v>402</v>
      </c>
      <c r="I545" s="216"/>
    </row>
    <row r="546" spans="1:9" ht="14.4" x14ac:dyDescent="0.3">
      <c r="A546" s="197"/>
      <c r="B546" s="198"/>
      <c r="C546" s="199"/>
      <c r="D546" s="200"/>
      <c r="E546" s="201"/>
      <c r="F546" s="212"/>
      <c r="G546" s="201"/>
      <c r="H546" s="215"/>
      <c r="I546" s="216"/>
    </row>
    <row r="547" spans="1:9" ht="14.4" x14ac:dyDescent="0.3">
      <c r="A547" s="197"/>
      <c r="B547" s="198"/>
      <c r="C547" s="199"/>
      <c r="D547" s="200"/>
      <c r="E547" s="201"/>
      <c r="F547" s="212"/>
      <c r="G547" s="201"/>
      <c r="H547" s="215"/>
      <c r="I547" s="216"/>
    </row>
    <row r="548" spans="1:9" ht="14.4" x14ac:dyDescent="0.3">
      <c r="A548" s="197"/>
      <c r="B548" s="203"/>
      <c r="C548" s="204"/>
      <c r="D548" s="205"/>
      <c r="E548" s="206"/>
      <c r="F548" s="218"/>
      <c r="G548" s="206"/>
      <c r="H548" s="219"/>
      <c r="I548" s="220"/>
    </row>
    <row r="549" spans="1:9" ht="15" thickBot="1" x14ac:dyDescent="0.35">
      <c r="A549" s="207"/>
      <c r="B549" s="208"/>
      <c r="C549" s="209"/>
      <c r="D549" s="210"/>
      <c r="E549" s="211"/>
      <c r="F549" s="221"/>
      <c r="G549" s="211"/>
      <c r="H549" s="222"/>
      <c r="I549" s="223"/>
    </row>
    <row r="550" spans="1:9" ht="14.4" thickBot="1" x14ac:dyDescent="0.35"/>
    <row r="551" spans="1:9" ht="14.4" thickBot="1" x14ac:dyDescent="0.35">
      <c r="A551" s="226" t="s">
        <v>1204</v>
      </c>
      <c r="B551" s="224" t="s">
        <v>1434</v>
      </c>
      <c r="C551" s="224" t="s">
        <v>1435</v>
      </c>
      <c r="D551" s="224" t="s">
        <v>1207</v>
      </c>
      <c r="E551" s="368" t="s">
        <v>1208</v>
      </c>
      <c r="F551" s="368"/>
      <c r="G551" s="368"/>
      <c r="H551" s="224" t="s">
        <v>1209</v>
      </c>
      <c r="I551" s="225" t="s">
        <v>1436</v>
      </c>
    </row>
    <row r="552" spans="1:9" ht="14.4" x14ac:dyDescent="0.3">
      <c r="A552" s="197" t="s">
        <v>1602</v>
      </c>
      <c r="B552" s="193" t="s">
        <v>123</v>
      </c>
      <c r="C552" s="194" t="s">
        <v>124</v>
      </c>
      <c r="D552" s="195"/>
      <c r="E552" s="196"/>
      <c r="F552" s="212"/>
      <c r="G552" s="196"/>
      <c r="H552" s="213"/>
      <c r="I552" s="214"/>
    </row>
    <row r="553" spans="1:9" ht="14.4" x14ac:dyDescent="0.3">
      <c r="A553" s="197"/>
      <c r="B553" s="198" t="s">
        <v>217</v>
      </c>
      <c r="C553" s="199" t="s">
        <v>218</v>
      </c>
      <c r="D553" s="200" t="s">
        <v>1446</v>
      </c>
      <c r="E553" s="201">
        <v>0.54166666666666663</v>
      </c>
      <c r="F553" s="212"/>
      <c r="G553" s="201">
        <v>0.60416666666666663</v>
      </c>
      <c r="H553" s="215">
        <v>410</v>
      </c>
      <c r="I553" s="216"/>
    </row>
    <row r="554" spans="1:9" ht="14.4" x14ac:dyDescent="0.3">
      <c r="A554" s="197"/>
      <c r="B554" s="198" t="s">
        <v>128</v>
      </c>
      <c r="C554" s="199" t="s">
        <v>129</v>
      </c>
      <c r="D554" s="200" t="s">
        <v>1226</v>
      </c>
      <c r="E554" s="201">
        <v>0.41666666666666669</v>
      </c>
      <c r="F554" s="212"/>
      <c r="G554" s="201">
        <v>0.54166666666666663</v>
      </c>
      <c r="H554" s="215">
        <v>409</v>
      </c>
      <c r="I554" s="216" t="s">
        <v>1448</v>
      </c>
    </row>
    <row r="555" spans="1:9" ht="14.4" x14ac:dyDescent="0.3">
      <c r="A555" s="197"/>
      <c r="B555" s="198" t="s">
        <v>130</v>
      </c>
      <c r="C555" s="199" t="s">
        <v>292</v>
      </c>
      <c r="D555" s="200" t="s">
        <v>1267</v>
      </c>
      <c r="E555" s="201">
        <v>0.60416666666666663</v>
      </c>
      <c r="F555" s="212"/>
      <c r="G555" s="201">
        <v>0.6875</v>
      </c>
      <c r="H555" s="215" t="s">
        <v>1221</v>
      </c>
      <c r="I555" s="217" t="s">
        <v>1488</v>
      </c>
    </row>
    <row r="556" spans="1:9" ht="14.4" x14ac:dyDescent="0.3">
      <c r="A556" s="197"/>
      <c r="B556" s="198" t="s">
        <v>139</v>
      </c>
      <c r="C556" s="199" t="s">
        <v>140</v>
      </c>
      <c r="D556" s="200" t="s">
        <v>1446</v>
      </c>
      <c r="E556" s="196">
        <v>0.41666666666666669</v>
      </c>
      <c r="F556" s="212"/>
      <c r="G556" s="196">
        <v>0.47916666666666669</v>
      </c>
      <c r="H556" s="215">
        <v>303</v>
      </c>
      <c r="I556" s="217"/>
    </row>
    <row r="557" spans="1:9" ht="14.4" x14ac:dyDescent="0.3">
      <c r="A557" s="197"/>
      <c r="B557" s="198" t="s">
        <v>134</v>
      </c>
      <c r="C557" s="199" t="s">
        <v>135</v>
      </c>
      <c r="D557" s="200" t="s">
        <v>1247</v>
      </c>
      <c r="E557" s="196">
        <v>0.41666666666666669</v>
      </c>
      <c r="F557" s="212"/>
      <c r="G557" s="196">
        <v>0.47916666666666669</v>
      </c>
      <c r="H557" s="215">
        <v>407</v>
      </c>
      <c r="I557" s="216"/>
    </row>
    <row r="558" spans="1:9" ht="14.4" x14ac:dyDescent="0.3">
      <c r="A558" s="197"/>
      <c r="B558" s="198" t="s">
        <v>293</v>
      </c>
      <c r="C558" s="199" t="s">
        <v>294</v>
      </c>
      <c r="D558" s="200" t="s">
        <v>1446</v>
      </c>
      <c r="E558" s="201">
        <v>0.35416666666666669</v>
      </c>
      <c r="F558" s="212"/>
      <c r="G558" s="201">
        <v>0.41666666666666669</v>
      </c>
      <c r="H558" s="215">
        <v>402</v>
      </c>
      <c r="I558" s="216"/>
    </row>
    <row r="559" spans="1:9" ht="14.4" x14ac:dyDescent="0.3">
      <c r="A559" s="197"/>
      <c r="B559" s="198" t="s">
        <v>295</v>
      </c>
      <c r="C559" s="199" t="s">
        <v>296</v>
      </c>
      <c r="D559" s="200" t="s">
        <v>1247</v>
      </c>
      <c r="E559" s="202">
        <v>0.35416666666666669</v>
      </c>
      <c r="F559" s="212"/>
      <c r="G559" s="201">
        <v>0.41666666666666669</v>
      </c>
      <c r="H559" s="215">
        <v>308</v>
      </c>
      <c r="I559" s="216"/>
    </row>
    <row r="560" spans="1:9" ht="14.4" x14ac:dyDescent="0.3">
      <c r="A560" s="197"/>
      <c r="B560" s="198"/>
      <c r="C560" s="199"/>
      <c r="D560" s="200"/>
      <c r="E560" s="201"/>
      <c r="F560" s="212"/>
      <c r="G560" s="201"/>
      <c r="H560" s="215"/>
      <c r="I560" s="216"/>
    </row>
    <row r="561" spans="1:9" ht="14.4" x14ac:dyDescent="0.3">
      <c r="A561" s="197"/>
      <c r="B561" s="198"/>
      <c r="C561" s="199"/>
      <c r="D561" s="200"/>
      <c r="E561" s="201"/>
      <c r="F561" s="212"/>
      <c r="G561" s="201"/>
      <c r="H561" s="215"/>
      <c r="I561" s="216"/>
    </row>
    <row r="562" spans="1:9" ht="14.4" x14ac:dyDescent="0.3">
      <c r="A562" s="197"/>
      <c r="B562" s="203"/>
      <c r="C562" s="204"/>
      <c r="D562" s="205"/>
      <c r="E562" s="206"/>
      <c r="F562" s="218"/>
      <c r="G562" s="206"/>
      <c r="H562" s="219"/>
      <c r="I562" s="220"/>
    </row>
    <row r="563" spans="1:9" ht="14.4" x14ac:dyDescent="0.3">
      <c r="A563" s="207"/>
      <c r="B563" s="208"/>
      <c r="C563" s="209"/>
      <c r="D563" s="210"/>
      <c r="E563" s="211"/>
      <c r="F563" s="221"/>
      <c r="G563" s="211"/>
      <c r="H563" s="222"/>
      <c r="I563" s="223"/>
    </row>
    <row r="564" spans="1:9" ht="14.4" thickBot="1" x14ac:dyDescent="0.35"/>
    <row r="565" spans="1:9" ht="14.4" thickBot="1" x14ac:dyDescent="0.35">
      <c r="A565" s="226" t="s">
        <v>1204</v>
      </c>
      <c r="B565" s="224" t="s">
        <v>1434</v>
      </c>
      <c r="C565" s="224" t="s">
        <v>1435</v>
      </c>
      <c r="D565" s="224" t="s">
        <v>1207</v>
      </c>
      <c r="E565" s="368" t="s">
        <v>1208</v>
      </c>
      <c r="F565" s="368"/>
      <c r="G565" s="368"/>
      <c r="H565" s="224" t="s">
        <v>1209</v>
      </c>
      <c r="I565" s="225" t="s">
        <v>1436</v>
      </c>
    </row>
    <row r="566" spans="1:9" ht="14.4" x14ac:dyDescent="0.3">
      <c r="A566" s="197" t="s">
        <v>1603</v>
      </c>
      <c r="B566" s="193" t="s">
        <v>123</v>
      </c>
      <c r="C566" s="194" t="s">
        <v>124</v>
      </c>
      <c r="D566" s="195"/>
      <c r="E566" s="196"/>
      <c r="F566" s="212"/>
      <c r="G566" s="196"/>
      <c r="H566" s="213"/>
      <c r="I566" s="214"/>
    </row>
    <row r="567" spans="1:9" ht="14.4" x14ac:dyDescent="0.3">
      <c r="A567" s="197"/>
      <c r="B567" s="198" t="s">
        <v>217</v>
      </c>
      <c r="C567" s="199" t="s">
        <v>218</v>
      </c>
      <c r="D567" s="200" t="s">
        <v>1247</v>
      </c>
      <c r="E567" s="201">
        <v>0.60416666666666663</v>
      </c>
      <c r="F567" s="212"/>
      <c r="G567" s="201">
        <v>0.66666666666666663</v>
      </c>
      <c r="H567" s="215">
        <v>212</v>
      </c>
      <c r="I567" s="216"/>
    </row>
    <row r="568" spans="1:9" ht="14.4" x14ac:dyDescent="0.3">
      <c r="A568" s="197"/>
      <c r="B568" s="198" t="s">
        <v>128</v>
      </c>
      <c r="C568" s="199" t="s">
        <v>129</v>
      </c>
      <c r="D568" s="200" t="s">
        <v>1446</v>
      </c>
      <c r="E568" s="201">
        <v>0.60416666666666663</v>
      </c>
      <c r="F568" s="212"/>
      <c r="G568" s="201">
        <v>0.66666666666666663</v>
      </c>
      <c r="H568" s="215">
        <v>409</v>
      </c>
      <c r="I568" s="216" t="s">
        <v>1454</v>
      </c>
    </row>
    <row r="569" spans="1:9" ht="14.4" x14ac:dyDescent="0.3">
      <c r="A569" s="197"/>
      <c r="B569" s="198" t="s">
        <v>130</v>
      </c>
      <c r="C569" s="199" t="s">
        <v>292</v>
      </c>
      <c r="D569" s="326" t="s">
        <v>1224</v>
      </c>
      <c r="E569" s="201">
        <v>0.29166666666666669</v>
      </c>
      <c r="F569" s="212"/>
      <c r="G569" s="201">
        <v>0.375</v>
      </c>
      <c r="H569" s="215" t="s">
        <v>1221</v>
      </c>
      <c r="I569" s="217" t="s">
        <v>1488</v>
      </c>
    </row>
    <row r="570" spans="1:9" ht="14.4" x14ac:dyDescent="0.3">
      <c r="A570" s="197"/>
      <c r="B570" s="198" t="s">
        <v>139</v>
      </c>
      <c r="C570" s="199" t="s">
        <v>140</v>
      </c>
      <c r="D570" s="200" t="s">
        <v>1446</v>
      </c>
      <c r="E570" s="196">
        <v>0.47916666666666669</v>
      </c>
      <c r="F570" s="212"/>
      <c r="G570" s="196">
        <v>0.54166666666666663</v>
      </c>
      <c r="H570" s="215">
        <v>212</v>
      </c>
      <c r="I570" s="217"/>
    </row>
    <row r="571" spans="1:9" ht="14.4" x14ac:dyDescent="0.3">
      <c r="A571" s="197"/>
      <c r="B571" s="198" t="s">
        <v>134</v>
      </c>
      <c r="C571" s="199" t="s">
        <v>135</v>
      </c>
      <c r="D571" s="200" t="s">
        <v>1247</v>
      </c>
      <c r="E571" s="196">
        <v>0.47916666666666669</v>
      </c>
      <c r="F571" s="212"/>
      <c r="G571" s="196">
        <v>0.54166666666666663</v>
      </c>
      <c r="H571" s="215">
        <v>205</v>
      </c>
      <c r="I571" s="216"/>
    </row>
    <row r="572" spans="1:9" ht="14.4" x14ac:dyDescent="0.3">
      <c r="A572" s="197"/>
      <c r="B572" s="198" t="s">
        <v>293</v>
      </c>
      <c r="C572" s="199" t="s">
        <v>294</v>
      </c>
      <c r="D572" s="325" t="s">
        <v>1585</v>
      </c>
      <c r="E572" s="201">
        <v>0.41666666666666669</v>
      </c>
      <c r="F572" s="212"/>
      <c r="G572" s="201">
        <v>0.47916666666666669</v>
      </c>
      <c r="H572" s="215">
        <v>402</v>
      </c>
      <c r="I572" s="216"/>
    </row>
    <row r="573" spans="1:9" ht="14.4" x14ac:dyDescent="0.3">
      <c r="A573" s="197"/>
      <c r="B573" s="198" t="s">
        <v>295</v>
      </c>
      <c r="C573" s="199" t="s">
        <v>296</v>
      </c>
      <c r="D573" s="200" t="s">
        <v>1589</v>
      </c>
      <c r="E573" s="202">
        <v>0.41666666666666669</v>
      </c>
      <c r="F573" s="212"/>
      <c r="G573" s="201">
        <v>0.47916666666666669</v>
      </c>
      <c r="H573" s="215">
        <v>308</v>
      </c>
      <c r="I573" s="216"/>
    </row>
    <row r="574" spans="1:9" ht="14.4" x14ac:dyDescent="0.3">
      <c r="A574" s="197"/>
      <c r="B574" s="198"/>
      <c r="C574" s="199"/>
      <c r="D574" s="200"/>
      <c r="E574" s="201"/>
      <c r="F574" s="212"/>
      <c r="G574" s="201"/>
      <c r="H574" s="215"/>
      <c r="I574" s="216"/>
    </row>
    <row r="575" spans="1:9" ht="14.4" x14ac:dyDescent="0.3">
      <c r="A575" s="197"/>
      <c r="B575" s="198"/>
      <c r="C575" s="199"/>
      <c r="D575" s="200"/>
      <c r="E575" s="201"/>
      <c r="F575" s="212"/>
      <c r="G575" s="201"/>
      <c r="H575" s="215"/>
      <c r="I575" s="216"/>
    </row>
    <row r="576" spans="1:9" ht="14.4" x14ac:dyDescent="0.3">
      <c r="A576" s="197"/>
      <c r="B576" s="203"/>
      <c r="C576" s="204"/>
      <c r="D576" s="205"/>
      <c r="E576" s="206"/>
      <c r="F576" s="218"/>
      <c r="G576" s="206"/>
      <c r="H576" s="219"/>
      <c r="I576" s="220"/>
    </row>
    <row r="577" spans="1:9" ht="15" thickBot="1" x14ac:dyDescent="0.35">
      <c r="A577" s="207"/>
      <c r="B577" s="208"/>
      <c r="C577" s="209"/>
      <c r="D577" s="210"/>
      <c r="E577" s="211"/>
      <c r="F577" s="221"/>
      <c r="G577" s="211"/>
      <c r="H577" s="222"/>
      <c r="I577" s="223"/>
    </row>
    <row r="578" spans="1:9" ht="14.4" thickBot="1" x14ac:dyDescent="0.35"/>
    <row r="579" spans="1:9" ht="14.4" thickBot="1" x14ac:dyDescent="0.35">
      <c r="A579" s="226" t="s">
        <v>1204</v>
      </c>
      <c r="B579" s="224" t="s">
        <v>1434</v>
      </c>
      <c r="C579" s="224" t="s">
        <v>1435</v>
      </c>
      <c r="D579" s="224" t="s">
        <v>1207</v>
      </c>
      <c r="E579" s="368" t="s">
        <v>1208</v>
      </c>
      <c r="F579" s="368"/>
      <c r="G579" s="368"/>
      <c r="H579" s="224" t="s">
        <v>1209</v>
      </c>
      <c r="I579" s="225" t="s">
        <v>1436</v>
      </c>
    </row>
    <row r="580" spans="1:9" ht="14.4" x14ac:dyDescent="0.3">
      <c r="A580" s="197" t="s">
        <v>1604</v>
      </c>
      <c r="B580" s="193" t="s">
        <v>123</v>
      </c>
      <c r="C580" s="194" t="s">
        <v>124</v>
      </c>
      <c r="D580" s="195"/>
      <c r="E580" s="196"/>
      <c r="F580" s="212"/>
      <c r="G580" s="196"/>
      <c r="H580" s="213"/>
      <c r="I580" s="214"/>
    </row>
    <row r="581" spans="1:9" ht="14.4" x14ac:dyDescent="0.3">
      <c r="A581" s="197"/>
      <c r="B581" s="198" t="s">
        <v>217</v>
      </c>
      <c r="C581" s="199" t="s">
        <v>218</v>
      </c>
      <c r="D581" s="200"/>
      <c r="E581" s="201"/>
      <c r="F581" s="212"/>
      <c r="G581" s="201"/>
      <c r="H581" s="215"/>
      <c r="I581" s="216"/>
    </row>
    <row r="582" spans="1:9" ht="14.4" x14ac:dyDescent="0.3">
      <c r="A582" s="197"/>
      <c r="B582" s="198" t="s">
        <v>128</v>
      </c>
      <c r="C582" s="199" t="s">
        <v>129</v>
      </c>
      <c r="D582" s="200"/>
      <c r="E582" s="201"/>
      <c r="F582" s="212"/>
      <c r="G582" s="201"/>
      <c r="H582" s="215"/>
      <c r="I582" s="216"/>
    </row>
    <row r="583" spans="1:9" ht="14.4" x14ac:dyDescent="0.3">
      <c r="A583" s="197"/>
      <c r="B583" s="198" t="s">
        <v>130</v>
      </c>
      <c r="C583" s="199" t="s">
        <v>292</v>
      </c>
      <c r="D583" s="200"/>
      <c r="E583" s="201"/>
      <c r="F583" s="212"/>
      <c r="G583" s="201"/>
      <c r="H583" s="215"/>
      <c r="I583" s="217"/>
    </row>
    <row r="584" spans="1:9" ht="14.4" x14ac:dyDescent="0.3">
      <c r="A584" s="197"/>
      <c r="B584" s="198" t="s">
        <v>139</v>
      </c>
      <c r="C584" s="199" t="s">
        <v>140</v>
      </c>
      <c r="D584" s="200"/>
      <c r="E584" s="196"/>
      <c r="F584" s="212"/>
      <c r="G584" s="196"/>
      <c r="H584" s="215"/>
      <c r="I584" s="217"/>
    </row>
    <row r="585" spans="1:9" ht="14.4" x14ac:dyDescent="0.3">
      <c r="A585" s="197"/>
      <c r="B585" s="198" t="s">
        <v>134</v>
      </c>
      <c r="C585" s="199" t="s">
        <v>135</v>
      </c>
      <c r="D585" s="200"/>
      <c r="E585" s="196"/>
      <c r="F585" s="212"/>
      <c r="G585" s="196"/>
      <c r="H585" s="215"/>
      <c r="I585" s="216"/>
    </row>
    <row r="586" spans="1:9" ht="14.4" x14ac:dyDescent="0.3">
      <c r="A586" s="197"/>
      <c r="B586" s="198" t="s">
        <v>293</v>
      </c>
      <c r="C586" s="199" t="s">
        <v>294</v>
      </c>
      <c r="D586" s="200" t="s">
        <v>1585</v>
      </c>
      <c r="E586" s="201">
        <v>0.47916666666666669</v>
      </c>
      <c r="F586" s="212"/>
      <c r="G586" s="201" t="s">
        <v>1316</v>
      </c>
      <c r="H586" s="215">
        <v>305</v>
      </c>
      <c r="I586" s="216"/>
    </row>
    <row r="587" spans="1:9" ht="14.4" x14ac:dyDescent="0.3">
      <c r="A587" s="197"/>
      <c r="B587" s="198" t="s">
        <v>295</v>
      </c>
      <c r="C587" s="199" t="s">
        <v>296</v>
      </c>
      <c r="D587" s="200" t="s">
        <v>1226</v>
      </c>
      <c r="E587" s="202">
        <v>0.29166666666666669</v>
      </c>
      <c r="F587" s="212"/>
      <c r="G587" s="201">
        <v>0.41666666666666669</v>
      </c>
      <c r="H587" s="215">
        <v>307</v>
      </c>
      <c r="I587" s="216"/>
    </row>
    <row r="588" spans="1:9" ht="14.4" x14ac:dyDescent="0.3">
      <c r="A588" s="197"/>
      <c r="B588" s="198"/>
      <c r="C588" s="199"/>
      <c r="D588" s="200"/>
      <c r="E588" s="201"/>
      <c r="F588" s="212"/>
      <c r="G588" s="201"/>
      <c r="H588" s="215"/>
      <c r="I588" s="216"/>
    </row>
    <row r="589" spans="1:9" ht="14.4" x14ac:dyDescent="0.3">
      <c r="A589" s="197"/>
      <c r="B589" s="198"/>
      <c r="C589" s="199"/>
      <c r="D589" s="200"/>
      <c r="E589" s="201"/>
      <c r="F589" s="212"/>
      <c r="G589" s="201"/>
      <c r="H589" s="215"/>
      <c r="I589" s="216"/>
    </row>
    <row r="590" spans="1:9" ht="14.4" x14ac:dyDescent="0.3">
      <c r="A590" s="197"/>
      <c r="B590" s="203"/>
      <c r="C590" s="204"/>
      <c r="D590" s="205"/>
      <c r="E590" s="206"/>
      <c r="F590" s="218"/>
      <c r="G590" s="206"/>
      <c r="H590" s="219"/>
      <c r="I590" s="220"/>
    </row>
    <row r="591" spans="1:9" ht="15" thickBot="1" x14ac:dyDescent="0.35">
      <c r="A591" s="207"/>
      <c r="B591" s="208"/>
      <c r="C591" s="209"/>
      <c r="D591" s="210"/>
      <c r="E591" s="211"/>
      <c r="F591" s="221"/>
      <c r="G591" s="211"/>
      <c r="H591" s="222"/>
      <c r="I591" s="223"/>
    </row>
    <row r="592" spans="1:9" ht="14.4" thickBot="1" x14ac:dyDescent="0.35"/>
    <row r="593" spans="1:9" ht="14.4" thickBot="1" x14ac:dyDescent="0.35">
      <c r="A593" s="226" t="s">
        <v>1204</v>
      </c>
      <c r="B593" s="224" t="s">
        <v>1434</v>
      </c>
      <c r="C593" s="224" t="s">
        <v>1435</v>
      </c>
      <c r="D593" s="224" t="s">
        <v>1207</v>
      </c>
      <c r="E593" s="368" t="s">
        <v>1208</v>
      </c>
      <c r="F593" s="368"/>
      <c r="G593" s="368"/>
      <c r="H593" s="224" t="s">
        <v>1209</v>
      </c>
      <c r="I593" s="225" t="s">
        <v>1436</v>
      </c>
    </row>
    <row r="594" spans="1:9" ht="14.4" x14ac:dyDescent="0.3">
      <c r="A594" s="197" t="s">
        <v>1605</v>
      </c>
      <c r="B594" s="193" t="s">
        <v>297</v>
      </c>
      <c r="C594" s="194" t="s">
        <v>298</v>
      </c>
      <c r="D594" s="195" t="s">
        <v>1589</v>
      </c>
      <c r="E594" s="196" t="s">
        <v>1294</v>
      </c>
      <c r="F594" s="212"/>
      <c r="G594" s="196" t="s">
        <v>1331</v>
      </c>
      <c r="H594" s="213">
        <v>307</v>
      </c>
      <c r="I594" s="214"/>
    </row>
    <row r="595" spans="1:9" ht="14.4" x14ac:dyDescent="0.3">
      <c r="A595" s="197"/>
      <c r="B595" s="198" t="s">
        <v>142</v>
      </c>
      <c r="C595" s="199" t="s">
        <v>143</v>
      </c>
      <c r="D595" s="200" t="s">
        <v>1224</v>
      </c>
      <c r="E595" s="201" t="s">
        <v>1358</v>
      </c>
      <c r="F595" s="212"/>
      <c r="G595" s="201" t="s">
        <v>1316</v>
      </c>
      <c r="H595" s="215" t="s">
        <v>1221</v>
      </c>
      <c r="I595" s="216" t="s">
        <v>1468</v>
      </c>
    </row>
    <row r="596" spans="1:9" ht="14.4" x14ac:dyDescent="0.3">
      <c r="A596" s="197"/>
      <c r="B596" s="198" t="s">
        <v>307</v>
      </c>
      <c r="C596" s="199" t="s">
        <v>308</v>
      </c>
      <c r="D596" s="200" t="s">
        <v>1585</v>
      </c>
      <c r="E596" s="201" t="s">
        <v>1294</v>
      </c>
      <c r="F596" s="212"/>
      <c r="G596" s="201" t="s">
        <v>1331</v>
      </c>
      <c r="H596" s="215">
        <v>407</v>
      </c>
      <c r="I596" s="216"/>
    </row>
    <row r="597" spans="1:9" ht="14.4" x14ac:dyDescent="0.3">
      <c r="A597" s="197"/>
      <c r="B597" s="198" t="s">
        <v>328</v>
      </c>
      <c r="C597" s="199" t="s">
        <v>329</v>
      </c>
      <c r="D597" s="200" t="s">
        <v>1585</v>
      </c>
      <c r="E597" s="201" t="s">
        <v>1331</v>
      </c>
      <c r="F597" s="212"/>
      <c r="G597" s="201" t="s">
        <v>1351</v>
      </c>
      <c r="H597" s="215">
        <v>410</v>
      </c>
      <c r="I597" s="217"/>
    </row>
    <row r="598" spans="1:9" ht="14.4" x14ac:dyDescent="0.3">
      <c r="A598" s="197"/>
      <c r="B598" s="198" t="s">
        <v>330</v>
      </c>
      <c r="C598" s="199" t="s">
        <v>331</v>
      </c>
      <c r="D598" s="200" t="s">
        <v>1589</v>
      </c>
      <c r="E598" s="196">
        <v>0.47916666666666669</v>
      </c>
      <c r="F598" s="212"/>
      <c r="G598" s="196" t="s">
        <v>1316</v>
      </c>
      <c r="H598" s="215">
        <v>402</v>
      </c>
      <c r="I598" s="217"/>
    </row>
    <row r="599" spans="1:9" ht="14.4" x14ac:dyDescent="0.3">
      <c r="A599" s="197"/>
      <c r="B599" s="198" t="s">
        <v>305</v>
      </c>
      <c r="C599" s="199" t="s">
        <v>306</v>
      </c>
      <c r="D599" s="200"/>
      <c r="E599" s="196"/>
      <c r="F599" s="212"/>
      <c r="G599" s="196"/>
      <c r="H599" s="215"/>
      <c r="I599" s="216"/>
    </row>
    <row r="600" spans="1:9" ht="14.4" x14ac:dyDescent="0.3">
      <c r="A600" s="197"/>
      <c r="B600" s="198" t="s">
        <v>332</v>
      </c>
      <c r="C600" s="199" t="s">
        <v>333</v>
      </c>
      <c r="D600" s="200" t="s">
        <v>1589</v>
      </c>
      <c r="E600" s="201">
        <v>0.66666666666666663</v>
      </c>
      <c r="F600" s="212"/>
      <c r="G600" s="201">
        <v>0.72916666666666663</v>
      </c>
      <c r="H600" s="215">
        <v>407</v>
      </c>
      <c r="I600" s="216"/>
    </row>
    <row r="601" spans="1:9" ht="14.4" x14ac:dyDescent="0.3">
      <c r="A601" s="197"/>
      <c r="B601" s="198"/>
      <c r="C601" s="199"/>
      <c r="D601" s="200"/>
      <c r="E601" s="202"/>
      <c r="F601" s="212"/>
      <c r="G601" s="201"/>
      <c r="H601" s="215"/>
      <c r="I601" s="216"/>
    </row>
    <row r="602" spans="1:9" ht="14.4" x14ac:dyDescent="0.3">
      <c r="A602" s="197"/>
      <c r="B602" s="198"/>
      <c r="C602" s="199"/>
      <c r="D602" s="200"/>
      <c r="E602" s="201"/>
      <c r="F602" s="212"/>
      <c r="G602" s="201"/>
      <c r="H602" s="215"/>
      <c r="I602" s="216"/>
    </row>
    <row r="603" spans="1:9" ht="14.4" x14ac:dyDescent="0.3">
      <c r="A603" s="197"/>
      <c r="B603" s="198"/>
      <c r="C603" s="199"/>
      <c r="D603" s="200"/>
      <c r="E603" s="201"/>
      <c r="F603" s="212"/>
      <c r="G603" s="201"/>
      <c r="H603" s="215"/>
      <c r="I603" s="216"/>
    </row>
    <row r="604" spans="1:9" ht="14.4" x14ac:dyDescent="0.3">
      <c r="A604" s="197"/>
      <c r="B604" s="203"/>
      <c r="C604" s="204"/>
      <c r="D604" s="205"/>
      <c r="E604" s="206"/>
      <c r="F604" s="218"/>
      <c r="G604" s="206"/>
      <c r="H604" s="219"/>
      <c r="I604" s="220"/>
    </row>
    <row r="605" spans="1:9" ht="15" thickBot="1" x14ac:dyDescent="0.35">
      <c r="A605" s="207"/>
      <c r="B605" s="208"/>
      <c r="C605" s="209"/>
      <c r="D605" s="210"/>
      <c r="E605" s="211"/>
      <c r="F605" s="221"/>
      <c r="G605" s="211"/>
      <c r="H605" s="222"/>
      <c r="I605" s="223"/>
    </row>
    <row r="606" spans="1:9" ht="14.4" thickBot="1" x14ac:dyDescent="0.35"/>
    <row r="607" spans="1:9" ht="14.4" thickBot="1" x14ac:dyDescent="0.35">
      <c r="A607" s="226" t="s">
        <v>1204</v>
      </c>
      <c r="B607" s="224" t="s">
        <v>1434</v>
      </c>
      <c r="C607" s="224" t="s">
        <v>1435</v>
      </c>
      <c r="D607" s="224" t="s">
        <v>1207</v>
      </c>
      <c r="E607" s="368" t="s">
        <v>1208</v>
      </c>
      <c r="F607" s="368"/>
      <c r="G607" s="368"/>
      <c r="H607" s="224" t="s">
        <v>1209</v>
      </c>
      <c r="I607" s="225" t="s">
        <v>1436</v>
      </c>
    </row>
    <row r="608" spans="1:9" ht="14.4" x14ac:dyDescent="0.3">
      <c r="A608" s="197" t="s">
        <v>1606</v>
      </c>
      <c r="B608" s="193" t="s">
        <v>297</v>
      </c>
      <c r="C608" s="194" t="s">
        <v>298</v>
      </c>
      <c r="D608" s="195" t="s">
        <v>1247</v>
      </c>
      <c r="E608" s="196" t="s">
        <v>1331</v>
      </c>
      <c r="F608" s="212"/>
      <c r="G608" s="196" t="s">
        <v>1351</v>
      </c>
      <c r="H608" s="213">
        <v>306</v>
      </c>
      <c r="I608" s="214"/>
    </row>
    <row r="609" spans="1:9" ht="14.4" x14ac:dyDescent="0.3">
      <c r="A609" s="197"/>
      <c r="B609" s="198" t="s">
        <v>142</v>
      </c>
      <c r="C609" s="199" t="s">
        <v>143</v>
      </c>
      <c r="D609" s="200" t="s">
        <v>1226</v>
      </c>
      <c r="E609" s="201" t="s">
        <v>1358</v>
      </c>
      <c r="F609" s="212"/>
      <c r="G609" s="201" t="s">
        <v>1316</v>
      </c>
      <c r="H609" s="215" t="s">
        <v>1221</v>
      </c>
      <c r="I609" s="216" t="s">
        <v>1488</v>
      </c>
    </row>
    <row r="610" spans="1:9" ht="14.4" x14ac:dyDescent="0.3">
      <c r="A610" s="197"/>
      <c r="B610" s="198" t="s">
        <v>307</v>
      </c>
      <c r="C610" s="199" t="s">
        <v>308</v>
      </c>
      <c r="D610" s="200" t="s">
        <v>1446</v>
      </c>
      <c r="E610" s="201">
        <v>0.47916666666666669</v>
      </c>
      <c r="F610" s="212"/>
      <c r="G610" s="201" t="s">
        <v>1316</v>
      </c>
      <c r="H610" s="215">
        <v>402</v>
      </c>
      <c r="I610" s="216"/>
    </row>
    <row r="611" spans="1:9" ht="14.4" x14ac:dyDescent="0.3">
      <c r="A611" s="197"/>
      <c r="B611" s="198" t="s">
        <v>328</v>
      </c>
      <c r="C611" s="199" t="s">
        <v>329</v>
      </c>
      <c r="D611" s="200" t="s">
        <v>1446</v>
      </c>
      <c r="E611" s="201">
        <v>0.41666666666666669</v>
      </c>
      <c r="F611" s="212"/>
      <c r="G611" s="201">
        <v>0.47916666666666669</v>
      </c>
      <c r="H611" s="215">
        <v>308</v>
      </c>
      <c r="I611" s="217"/>
    </row>
    <row r="612" spans="1:9" ht="14.4" x14ac:dyDescent="0.3">
      <c r="A612" s="197"/>
      <c r="B612" s="198" t="s">
        <v>330</v>
      </c>
      <c r="C612" s="199" t="s">
        <v>331</v>
      </c>
      <c r="D612" s="200" t="s">
        <v>1226</v>
      </c>
      <c r="E612" s="196">
        <v>0.29166666666666669</v>
      </c>
      <c r="F612" s="212"/>
      <c r="G612" s="196">
        <v>0.41666666666666669</v>
      </c>
      <c r="H612" s="215">
        <v>407</v>
      </c>
      <c r="I612" s="217"/>
    </row>
    <row r="613" spans="1:9" ht="14.4" x14ac:dyDescent="0.3">
      <c r="A613" s="197"/>
      <c r="B613" s="198" t="s">
        <v>305</v>
      </c>
      <c r="C613" s="199" t="s">
        <v>306</v>
      </c>
      <c r="D613" s="314"/>
      <c r="E613" s="315"/>
      <c r="F613" s="316"/>
      <c r="G613" s="315"/>
      <c r="H613" s="317"/>
      <c r="I613" s="216"/>
    </row>
    <row r="614" spans="1:9" ht="14.4" x14ac:dyDescent="0.3">
      <c r="A614" s="197"/>
      <c r="B614" s="198" t="s">
        <v>332</v>
      </c>
      <c r="C614" s="199" t="s">
        <v>333</v>
      </c>
      <c r="D614" s="200" t="s">
        <v>1247</v>
      </c>
      <c r="E614" s="201" t="s">
        <v>1294</v>
      </c>
      <c r="F614" s="212"/>
      <c r="G614" s="201" t="s">
        <v>1331</v>
      </c>
      <c r="H614" s="215">
        <v>203</v>
      </c>
      <c r="I614" s="216"/>
    </row>
    <row r="615" spans="1:9" ht="14.4" x14ac:dyDescent="0.3">
      <c r="A615" s="197"/>
      <c r="B615" s="198"/>
      <c r="C615" s="199"/>
      <c r="D615" s="200"/>
      <c r="E615" s="202"/>
      <c r="F615" s="212"/>
      <c r="G615" s="201"/>
      <c r="H615" s="215"/>
      <c r="I615" s="216"/>
    </row>
    <row r="616" spans="1:9" ht="14.4" x14ac:dyDescent="0.3">
      <c r="A616" s="197"/>
      <c r="B616" s="198"/>
      <c r="C616" s="199"/>
      <c r="D616" s="200"/>
      <c r="E616" s="201"/>
      <c r="F616" s="212"/>
      <c r="G616" s="201"/>
      <c r="H616" s="215"/>
      <c r="I616" s="216"/>
    </row>
    <row r="617" spans="1:9" ht="14.4" x14ac:dyDescent="0.3">
      <c r="A617" s="197"/>
      <c r="B617" s="198"/>
      <c r="C617" s="199"/>
      <c r="D617" s="200"/>
      <c r="E617" s="201"/>
      <c r="F617" s="212"/>
      <c r="G617" s="201"/>
      <c r="H617" s="215"/>
      <c r="I617" s="216"/>
    </row>
    <row r="618" spans="1:9" ht="14.4" x14ac:dyDescent="0.3">
      <c r="A618" s="197"/>
      <c r="B618" s="203"/>
      <c r="C618" s="204"/>
      <c r="D618" s="205"/>
      <c r="E618" s="206"/>
      <c r="F618" s="218"/>
      <c r="G618" s="206"/>
      <c r="H618" s="219"/>
      <c r="I618" s="220"/>
    </row>
    <row r="619" spans="1:9" ht="15" thickBot="1" x14ac:dyDescent="0.35">
      <c r="A619" s="207"/>
      <c r="B619" s="208"/>
      <c r="C619" s="209"/>
      <c r="D619" s="210"/>
      <c r="E619" s="211"/>
      <c r="F619" s="221"/>
      <c r="G619" s="211"/>
      <c r="H619" s="222"/>
      <c r="I619" s="223"/>
    </row>
    <row r="620" spans="1:9" ht="14.4" thickBot="1" x14ac:dyDescent="0.35"/>
    <row r="621" spans="1:9" ht="14.4" thickBot="1" x14ac:dyDescent="0.35">
      <c r="A621" s="226" t="s">
        <v>1204</v>
      </c>
      <c r="B621" s="224" t="s">
        <v>1434</v>
      </c>
      <c r="C621" s="224" t="s">
        <v>1435</v>
      </c>
      <c r="D621" s="224" t="s">
        <v>1207</v>
      </c>
      <c r="E621" s="368" t="s">
        <v>1208</v>
      </c>
      <c r="F621" s="368"/>
      <c r="G621" s="368"/>
      <c r="H621" s="224" t="s">
        <v>1209</v>
      </c>
      <c r="I621" s="225" t="s">
        <v>1436</v>
      </c>
    </row>
    <row r="622" spans="1:9" ht="14.4" x14ac:dyDescent="0.3">
      <c r="A622" s="197" t="s">
        <v>1607</v>
      </c>
      <c r="B622" s="193" t="s">
        <v>297</v>
      </c>
      <c r="C622" s="194" t="s">
        <v>298</v>
      </c>
      <c r="D622" s="195" t="s">
        <v>1247</v>
      </c>
      <c r="E622" s="196">
        <v>0.41666666666666669</v>
      </c>
      <c r="F622" s="212"/>
      <c r="G622" s="196">
        <v>0.47916666666666669</v>
      </c>
      <c r="H622" s="213">
        <v>205</v>
      </c>
      <c r="I622" s="214"/>
    </row>
    <row r="623" spans="1:9" ht="14.4" x14ac:dyDescent="0.3">
      <c r="A623" s="197"/>
      <c r="B623" s="198" t="s">
        <v>142</v>
      </c>
      <c r="C623" s="199" t="s">
        <v>143</v>
      </c>
      <c r="D623" s="200" t="s">
        <v>1226</v>
      </c>
      <c r="E623" s="201">
        <v>0.29166666666666669</v>
      </c>
      <c r="F623" s="212"/>
      <c r="G623" s="201">
        <v>0.375</v>
      </c>
      <c r="H623" s="215" t="s">
        <v>1221</v>
      </c>
      <c r="I623" s="216" t="s">
        <v>1468</v>
      </c>
    </row>
    <row r="624" spans="1:9" ht="14.4" x14ac:dyDescent="0.3">
      <c r="A624" s="197"/>
      <c r="B624" s="198" t="s">
        <v>307</v>
      </c>
      <c r="C624" s="199" t="s">
        <v>308</v>
      </c>
      <c r="D624" s="200" t="s">
        <v>1446</v>
      </c>
      <c r="E624" s="201">
        <v>0.47916666666666669</v>
      </c>
      <c r="F624" s="212"/>
      <c r="G624" s="201" t="s">
        <v>1316</v>
      </c>
      <c r="H624" s="215">
        <v>407</v>
      </c>
      <c r="I624" s="216"/>
    </row>
    <row r="625" spans="1:9" ht="14.4" x14ac:dyDescent="0.3">
      <c r="A625" s="197"/>
      <c r="B625" s="198" t="s">
        <v>328</v>
      </c>
      <c r="C625" s="199" t="s">
        <v>329</v>
      </c>
      <c r="D625" s="200" t="s">
        <v>1446</v>
      </c>
      <c r="E625" s="201" t="s">
        <v>1294</v>
      </c>
      <c r="F625" s="212"/>
      <c r="G625" s="201" t="s">
        <v>1331</v>
      </c>
      <c r="H625" s="215">
        <v>410</v>
      </c>
      <c r="I625" s="217"/>
    </row>
    <row r="626" spans="1:9" ht="14.4" x14ac:dyDescent="0.3">
      <c r="A626" s="197"/>
      <c r="B626" s="198" t="s">
        <v>330</v>
      </c>
      <c r="C626" s="199" t="s">
        <v>331</v>
      </c>
      <c r="D626" s="200" t="s">
        <v>1226</v>
      </c>
      <c r="E626" s="196">
        <v>0.41666666666666669</v>
      </c>
      <c r="F626" s="212"/>
      <c r="G626" s="196" t="s">
        <v>1316</v>
      </c>
      <c r="H626" s="215">
        <v>410</v>
      </c>
      <c r="I626" s="217"/>
    </row>
    <row r="627" spans="1:9" ht="14.4" x14ac:dyDescent="0.3">
      <c r="A627" s="197"/>
      <c r="B627" s="198" t="s">
        <v>305</v>
      </c>
      <c r="C627" s="199" t="s">
        <v>306</v>
      </c>
      <c r="D627" s="200"/>
      <c r="E627" s="196"/>
      <c r="F627" s="212"/>
      <c r="G627" s="196"/>
      <c r="H627" s="215"/>
      <c r="I627" s="216"/>
    </row>
    <row r="628" spans="1:9" ht="14.4" x14ac:dyDescent="0.3">
      <c r="A628" s="197"/>
      <c r="B628" s="198" t="s">
        <v>332</v>
      </c>
      <c r="C628" s="199" t="s">
        <v>333</v>
      </c>
      <c r="D628" s="200" t="s">
        <v>1589</v>
      </c>
      <c r="E628" s="201">
        <v>0.35416666666666669</v>
      </c>
      <c r="F628" s="212"/>
      <c r="G628" s="201">
        <v>0.41666666666666669</v>
      </c>
      <c r="H628" s="215">
        <v>305</v>
      </c>
      <c r="I628" s="216"/>
    </row>
    <row r="629" spans="1:9" ht="14.4" x14ac:dyDescent="0.3">
      <c r="A629" s="197"/>
      <c r="B629" s="198"/>
      <c r="C629" s="199"/>
      <c r="D629" s="200"/>
      <c r="E629" s="202"/>
      <c r="F629" s="212"/>
      <c r="G629" s="201"/>
      <c r="H629" s="215"/>
      <c r="I629" s="216"/>
    </row>
    <row r="630" spans="1:9" ht="14.4" x14ac:dyDescent="0.3">
      <c r="A630" s="197"/>
      <c r="B630" s="198"/>
      <c r="C630" s="199"/>
      <c r="D630" s="200"/>
      <c r="E630" s="201"/>
      <c r="F630" s="212"/>
      <c r="G630" s="201"/>
      <c r="H630" s="215"/>
      <c r="I630" s="216"/>
    </row>
    <row r="631" spans="1:9" ht="14.4" x14ac:dyDescent="0.3">
      <c r="A631" s="197"/>
      <c r="B631" s="198"/>
      <c r="C631" s="199"/>
      <c r="D631" s="200"/>
      <c r="E631" s="201"/>
      <c r="F631" s="212"/>
      <c r="G631" s="201"/>
      <c r="H631" s="215"/>
      <c r="I631" s="216"/>
    </row>
    <row r="632" spans="1:9" ht="14.4" x14ac:dyDescent="0.3">
      <c r="A632" s="197"/>
      <c r="B632" s="203"/>
      <c r="C632" s="204"/>
      <c r="D632" s="205"/>
      <c r="E632" s="206"/>
      <c r="F632" s="218"/>
      <c r="G632" s="206"/>
      <c r="H632" s="219"/>
      <c r="I632" s="220"/>
    </row>
    <row r="633" spans="1:9" ht="15" thickBot="1" x14ac:dyDescent="0.35">
      <c r="A633" s="207"/>
      <c r="B633" s="208"/>
      <c r="C633" s="209"/>
      <c r="D633" s="210"/>
      <c r="E633" s="211"/>
      <c r="F633" s="221"/>
      <c r="G633" s="211"/>
      <c r="H633" s="222"/>
      <c r="I633" s="223"/>
    </row>
    <row r="634" spans="1:9" ht="14.4" thickBot="1" x14ac:dyDescent="0.35"/>
    <row r="635" spans="1:9" ht="14.4" thickBot="1" x14ac:dyDescent="0.35">
      <c r="A635" s="226" t="s">
        <v>1204</v>
      </c>
      <c r="B635" s="224" t="s">
        <v>1434</v>
      </c>
      <c r="C635" s="224" t="s">
        <v>1435</v>
      </c>
      <c r="D635" s="224" t="s">
        <v>1207</v>
      </c>
      <c r="E635" s="368" t="s">
        <v>1208</v>
      </c>
      <c r="F635" s="368"/>
      <c r="G635" s="368"/>
      <c r="H635" s="224" t="s">
        <v>1209</v>
      </c>
      <c r="I635" s="225" t="s">
        <v>1436</v>
      </c>
    </row>
    <row r="636" spans="1:9" ht="14.4" x14ac:dyDescent="0.3">
      <c r="A636" s="197" t="s">
        <v>1608</v>
      </c>
      <c r="B636" s="193" t="s">
        <v>297</v>
      </c>
      <c r="C636" s="194" t="s">
        <v>298</v>
      </c>
      <c r="D636" s="195"/>
      <c r="E636" s="196"/>
      <c r="F636" s="212"/>
      <c r="G636" s="196"/>
      <c r="H636" s="213"/>
      <c r="I636" s="214"/>
    </row>
    <row r="637" spans="1:9" ht="14.4" x14ac:dyDescent="0.3">
      <c r="A637" s="197"/>
      <c r="B637" s="198" t="s">
        <v>142</v>
      </c>
      <c r="C637" s="199" t="s">
        <v>143</v>
      </c>
      <c r="D637" s="200"/>
      <c r="E637" s="201"/>
      <c r="F637" s="212"/>
      <c r="G637" s="201"/>
      <c r="H637" s="215"/>
      <c r="I637" s="216"/>
    </row>
    <row r="638" spans="1:9" ht="14.4" x14ac:dyDescent="0.3">
      <c r="A638" s="197"/>
      <c r="B638" s="198" t="s">
        <v>307</v>
      </c>
      <c r="C638" s="199" t="s">
        <v>308</v>
      </c>
      <c r="D638" s="200"/>
      <c r="E638" s="201"/>
      <c r="F638" s="212"/>
      <c r="G638" s="201"/>
      <c r="H638" s="215"/>
      <c r="I638" s="216"/>
    </row>
    <row r="639" spans="1:9" ht="14.4" x14ac:dyDescent="0.3">
      <c r="A639" s="197"/>
      <c r="B639" s="198" t="s">
        <v>328</v>
      </c>
      <c r="C639" s="199" t="s">
        <v>329</v>
      </c>
      <c r="D639" s="200"/>
      <c r="E639" s="201"/>
      <c r="F639" s="212"/>
      <c r="G639" s="201"/>
      <c r="H639" s="215"/>
      <c r="I639" s="217"/>
    </row>
    <row r="640" spans="1:9" ht="14.4" x14ac:dyDescent="0.3">
      <c r="A640" s="197"/>
      <c r="B640" s="198" t="s">
        <v>330</v>
      </c>
      <c r="C640" s="199" t="s">
        <v>331</v>
      </c>
      <c r="D640" s="200"/>
      <c r="E640" s="196"/>
      <c r="F640" s="212"/>
      <c r="G640" s="196"/>
      <c r="H640" s="215"/>
      <c r="I640" s="217"/>
    </row>
    <row r="641" spans="1:9" ht="14.4" x14ac:dyDescent="0.3">
      <c r="A641" s="197"/>
      <c r="B641" s="198" t="s">
        <v>305</v>
      </c>
      <c r="C641" s="199" t="s">
        <v>306</v>
      </c>
      <c r="D641" s="200"/>
      <c r="E641" s="196"/>
      <c r="F641" s="212"/>
      <c r="G641" s="196"/>
      <c r="H641" s="215"/>
      <c r="I641" s="216"/>
    </row>
    <row r="642" spans="1:9" ht="14.4" x14ac:dyDescent="0.3">
      <c r="A642" s="197"/>
      <c r="B642" s="198" t="s">
        <v>332</v>
      </c>
      <c r="C642" s="199" t="s">
        <v>333</v>
      </c>
      <c r="D642" s="200"/>
      <c r="E642" s="201"/>
      <c r="F642" s="212"/>
      <c r="G642" s="201"/>
      <c r="H642" s="215"/>
      <c r="I642" s="216"/>
    </row>
    <row r="643" spans="1:9" ht="14.4" x14ac:dyDescent="0.3">
      <c r="A643" s="197"/>
      <c r="B643" s="198"/>
      <c r="C643" s="199"/>
      <c r="D643" s="200"/>
      <c r="E643" s="202"/>
      <c r="F643" s="212"/>
      <c r="G643" s="201"/>
      <c r="H643" s="215"/>
      <c r="I643" s="216"/>
    </row>
    <row r="644" spans="1:9" ht="14.4" x14ac:dyDescent="0.3">
      <c r="A644" s="197"/>
      <c r="B644" s="198"/>
      <c r="C644" s="199"/>
      <c r="D644" s="200"/>
      <c r="E644" s="201"/>
      <c r="F644" s="212"/>
      <c r="G644" s="201"/>
      <c r="H644" s="215"/>
      <c r="I644" s="216"/>
    </row>
    <row r="645" spans="1:9" ht="14.4" x14ac:dyDescent="0.3">
      <c r="A645" s="197"/>
      <c r="B645" s="198"/>
      <c r="C645" s="199"/>
      <c r="D645" s="200"/>
      <c r="E645" s="201"/>
      <c r="F645" s="212"/>
      <c r="G645" s="201"/>
      <c r="H645" s="215"/>
      <c r="I645" s="216"/>
    </row>
    <row r="646" spans="1:9" ht="14.4" x14ac:dyDescent="0.3">
      <c r="A646" s="197"/>
      <c r="B646" s="203"/>
      <c r="C646" s="204"/>
      <c r="D646" s="205"/>
      <c r="E646" s="206"/>
      <c r="F646" s="218"/>
      <c r="G646" s="206"/>
      <c r="H646" s="219"/>
      <c r="I646" s="220"/>
    </row>
    <row r="647" spans="1:9" ht="15" thickBot="1" x14ac:dyDescent="0.35">
      <c r="A647" s="207"/>
      <c r="B647" s="208"/>
      <c r="C647" s="209"/>
      <c r="D647" s="210"/>
      <c r="E647" s="211"/>
      <c r="F647" s="221"/>
      <c r="G647" s="211"/>
      <c r="H647" s="222"/>
      <c r="I647" s="223"/>
    </row>
    <row r="648" spans="1:9" ht="14.4" thickBot="1" x14ac:dyDescent="0.35"/>
    <row r="649" spans="1:9" ht="14.4" thickBot="1" x14ac:dyDescent="0.35">
      <c r="A649" s="226" t="s">
        <v>1204</v>
      </c>
      <c r="B649" s="224" t="s">
        <v>1434</v>
      </c>
      <c r="C649" s="224" t="s">
        <v>1435</v>
      </c>
      <c r="D649" s="224" t="s">
        <v>1207</v>
      </c>
      <c r="E649" s="368" t="s">
        <v>1208</v>
      </c>
      <c r="F649" s="368"/>
      <c r="G649" s="368"/>
      <c r="H649" s="224" t="s">
        <v>1209</v>
      </c>
      <c r="I649" s="225" t="s">
        <v>1436</v>
      </c>
    </row>
    <row r="650" spans="1:9" ht="14.4" x14ac:dyDescent="0.3">
      <c r="A650" s="197" t="s">
        <v>1609</v>
      </c>
      <c r="B650" s="193" t="s">
        <v>309</v>
      </c>
      <c r="C650" s="194" t="s">
        <v>310</v>
      </c>
      <c r="D650" s="195" t="s">
        <v>1226</v>
      </c>
      <c r="E650" s="196" t="s">
        <v>1610</v>
      </c>
      <c r="F650" s="212"/>
      <c r="G650" s="196" t="s">
        <v>1425</v>
      </c>
      <c r="H650" s="213">
        <v>306</v>
      </c>
      <c r="I650" s="214"/>
    </row>
    <row r="651" spans="1:9" ht="14.4" x14ac:dyDescent="0.3">
      <c r="A651" s="197"/>
      <c r="B651" s="198" t="s">
        <v>185</v>
      </c>
      <c r="C651" s="199" t="s">
        <v>186</v>
      </c>
      <c r="D651" s="200" t="s">
        <v>1247</v>
      </c>
      <c r="E651" s="201" t="s">
        <v>1293</v>
      </c>
      <c r="F651" s="212"/>
      <c r="G651" s="201" t="s">
        <v>1316</v>
      </c>
      <c r="H651" s="215">
        <v>305</v>
      </c>
      <c r="I651" s="216"/>
    </row>
    <row r="652" spans="1:9" ht="14.4" x14ac:dyDescent="0.3">
      <c r="A652" s="197"/>
      <c r="B652" s="198" t="s">
        <v>274</v>
      </c>
      <c r="C652" s="199" t="s">
        <v>275</v>
      </c>
      <c r="D652" s="200" t="s">
        <v>1226</v>
      </c>
      <c r="E652" s="201" t="s">
        <v>1317</v>
      </c>
      <c r="F652" s="212"/>
      <c r="G652" s="201" t="s">
        <v>1311</v>
      </c>
      <c r="H652" s="215">
        <v>302</v>
      </c>
      <c r="I652" s="216"/>
    </row>
    <row r="653" spans="1:9" ht="14.4" x14ac:dyDescent="0.3">
      <c r="A653" s="197"/>
      <c r="B653" s="198" t="s">
        <v>315</v>
      </c>
      <c r="C653" s="199" t="s">
        <v>316</v>
      </c>
      <c r="D653" s="200" t="s">
        <v>1247</v>
      </c>
      <c r="E653" s="201">
        <v>0.66666666666666663</v>
      </c>
      <c r="F653" s="212"/>
      <c r="G653" s="201">
        <v>0.72916666666666663</v>
      </c>
      <c r="H653" s="215">
        <v>402</v>
      </c>
      <c r="I653" s="217"/>
    </row>
    <row r="654" spans="1:9" ht="14.4" x14ac:dyDescent="0.3">
      <c r="A654" s="197"/>
      <c r="B654" s="198" t="s">
        <v>317</v>
      </c>
      <c r="C654" s="199" t="s">
        <v>318</v>
      </c>
      <c r="D654" s="314" t="s">
        <v>1224</v>
      </c>
      <c r="E654" s="315" t="s">
        <v>1316</v>
      </c>
      <c r="F654" s="316"/>
      <c r="G654" s="315" t="s">
        <v>1331</v>
      </c>
      <c r="H654" s="317">
        <v>402</v>
      </c>
      <c r="I654" s="217"/>
    </row>
    <row r="655" spans="1:9" ht="14.4" x14ac:dyDescent="0.3">
      <c r="A655" s="197"/>
      <c r="B655" s="198" t="s">
        <v>319</v>
      </c>
      <c r="C655" s="199" t="s">
        <v>320</v>
      </c>
      <c r="D655" s="200" t="s">
        <v>1247</v>
      </c>
      <c r="E655" s="196" t="s">
        <v>1316</v>
      </c>
      <c r="F655" s="212"/>
      <c r="G655" s="196" t="s">
        <v>1294</v>
      </c>
      <c r="H655" s="215">
        <v>303</v>
      </c>
      <c r="I655" s="216"/>
    </row>
    <row r="656" spans="1:9" ht="14.4" x14ac:dyDescent="0.3">
      <c r="A656" s="197"/>
      <c r="B656" s="198" t="s">
        <v>334</v>
      </c>
      <c r="C656" s="199" t="s">
        <v>335</v>
      </c>
      <c r="D656" s="200" t="s">
        <v>1267</v>
      </c>
      <c r="E656" s="201" t="s">
        <v>1358</v>
      </c>
      <c r="F656" s="212"/>
      <c r="G656" s="201" t="s">
        <v>1316</v>
      </c>
      <c r="H656" s="215">
        <v>206</v>
      </c>
      <c r="I656" s="216"/>
    </row>
    <row r="657" spans="1:9" ht="14.4" x14ac:dyDescent="0.3">
      <c r="A657" s="197"/>
      <c r="B657" s="198"/>
      <c r="C657" s="199"/>
      <c r="D657" s="200" t="s">
        <v>1267</v>
      </c>
      <c r="E657" s="202" t="s">
        <v>1316</v>
      </c>
      <c r="F657" s="212"/>
      <c r="G657" s="201" t="s">
        <v>1331</v>
      </c>
      <c r="H657" s="215">
        <v>210</v>
      </c>
      <c r="I657" s="216"/>
    </row>
    <row r="658" spans="1:9" ht="14.4" x14ac:dyDescent="0.3">
      <c r="A658" s="197"/>
      <c r="B658" s="198"/>
      <c r="C658" s="199"/>
      <c r="D658" s="200"/>
      <c r="E658" s="201"/>
      <c r="F658" s="212"/>
      <c r="G658" s="201"/>
      <c r="H658" s="215"/>
      <c r="I658" s="216"/>
    </row>
    <row r="659" spans="1:9" ht="14.4" x14ac:dyDescent="0.3">
      <c r="A659" s="197"/>
      <c r="B659" s="198"/>
      <c r="C659" s="199"/>
      <c r="D659" s="200"/>
      <c r="E659" s="201"/>
      <c r="F659" s="212"/>
      <c r="G659" s="201"/>
      <c r="H659" s="215"/>
      <c r="I659" s="216"/>
    </row>
    <row r="660" spans="1:9" ht="14.4" x14ac:dyDescent="0.3">
      <c r="A660" s="197"/>
      <c r="B660" s="203"/>
      <c r="C660" s="204"/>
      <c r="D660" s="205"/>
      <c r="E660" s="206"/>
      <c r="F660" s="218"/>
      <c r="G660" s="206"/>
      <c r="H660" s="219"/>
      <c r="I660" s="220"/>
    </row>
    <row r="661" spans="1:9" ht="15" thickBot="1" x14ac:dyDescent="0.35">
      <c r="A661" s="207"/>
      <c r="B661" s="208"/>
      <c r="C661" s="209"/>
      <c r="D661" s="210"/>
      <c r="E661" s="211"/>
      <c r="F661" s="221"/>
      <c r="G661" s="211"/>
      <c r="H661" s="222"/>
      <c r="I661" s="223"/>
    </row>
    <row r="662" spans="1:9" ht="14.4" thickBot="1" x14ac:dyDescent="0.35"/>
    <row r="663" spans="1:9" ht="14.4" thickBot="1" x14ac:dyDescent="0.35">
      <c r="A663" s="226" t="s">
        <v>1204</v>
      </c>
      <c r="B663" s="224" t="s">
        <v>1434</v>
      </c>
      <c r="C663" s="224" t="s">
        <v>1435</v>
      </c>
      <c r="D663" s="224" t="s">
        <v>1207</v>
      </c>
      <c r="E663" s="368" t="s">
        <v>1208</v>
      </c>
      <c r="F663" s="368"/>
      <c r="G663" s="368"/>
      <c r="H663" s="224" t="s">
        <v>1209</v>
      </c>
      <c r="I663" s="225" t="s">
        <v>1436</v>
      </c>
    </row>
    <row r="664" spans="1:9" ht="14.4" x14ac:dyDescent="0.3">
      <c r="A664" s="197" t="s">
        <v>1611</v>
      </c>
      <c r="B664" s="193" t="s">
        <v>309</v>
      </c>
      <c r="C664" s="194" t="s">
        <v>310</v>
      </c>
      <c r="D664" s="195" t="s">
        <v>1226</v>
      </c>
      <c r="E664" s="196">
        <v>0.29166666666666669</v>
      </c>
      <c r="F664" s="212"/>
      <c r="G664" s="196">
        <v>0.41666666666666669</v>
      </c>
      <c r="H664" s="213">
        <v>303</v>
      </c>
      <c r="I664" s="214"/>
    </row>
    <row r="665" spans="1:9" ht="14.4" x14ac:dyDescent="0.3">
      <c r="A665" s="197"/>
      <c r="B665" s="198" t="s">
        <v>185</v>
      </c>
      <c r="C665" s="199" t="s">
        <v>186</v>
      </c>
      <c r="D665" s="200" t="s">
        <v>1589</v>
      </c>
      <c r="E665" s="201">
        <v>0.41666666666666669</v>
      </c>
      <c r="F665" s="212"/>
      <c r="G665" s="201">
        <v>0.47916666666666669</v>
      </c>
      <c r="H665" s="215">
        <v>306</v>
      </c>
      <c r="I665" s="216"/>
    </row>
    <row r="666" spans="1:9" ht="14.4" x14ac:dyDescent="0.3">
      <c r="A666" s="197"/>
      <c r="B666" s="198" t="s">
        <v>274</v>
      </c>
      <c r="C666" s="199" t="s">
        <v>275</v>
      </c>
      <c r="D666" s="200" t="s">
        <v>1226</v>
      </c>
      <c r="E666" s="201">
        <v>0.4375</v>
      </c>
      <c r="F666" s="212"/>
      <c r="G666" s="201" t="s">
        <v>1425</v>
      </c>
      <c r="H666" s="215">
        <v>302</v>
      </c>
      <c r="I666" s="216"/>
    </row>
    <row r="667" spans="1:9" ht="14.4" x14ac:dyDescent="0.3">
      <c r="A667" s="197"/>
      <c r="B667" s="198" t="s">
        <v>315</v>
      </c>
      <c r="C667" s="199" t="s">
        <v>316</v>
      </c>
      <c r="D667" s="200" t="s">
        <v>1589</v>
      </c>
      <c r="E667" s="201">
        <v>0.47916666666666669</v>
      </c>
      <c r="F667" s="212"/>
      <c r="G667" s="201" t="s">
        <v>1316</v>
      </c>
      <c r="H667" s="215">
        <v>306</v>
      </c>
      <c r="I667" s="217"/>
    </row>
    <row r="668" spans="1:9" ht="14.4" x14ac:dyDescent="0.3">
      <c r="A668" s="197"/>
      <c r="B668" s="198" t="s">
        <v>317</v>
      </c>
      <c r="C668" s="199" t="s">
        <v>318</v>
      </c>
      <c r="D668" s="200" t="s">
        <v>1267</v>
      </c>
      <c r="E668" s="196" t="s">
        <v>1316</v>
      </c>
      <c r="F668" s="212"/>
      <c r="G668" s="196" t="s">
        <v>1331</v>
      </c>
      <c r="H668" s="215">
        <v>402</v>
      </c>
      <c r="I668" s="217"/>
    </row>
    <row r="669" spans="1:9" ht="14.4" x14ac:dyDescent="0.3">
      <c r="A669" s="197"/>
      <c r="B669" s="198" t="s">
        <v>319</v>
      </c>
      <c r="C669" s="199" t="s">
        <v>320</v>
      </c>
      <c r="D669" s="200" t="s">
        <v>1589</v>
      </c>
      <c r="E669" s="196" t="s">
        <v>1294</v>
      </c>
      <c r="F669" s="212"/>
      <c r="G669" s="196" t="s">
        <v>1331</v>
      </c>
      <c r="H669" s="215">
        <v>402</v>
      </c>
      <c r="I669" s="216"/>
    </row>
    <row r="670" spans="1:9" ht="14.4" x14ac:dyDescent="0.3">
      <c r="A670" s="197"/>
      <c r="B670" s="198" t="s">
        <v>334</v>
      </c>
      <c r="C670" s="199" t="s">
        <v>335</v>
      </c>
      <c r="D670" s="200" t="s">
        <v>1224</v>
      </c>
      <c r="E670" s="201" t="s">
        <v>1358</v>
      </c>
      <c r="F670" s="212"/>
      <c r="G670" s="201" t="s">
        <v>1316</v>
      </c>
      <c r="H670" s="215">
        <v>206</v>
      </c>
      <c r="I670" s="216"/>
    </row>
    <row r="671" spans="1:9" ht="14.4" x14ac:dyDescent="0.3">
      <c r="A671" s="197"/>
      <c r="B671" s="198"/>
      <c r="C671" s="199"/>
      <c r="D671" s="200" t="s">
        <v>1224</v>
      </c>
      <c r="E671" s="202" t="s">
        <v>1316</v>
      </c>
      <c r="F671" s="212"/>
      <c r="G671" s="201" t="s">
        <v>1331</v>
      </c>
      <c r="H671" s="215">
        <v>210</v>
      </c>
      <c r="I671" s="216"/>
    </row>
    <row r="672" spans="1:9" ht="14.4" x14ac:dyDescent="0.3">
      <c r="A672" s="197"/>
      <c r="B672" s="198"/>
      <c r="C672" s="199"/>
      <c r="D672" s="200"/>
      <c r="E672" s="201"/>
      <c r="F672" s="212"/>
      <c r="G672" s="201"/>
      <c r="H672" s="215"/>
      <c r="I672" s="216"/>
    </row>
    <row r="673" spans="1:9" ht="14.4" x14ac:dyDescent="0.3">
      <c r="A673" s="197"/>
      <c r="B673" s="198"/>
      <c r="C673" s="199"/>
      <c r="D673" s="200"/>
      <c r="E673" s="201"/>
      <c r="F673" s="212"/>
      <c r="G673" s="201"/>
      <c r="H673" s="215"/>
      <c r="I673" s="216"/>
    </row>
    <row r="674" spans="1:9" ht="14.4" x14ac:dyDescent="0.3">
      <c r="A674" s="197"/>
      <c r="B674" s="203"/>
      <c r="C674" s="204"/>
      <c r="D674" s="205"/>
      <c r="E674" s="206"/>
      <c r="F674" s="218"/>
      <c r="G674" s="206"/>
      <c r="H674" s="219"/>
      <c r="I674" s="220"/>
    </row>
    <row r="675" spans="1:9" ht="15" thickBot="1" x14ac:dyDescent="0.35">
      <c r="A675" s="207"/>
      <c r="B675" s="208"/>
      <c r="C675" s="209"/>
      <c r="D675" s="210"/>
      <c r="E675" s="211"/>
      <c r="F675" s="221"/>
      <c r="G675" s="211"/>
      <c r="H675" s="222"/>
      <c r="I675" s="223"/>
    </row>
    <row r="676" spans="1:9" ht="14.4" thickBot="1" x14ac:dyDescent="0.35"/>
    <row r="677" spans="1:9" ht="14.4" thickBot="1" x14ac:dyDescent="0.35">
      <c r="A677" s="226" t="s">
        <v>1204</v>
      </c>
      <c r="B677" s="224" t="s">
        <v>1434</v>
      </c>
      <c r="C677" s="224" t="s">
        <v>1435</v>
      </c>
      <c r="D677" s="224" t="s">
        <v>1207</v>
      </c>
      <c r="E677" s="368" t="s">
        <v>1208</v>
      </c>
      <c r="F677" s="368"/>
      <c r="G677" s="368"/>
      <c r="H677" s="224" t="s">
        <v>1209</v>
      </c>
      <c r="I677" s="225" t="s">
        <v>1436</v>
      </c>
    </row>
    <row r="678" spans="1:9" ht="14.4" x14ac:dyDescent="0.3">
      <c r="A678" s="197" t="s">
        <v>1612</v>
      </c>
      <c r="B678" s="193" t="s">
        <v>121</v>
      </c>
      <c r="C678" s="194" t="s">
        <v>122</v>
      </c>
      <c r="D678" s="195" t="s">
        <v>1247</v>
      </c>
      <c r="E678" s="196" t="s">
        <v>1316</v>
      </c>
      <c r="F678" s="212"/>
      <c r="G678" s="196" t="s">
        <v>1294</v>
      </c>
      <c r="H678" s="213">
        <v>306</v>
      </c>
      <c r="I678" s="214"/>
    </row>
    <row r="679" spans="1:9" ht="14.4" x14ac:dyDescent="0.3">
      <c r="A679" s="197"/>
      <c r="B679" s="198" t="s">
        <v>167</v>
      </c>
      <c r="C679" s="199" t="s">
        <v>168</v>
      </c>
      <c r="D679" s="200"/>
      <c r="E679" s="201"/>
      <c r="F679" s="212"/>
      <c r="G679" s="201"/>
      <c r="H679" s="215"/>
      <c r="I679" s="216"/>
    </row>
    <row r="680" spans="1:9" ht="14.4" x14ac:dyDescent="0.3">
      <c r="A680" s="197"/>
      <c r="B680" s="198" t="s">
        <v>144</v>
      </c>
      <c r="C680" s="199" t="s">
        <v>145</v>
      </c>
      <c r="D680" s="200" t="s">
        <v>1247</v>
      </c>
      <c r="E680" s="201">
        <v>0.47916666666666669</v>
      </c>
      <c r="F680" s="212"/>
      <c r="G680" s="201" t="s">
        <v>1316</v>
      </c>
      <c r="H680" s="215">
        <v>307</v>
      </c>
      <c r="I680" s="216"/>
    </row>
    <row r="681" spans="1:9" ht="14.4" x14ac:dyDescent="0.3">
      <c r="A681" s="197"/>
      <c r="B681" s="198" t="s">
        <v>337</v>
      </c>
      <c r="C681" s="199" t="s">
        <v>338</v>
      </c>
      <c r="D681" s="200"/>
      <c r="E681" s="201"/>
      <c r="F681" s="212"/>
      <c r="G681" s="201"/>
      <c r="H681" s="215"/>
      <c r="I681" s="217"/>
    </row>
    <row r="682" spans="1:9" ht="14.4" x14ac:dyDescent="0.3">
      <c r="A682" s="197"/>
      <c r="B682" s="198" t="s">
        <v>339</v>
      </c>
      <c r="C682" s="199" t="s">
        <v>340</v>
      </c>
      <c r="D682" s="200" t="s">
        <v>1267</v>
      </c>
      <c r="E682" s="196" t="s">
        <v>1316</v>
      </c>
      <c r="F682" s="212"/>
      <c r="G682" s="196" t="s">
        <v>1402</v>
      </c>
      <c r="H682" s="215" t="s">
        <v>1592</v>
      </c>
      <c r="I682" s="217"/>
    </row>
    <row r="683" spans="1:9" ht="14.4" x14ac:dyDescent="0.3">
      <c r="A683" s="197"/>
      <c r="B683" s="198"/>
      <c r="C683" s="199"/>
      <c r="D683" s="200" t="s">
        <v>1267</v>
      </c>
      <c r="E683" s="196" t="s">
        <v>1402</v>
      </c>
      <c r="F683" s="212"/>
      <c r="G683" s="196" t="s">
        <v>1438</v>
      </c>
      <c r="H683" s="215" t="s">
        <v>1592</v>
      </c>
      <c r="I683" s="216"/>
    </row>
    <row r="684" spans="1:9" ht="14.4" x14ac:dyDescent="0.3">
      <c r="A684" s="197"/>
      <c r="B684" s="198"/>
      <c r="C684" s="199"/>
      <c r="D684" s="200"/>
      <c r="E684" s="201"/>
      <c r="F684" s="212"/>
      <c r="G684" s="201"/>
      <c r="H684" s="215"/>
      <c r="I684" s="216"/>
    </row>
    <row r="685" spans="1:9" ht="14.4" x14ac:dyDescent="0.3">
      <c r="A685" s="197"/>
      <c r="B685" s="198"/>
      <c r="C685" s="199"/>
      <c r="D685" s="200"/>
      <c r="E685" s="202"/>
      <c r="F685" s="212"/>
      <c r="G685" s="201"/>
      <c r="H685" s="215"/>
      <c r="I685" s="216"/>
    </row>
    <row r="686" spans="1:9" ht="14.4" x14ac:dyDescent="0.3">
      <c r="A686" s="197"/>
      <c r="B686" s="198"/>
      <c r="C686" s="199"/>
      <c r="D686" s="200"/>
      <c r="E686" s="201"/>
      <c r="F686" s="212"/>
      <c r="G686" s="201"/>
      <c r="H686" s="215"/>
      <c r="I686" s="216"/>
    </row>
    <row r="687" spans="1:9" ht="14.4" x14ac:dyDescent="0.3">
      <c r="A687" s="197"/>
      <c r="B687" s="198"/>
      <c r="C687" s="199"/>
      <c r="D687" s="200"/>
      <c r="E687" s="201"/>
      <c r="F687" s="212"/>
      <c r="G687" s="201"/>
      <c r="H687" s="215"/>
      <c r="I687" s="216"/>
    </row>
    <row r="688" spans="1:9" ht="14.4" x14ac:dyDescent="0.3">
      <c r="A688" s="197"/>
      <c r="B688" s="203"/>
      <c r="C688" s="204"/>
      <c r="D688" s="205"/>
      <c r="E688" s="206"/>
      <c r="F688" s="218"/>
      <c r="G688" s="206"/>
      <c r="H688" s="219"/>
      <c r="I688" s="220"/>
    </row>
    <row r="689" spans="1:9" ht="15" thickBot="1" x14ac:dyDescent="0.35">
      <c r="A689" s="207"/>
      <c r="B689" s="208"/>
      <c r="C689" s="209"/>
      <c r="D689" s="210"/>
      <c r="E689" s="211"/>
      <c r="F689" s="221"/>
      <c r="G689" s="211"/>
      <c r="H689" s="222"/>
      <c r="I689" s="223"/>
    </row>
    <row r="690" spans="1:9" ht="14.4" thickBot="1" x14ac:dyDescent="0.35"/>
    <row r="691" spans="1:9" x14ac:dyDescent="0.3">
      <c r="A691" s="226" t="s">
        <v>1204</v>
      </c>
      <c r="B691" s="224" t="s">
        <v>1434</v>
      </c>
      <c r="C691" s="224" t="s">
        <v>1435</v>
      </c>
      <c r="D691" s="224" t="s">
        <v>1207</v>
      </c>
      <c r="E691" s="368" t="s">
        <v>1208</v>
      </c>
      <c r="F691" s="368"/>
      <c r="G691" s="368"/>
      <c r="H691" s="224" t="s">
        <v>1209</v>
      </c>
      <c r="I691" s="225" t="s">
        <v>1436</v>
      </c>
    </row>
    <row r="692" spans="1:9" ht="14.4" x14ac:dyDescent="0.3">
      <c r="A692" s="197" t="s">
        <v>1613</v>
      </c>
      <c r="B692" s="193" t="s">
        <v>121</v>
      </c>
      <c r="C692" s="194" t="s">
        <v>122</v>
      </c>
      <c r="D692" s="195" t="s">
        <v>1589</v>
      </c>
      <c r="E692" s="196" t="s">
        <v>1331</v>
      </c>
      <c r="F692" s="212"/>
      <c r="G692" s="196" t="s">
        <v>1351</v>
      </c>
      <c r="H692" s="213">
        <v>305</v>
      </c>
      <c r="I692" s="214"/>
    </row>
    <row r="693" spans="1:9" ht="14.4" x14ac:dyDescent="0.3">
      <c r="A693" s="197"/>
      <c r="B693" s="198" t="s">
        <v>167</v>
      </c>
      <c r="C693" s="199" t="s">
        <v>168</v>
      </c>
      <c r="D693" s="200"/>
      <c r="E693" s="201"/>
      <c r="F693" s="212"/>
      <c r="G693" s="201"/>
      <c r="H693" s="215"/>
      <c r="I693" s="216"/>
    </row>
    <row r="694" spans="1:9" ht="14.4" x14ac:dyDescent="0.3">
      <c r="A694" s="197"/>
      <c r="B694" s="198" t="s">
        <v>144</v>
      </c>
      <c r="C694" s="199" t="s">
        <v>145</v>
      </c>
      <c r="D694" s="200" t="s">
        <v>1589</v>
      </c>
      <c r="E694" s="201" t="s">
        <v>1294</v>
      </c>
      <c r="F694" s="212"/>
      <c r="G694" s="201" t="s">
        <v>1331</v>
      </c>
      <c r="H694" s="215">
        <v>306</v>
      </c>
      <c r="I694" s="216"/>
    </row>
    <row r="695" spans="1:9" ht="14.4" x14ac:dyDescent="0.3">
      <c r="A695" s="197"/>
      <c r="B695" s="198" t="s">
        <v>337</v>
      </c>
      <c r="C695" s="199" t="s">
        <v>338</v>
      </c>
      <c r="D695" s="200"/>
      <c r="E695" s="201"/>
      <c r="F695" s="212"/>
      <c r="G695" s="201"/>
      <c r="H695" s="215"/>
      <c r="I695" s="217"/>
    </row>
    <row r="696" spans="1:9" ht="14.4" x14ac:dyDescent="0.3">
      <c r="A696" s="197"/>
      <c r="B696" s="198" t="s">
        <v>339</v>
      </c>
      <c r="C696" s="199" t="s">
        <v>340</v>
      </c>
      <c r="D696" s="200" t="s">
        <v>1224</v>
      </c>
      <c r="E696" s="196" t="s">
        <v>1316</v>
      </c>
      <c r="F696" s="212"/>
      <c r="G696" s="196" t="s">
        <v>1402</v>
      </c>
      <c r="H696" s="215" t="s">
        <v>1592</v>
      </c>
      <c r="I696" s="217"/>
    </row>
    <row r="697" spans="1:9" ht="14.4" x14ac:dyDescent="0.3">
      <c r="A697" s="197"/>
      <c r="B697" s="198"/>
      <c r="C697" s="199"/>
      <c r="D697" s="200" t="s">
        <v>1224</v>
      </c>
      <c r="E697" s="196" t="s">
        <v>1402</v>
      </c>
      <c r="F697" s="212"/>
      <c r="G697" s="196" t="s">
        <v>1438</v>
      </c>
      <c r="H697" s="215" t="s">
        <v>1592</v>
      </c>
      <c r="I697" s="216"/>
    </row>
    <row r="698" spans="1:9" ht="14.4" x14ac:dyDescent="0.3">
      <c r="A698" s="197"/>
      <c r="B698" s="198"/>
      <c r="C698" s="199"/>
      <c r="D698" s="200"/>
      <c r="E698" s="201"/>
      <c r="F698" s="212"/>
      <c r="G698" s="201"/>
      <c r="H698" s="215"/>
      <c r="I698" s="216"/>
    </row>
    <row r="699" spans="1:9" ht="14.4" x14ac:dyDescent="0.3">
      <c r="A699" s="197"/>
      <c r="B699" s="198"/>
      <c r="C699" s="199"/>
      <c r="D699" s="200"/>
      <c r="E699" s="202"/>
      <c r="F699" s="212"/>
      <c r="G699" s="201"/>
      <c r="H699" s="215"/>
      <c r="I699" s="216"/>
    </row>
    <row r="700" spans="1:9" ht="14.4" x14ac:dyDescent="0.3">
      <c r="A700" s="197"/>
      <c r="B700" s="198"/>
      <c r="C700" s="199"/>
      <c r="D700" s="200"/>
      <c r="E700" s="201"/>
      <c r="F700" s="212"/>
      <c r="G700" s="201"/>
      <c r="H700" s="215"/>
      <c r="I700" s="216"/>
    </row>
    <row r="701" spans="1:9" ht="14.4" x14ac:dyDescent="0.3">
      <c r="A701" s="197"/>
      <c r="B701" s="198"/>
      <c r="C701" s="199"/>
      <c r="D701" s="200"/>
      <c r="E701" s="201"/>
      <c r="F701" s="212"/>
      <c r="G701" s="201"/>
      <c r="H701" s="215"/>
      <c r="I701" s="216"/>
    </row>
    <row r="702" spans="1:9" ht="14.4" x14ac:dyDescent="0.3">
      <c r="A702" s="197"/>
      <c r="B702" s="203"/>
      <c r="C702" s="204"/>
      <c r="D702" s="205"/>
      <c r="E702" s="206"/>
      <c r="F702" s="218"/>
      <c r="G702" s="206"/>
      <c r="H702" s="219"/>
      <c r="I702" s="220"/>
    </row>
    <row r="703" spans="1:9" ht="15" thickBot="1" x14ac:dyDescent="0.35">
      <c r="A703" s="207"/>
      <c r="B703" s="208"/>
      <c r="C703" s="209"/>
      <c r="D703" s="210"/>
      <c r="E703" s="211"/>
      <c r="F703" s="221"/>
      <c r="G703" s="211"/>
      <c r="H703" s="222"/>
      <c r="I703" s="223"/>
    </row>
    <row r="704" spans="1:9" ht="14.4" thickBot="1" x14ac:dyDescent="0.35"/>
    <row r="705" spans="1:9" ht="14.4" thickBot="1" x14ac:dyDescent="0.35">
      <c r="A705" s="226" t="s">
        <v>1204</v>
      </c>
      <c r="B705" s="224" t="s">
        <v>1434</v>
      </c>
      <c r="C705" s="224" t="s">
        <v>1435</v>
      </c>
      <c r="D705" s="224" t="s">
        <v>1207</v>
      </c>
      <c r="E705" s="368" t="s">
        <v>1208</v>
      </c>
      <c r="F705" s="368"/>
      <c r="G705" s="368"/>
      <c r="H705" s="224" t="s">
        <v>1209</v>
      </c>
      <c r="I705" s="225" t="s">
        <v>1436</v>
      </c>
    </row>
    <row r="706" spans="1:9" ht="14.4" x14ac:dyDescent="0.3">
      <c r="A706" s="197" t="s">
        <v>1614</v>
      </c>
      <c r="B706" s="193" t="s">
        <v>1615</v>
      </c>
      <c r="C706" s="194" t="s">
        <v>1616</v>
      </c>
      <c r="D706" s="195" t="s">
        <v>1446</v>
      </c>
      <c r="E706" s="196" t="s">
        <v>1314</v>
      </c>
      <c r="F706" s="212"/>
      <c r="G706" s="196" t="s">
        <v>1311</v>
      </c>
      <c r="H706" s="213">
        <v>212</v>
      </c>
      <c r="I706" s="214" t="s">
        <v>1617</v>
      </c>
    </row>
    <row r="707" spans="1:9" ht="14.4" x14ac:dyDescent="0.3">
      <c r="A707" s="197"/>
      <c r="B707" s="198" t="s">
        <v>1618</v>
      </c>
      <c r="C707" s="199" t="s">
        <v>122</v>
      </c>
      <c r="D707" s="200" t="s">
        <v>1446</v>
      </c>
      <c r="E707" s="201">
        <v>0.29166666666666669</v>
      </c>
      <c r="F707" s="212"/>
      <c r="G707" s="201">
        <v>0.35416666666666669</v>
      </c>
      <c r="H707" s="215">
        <v>304</v>
      </c>
      <c r="I707" s="216" t="s">
        <v>1445</v>
      </c>
    </row>
    <row r="708" spans="1:9" ht="14.4" x14ac:dyDescent="0.3">
      <c r="A708" s="197"/>
      <c r="B708" s="198" t="s">
        <v>1619</v>
      </c>
      <c r="C708" s="199" t="s">
        <v>124</v>
      </c>
      <c r="D708" s="200" t="s">
        <v>1443</v>
      </c>
      <c r="E708" s="201">
        <v>0.45833333333333331</v>
      </c>
      <c r="F708" s="212"/>
      <c r="G708" s="201">
        <v>0.5</v>
      </c>
      <c r="H708" s="215">
        <v>305</v>
      </c>
      <c r="I708" s="216" t="s">
        <v>1454</v>
      </c>
    </row>
    <row r="709" spans="1:9" ht="14.4" x14ac:dyDescent="0.3">
      <c r="A709" s="197"/>
      <c r="B709" s="198" t="s">
        <v>1620</v>
      </c>
      <c r="C709" s="199" t="s">
        <v>129</v>
      </c>
      <c r="D709" s="200" t="s">
        <v>1443</v>
      </c>
      <c r="E709" s="201">
        <v>0.33333333333333331</v>
      </c>
      <c r="F709" s="212"/>
      <c r="G709" s="201">
        <v>0.45833333333333331</v>
      </c>
      <c r="H709" s="215">
        <v>305</v>
      </c>
      <c r="I709" s="217" t="s">
        <v>1454</v>
      </c>
    </row>
    <row r="710" spans="1:9" ht="14.4" x14ac:dyDescent="0.3">
      <c r="A710" s="197"/>
      <c r="B710" s="198" t="s">
        <v>1621</v>
      </c>
      <c r="C710" s="199" t="s">
        <v>292</v>
      </c>
      <c r="D710" s="200" t="s">
        <v>1285</v>
      </c>
      <c r="E710" s="196" t="s">
        <v>1293</v>
      </c>
      <c r="F710" s="212"/>
      <c r="G710" s="196">
        <v>0.5625</v>
      </c>
      <c r="H710" s="215" t="s">
        <v>1221</v>
      </c>
      <c r="I710" s="217" t="s">
        <v>1449</v>
      </c>
    </row>
    <row r="711" spans="1:9" ht="14.4" x14ac:dyDescent="0.3">
      <c r="A711" s="197"/>
      <c r="B711" s="198" t="s">
        <v>1622</v>
      </c>
      <c r="C711" s="199" t="s">
        <v>140</v>
      </c>
      <c r="D711" s="200" t="s">
        <v>1247</v>
      </c>
      <c r="E711" s="196">
        <v>0.29166666666666669</v>
      </c>
      <c r="F711" s="212"/>
      <c r="G711" s="196">
        <v>0.35416666666666669</v>
      </c>
      <c r="H711" s="215">
        <v>305</v>
      </c>
      <c r="I711" s="216" t="s">
        <v>1495</v>
      </c>
    </row>
    <row r="712" spans="1:9" ht="14.4" x14ac:dyDescent="0.3">
      <c r="A712" s="197"/>
      <c r="B712" s="198" t="s">
        <v>1623</v>
      </c>
      <c r="C712" s="199" t="s">
        <v>135</v>
      </c>
      <c r="D712" s="200" t="s">
        <v>1247</v>
      </c>
      <c r="E712" s="201">
        <v>0.35416666666666669</v>
      </c>
      <c r="F712" s="212"/>
      <c r="G712" s="201">
        <v>0.41666666666666669</v>
      </c>
      <c r="H712" s="215">
        <v>304</v>
      </c>
      <c r="I712" s="216" t="s">
        <v>1624</v>
      </c>
    </row>
    <row r="713" spans="1:9" ht="14.4" x14ac:dyDescent="0.3">
      <c r="A713" s="197"/>
      <c r="B713" s="198"/>
      <c r="C713" s="199"/>
      <c r="D713" s="200"/>
      <c r="E713" s="202"/>
      <c r="F713" s="212"/>
      <c r="G713" s="201"/>
      <c r="H713" s="215"/>
      <c r="I713" s="216"/>
    </row>
    <row r="714" spans="1:9" ht="14.4" x14ac:dyDescent="0.3">
      <c r="A714" s="197"/>
      <c r="B714" s="198"/>
      <c r="C714" s="199"/>
      <c r="D714" s="200"/>
      <c r="E714" s="201"/>
      <c r="F714" s="212"/>
      <c r="G714" s="201"/>
      <c r="H714" s="215"/>
      <c r="I714" s="216"/>
    </row>
    <row r="715" spans="1:9" ht="14.4" x14ac:dyDescent="0.3">
      <c r="A715" s="197"/>
      <c r="B715" s="198"/>
      <c r="C715" s="199"/>
      <c r="D715" s="200"/>
      <c r="E715" s="201"/>
      <c r="F715" s="212"/>
      <c r="G715" s="201"/>
      <c r="H715" s="215"/>
      <c r="I715" s="216"/>
    </row>
    <row r="716" spans="1:9" ht="14.4" x14ac:dyDescent="0.3">
      <c r="A716" s="197"/>
      <c r="B716" s="203"/>
      <c r="C716" s="204"/>
      <c r="D716" s="205"/>
      <c r="E716" s="206"/>
      <c r="F716" s="218"/>
      <c r="G716" s="206"/>
      <c r="H716" s="219"/>
      <c r="I716" s="220"/>
    </row>
    <row r="717" spans="1:9" ht="15" thickBot="1" x14ac:dyDescent="0.35">
      <c r="A717" s="207"/>
      <c r="B717" s="208"/>
      <c r="C717" s="209"/>
      <c r="D717" s="210"/>
      <c r="E717" s="211"/>
      <c r="F717" s="221"/>
      <c r="G717" s="211"/>
      <c r="H717" s="222"/>
      <c r="I717" s="223"/>
    </row>
    <row r="718" spans="1:9" ht="14.4" thickBot="1" x14ac:dyDescent="0.35"/>
    <row r="719" spans="1:9" ht="14.4" thickBot="1" x14ac:dyDescent="0.35">
      <c r="A719" s="226" t="s">
        <v>1204</v>
      </c>
      <c r="B719" s="224" t="s">
        <v>1434</v>
      </c>
      <c r="C719" s="224" t="s">
        <v>1435</v>
      </c>
      <c r="D719" s="224" t="s">
        <v>1207</v>
      </c>
      <c r="E719" s="368" t="s">
        <v>1208</v>
      </c>
      <c r="F719" s="368"/>
      <c r="G719" s="368"/>
      <c r="H719" s="224" t="s">
        <v>1209</v>
      </c>
      <c r="I719" s="225" t="s">
        <v>1436</v>
      </c>
    </row>
    <row r="720" spans="1:9" ht="14.4" x14ac:dyDescent="0.3">
      <c r="A720" s="197" t="s">
        <v>1625</v>
      </c>
      <c r="B720" s="193" t="s">
        <v>1615</v>
      </c>
      <c r="C720" s="194" t="s">
        <v>1616</v>
      </c>
      <c r="D720" s="195" t="s">
        <v>1446</v>
      </c>
      <c r="E720" s="196">
        <v>0.41666666666666669</v>
      </c>
      <c r="F720" s="212"/>
      <c r="G720" s="196">
        <v>0.47916666666666669</v>
      </c>
      <c r="H720" s="213">
        <v>212</v>
      </c>
      <c r="I720" s="214" t="s">
        <v>1617</v>
      </c>
    </row>
    <row r="721" spans="1:9" ht="14.4" x14ac:dyDescent="0.3">
      <c r="A721" s="197"/>
      <c r="B721" s="198" t="s">
        <v>1618</v>
      </c>
      <c r="C721" s="199" t="s">
        <v>122</v>
      </c>
      <c r="D721" s="200" t="s">
        <v>1446</v>
      </c>
      <c r="E721" s="201">
        <v>0.35416666666666669</v>
      </c>
      <c r="F721" s="212"/>
      <c r="G721" s="201">
        <v>0.41666666666666669</v>
      </c>
      <c r="H721" s="215">
        <v>410</v>
      </c>
      <c r="I721" s="216" t="s">
        <v>1466</v>
      </c>
    </row>
    <row r="722" spans="1:9" ht="14.4" x14ac:dyDescent="0.3">
      <c r="A722" s="197"/>
      <c r="B722" s="198" t="s">
        <v>1619</v>
      </c>
      <c r="C722" s="199" t="s">
        <v>124</v>
      </c>
      <c r="D722" s="200" t="s">
        <v>1443</v>
      </c>
      <c r="E722" s="201" t="s">
        <v>1358</v>
      </c>
      <c r="F722" s="212"/>
      <c r="G722" s="201" t="s">
        <v>1361</v>
      </c>
      <c r="H722" s="215">
        <v>304</v>
      </c>
      <c r="I722" s="216" t="s">
        <v>1448</v>
      </c>
    </row>
    <row r="723" spans="1:9" ht="14.4" x14ac:dyDescent="0.3">
      <c r="A723" s="197"/>
      <c r="B723" s="198" t="s">
        <v>1620</v>
      </c>
      <c r="C723" s="199" t="s">
        <v>129</v>
      </c>
      <c r="D723" s="200" t="s">
        <v>1443</v>
      </c>
      <c r="E723" s="201" t="s">
        <v>1415</v>
      </c>
      <c r="F723" s="212"/>
      <c r="G723" s="201" t="s">
        <v>1358</v>
      </c>
      <c r="H723" s="215">
        <v>304</v>
      </c>
      <c r="I723" s="217" t="s">
        <v>1448</v>
      </c>
    </row>
    <row r="724" spans="1:9" ht="14.4" x14ac:dyDescent="0.3">
      <c r="A724" s="197"/>
      <c r="B724" s="198" t="s">
        <v>1621</v>
      </c>
      <c r="C724" s="199" t="s">
        <v>292</v>
      </c>
      <c r="D724" s="200" t="s">
        <v>1285</v>
      </c>
      <c r="E724" s="196">
        <v>0.47916666666666669</v>
      </c>
      <c r="F724" s="212"/>
      <c r="G724" s="196">
        <v>0.5625</v>
      </c>
      <c r="H724" s="215" t="s">
        <v>1221</v>
      </c>
      <c r="I724" s="217" t="s">
        <v>1449</v>
      </c>
    </row>
    <row r="725" spans="1:9" ht="14.4" x14ac:dyDescent="0.3">
      <c r="A725" s="197"/>
      <c r="B725" s="198" t="s">
        <v>1622</v>
      </c>
      <c r="C725" s="199" t="s">
        <v>140</v>
      </c>
      <c r="D725" s="200" t="s">
        <v>1247</v>
      </c>
      <c r="E725" s="196">
        <v>0.35416666666666669</v>
      </c>
      <c r="F725" s="212"/>
      <c r="G725" s="196">
        <v>0.41666666666666669</v>
      </c>
      <c r="H725" s="215">
        <v>302</v>
      </c>
      <c r="I725" s="216" t="s">
        <v>1456</v>
      </c>
    </row>
    <row r="726" spans="1:9" ht="14.4" x14ac:dyDescent="0.3">
      <c r="A726" s="197"/>
      <c r="B726" s="198" t="s">
        <v>1623</v>
      </c>
      <c r="C726" s="199" t="s">
        <v>135</v>
      </c>
      <c r="D726" s="200" t="s">
        <v>1247</v>
      </c>
      <c r="E726" s="201">
        <v>0.29166666666666669</v>
      </c>
      <c r="F726" s="212"/>
      <c r="G726" s="201" t="s">
        <v>1314</v>
      </c>
      <c r="H726" s="215">
        <v>502</v>
      </c>
      <c r="I726" s="216" t="s">
        <v>1455</v>
      </c>
    </row>
    <row r="727" spans="1:9" ht="14.4" x14ac:dyDescent="0.3">
      <c r="A727" s="197"/>
      <c r="B727" s="198"/>
      <c r="C727" s="199"/>
      <c r="D727" s="200"/>
      <c r="E727" s="202"/>
      <c r="F727" s="212"/>
      <c r="G727" s="201"/>
      <c r="H727" s="215"/>
      <c r="I727" s="216"/>
    </row>
    <row r="728" spans="1:9" ht="14.4" x14ac:dyDescent="0.3">
      <c r="A728" s="197"/>
      <c r="B728" s="198"/>
      <c r="C728" s="199"/>
      <c r="D728" s="200"/>
      <c r="E728" s="201"/>
      <c r="F728" s="212"/>
      <c r="G728" s="201"/>
      <c r="H728" s="215"/>
      <c r="I728" s="216"/>
    </row>
    <row r="729" spans="1:9" ht="14.4" x14ac:dyDescent="0.3">
      <c r="A729" s="197"/>
      <c r="B729" s="198"/>
      <c r="C729" s="199"/>
      <c r="D729" s="200"/>
      <c r="E729" s="201"/>
      <c r="F729" s="212"/>
      <c r="G729" s="201"/>
      <c r="H729" s="215"/>
      <c r="I729" s="216"/>
    </row>
    <row r="730" spans="1:9" ht="14.4" x14ac:dyDescent="0.3">
      <c r="A730" s="197"/>
      <c r="B730" s="203"/>
      <c r="C730" s="204"/>
      <c r="D730" s="205"/>
      <c r="E730" s="206"/>
      <c r="F730" s="218"/>
      <c r="G730" s="206"/>
      <c r="H730" s="219"/>
      <c r="I730" s="220"/>
    </row>
    <row r="731" spans="1:9" ht="15" thickBot="1" x14ac:dyDescent="0.35">
      <c r="A731" s="207"/>
      <c r="B731" s="208"/>
      <c r="C731" s="209"/>
      <c r="D731" s="210"/>
      <c r="E731" s="211"/>
      <c r="F731" s="221"/>
      <c r="G731" s="211"/>
      <c r="H731" s="222"/>
      <c r="I731" s="223"/>
    </row>
    <row r="732" spans="1:9" ht="14.4" thickBot="1" x14ac:dyDescent="0.35"/>
    <row r="733" spans="1:9" ht="14.4" thickBot="1" x14ac:dyDescent="0.35">
      <c r="A733" s="226" t="s">
        <v>1204</v>
      </c>
      <c r="B733" s="224" t="s">
        <v>1434</v>
      </c>
      <c r="C733" s="224" t="s">
        <v>1435</v>
      </c>
      <c r="D733" s="224" t="s">
        <v>1207</v>
      </c>
      <c r="E733" s="368" t="s">
        <v>1208</v>
      </c>
      <c r="F733" s="368"/>
      <c r="G733" s="368"/>
      <c r="H733" s="224" t="s">
        <v>1209</v>
      </c>
      <c r="I733" s="225" t="s">
        <v>1436</v>
      </c>
    </row>
    <row r="734" spans="1:9" ht="14.4" x14ac:dyDescent="0.3">
      <c r="A734" s="197" t="s">
        <v>1626</v>
      </c>
      <c r="B734" s="193" t="s">
        <v>185</v>
      </c>
      <c r="C734" s="194" t="s">
        <v>186</v>
      </c>
      <c r="D734" s="195" t="s">
        <v>1446</v>
      </c>
      <c r="E734" s="196">
        <v>0.35416666666666669</v>
      </c>
      <c r="F734" s="212"/>
      <c r="G734" s="196">
        <v>0.41666666666666669</v>
      </c>
      <c r="H734" s="213">
        <v>303</v>
      </c>
      <c r="I734" s="214" t="s">
        <v>1627</v>
      </c>
    </row>
    <row r="735" spans="1:9" ht="14.4" x14ac:dyDescent="0.3">
      <c r="A735" s="197"/>
      <c r="B735" s="198" t="s">
        <v>144</v>
      </c>
      <c r="C735" s="199" t="s">
        <v>145</v>
      </c>
      <c r="D735" s="200" t="s">
        <v>1446</v>
      </c>
      <c r="E735" s="201">
        <v>0.29166666666666669</v>
      </c>
      <c r="F735" s="212"/>
      <c r="G735" s="201">
        <v>0.35416666666666669</v>
      </c>
      <c r="H735" s="215">
        <v>301</v>
      </c>
      <c r="I735" s="216" t="s">
        <v>1495</v>
      </c>
    </row>
    <row r="736" spans="1:9" ht="14.4" x14ac:dyDescent="0.3">
      <c r="A736" s="197"/>
      <c r="B736" s="198" t="s">
        <v>217</v>
      </c>
      <c r="C736" s="199" t="s">
        <v>218</v>
      </c>
      <c r="D736" s="200" t="s">
        <v>1446</v>
      </c>
      <c r="E736" s="201" t="s">
        <v>1293</v>
      </c>
      <c r="F736" s="212"/>
      <c r="G736" s="201">
        <v>0.54166666666666663</v>
      </c>
      <c r="H736" s="215">
        <v>303</v>
      </c>
      <c r="I736" s="216" t="s">
        <v>1574</v>
      </c>
    </row>
    <row r="737" spans="1:9" ht="14.4" x14ac:dyDescent="0.3">
      <c r="A737" s="197"/>
      <c r="B737" s="198" t="s">
        <v>142</v>
      </c>
      <c r="C737" s="199" t="s">
        <v>143</v>
      </c>
      <c r="D737" s="200" t="s">
        <v>1285</v>
      </c>
      <c r="E737" s="201">
        <v>0.5625</v>
      </c>
      <c r="F737" s="212"/>
      <c r="G737" s="201">
        <v>0.64583333333333337</v>
      </c>
      <c r="H737" s="215" t="s">
        <v>1221</v>
      </c>
      <c r="I737" s="217" t="s">
        <v>1468</v>
      </c>
    </row>
    <row r="738" spans="1:9" ht="14.4" x14ac:dyDescent="0.3">
      <c r="A738" s="197"/>
      <c r="B738" s="198" t="s">
        <v>366</v>
      </c>
      <c r="C738" s="199" t="s">
        <v>1628</v>
      </c>
      <c r="D738" s="200" t="s">
        <v>1280</v>
      </c>
      <c r="E738" s="196" t="s">
        <v>1415</v>
      </c>
      <c r="F738" s="212"/>
      <c r="G738" s="196" t="s">
        <v>1311</v>
      </c>
      <c r="H738" s="215">
        <v>301</v>
      </c>
      <c r="I738" s="217" t="s">
        <v>1627</v>
      </c>
    </row>
    <row r="739" spans="1:9" ht="14.4" x14ac:dyDescent="0.3">
      <c r="A739" s="197"/>
      <c r="B739" s="198" t="s">
        <v>366</v>
      </c>
      <c r="C739" s="199" t="s">
        <v>1629</v>
      </c>
      <c r="D739" s="200" t="s">
        <v>1285</v>
      </c>
      <c r="E739" s="196" t="s">
        <v>1317</v>
      </c>
      <c r="F739" s="212"/>
      <c r="G739" s="196" t="s">
        <v>1311</v>
      </c>
      <c r="H739" s="215">
        <v>210</v>
      </c>
      <c r="I739" s="216" t="s">
        <v>1627</v>
      </c>
    </row>
    <row r="740" spans="1:9" ht="14.4" x14ac:dyDescent="0.3">
      <c r="A740" s="197"/>
      <c r="B740" s="198" t="s">
        <v>368</v>
      </c>
      <c r="C740" s="199" t="s">
        <v>369</v>
      </c>
      <c r="D740" s="200" t="s">
        <v>1247</v>
      </c>
      <c r="E740" s="201" t="s">
        <v>1293</v>
      </c>
      <c r="F740" s="212"/>
      <c r="G740" s="201" t="s">
        <v>1316</v>
      </c>
      <c r="H740" s="215">
        <v>301</v>
      </c>
      <c r="I740" s="216" t="s">
        <v>1630</v>
      </c>
    </row>
    <row r="741" spans="1:9" ht="14.4" x14ac:dyDescent="0.3">
      <c r="A741" s="197"/>
      <c r="B741" s="198"/>
      <c r="C741" s="199"/>
      <c r="D741" s="200"/>
      <c r="E741" s="202"/>
      <c r="F741" s="212"/>
      <c r="G741" s="201"/>
      <c r="H741" s="215"/>
      <c r="I741" s="216"/>
    </row>
    <row r="742" spans="1:9" ht="14.4" x14ac:dyDescent="0.3">
      <c r="A742" s="197"/>
      <c r="B742" s="198"/>
      <c r="C742" s="199"/>
      <c r="D742" s="200"/>
      <c r="E742" s="201"/>
      <c r="F742" s="212"/>
      <c r="G742" s="201"/>
      <c r="H742" s="215"/>
      <c r="I742" s="216"/>
    </row>
    <row r="743" spans="1:9" ht="14.4" x14ac:dyDescent="0.3">
      <c r="A743" s="197"/>
      <c r="B743" s="198"/>
      <c r="C743" s="199"/>
      <c r="D743" s="200"/>
      <c r="E743" s="201"/>
      <c r="F743" s="212"/>
      <c r="G743" s="201"/>
      <c r="H743" s="215"/>
      <c r="I743" s="216"/>
    </row>
    <row r="744" spans="1:9" ht="14.4" x14ac:dyDescent="0.3">
      <c r="A744" s="197"/>
      <c r="B744" s="203"/>
      <c r="C744" s="204"/>
      <c r="D744" s="205"/>
      <c r="E744" s="206"/>
      <c r="F744" s="218"/>
      <c r="G744" s="206"/>
      <c r="H744" s="219"/>
      <c r="I744" s="220"/>
    </row>
    <row r="745" spans="1:9" ht="15" thickBot="1" x14ac:dyDescent="0.35">
      <c r="A745" s="207"/>
      <c r="B745" s="208"/>
      <c r="C745" s="209"/>
      <c r="D745" s="210"/>
      <c r="E745" s="211"/>
      <c r="F745" s="221"/>
      <c r="G745" s="211"/>
      <c r="H745" s="222"/>
      <c r="I745" s="223"/>
    </row>
    <row r="746" spans="1:9" ht="14.4" thickBot="1" x14ac:dyDescent="0.35"/>
    <row r="747" spans="1:9" ht="14.4" thickBot="1" x14ac:dyDescent="0.35">
      <c r="A747" s="226" t="s">
        <v>1204</v>
      </c>
      <c r="B747" s="224" t="s">
        <v>1434</v>
      </c>
      <c r="C747" s="224" t="s">
        <v>1435</v>
      </c>
      <c r="D747" s="224" t="s">
        <v>1207</v>
      </c>
      <c r="E747" s="368" t="s">
        <v>1208</v>
      </c>
      <c r="F747" s="368"/>
      <c r="G747" s="368"/>
      <c r="H747" s="224" t="s">
        <v>1209</v>
      </c>
      <c r="I747" s="225" t="s">
        <v>1436</v>
      </c>
    </row>
    <row r="748" spans="1:9" ht="14.4" x14ac:dyDescent="0.3">
      <c r="A748" s="197" t="s">
        <v>1631</v>
      </c>
      <c r="B748" s="193" t="s">
        <v>185</v>
      </c>
      <c r="C748" s="194" t="s">
        <v>186</v>
      </c>
      <c r="D748" s="195" t="s">
        <v>1446</v>
      </c>
      <c r="E748" s="196" t="s">
        <v>1317</v>
      </c>
      <c r="F748" s="212"/>
      <c r="G748" s="196" t="s">
        <v>1314</v>
      </c>
      <c r="H748" s="213">
        <v>302</v>
      </c>
      <c r="I748" s="214" t="s">
        <v>1632</v>
      </c>
    </row>
    <row r="749" spans="1:9" ht="14.4" x14ac:dyDescent="0.3">
      <c r="A749" s="197"/>
      <c r="B749" s="198" t="s">
        <v>144</v>
      </c>
      <c r="C749" s="199" t="s">
        <v>145</v>
      </c>
      <c r="D749" s="200" t="s">
        <v>1446</v>
      </c>
      <c r="E749" s="201">
        <v>0.35416666666666669</v>
      </c>
      <c r="F749" s="212"/>
      <c r="G749" s="201">
        <v>0.41666666666666669</v>
      </c>
      <c r="H749" s="215">
        <v>308</v>
      </c>
      <c r="I749" s="216" t="s">
        <v>1456</v>
      </c>
    </row>
    <row r="750" spans="1:9" ht="14.4" x14ac:dyDescent="0.3">
      <c r="A750" s="197"/>
      <c r="B750" s="198" t="s">
        <v>217</v>
      </c>
      <c r="C750" s="199" t="s">
        <v>218</v>
      </c>
      <c r="D750" s="200" t="s">
        <v>1247</v>
      </c>
      <c r="E750" s="201" t="s">
        <v>1317</v>
      </c>
      <c r="F750" s="212"/>
      <c r="G750" s="201">
        <v>0.35416666666666669</v>
      </c>
      <c r="H750" s="215">
        <v>308</v>
      </c>
      <c r="I750" s="216" t="s">
        <v>1574</v>
      </c>
    </row>
    <row r="751" spans="1:9" ht="14.4" x14ac:dyDescent="0.3">
      <c r="A751" s="197"/>
      <c r="B751" s="198" t="s">
        <v>142</v>
      </c>
      <c r="C751" s="199" t="s">
        <v>143</v>
      </c>
      <c r="D751" s="200" t="s">
        <v>1267</v>
      </c>
      <c r="E751" s="201">
        <v>0.41666666666666669</v>
      </c>
      <c r="F751" s="212"/>
      <c r="G751" s="201">
        <v>0.5</v>
      </c>
      <c r="H751" s="215" t="s">
        <v>1221</v>
      </c>
      <c r="I751" s="217" t="s">
        <v>1449</v>
      </c>
    </row>
    <row r="752" spans="1:9" ht="14.4" x14ac:dyDescent="0.3">
      <c r="A752" s="197"/>
      <c r="B752" s="198" t="s">
        <v>366</v>
      </c>
      <c r="C752" s="199" t="s">
        <v>1628</v>
      </c>
      <c r="D752" s="200" t="s">
        <v>1280</v>
      </c>
      <c r="E752" s="196">
        <v>0.5</v>
      </c>
      <c r="F752" s="212"/>
      <c r="G752" s="196">
        <v>0.58333333333333337</v>
      </c>
      <c r="H752" s="215">
        <v>204</v>
      </c>
      <c r="I752" s="217" t="s">
        <v>1627</v>
      </c>
    </row>
    <row r="753" spans="1:9" ht="14.4" x14ac:dyDescent="0.3">
      <c r="A753" s="197"/>
      <c r="B753" s="198" t="s">
        <v>366</v>
      </c>
      <c r="C753" s="199" t="s">
        <v>1629</v>
      </c>
      <c r="D753" s="200" t="s">
        <v>1285</v>
      </c>
      <c r="E753" s="196" t="s">
        <v>1316</v>
      </c>
      <c r="F753" s="212"/>
      <c r="G753" s="196" t="s">
        <v>1331</v>
      </c>
      <c r="H753" s="215">
        <v>210</v>
      </c>
      <c r="I753" s="216" t="s">
        <v>1627</v>
      </c>
    </row>
    <row r="754" spans="1:9" ht="14.4" x14ac:dyDescent="0.3">
      <c r="A754" s="197"/>
      <c r="B754" s="198" t="s">
        <v>368</v>
      </c>
      <c r="C754" s="199" t="s">
        <v>369</v>
      </c>
      <c r="D754" s="200" t="s">
        <v>1589</v>
      </c>
      <c r="E754" s="201" t="s">
        <v>1311</v>
      </c>
      <c r="F754" s="212"/>
      <c r="G754" s="201" t="s">
        <v>1538</v>
      </c>
      <c r="H754" s="215">
        <v>302</v>
      </c>
      <c r="I754" s="216" t="s">
        <v>1556</v>
      </c>
    </row>
    <row r="755" spans="1:9" ht="14.4" x14ac:dyDescent="0.3">
      <c r="A755" s="197"/>
      <c r="B755" s="198"/>
      <c r="C755" s="199"/>
      <c r="D755" s="200"/>
      <c r="E755" s="202"/>
      <c r="F755" s="212"/>
      <c r="G755" s="201"/>
      <c r="H755" s="215"/>
      <c r="I755" s="216"/>
    </row>
    <row r="756" spans="1:9" ht="14.4" x14ac:dyDescent="0.3">
      <c r="A756" s="197"/>
      <c r="B756" s="198"/>
      <c r="C756" s="199"/>
      <c r="D756" s="200"/>
      <c r="E756" s="201"/>
      <c r="F756" s="212"/>
      <c r="G756" s="201"/>
      <c r="H756" s="215"/>
      <c r="I756" s="216"/>
    </row>
    <row r="757" spans="1:9" ht="14.4" x14ac:dyDescent="0.3">
      <c r="A757" s="197"/>
      <c r="B757" s="198"/>
      <c r="C757" s="199"/>
      <c r="D757" s="200"/>
      <c r="E757" s="201"/>
      <c r="F757" s="212"/>
      <c r="G757" s="201"/>
      <c r="H757" s="215"/>
      <c r="I757" s="216"/>
    </row>
    <row r="758" spans="1:9" ht="14.4" x14ac:dyDescent="0.3">
      <c r="A758" s="197"/>
      <c r="B758" s="203"/>
      <c r="C758" s="204"/>
      <c r="D758" s="205"/>
      <c r="E758" s="206"/>
      <c r="F758" s="218"/>
      <c r="G758" s="206"/>
      <c r="H758" s="219"/>
      <c r="I758" s="220"/>
    </row>
    <row r="759" spans="1:9" ht="15" thickBot="1" x14ac:dyDescent="0.35">
      <c r="A759" s="207"/>
      <c r="B759" s="208"/>
      <c r="C759" s="209"/>
      <c r="D759" s="210"/>
      <c r="E759" s="211"/>
      <c r="F759" s="221"/>
      <c r="G759" s="211"/>
      <c r="H759" s="222"/>
      <c r="I759" s="223"/>
    </row>
    <row r="760" spans="1:9" ht="14.4" thickBot="1" x14ac:dyDescent="0.35"/>
    <row r="761" spans="1:9" ht="14.4" thickBot="1" x14ac:dyDescent="0.35">
      <c r="A761" s="226" t="s">
        <v>1204</v>
      </c>
      <c r="B761" s="224" t="s">
        <v>1434</v>
      </c>
      <c r="C761" s="224" t="s">
        <v>1435</v>
      </c>
      <c r="D761" s="224" t="s">
        <v>1207</v>
      </c>
      <c r="E761" s="368" t="s">
        <v>1208</v>
      </c>
      <c r="F761" s="368"/>
      <c r="G761" s="368"/>
      <c r="H761" s="224" t="s">
        <v>1209</v>
      </c>
      <c r="I761" s="225" t="s">
        <v>1436</v>
      </c>
    </row>
    <row r="762" spans="1:9" ht="14.4" x14ac:dyDescent="0.3">
      <c r="A762" s="197" t="s">
        <v>1633</v>
      </c>
      <c r="B762" s="193" t="s">
        <v>370</v>
      </c>
      <c r="C762" s="194" t="s">
        <v>371</v>
      </c>
      <c r="D762" s="195" t="s">
        <v>1446</v>
      </c>
      <c r="E762" s="196">
        <v>0.47916666666666669</v>
      </c>
      <c r="F762" s="212"/>
      <c r="G762" s="196">
        <v>0.54166666666666663</v>
      </c>
      <c r="H762" s="213">
        <v>307</v>
      </c>
      <c r="I762" s="214" t="s">
        <v>1634</v>
      </c>
    </row>
    <row r="763" spans="1:9" ht="14.4" x14ac:dyDescent="0.3">
      <c r="A763" s="197"/>
      <c r="B763" s="198" t="s">
        <v>372</v>
      </c>
      <c r="C763" s="199" t="s">
        <v>373</v>
      </c>
      <c r="D763" s="200" t="s">
        <v>1226</v>
      </c>
      <c r="E763" s="201">
        <v>0.5625</v>
      </c>
      <c r="F763" s="212"/>
      <c r="G763" s="201">
        <v>0.6875</v>
      </c>
      <c r="H763" s="215">
        <v>302</v>
      </c>
      <c r="I763" s="216" t="s">
        <v>1635</v>
      </c>
    </row>
    <row r="764" spans="1:9" ht="14.4" x14ac:dyDescent="0.3">
      <c r="A764" s="197"/>
      <c r="B764" s="198" t="s">
        <v>374</v>
      </c>
      <c r="C764" s="199" t="s">
        <v>375</v>
      </c>
      <c r="D764" s="200" t="s">
        <v>1446</v>
      </c>
      <c r="E764" s="201">
        <v>0.60416666666666663</v>
      </c>
      <c r="F764" s="212"/>
      <c r="G764" s="201">
        <v>0.66666666666666663</v>
      </c>
      <c r="H764" s="215">
        <v>206</v>
      </c>
      <c r="I764" s="216" t="s">
        <v>1617</v>
      </c>
    </row>
    <row r="765" spans="1:9" ht="14.4" x14ac:dyDescent="0.3">
      <c r="A765" s="197"/>
      <c r="B765" s="198" t="s">
        <v>309</v>
      </c>
      <c r="C765" s="199" t="s">
        <v>310</v>
      </c>
      <c r="D765" s="200" t="s">
        <v>1446</v>
      </c>
      <c r="E765" s="201">
        <v>0.66666666666666663</v>
      </c>
      <c r="F765" s="212"/>
      <c r="G765" s="201">
        <v>0.72916666666666663</v>
      </c>
      <c r="H765" s="215">
        <v>505</v>
      </c>
      <c r="I765" s="217" t="s">
        <v>1630</v>
      </c>
    </row>
    <row r="766" spans="1:9" ht="14.4" x14ac:dyDescent="0.3">
      <c r="A766" s="197"/>
      <c r="B766" s="198" t="s">
        <v>376</v>
      </c>
      <c r="C766" s="199" t="s">
        <v>1636</v>
      </c>
      <c r="D766" s="200" t="s">
        <v>1285</v>
      </c>
      <c r="E766" s="196">
        <v>0.41666666666666669</v>
      </c>
      <c r="F766" s="212"/>
      <c r="G766" s="196">
        <v>0.5</v>
      </c>
      <c r="H766" s="215">
        <v>410</v>
      </c>
      <c r="I766" s="217" t="s">
        <v>1637</v>
      </c>
    </row>
    <row r="767" spans="1:9" ht="14.4" x14ac:dyDescent="0.3">
      <c r="A767" s="197"/>
      <c r="B767" s="198" t="s">
        <v>376</v>
      </c>
      <c r="C767" s="199" t="s">
        <v>1638</v>
      </c>
      <c r="D767" s="200" t="s">
        <v>1285</v>
      </c>
      <c r="E767" s="196" t="s">
        <v>1316</v>
      </c>
      <c r="F767" s="212"/>
      <c r="G767" s="196" t="s">
        <v>1331</v>
      </c>
      <c r="H767" s="215">
        <v>209</v>
      </c>
      <c r="I767" s="216" t="s">
        <v>1637</v>
      </c>
    </row>
    <row r="768" spans="1:9" ht="14.4" x14ac:dyDescent="0.3">
      <c r="A768" s="197"/>
      <c r="B768" s="198" t="s">
        <v>274</v>
      </c>
      <c r="C768" s="199" t="s">
        <v>275</v>
      </c>
      <c r="D768" s="200" t="s">
        <v>1285</v>
      </c>
      <c r="E768" s="201">
        <v>0.29166666666666669</v>
      </c>
      <c r="F768" s="212"/>
      <c r="G768" s="201">
        <v>0.41666666666666669</v>
      </c>
      <c r="H768" s="215">
        <v>303</v>
      </c>
      <c r="I768" s="216" t="s">
        <v>1639</v>
      </c>
    </row>
    <row r="769" spans="1:9" ht="14.4" x14ac:dyDescent="0.3">
      <c r="A769" s="197"/>
      <c r="B769" s="198"/>
      <c r="C769" s="199"/>
      <c r="D769" s="200"/>
      <c r="E769" s="202"/>
      <c r="F769" s="212"/>
      <c r="G769" s="201"/>
      <c r="H769" s="215"/>
      <c r="I769" s="216"/>
    </row>
    <row r="770" spans="1:9" ht="14.4" x14ac:dyDescent="0.3">
      <c r="A770" s="197"/>
      <c r="B770" s="198"/>
      <c r="C770" s="199"/>
      <c r="D770" s="200"/>
      <c r="E770" s="201"/>
      <c r="F770" s="212"/>
      <c r="G770" s="201"/>
      <c r="H770" s="215"/>
      <c r="I770" s="216"/>
    </row>
    <row r="771" spans="1:9" ht="14.4" x14ac:dyDescent="0.3">
      <c r="A771" s="197"/>
      <c r="B771" s="198"/>
      <c r="C771" s="199"/>
      <c r="D771" s="200"/>
      <c r="E771" s="201"/>
      <c r="F771" s="212"/>
      <c r="G771" s="201"/>
      <c r="H771" s="215"/>
      <c r="I771" s="216"/>
    </row>
    <row r="772" spans="1:9" ht="14.4" x14ac:dyDescent="0.3">
      <c r="A772" s="197"/>
      <c r="B772" s="203"/>
      <c r="C772" s="204"/>
      <c r="D772" s="205"/>
      <c r="E772" s="206"/>
      <c r="F772" s="218"/>
      <c r="G772" s="206"/>
      <c r="H772" s="219"/>
      <c r="I772" s="220"/>
    </row>
    <row r="773" spans="1:9" ht="15" thickBot="1" x14ac:dyDescent="0.35">
      <c r="A773" s="207"/>
      <c r="B773" s="208"/>
      <c r="C773" s="209"/>
      <c r="D773" s="210"/>
      <c r="E773" s="211"/>
      <c r="F773" s="221"/>
      <c r="G773" s="211"/>
      <c r="H773" s="222"/>
      <c r="I773" s="223"/>
    </row>
    <row r="774" spans="1:9" ht="14.4" thickBot="1" x14ac:dyDescent="0.35"/>
    <row r="775" spans="1:9" ht="14.4" thickBot="1" x14ac:dyDescent="0.35">
      <c r="A775" s="226" t="s">
        <v>1204</v>
      </c>
      <c r="B775" s="224" t="s">
        <v>1434</v>
      </c>
      <c r="C775" s="224" t="s">
        <v>1435</v>
      </c>
      <c r="D775" s="224" t="s">
        <v>1207</v>
      </c>
      <c r="E775" s="368" t="s">
        <v>1208</v>
      </c>
      <c r="F775" s="368"/>
      <c r="G775" s="368"/>
      <c r="H775" s="224" t="s">
        <v>1209</v>
      </c>
      <c r="I775" s="225" t="s">
        <v>1436</v>
      </c>
    </row>
    <row r="776" spans="1:9" ht="14.4" x14ac:dyDescent="0.3">
      <c r="A776" s="197" t="s">
        <v>1640</v>
      </c>
      <c r="B776" s="193" t="s">
        <v>370</v>
      </c>
      <c r="C776" s="194" t="s">
        <v>371</v>
      </c>
      <c r="D776" s="195" t="s">
        <v>1446</v>
      </c>
      <c r="E776" s="196" t="s">
        <v>1316</v>
      </c>
      <c r="F776" s="212"/>
      <c r="G776" s="196" t="s">
        <v>1294</v>
      </c>
      <c r="H776" s="213">
        <v>302</v>
      </c>
      <c r="I776" s="214" t="s">
        <v>1556</v>
      </c>
    </row>
    <row r="777" spans="1:9" ht="14.4" x14ac:dyDescent="0.3">
      <c r="A777" s="197"/>
      <c r="B777" s="198" t="s">
        <v>372</v>
      </c>
      <c r="C777" s="199" t="s">
        <v>373</v>
      </c>
      <c r="D777" s="200" t="s">
        <v>1285</v>
      </c>
      <c r="E777" s="201">
        <v>0.66666666666666663</v>
      </c>
      <c r="F777" s="212"/>
      <c r="G777" s="201">
        <v>0.79166666666666663</v>
      </c>
      <c r="H777" s="215">
        <v>207</v>
      </c>
      <c r="I777" s="216" t="s">
        <v>1635</v>
      </c>
    </row>
    <row r="778" spans="1:9" ht="14.4" x14ac:dyDescent="0.3">
      <c r="A778" s="197"/>
      <c r="B778" s="198" t="s">
        <v>374</v>
      </c>
      <c r="C778" s="199" t="s">
        <v>375</v>
      </c>
      <c r="D778" s="200" t="s">
        <v>1446</v>
      </c>
      <c r="E778" s="201" t="s">
        <v>1311</v>
      </c>
      <c r="F778" s="212"/>
      <c r="G778" s="201" t="s">
        <v>1293</v>
      </c>
      <c r="H778" s="215">
        <v>302</v>
      </c>
      <c r="I778" s="216" t="s">
        <v>1556</v>
      </c>
    </row>
    <row r="779" spans="1:9" ht="14.4" x14ac:dyDescent="0.3">
      <c r="A779" s="197"/>
      <c r="B779" s="198" t="s">
        <v>309</v>
      </c>
      <c r="C779" s="199" t="s">
        <v>310</v>
      </c>
      <c r="D779" s="200" t="s">
        <v>1446</v>
      </c>
      <c r="E779" s="201">
        <v>0.60416666666666663</v>
      </c>
      <c r="F779" s="212"/>
      <c r="G779" s="201">
        <v>0.66666666666666663</v>
      </c>
      <c r="H779" s="215">
        <v>508</v>
      </c>
      <c r="I779" s="217" t="s">
        <v>1634</v>
      </c>
    </row>
    <row r="780" spans="1:9" ht="14.4" x14ac:dyDescent="0.3">
      <c r="A780" s="197"/>
      <c r="B780" s="198" t="s">
        <v>376</v>
      </c>
      <c r="C780" s="199" t="s">
        <v>1636</v>
      </c>
      <c r="D780" s="200" t="s">
        <v>1280</v>
      </c>
      <c r="E780" s="196" t="s">
        <v>1311</v>
      </c>
      <c r="F780" s="212"/>
      <c r="G780" s="196" t="s">
        <v>1361</v>
      </c>
      <c r="H780" s="215">
        <v>303</v>
      </c>
      <c r="I780" s="217" t="s">
        <v>1637</v>
      </c>
    </row>
    <row r="781" spans="1:9" ht="14.4" x14ac:dyDescent="0.3">
      <c r="A781" s="197"/>
      <c r="B781" s="198" t="s">
        <v>376</v>
      </c>
      <c r="C781" s="199" t="s">
        <v>1638</v>
      </c>
      <c r="D781" s="200" t="s">
        <v>1280</v>
      </c>
      <c r="E781" s="196">
        <v>0.29166666666666669</v>
      </c>
      <c r="F781" s="212"/>
      <c r="G781" s="196">
        <v>0.41666666666666669</v>
      </c>
      <c r="H781" s="215">
        <v>211</v>
      </c>
      <c r="I781" s="216" t="s">
        <v>1637</v>
      </c>
    </row>
    <row r="782" spans="1:9" ht="14.4" x14ac:dyDescent="0.3">
      <c r="A782" s="197"/>
      <c r="B782" s="198" t="s">
        <v>274</v>
      </c>
      <c r="C782" s="199" t="s">
        <v>275</v>
      </c>
      <c r="D782" s="200" t="s">
        <v>1226</v>
      </c>
      <c r="E782" s="201">
        <v>0.54166666666666663</v>
      </c>
      <c r="F782" s="212"/>
      <c r="G782" s="201">
        <v>0.66666666666666663</v>
      </c>
      <c r="H782" s="215">
        <v>407</v>
      </c>
      <c r="I782" s="216" t="s">
        <v>1447</v>
      </c>
    </row>
    <row r="783" spans="1:9" ht="14.4" x14ac:dyDescent="0.3">
      <c r="A783" s="197"/>
      <c r="B783" s="198"/>
      <c r="C783" s="199"/>
      <c r="D783" s="200"/>
      <c r="E783" s="202"/>
      <c r="F783" s="212"/>
      <c r="G783" s="201"/>
      <c r="H783" s="215"/>
      <c r="I783" s="216"/>
    </row>
    <row r="784" spans="1:9" ht="14.4" x14ac:dyDescent="0.3">
      <c r="A784" s="197"/>
      <c r="B784" s="198"/>
      <c r="C784" s="199"/>
      <c r="D784" s="200"/>
      <c r="E784" s="201"/>
      <c r="F784" s="212"/>
      <c r="G784" s="201"/>
      <c r="H784" s="215"/>
      <c r="I784" s="216"/>
    </row>
    <row r="785" spans="1:9" ht="14.4" x14ac:dyDescent="0.3">
      <c r="A785" s="197"/>
      <c r="B785" s="198"/>
      <c r="C785" s="199"/>
      <c r="D785" s="200"/>
      <c r="E785" s="201"/>
      <c r="F785" s="212"/>
      <c r="G785" s="201"/>
      <c r="H785" s="215"/>
      <c r="I785" s="216"/>
    </row>
    <row r="786" spans="1:9" ht="14.4" x14ac:dyDescent="0.3">
      <c r="A786" s="197"/>
      <c r="B786" s="203"/>
      <c r="C786" s="204"/>
      <c r="D786" s="205"/>
      <c r="E786" s="206"/>
      <c r="F786" s="218"/>
      <c r="G786" s="206"/>
      <c r="H786" s="219"/>
      <c r="I786" s="220"/>
    </row>
    <row r="787" spans="1:9" ht="15" thickBot="1" x14ac:dyDescent="0.35">
      <c r="A787" s="207"/>
      <c r="B787" s="208"/>
      <c r="C787" s="209"/>
      <c r="D787" s="210"/>
      <c r="E787" s="211"/>
      <c r="F787" s="221"/>
      <c r="G787" s="211"/>
      <c r="H787" s="222"/>
      <c r="I787" s="223"/>
    </row>
    <row r="788" spans="1:9" ht="14.4" thickBot="1" x14ac:dyDescent="0.35"/>
    <row r="789" spans="1:9" ht="14.4" thickBot="1" x14ac:dyDescent="0.35">
      <c r="A789" s="226" t="s">
        <v>1204</v>
      </c>
      <c r="B789" s="224" t="s">
        <v>1434</v>
      </c>
      <c r="C789" s="224" t="s">
        <v>1435</v>
      </c>
      <c r="D789" s="224" t="s">
        <v>1207</v>
      </c>
      <c r="E789" s="368" t="s">
        <v>1208</v>
      </c>
      <c r="F789" s="368"/>
      <c r="G789" s="368"/>
      <c r="H789" s="224" t="s">
        <v>1209</v>
      </c>
      <c r="I789" s="225" t="s">
        <v>1436</v>
      </c>
    </row>
    <row r="790" spans="1:9" ht="14.4" x14ac:dyDescent="0.3">
      <c r="A790" s="197" t="s">
        <v>1641</v>
      </c>
      <c r="B790" s="193" t="s">
        <v>380</v>
      </c>
      <c r="C790" s="194" t="s">
        <v>381</v>
      </c>
      <c r="D790" s="195" t="s">
        <v>1585</v>
      </c>
      <c r="E790" s="196">
        <v>0.60416666666666663</v>
      </c>
      <c r="F790" s="212"/>
      <c r="G790" s="196">
        <v>0.66666666666666663</v>
      </c>
      <c r="H790" s="213">
        <v>509</v>
      </c>
      <c r="I790" s="214" t="s">
        <v>1630</v>
      </c>
    </row>
    <row r="791" spans="1:9" ht="14.4" x14ac:dyDescent="0.3">
      <c r="A791" s="197"/>
      <c r="B791" s="198" t="s">
        <v>382</v>
      </c>
      <c r="C791" s="199" t="s">
        <v>383</v>
      </c>
      <c r="D791" s="200" t="s">
        <v>1585</v>
      </c>
      <c r="E791" s="201">
        <v>0.66666666666666663</v>
      </c>
      <c r="F791" s="212"/>
      <c r="G791" s="201">
        <v>0.72916666666666663</v>
      </c>
      <c r="H791" s="215">
        <v>509</v>
      </c>
      <c r="I791" s="216" t="s">
        <v>1634</v>
      </c>
    </row>
    <row r="792" spans="1:9" ht="14.4" x14ac:dyDescent="0.3">
      <c r="A792" s="197"/>
      <c r="B792" s="198" t="s">
        <v>384</v>
      </c>
      <c r="C792" s="199" t="s">
        <v>280</v>
      </c>
      <c r="D792" s="200" t="s">
        <v>1443</v>
      </c>
      <c r="E792" s="201">
        <v>0.54166666666666663</v>
      </c>
      <c r="F792" s="212"/>
      <c r="G792" s="201">
        <v>0.66666666666666663</v>
      </c>
      <c r="H792" s="215">
        <v>302</v>
      </c>
      <c r="I792" s="216" t="s">
        <v>1642</v>
      </c>
    </row>
    <row r="793" spans="1:9" ht="14.4" x14ac:dyDescent="0.3">
      <c r="A793" s="197"/>
      <c r="B793" s="198" t="s">
        <v>385</v>
      </c>
      <c r="C793" s="199" t="s">
        <v>1643</v>
      </c>
      <c r="D793" s="200" t="s">
        <v>1589</v>
      </c>
      <c r="E793" s="201">
        <v>0.66666666666666663</v>
      </c>
      <c r="F793" s="212"/>
      <c r="G793" s="201">
        <v>0.72916666666666663</v>
      </c>
      <c r="H793" s="215">
        <v>307</v>
      </c>
      <c r="I793" s="217" t="s">
        <v>1630</v>
      </c>
    </row>
    <row r="794" spans="1:9" ht="14.4" x14ac:dyDescent="0.3">
      <c r="A794" s="197"/>
      <c r="B794" s="198" t="s">
        <v>167</v>
      </c>
      <c r="C794" s="199" t="s">
        <v>168</v>
      </c>
      <c r="D794" s="200" t="s">
        <v>1280</v>
      </c>
      <c r="E794" s="196">
        <v>0.5</v>
      </c>
      <c r="F794" s="212"/>
      <c r="G794" s="196">
        <v>0.54166666666666663</v>
      </c>
      <c r="H794" s="215">
        <v>203</v>
      </c>
      <c r="I794" s="217" t="s">
        <v>1495</v>
      </c>
    </row>
    <row r="795" spans="1:9" ht="14.4" x14ac:dyDescent="0.3">
      <c r="A795" s="197"/>
      <c r="B795" s="198" t="s">
        <v>387</v>
      </c>
      <c r="C795" s="199" t="s">
        <v>388</v>
      </c>
      <c r="D795" s="200" t="s">
        <v>1589</v>
      </c>
      <c r="E795" s="196" t="s">
        <v>1294</v>
      </c>
      <c r="F795" s="212"/>
      <c r="G795" s="196" t="s">
        <v>1331</v>
      </c>
      <c r="H795" s="215">
        <v>307</v>
      </c>
      <c r="I795" s="216" t="s">
        <v>1617</v>
      </c>
    </row>
    <row r="796" spans="1:9" ht="14.4" x14ac:dyDescent="0.3">
      <c r="A796" s="197"/>
      <c r="B796" s="198"/>
      <c r="C796" s="199"/>
      <c r="D796" s="200"/>
      <c r="E796" s="201"/>
      <c r="F796" s="212"/>
      <c r="G796" s="201"/>
      <c r="H796" s="215"/>
      <c r="I796" s="216"/>
    </row>
    <row r="797" spans="1:9" ht="14.4" x14ac:dyDescent="0.3">
      <c r="A797" s="197"/>
      <c r="B797" s="198"/>
      <c r="C797" s="199"/>
      <c r="D797" s="200"/>
      <c r="E797" s="202"/>
      <c r="F797" s="212"/>
      <c r="G797" s="201"/>
      <c r="H797" s="215"/>
      <c r="I797" s="216"/>
    </row>
    <row r="798" spans="1:9" ht="14.4" x14ac:dyDescent="0.3">
      <c r="A798" s="197"/>
      <c r="B798" s="198"/>
      <c r="C798" s="199"/>
      <c r="D798" s="200"/>
      <c r="E798" s="201"/>
      <c r="F798" s="212"/>
      <c r="G798" s="201"/>
      <c r="H798" s="215"/>
      <c r="I798" s="216"/>
    </row>
    <row r="799" spans="1:9" ht="14.4" x14ac:dyDescent="0.3">
      <c r="A799" s="197"/>
      <c r="B799" s="198"/>
      <c r="C799" s="199"/>
      <c r="D799" s="200"/>
      <c r="E799" s="201"/>
      <c r="F799" s="212"/>
      <c r="G799" s="201"/>
      <c r="H799" s="215"/>
      <c r="I799" s="216"/>
    </row>
    <row r="800" spans="1:9" ht="14.4" x14ac:dyDescent="0.3">
      <c r="A800" s="197"/>
      <c r="B800" s="203"/>
      <c r="C800" s="204"/>
      <c r="D800" s="205"/>
      <c r="E800" s="206"/>
      <c r="F800" s="218"/>
      <c r="G800" s="206"/>
      <c r="H800" s="219"/>
      <c r="I800" s="220"/>
    </row>
    <row r="801" spans="1:9" ht="15" thickBot="1" x14ac:dyDescent="0.35">
      <c r="A801" s="207"/>
      <c r="B801" s="208"/>
      <c r="C801" s="209"/>
      <c r="D801" s="210"/>
      <c r="E801" s="211"/>
      <c r="F801" s="221"/>
      <c r="G801" s="211"/>
      <c r="H801" s="222"/>
      <c r="I801" s="223"/>
    </row>
    <row r="802" spans="1:9" ht="14.4" thickBot="1" x14ac:dyDescent="0.35"/>
    <row r="803" spans="1:9" ht="14.4" thickBot="1" x14ac:dyDescent="0.35">
      <c r="A803" s="226" t="s">
        <v>1204</v>
      </c>
      <c r="B803" s="224" t="s">
        <v>1434</v>
      </c>
      <c r="C803" s="224" t="s">
        <v>1435</v>
      </c>
      <c r="D803" s="224" t="s">
        <v>1207</v>
      </c>
      <c r="E803" s="368" t="s">
        <v>1208</v>
      </c>
      <c r="F803" s="368"/>
      <c r="G803" s="368"/>
      <c r="H803" s="224" t="s">
        <v>1209</v>
      </c>
      <c r="I803" s="225" t="s">
        <v>1436</v>
      </c>
    </row>
    <row r="804" spans="1:9" ht="14.4" x14ac:dyDescent="0.3">
      <c r="A804" s="197" t="s">
        <v>1644</v>
      </c>
      <c r="B804" s="193" t="s">
        <v>380</v>
      </c>
      <c r="C804" s="194" t="s">
        <v>381</v>
      </c>
      <c r="D804" s="195" t="s">
        <v>1585</v>
      </c>
      <c r="E804" s="196" t="s">
        <v>1311</v>
      </c>
      <c r="F804" s="212"/>
      <c r="G804" s="196" t="s">
        <v>1293</v>
      </c>
      <c r="H804" s="213">
        <v>407</v>
      </c>
      <c r="I804" s="214" t="s">
        <v>1630</v>
      </c>
    </row>
    <row r="805" spans="1:9" ht="14.4" x14ac:dyDescent="0.3">
      <c r="A805" s="197"/>
      <c r="B805" s="198" t="s">
        <v>382</v>
      </c>
      <c r="C805" s="199" t="s">
        <v>383</v>
      </c>
      <c r="D805" s="200" t="s">
        <v>1585</v>
      </c>
      <c r="E805" s="201" t="s">
        <v>1314</v>
      </c>
      <c r="F805" s="212"/>
      <c r="G805" s="201" t="s">
        <v>1311</v>
      </c>
      <c r="H805" s="215">
        <v>307</v>
      </c>
      <c r="I805" s="216" t="s">
        <v>1634</v>
      </c>
    </row>
    <row r="806" spans="1:9" ht="14.4" x14ac:dyDescent="0.3">
      <c r="A806" s="197"/>
      <c r="B806" s="198" t="s">
        <v>384</v>
      </c>
      <c r="C806" s="199" t="s">
        <v>280</v>
      </c>
      <c r="D806" s="200" t="s">
        <v>1443</v>
      </c>
      <c r="E806" s="201">
        <v>0.41666666666666669</v>
      </c>
      <c r="F806" s="212"/>
      <c r="G806" s="201">
        <v>0.54166666666666663</v>
      </c>
      <c r="H806" s="215">
        <v>302</v>
      </c>
      <c r="I806" s="216" t="s">
        <v>1642</v>
      </c>
    </row>
    <row r="807" spans="1:9" ht="14.4" x14ac:dyDescent="0.3">
      <c r="A807" s="197"/>
      <c r="B807" s="198" t="s">
        <v>385</v>
      </c>
      <c r="C807" s="199" t="s">
        <v>1643</v>
      </c>
      <c r="D807" s="200" t="s">
        <v>1589</v>
      </c>
      <c r="E807" s="201">
        <v>0.54166666666666663</v>
      </c>
      <c r="F807" s="212"/>
      <c r="G807" s="201">
        <v>0.60416666666666663</v>
      </c>
      <c r="H807" s="215">
        <v>402</v>
      </c>
      <c r="I807" s="217" t="s">
        <v>1630</v>
      </c>
    </row>
    <row r="808" spans="1:9" ht="14.4" x14ac:dyDescent="0.3">
      <c r="A808" s="197"/>
      <c r="B808" s="198" t="s">
        <v>167</v>
      </c>
      <c r="C808" s="199" t="s">
        <v>168</v>
      </c>
      <c r="D808" s="200" t="s">
        <v>1224</v>
      </c>
      <c r="E808" s="196">
        <v>0.54166666666666663</v>
      </c>
      <c r="F808" s="212"/>
      <c r="G808" s="196">
        <v>0.58333333333333337</v>
      </c>
      <c r="H808" s="215">
        <v>308</v>
      </c>
      <c r="I808" s="217" t="s">
        <v>1455</v>
      </c>
    </row>
    <row r="809" spans="1:9" ht="14.4" x14ac:dyDescent="0.3">
      <c r="A809" s="197"/>
      <c r="B809" s="198" t="s">
        <v>387</v>
      </c>
      <c r="C809" s="199" t="s">
        <v>388</v>
      </c>
      <c r="D809" s="200" t="s">
        <v>1589</v>
      </c>
      <c r="E809" s="196" t="s">
        <v>1311</v>
      </c>
      <c r="F809" s="212"/>
      <c r="G809" s="196" t="s">
        <v>1293</v>
      </c>
      <c r="H809" s="215">
        <v>306</v>
      </c>
      <c r="I809" s="216" t="s">
        <v>1617</v>
      </c>
    </row>
    <row r="810" spans="1:9" ht="14.4" x14ac:dyDescent="0.3">
      <c r="A810" s="197"/>
      <c r="B810" s="198"/>
      <c r="C810" s="199"/>
      <c r="D810" s="200"/>
      <c r="E810" s="201"/>
      <c r="F810" s="212"/>
      <c r="G810" s="201"/>
      <c r="H810" s="215"/>
      <c r="I810" s="216"/>
    </row>
    <row r="811" spans="1:9" ht="14.4" x14ac:dyDescent="0.3">
      <c r="A811" s="197"/>
      <c r="B811" s="198"/>
      <c r="C811" s="199"/>
      <c r="D811" s="200"/>
      <c r="E811" s="202"/>
      <c r="F811" s="212"/>
      <c r="G811" s="201"/>
      <c r="H811" s="215"/>
      <c r="I811" s="216"/>
    </row>
    <row r="812" spans="1:9" ht="14.4" x14ac:dyDescent="0.3">
      <c r="A812" s="197"/>
      <c r="B812" s="198"/>
      <c r="C812" s="199"/>
      <c r="D812" s="200"/>
      <c r="E812" s="201"/>
      <c r="F812" s="212"/>
      <c r="G812" s="201"/>
      <c r="H812" s="215"/>
      <c r="I812" s="216"/>
    </row>
    <row r="813" spans="1:9" ht="14.4" x14ac:dyDescent="0.3">
      <c r="A813" s="197"/>
      <c r="B813" s="198"/>
      <c r="C813" s="199"/>
      <c r="D813" s="200"/>
      <c r="E813" s="201"/>
      <c r="F813" s="212"/>
      <c r="G813" s="201"/>
      <c r="H813" s="215"/>
      <c r="I813" s="216"/>
    </row>
    <row r="814" spans="1:9" ht="14.4" x14ac:dyDescent="0.3">
      <c r="A814" s="197"/>
      <c r="B814" s="203"/>
      <c r="C814" s="204"/>
      <c r="D814" s="205"/>
      <c r="E814" s="206"/>
      <c r="F814" s="218"/>
      <c r="G814" s="206"/>
      <c r="H814" s="219"/>
      <c r="I814" s="220"/>
    </row>
    <row r="815" spans="1:9" ht="15" thickBot="1" x14ac:dyDescent="0.35">
      <c r="A815" s="207"/>
      <c r="B815" s="208"/>
      <c r="C815" s="209"/>
      <c r="D815" s="210"/>
      <c r="E815" s="211"/>
      <c r="F815" s="221"/>
      <c r="G815" s="211"/>
      <c r="H815" s="222"/>
      <c r="I815" s="223"/>
    </row>
    <row r="816" spans="1:9" ht="14.4" thickBot="1" x14ac:dyDescent="0.35"/>
    <row r="817" spans="1:9" ht="14.4" thickBot="1" x14ac:dyDescent="0.35">
      <c r="A817" s="226" t="s">
        <v>1204</v>
      </c>
      <c r="B817" s="224" t="s">
        <v>1434</v>
      </c>
      <c r="C817" s="224" t="s">
        <v>1435</v>
      </c>
      <c r="D817" s="224" t="s">
        <v>1207</v>
      </c>
      <c r="E817" s="368" t="s">
        <v>1208</v>
      </c>
      <c r="F817" s="368"/>
      <c r="G817" s="368"/>
      <c r="H817" s="224" t="s">
        <v>1209</v>
      </c>
      <c r="I817" s="225" t="s">
        <v>1436</v>
      </c>
    </row>
    <row r="818" spans="1:9" ht="14.4" x14ac:dyDescent="0.3">
      <c r="A818" s="197" t="s">
        <v>1645</v>
      </c>
      <c r="B818" s="193" t="s">
        <v>1646</v>
      </c>
      <c r="C818" s="194" t="s">
        <v>392</v>
      </c>
      <c r="D818" s="195" t="s">
        <v>1585</v>
      </c>
      <c r="E818" s="196" t="s">
        <v>1294</v>
      </c>
      <c r="F818" s="212"/>
      <c r="G818" s="196" t="s">
        <v>1331</v>
      </c>
      <c r="H818" s="213">
        <v>212</v>
      </c>
      <c r="I818" s="214" t="s">
        <v>1627</v>
      </c>
    </row>
    <row r="819" spans="1:9" ht="14.4" x14ac:dyDescent="0.3">
      <c r="A819" s="197"/>
      <c r="B819" s="198" t="s">
        <v>1646</v>
      </c>
      <c r="C819" s="199" t="s">
        <v>392</v>
      </c>
      <c r="D819" s="200" t="s">
        <v>1226</v>
      </c>
      <c r="E819" s="201" t="s">
        <v>1317</v>
      </c>
      <c r="F819" s="212"/>
      <c r="G819" s="201" t="s">
        <v>1311</v>
      </c>
      <c r="H819" s="215">
        <v>212</v>
      </c>
      <c r="I819" s="216" t="s">
        <v>1627</v>
      </c>
    </row>
    <row r="820" spans="1:9" ht="14.4" x14ac:dyDescent="0.3">
      <c r="A820" s="197"/>
      <c r="B820" s="198" t="s">
        <v>1618</v>
      </c>
      <c r="C820" s="199" t="s">
        <v>122</v>
      </c>
      <c r="D820" s="200" t="s">
        <v>1589</v>
      </c>
      <c r="E820" s="201">
        <v>0.35416666666666669</v>
      </c>
      <c r="F820" s="212"/>
      <c r="G820" s="201">
        <v>0.41666666666666669</v>
      </c>
      <c r="H820" s="215">
        <v>212</v>
      </c>
      <c r="I820" s="216" t="s">
        <v>1647</v>
      </c>
    </row>
    <row r="821" spans="1:9" ht="14.4" x14ac:dyDescent="0.3">
      <c r="A821" s="197"/>
      <c r="B821" s="198" t="s">
        <v>1619</v>
      </c>
      <c r="C821" s="199" t="s">
        <v>124</v>
      </c>
      <c r="D821" s="200" t="s">
        <v>1224</v>
      </c>
      <c r="E821" s="201">
        <v>0.54166666666666663</v>
      </c>
      <c r="F821" s="212"/>
      <c r="G821" s="201">
        <v>0.58333333333333337</v>
      </c>
      <c r="H821" s="215">
        <v>204</v>
      </c>
      <c r="I821" s="217" t="s">
        <v>1461</v>
      </c>
    </row>
    <row r="822" spans="1:9" ht="14.4" x14ac:dyDescent="0.3">
      <c r="A822" s="197"/>
      <c r="B822" s="198" t="s">
        <v>1648</v>
      </c>
      <c r="C822" s="199" t="s">
        <v>133</v>
      </c>
      <c r="D822" s="200" t="s">
        <v>1446</v>
      </c>
      <c r="E822" s="196">
        <v>0.35416666666666669</v>
      </c>
      <c r="F822" s="212"/>
      <c r="G822" s="196">
        <v>0.41666666666666669</v>
      </c>
      <c r="H822" s="215">
        <v>306</v>
      </c>
      <c r="I822" s="217" t="s">
        <v>1649</v>
      </c>
    </row>
    <row r="823" spans="1:9" ht="14.4" x14ac:dyDescent="0.3">
      <c r="A823" s="197"/>
      <c r="B823" s="198" t="s">
        <v>1620</v>
      </c>
      <c r="C823" s="199" t="s">
        <v>129</v>
      </c>
      <c r="D823" s="200" t="s">
        <v>1446</v>
      </c>
      <c r="E823" s="196">
        <v>0.47916666666666669</v>
      </c>
      <c r="F823" s="212"/>
      <c r="G823" s="196">
        <v>0.54166666666666663</v>
      </c>
      <c r="H823" s="215">
        <v>302</v>
      </c>
      <c r="I823" s="216" t="s">
        <v>1448</v>
      </c>
    </row>
    <row r="824" spans="1:9" ht="14.4" x14ac:dyDescent="0.3">
      <c r="A824" s="197"/>
      <c r="B824" s="198" t="s">
        <v>1621</v>
      </c>
      <c r="C824" s="199" t="s">
        <v>292</v>
      </c>
      <c r="D824" s="200" t="s">
        <v>1285</v>
      </c>
      <c r="E824" s="201">
        <v>0.625</v>
      </c>
      <c r="F824" s="212"/>
      <c r="G824" s="201">
        <v>0.70833333333333337</v>
      </c>
      <c r="H824" s="215" t="s">
        <v>1221</v>
      </c>
      <c r="I824" s="216" t="s">
        <v>1485</v>
      </c>
    </row>
    <row r="825" spans="1:9" ht="14.4" x14ac:dyDescent="0.3">
      <c r="A825" s="197"/>
      <c r="B825" s="198" t="s">
        <v>1622</v>
      </c>
      <c r="C825" s="199" t="s">
        <v>140</v>
      </c>
      <c r="D825" s="200" t="s">
        <v>1589</v>
      </c>
      <c r="E825" s="202">
        <v>0.41666666666666669</v>
      </c>
      <c r="F825" s="212"/>
      <c r="G825" s="201">
        <v>0.47916666666666669</v>
      </c>
      <c r="H825" s="215">
        <v>212</v>
      </c>
      <c r="I825" s="216" t="s">
        <v>1624</v>
      </c>
    </row>
    <row r="826" spans="1:9" ht="14.4" x14ac:dyDescent="0.3">
      <c r="A826" s="197"/>
      <c r="B826" s="198" t="s">
        <v>1650</v>
      </c>
      <c r="C826" s="199" t="s">
        <v>394</v>
      </c>
      <c r="D826" s="200" t="s">
        <v>1446</v>
      </c>
      <c r="E826" s="201">
        <v>0.29166666666666669</v>
      </c>
      <c r="F826" s="212"/>
      <c r="G826" s="201">
        <v>0.35416666666666669</v>
      </c>
      <c r="H826" s="215">
        <v>303</v>
      </c>
      <c r="I826" s="216" t="s">
        <v>1647</v>
      </c>
    </row>
    <row r="827" spans="1:9" ht="14.4" x14ac:dyDescent="0.3">
      <c r="A827" s="197"/>
      <c r="B827" s="198" t="s">
        <v>1623</v>
      </c>
      <c r="C827" s="199" t="s">
        <v>135</v>
      </c>
      <c r="D827" s="200" t="s">
        <v>1589</v>
      </c>
      <c r="E827" s="201">
        <v>0.54166666666666663</v>
      </c>
      <c r="F827" s="212"/>
      <c r="G827" s="201">
        <v>0.60416666666666663</v>
      </c>
      <c r="H827" s="215">
        <v>304</v>
      </c>
      <c r="I827" s="216" t="s">
        <v>1461</v>
      </c>
    </row>
    <row r="828" spans="1:9" ht="14.4" x14ac:dyDescent="0.3">
      <c r="A828" s="197"/>
      <c r="B828" s="203"/>
      <c r="C828" s="204"/>
      <c r="D828" s="205"/>
      <c r="E828" s="206"/>
      <c r="F828" s="218"/>
      <c r="G828" s="206"/>
      <c r="H828" s="219"/>
      <c r="I828" s="220"/>
    </row>
    <row r="829" spans="1:9" ht="15" thickBot="1" x14ac:dyDescent="0.35">
      <c r="A829" s="207"/>
      <c r="B829" s="208"/>
      <c r="C829" s="209"/>
      <c r="D829" s="210"/>
      <c r="E829" s="211"/>
      <c r="F829" s="221"/>
      <c r="G829" s="211"/>
      <c r="H829" s="222"/>
      <c r="I829" s="223"/>
    </row>
    <row r="830" spans="1:9" ht="14.4" thickBot="1" x14ac:dyDescent="0.35"/>
    <row r="831" spans="1:9" ht="14.4" thickBot="1" x14ac:dyDescent="0.35">
      <c r="A831" s="226" t="s">
        <v>1204</v>
      </c>
      <c r="B831" s="224" t="s">
        <v>1434</v>
      </c>
      <c r="C831" s="224" t="s">
        <v>1435</v>
      </c>
      <c r="D831" s="224" t="s">
        <v>1207</v>
      </c>
      <c r="E831" s="368" t="s">
        <v>1208</v>
      </c>
      <c r="F831" s="368"/>
      <c r="G831" s="368"/>
      <c r="H831" s="224" t="s">
        <v>1209</v>
      </c>
      <c r="I831" s="225" t="s">
        <v>1436</v>
      </c>
    </row>
    <row r="832" spans="1:9" ht="14.4" x14ac:dyDescent="0.3">
      <c r="A832" s="197" t="s">
        <v>1651</v>
      </c>
      <c r="B832" s="193" t="s">
        <v>396</v>
      </c>
      <c r="C832" s="194" t="s">
        <v>397</v>
      </c>
      <c r="D832" s="195" t="s">
        <v>1285</v>
      </c>
      <c r="E832" s="196" t="s">
        <v>1316</v>
      </c>
      <c r="F832" s="212"/>
      <c r="G832" s="196" t="s">
        <v>1331</v>
      </c>
      <c r="H832" s="213">
        <v>301</v>
      </c>
      <c r="I832" s="214" t="s">
        <v>1652</v>
      </c>
    </row>
    <row r="833" spans="1:9" ht="14.4" x14ac:dyDescent="0.3">
      <c r="A833" s="197"/>
      <c r="B833" s="198" t="s">
        <v>399</v>
      </c>
      <c r="C833" s="199" t="s">
        <v>400</v>
      </c>
      <c r="D833" s="200" t="s">
        <v>1224</v>
      </c>
      <c r="E833" s="201">
        <v>0.60416666666666663</v>
      </c>
      <c r="F833" s="212"/>
      <c r="G833" s="201">
        <v>0.72916666666666663</v>
      </c>
      <c r="H833" s="215">
        <v>302</v>
      </c>
      <c r="I833" s="216" t="s">
        <v>1637</v>
      </c>
    </row>
    <row r="834" spans="1:9" ht="14.4" x14ac:dyDescent="0.3">
      <c r="A834" s="197"/>
      <c r="B834" s="198" t="s">
        <v>401</v>
      </c>
      <c r="C834" s="199" t="s">
        <v>1653</v>
      </c>
      <c r="D834" s="200" t="s">
        <v>1280</v>
      </c>
      <c r="E834" s="201">
        <v>0.66666666666666663</v>
      </c>
      <c r="F834" s="212"/>
      <c r="G834" s="201">
        <v>0.75</v>
      </c>
      <c r="H834" s="215">
        <v>201</v>
      </c>
      <c r="I834" s="216" t="s">
        <v>1654</v>
      </c>
    </row>
    <row r="835" spans="1:9" ht="14.4" x14ac:dyDescent="0.3">
      <c r="A835" s="197"/>
      <c r="B835" s="198" t="s">
        <v>401</v>
      </c>
      <c r="C835" s="199" t="s">
        <v>1655</v>
      </c>
      <c r="D835" s="200" t="s">
        <v>1280</v>
      </c>
      <c r="E835" s="201">
        <v>0.54166666666666663</v>
      </c>
      <c r="F835" s="212"/>
      <c r="G835" s="201">
        <v>0.66666666666666663</v>
      </c>
      <c r="H835" s="215">
        <v>210</v>
      </c>
      <c r="I835" s="217" t="s">
        <v>1654</v>
      </c>
    </row>
    <row r="836" spans="1:9" ht="14.4" x14ac:dyDescent="0.3">
      <c r="A836" s="197"/>
      <c r="B836" s="198" t="s">
        <v>403</v>
      </c>
      <c r="C836" s="199" t="s">
        <v>404</v>
      </c>
      <c r="D836" s="200" t="s">
        <v>1589</v>
      </c>
      <c r="E836" s="196">
        <v>0.35416666666666669</v>
      </c>
      <c r="F836" s="212"/>
      <c r="G836" s="196">
        <v>0.41666666666666669</v>
      </c>
      <c r="H836" s="215">
        <v>305</v>
      </c>
      <c r="I836" s="217" t="s">
        <v>1617</v>
      </c>
    </row>
    <row r="837" spans="1:9" ht="14.4" x14ac:dyDescent="0.3">
      <c r="A837" s="197"/>
      <c r="B837" s="198" t="s">
        <v>405</v>
      </c>
      <c r="C837" s="199" t="s">
        <v>406</v>
      </c>
      <c r="D837" s="200" t="s">
        <v>1589</v>
      </c>
      <c r="E837" s="196">
        <v>0.41666666666666669</v>
      </c>
      <c r="F837" s="212"/>
      <c r="G837" s="196">
        <v>0.47916666666666669</v>
      </c>
      <c r="H837" s="215">
        <v>402</v>
      </c>
      <c r="I837" s="216" t="s">
        <v>1634</v>
      </c>
    </row>
    <row r="838" spans="1:9" ht="14.4" x14ac:dyDescent="0.3">
      <c r="A838" s="197"/>
      <c r="B838" s="198" t="s">
        <v>274</v>
      </c>
      <c r="C838" s="199" t="s">
        <v>275</v>
      </c>
      <c r="D838" s="200" t="s">
        <v>1226</v>
      </c>
      <c r="E838" s="201">
        <v>0.29166666666666669</v>
      </c>
      <c r="F838" s="212"/>
      <c r="G838" s="201">
        <v>0.41666666666666669</v>
      </c>
      <c r="H838" s="215">
        <v>207</v>
      </c>
      <c r="I838" s="216" t="s">
        <v>1467</v>
      </c>
    </row>
    <row r="839" spans="1:9" ht="14.4" x14ac:dyDescent="0.3">
      <c r="A839" s="197"/>
      <c r="B839" s="198" t="s">
        <v>144</v>
      </c>
      <c r="C839" s="199" t="s">
        <v>145</v>
      </c>
      <c r="D839" s="200" t="s">
        <v>1585</v>
      </c>
      <c r="E839" s="202">
        <v>0.54166666666666663</v>
      </c>
      <c r="F839" s="212"/>
      <c r="G839" s="201">
        <v>0.60416666666666663</v>
      </c>
      <c r="H839" s="215">
        <v>305</v>
      </c>
      <c r="I839" s="216" t="s">
        <v>1656</v>
      </c>
    </row>
    <row r="840" spans="1:9" ht="14.4" x14ac:dyDescent="0.3">
      <c r="A840" s="197"/>
      <c r="B840" s="198" t="s">
        <v>217</v>
      </c>
      <c r="C840" s="199" t="s">
        <v>218</v>
      </c>
      <c r="D840" s="200" t="s">
        <v>1226</v>
      </c>
      <c r="E840" s="201">
        <v>0.47916666666666669</v>
      </c>
      <c r="F840" s="212"/>
      <c r="G840" s="201">
        <v>0.60416666666666663</v>
      </c>
      <c r="H840" s="215">
        <v>301</v>
      </c>
      <c r="I840" s="216" t="s">
        <v>1555</v>
      </c>
    </row>
    <row r="841" spans="1:9" ht="14.4" x14ac:dyDescent="0.3">
      <c r="A841" s="197"/>
      <c r="B841" s="198" t="s">
        <v>142</v>
      </c>
      <c r="C841" s="199" t="s">
        <v>143</v>
      </c>
      <c r="D841" s="200" t="s">
        <v>1267</v>
      </c>
      <c r="E841" s="201">
        <v>0.41666666666666669</v>
      </c>
      <c r="F841" s="212"/>
      <c r="G841" s="201">
        <v>0.5</v>
      </c>
      <c r="H841" s="215" t="s">
        <v>1221</v>
      </c>
      <c r="I841" s="216" t="s">
        <v>1449</v>
      </c>
    </row>
    <row r="842" spans="1:9" ht="14.4" x14ac:dyDescent="0.3">
      <c r="A842" s="197"/>
      <c r="B842" s="203"/>
      <c r="C842" s="204"/>
      <c r="D842" s="205"/>
      <c r="E842" s="206"/>
      <c r="F842" s="218"/>
      <c r="G842" s="206"/>
      <c r="H842" s="219"/>
      <c r="I842" s="220"/>
    </row>
    <row r="843" spans="1:9" ht="15" thickBot="1" x14ac:dyDescent="0.35">
      <c r="A843" s="207"/>
      <c r="B843" s="208"/>
      <c r="C843" s="209"/>
      <c r="D843" s="210"/>
      <c r="E843" s="211"/>
      <c r="F843" s="221"/>
      <c r="G843" s="211"/>
      <c r="H843" s="222"/>
      <c r="I843" s="223"/>
    </row>
    <row r="844" spans="1:9" ht="14.4" thickBot="1" x14ac:dyDescent="0.35"/>
    <row r="845" spans="1:9" ht="14.4" thickBot="1" x14ac:dyDescent="0.35">
      <c r="A845" s="226" t="s">
        <v>1204</v>
      </c>
      <c r="B845" s="224" t="s">
        <v>1434</v>
      </c>
      <c r="C845" s="224" t="s">
        <v>1435</v>
      </c>
      <c r="D845" s="224" t="s">
        <v>1207</v>
      </c>
      <c r="E845" s="368" t="s">
        <v>1208</v>
      </c>
      <c r="F845" s="368"/>
      <c r="G845" s="368"/>
      <c r="H845" s="224" t="s">
        <v>1209</v>
      </c>
      <c r="I845" s="225" t="s">
        <v>1436</v>
      </c>
    </row>
    <row r="846" spans="1:9" ht="14.4" x14ac:dyDescent="0.3">
      <c r="A846" s="197" t="s">
        <v>1657</v>
      </c>
      <c r="B846" s="193" t="s">
        <v>407</v>
      </c>
      <c r="C846" s="194" t="s">
        <v>408</v>
      </c>
      <c r="D846" s="195" t="s">
        <v>1285</v>
      </c>
      <c r="E846" s="196" t="s">
        <v>1317</v>
      </c>
      <c r="F846" s="212"/>
      <c r="G846" s="196" t="s">
        <v>1311</v>
      </c>
      <c r="H846" s="213">
        <v>301</v>
      </c>
      <c r="I846" s="214" t="s">
        <v>1658</v>
      </c>
    </row>
    <row r="847" spans="1:9" ht="14.4" x14ac:dyDescent="0.3">
      <c r="A847" s="197"/>
      <c r="B847" s="198" t="s">
        <v>409</v>
      </c>
      <c r="C847" s="199" t="s">
        <v>410</v>
      </c>
      <c r="D847" s="200" t="s">
        <v>1226</v>
      </c>
      <c r="E847" s="201">
        <v>0.60416666666666663</v>
      </c>
      <c r="F847" s="212"/>
      <c r="G847" s="201">
        <v>0.72916666666666663</v>
      </c>
      <c r="H847" s="215">
        <v>303</v>
      </c>
      <c r="I847" s="216" t="s">
        <v>1617</v>
      </c>
    </row>
    <row r="848" spans="1:9" ht="14.4" x14ac:dyDescent="0.3">
      <c r="A848" s="197"/>
      <c r="B848" s="198" t="s">
        <v>411</v>
      </c>
      <c r="C848" s="199" t="s">
        <v>412</v>
      </c>
      <c r="D848" s="200" t="s">
        <v>1443</v>
      </c>
      <c r="E848" s="201" t="s">
        <v>1316</v>
      </c>
      <c r="F848" s="212"/>
      <c r="G848" s="201" t="s">
        <v>1331</v>
      </c>
      <c r="H848" s="215">
        <v>301</v>
      </c>
      <c r="I848" s="216" t="s">
        <v>1658</v>
      </c>
    </row>
    <row r="849" spans="1:9" ht="14.4" x14ac:dyDescent="0.3">
      <c r="A849" s="197"/>
      <c r="B849" s="198" t="s">
        <v>413</v>
      </c>
      <c r="C849" s="199" t="s">
        <v>443</v>
      </c>
      <c r="D849" s="200" t="s">
        <v>1443</v>
      </c>
      <c r="E849" s="201" t="s">
        <v>1317</v>
      </c>
      <c r="F849" s="212"/>
      <c r="G849" s="201" t="s">
        <v>1311</v>
      </c>
      <c r="H849" s="215">
        <v>301</v>
      </c>
      <c r="I849" s="217" t="s">
        <v>1658</v>
      </c>
    </row>
    <row r="850" spans="1:9" ht="14.4" x14ac:dyDescent="0.3">
      <c r="A850" s="197"/>
      <c r="B850" s="198" t="s">
        <v>415</v>
      </c>
      <c r="C850" s="199" t="s">
        <v>416</v>
      </c>
      <c r="D850" s="200" t="s">
        <v>1285</v>
      </c>
      <c r="E850" s="196" t="s">
        <v>1316</v>
      </c>
      <c r="F850" s="212"/>
      <c r="G850" s="196" t="s">
        <v>1331</v>
      </c>
      <c r="H850" s="215">
        <v>303</v>
      </c>
      <c r="I850" s="217" t="s">
        <v>1658</v>
      </c>
    </row>
    <row r="851" spans="1:9" ht="14.4" x14ac:dyDescent="0.3">
      <c r="A851" s="197"/>
      <c r="B851" s="198" t="s">
        <v>374</v>
      </c>
      <c r="C851" s="199" t="s">
        <v>375</v>
      </c>
      <c r="D851" s="200" t="s">
        <v>1280</v>
      </c>
      <c r="E851" s="196" t="s">
        <v>1294</v>
      </c>
      <c r="F851" s="212"/>
      <c r="G851" s="196" t="s">
        <v>1351</v>
      </c>
      <c r="H851" s="215">
        <v>512</v>
      </c>
      <c r="I851" s="216" t="s">
        <v>1556</v>
      </c>
    </row>
    <row r="852" spans="1:9" ht="14.4" x14ac:dyDescent="0.3">
      <c r="A852" s="197"/>
      <c r="B852" s="198" t="s">
        <v>417</v>
      </c>
      <c r="C852" s="199" t="s">
        <v>418</v>
      </c>
      <c r="D852" s="200" t="s">
        <v>1226</v>
      </c>
      <c r="E852" s="201">
        <v>0.29166666666666669</v>
      </c>
      <c r="F852" s="212"/>
      <c r="G852" s="201">
        <v>0.375</v>
      </c>
      <c r="H852" s="215">
        <v>205</v>
      </c>
      <c r="I852" s="216" t="s">
        <v>1574</v>
      </c>
    </row>
    <row r="853" spans="1:9" ht="14.4" x14ac:dyDescent="0.3">
      <c r="A853" s="197"/>
      <c r="B853" s="198" t="s">
        <v>417</v>
      </c>
      <c r="C853" s="199" t="s">
        <v>418</v>
      </c>
      <c r="D853" s="200" t="s">
        <v>1226</v>
      </c>
      <c r="E853" s="202">
        <v>0.41666666666666669</v>
      </c>
      <c r="F853" s="212"/>
      <c r="G853" s="201">
        <v>0.54166666666666663</v>
      </c>
      <c r="H853" s="215" t="s">
        <v>1465</v>
      </c>
      <c r="I853" s="216" t="s">
        <v>1574</v>
      </c>
    </row>
    <row r="854" spans="1:9" ht="14.4" x14ac:dyDescent="0.3">
      <c r="A854" s="197"/>
      <c r="B854" s="198" t="s">
        <v>444</v>
      </c>
      <c r="C854" s="199" t="s">
        <v>445</v>
      </c>
      <c r="D854" s="200" t="s">
        <v>1443</v>
      </c>
      <c r="E854" s="201" t="s">
        <v>1311</v>
      </c>
      <c r="F854" s="212"/>
      <c r="G854" s="201" t="s">
        <v>1316</v>
      </c>
      <c r="H854" s="215">
        <v>301</v>
      </c>
      <c r="I854" s="216" t="s">
        <v>1658</v>
      </c>
    </row>
    <row r="855" spans="1:9" ht="14.4" x14ac:dyDescent="0.3">
      <c r="A855" s="197"/>
      <c r="B855" s="198"/>
      <c r="C855" s="199"/>
      <c r="D855" s="200"/>
      <c r="E855" s="201"/>
      <c r="F855" s="212"/>
      <c r="G855" s="201"/>
      <c r="H855" s="215"/>
      <c r="I855" s="216"/>
    </row>
    <row r="856" spans="1:9" ht="14.4" x14ac:dyDescent="0.3">
      <c r="A856" s="197"/>
      <c r="B856" s="203"/>
      <c r="C856" s="204"/>
      <c r="D856" s="205"/>
      <c r="E856" s="206"/>
      <c r="F856" s="218"/>
      <c r="G856" s="206"/>
      <c r="H856" s="219"/>
      <c r="I856" s="220"/>
    </row>
    <row r="857" spans="1:9" ht="15" thickBot="1" x14ac:dyDescent="0.35">
      <c r="A857" s="207"/>
      <c r="B857" s="208"/>
      <c r="C857" s="209"/>
      <c r="D857" s="210"/>
      <c r="E857" s="211"/>
      <c r="F857" s="221"/>
      <c r="G857" s="211"/>
      <c r="H857" s="222"/>
      <c r="I857" s="223"/>
    </row>
    <row r="858" spans="1:9" ht="14.4" thickBot="1" x14ac:dyDescent="0.35"/>
    <row r="859" spans="1:9" ht="14.4" thickBot="1" x14ac:dyDescent="0.35">
      <c r="A859" s="226" t="s">
        <v>1204</v>
      </c>
      <c r="B859" s="224" t="s">
        <v>1434</v>
      </c>
      <c r="C859" s="224" t="s">
        <v>1435</v>
      </c>
      <c r="D859" s="224" t="s">
        <v>1207</v>
      </c>
      <c r="E859" s="368" t="s">
        <v>1208</v>
      </c>
      <c r="F859" s="368"/>
      <c r="G859" s="368"/>
      <c r="H859" s="224" t="s">
        <v>1209</v>
      </c>
      <c r="I859" s="225" t="s">
        <v>1436</v>
      </c>
    </row>
    <row r="860" spans="1:9" ht="14.4" x14ac:dyDescent="0.3">
      <c r="A860" s="197" t="s">
        <v>1659</v>
      </c>
      <c r="B860" s="193" t="s">
        <v>422</v>
      </c>
      <c r="C860" s="194" t="s">
        <v>423</v>
      </c>
      <c r="D860" s="195" t="s">
        <v>1585</v>
      </c>
      <c r="E860" s="196" t="s">
        <v>1331</v>
      </c>
      <c r="F860" s="212"/>
      <c r="G860" s="196" t="s">
        <v>1351</v>
      </c>
      <c r="H860" s="213">
        <v>212</v>
      </c>
      <c r="I860" s="214" t="s">
        <v>1617</v>
      </c>
    </row>
    <row r="861" spans="1:9" ht="14.4" x14ac:dyDescent="0.3">
      <c r="A861" s="197"/>
      <c r="B861" s="198" t="s">
        <v>424</v>
      </c>
      <c r="C861" s="199" t="s">
        <v>425</v>
      </c>
      <c r="D861" s="200" t="s">
        <v>1285</v>
      </c>
      <c r="E861" s="201" t="s">
        <v>1294</v>
      </c>
      <c r="F861" s="212"/>
      <c r="G861" s="201" t="s">
        <v>1351</v>
      </c>
      <c r="H861" s="215">
        <v>303</v>
      </c>
      <c r="I861" s="216" t="s">
        <v>1634</v>
      </c>
    </row>
    <row r="862" spans="1:9" ht="14.4" x14ac:dyDescent="0.3">
      <c r="A862" s="197"/>
      <c r="B862" s="198" t="s">
        <v>426</v>
      </c>
      <c r="C862" s="199" t="s">
        <v>427</v>
      </c>
      <c r="D862" s="200" t="s">
        <v>1585</v>
      </c>
      <c r="E862" s="201" t="s">
        <v>1294</v>
      </c>
      <c r="F862" s="212"/>
      <c r="G862" s="201" t="s">
        <v>1331</v>
      </c>
      <c r="H862" s="215">
        <v>303</v>
      </c>
      <c r="I862" s="216" t="s">
        <v>1556</v>
      </c>
    </row>
    <row r="863" spans="1:9" ht="14.4" x14ac:dyDescent="0.3">
      <c r="A863" s="197"/>
      <c r="B863" s="198" t="s">
        <v>428</v>
      </c>
      <c r="C863" s="199" t="s">
        <v>429</v>
      </c>
      <c r="D863" s="200" t="s">
        <v>1443</v>
      </c>
      <c r="E863" s="201" t="s">
        <v>1294</v>
      </c>
      <c r="F863" s="212"/>
      <c r="G863" s="201" t="s">
        <v>1351</v>
      </c>
      <c r="H863" s="215">
        <v>212</v>
      </c>
      <c r="I863" s="217" t="s">
        <v>1637</v>
      </c>
    </row>
    <row r="864" spans="1:9" ht="14.4" x14ac:dyDescent="0.3">
      <c r="A864" s="197"/>
      <c r="B864" s="198" t="s">
        <v>430</v>
      </c>
      <c r="C864" s="199" t="s">
        <v>431</v>
      </c>
      <c r="D864" s="200" t="s">
        <v>1280</v>
      </c>
      <c r="E864" s="196" t="s">
        <v>1317</v>
      </c>
      <c r="F864" s="212"/>
      <c r="G864" s="196" t="s">
        <v>1311</v>
      </c>
      <c r="H864" s="215">
        <v>207</v>
      </c>
      <c r="I864" s="217" t="s">
        <v>1642</v>
      </c>
    </row>
    <row r="865" spans="1:9" ht="14.4" x14ac:dyDescent="0.3">
      <c r="A865" s="197"/>
      <c r="B865" s="198" t="s">
        <v>432</v>
      </c>
      <c r="C865" s="199" t="s">
        <v>433</v>
      </c>
      <c r="D865" s="200" t="s">
        <v>1443</v>
      </c>
      <c r="E865" s="196" t="s">
        <v>1317</v>
      </c>
      <c r="F865" s="212"/>
      <c r="G865" s="196" t="s">
        <v>1311</v>
      </c>
      <c r="H865" s="215">
        <v>206</v>
      </c>
      <c r="I865" s="216" t="s">
        <v>1642</v>
      </c>
    </row>
    <row r="866" spans="1:9" ht="14.4" x14ac:dyDescent="0.3">
      <c r="A866" s="197"/>
      <c r="B866" s="198" t="s">
        <v>167</v>
      </c>
      <c r="C866" s="199" t="s">
        <v>168</v>
      </c>
      <c r="D866" s="200" t="s">
        <v>1267</v>
      </c>
      <c r="E866" s="201" t="s">
        <v>1316</v>
      </c>
      <c r="F866" s="212"/>
      <c r="G866" s="201" t="s">
        <v>1362</v>
      </c>
      <c r="H866" s="215">
        <v>308</v>
      </c>
      <c r="I866" s="216" t="s">
        <v>1455</v>
      </c>
    </row>
    <row r="867" spans="1:9" ht="14.4" x14ac:dyDescent="0.3">
      <c r="A867" s="197"/>
      <c r="B867" s="198" t="s">
        <v>455</v>
      </c>
      <c r="C867" s="199" t="s">
        <v>456</v>
      </c>
      <c r="D867" s="200" t="s">
        <v>1443</v>
      </c>
      <c r="E867" s="202" t="s">
        <v>1660</v>
      </c>
      <c r="F867" s="212"/>
      <c r="G867" s="201" t="s">
        <v>1294</v>
      </c>
      <c r="H867" s="215">
        <v>206</v>
      </c>
      <c r="I867" s="216" t="s">
        <v>1637</v>
      </c>
    </row>
    <row r="868" spans="1:9" ht="14.4" x14ac:dyDescent="0.3">
      <c r="A868" s="197"/>
      <c r="B868" s="198"/>
      <c r="C868" s="199"/>
      <c r="D868" s="200"/>
      <c r="E868" s="201"/>
      <c r="F868" s="212"/>
      <c r="G868" s="201"/>
      <c r="H868" s="215"/>
      <c r="I868" s="216"/>
    </row>
    <row r="869" spans="1:9" ht="14.4" x14ac:dyDescent="0.3">
      <c r="A869" s="197"/>
      <c r="B869" s="198"/>
      <c r="C869" s="199"/>
      <c r="D869" s="200"/>
      <c r="E869" s="201"/>
      <c r="F869" s="212"/>
      <c r="G869" s="201"/>
      <c r="H869" s="215"/>
      <c r="I869" s="216"/>
    </row>
    <row r="870" spans="1:9" ht="14.4" x14ac:dyDescent="0.3">
      <c r="A870" s="197"/>
      <c r="B870" s="203"/>
      <c r="C870" s="204"/>
      <c r="D870" s="205"/>
      <c r="E870" s="206"/>
      <c r="F870" s="218"/>
      <c r="G870" s="206"/>
      <c r="H870" s="219"/>
      <c r="I870" s="220"/>
    </row>
    <row r="871" spans="1:9" ht="15" thickBot="1" x14ac:dyDescent="0.35">
      <c r="A871" s="207"/>
      <c r="B871" s="208"/>
      <c r="C871" s="209"/>
      <c r="D871" s="210"/>
      <c r="E871" s="211"/>
      <c r="F871" s="221"/>
      <c r="G871" s="211"/>
      <c r="H871" s="222"/>
      <c r="I871" s="223"/>
    </row>
    <row r="872" spans="1:9" ht="14.4" thickBot="1" x14ac:dyDescent="0.35"/>
    <row r="873" spans="1:9" ht="14.4" thickBot="1" x14ac:dyDescent="0.35">
      <c r="A873" s="226" t="s">
        <v>1204</v>
      </c>
      <c r="B873" s="224" t="s">
        <v>1434</v>
      </c>
      <c r="C873" s="224" t="s">
        <v>1435</v>
      </c>
      <c r="D873" s="224" t="s">
        <v>1207</v>
      </c>
      <c r="E873" s="368" t="s">
        <v>1208</v>
      </c>
      <c r="F873" s="368"/>
      <c r="G873" s="368"/>
      <c r="H873" s="224" t="s">
        <v>1209</v>
      </c>
      <c r="I873" s="225" t="s">
        <v>1436</v>
      </c>
    </row>
    <row r="874" spans="1:9" ht="14.4" x14ac:dyDescent="0.3">
      <c r="A874" s="197" t="s">
        <v>1661</v>
      </c>
      <c r="B874" s="193" t="s">
        <v>121</v>
      </c>
      <c r="C874" s="194" t="s">
        <v>122</v>
      </c>
      <c r="D874" s="195" t="s">
        <v>1226</v>
      </c>
      <c r="E874" s="196">
        <v>0.29166666666666669</v>
      </c>
      <c r="F874" s="212"/>
      <c r="G874" s="196">
        <v>0.41666666666666669</v>
      </c>
      <c r="H874" s="213">
        <v>203</v>
      </c>
      <c r="I874" s="214" t="s">
        <v>1489</v>
      </c>
    </row>
    <row r="875" spans="1:9" ht="14.4" x14ac:dyDescent="0.3">
      <c r="A875" s="197"/>
      <c r="B875" s="198" t="s">
        <v>123</v>
      </c>
      <c r="C875" s="199" t="s">
        <v>124</v>
      </c>
      <c r="D875" s="200" t="s">
        <v>1267</v>
      </c>
      <c r="E875" s="201">
        <v>0.5</v>
      </c>
      <c r="F875" s="212"/>
      <c r="G875" s="201">
        <v>0.54166666666666663</v>
      </c>
      <c r="H875" s="215">
        <v>201</v>
      </c>
      <c r="I875" s="216"/>
    </row>
    <row r="876" spans="1:9" ht="14.4" x14ac:dyDescent="0.3">
      <c r="A876" s="197"/>
      <c r="B876" s="198" t="s">
        <v>217</v>
      </c>
      <c r="C876" s="199" t="s">
        <v>218</v>
      </c>
      <c r="D876" s="200" t="s">
        <v>1446</v>
      </c>
      <c r="E876" s="201">
        <v>0.41666666666666669</v>
      </c>
      <c r="F876" s="212"/>
      <c r="G876" s="201">
        <v>0.47916666666666669</v>
      </c>
      <c r="H876" s="215">
        <v>306</v>
      </c>
      <c r="I876" s="216" t="s">
        <v>1555</v>
      </c>
    </row>
    <row r="877" spans="1:9" ht="14.4" x14ac:dyDescent="0.3">
      <c r="A877" s="197"/>
      <c r="B877" s="198" t="s">
        <v>128</v>
      </c>
      <c r="C877" s="199" t="s">
        <v>129</v>
      </c>
      <c r="D877" s="200" t="s">
        <v>1247</v>
      </c>
      <c r="E877" s="201">
        <v>0.54166666666666663</v>
      </c>
      <c r="F877" s="212"/>
      <c r="G877" s="201">
        <v>0.60416666666666663</v>
      </c>
      <c r="H877" s="215">
        <v>512</v>
      </c>
      <c r="I877" s="217" t="s">
        <v>1454</v>
      </c>
    </row>
    <row r="878" spans="1:9" ht="14.4" x14ac:dyDescent="0.3">
      <c r="A878" s="197"/>
      <c r="B878" s="198" t="s">
        <v>130</v>
      </c>
      <c r="C878" s="199" t="s">
        <v>131</v>
      </c>
      <c r="D878" s="200" t="s">
        <v>1285</v>
      </c>
      <c r="E878" s="196">
        <v>0.29166666666666669</v>
      </c>
      <c r="F878" s="212"/>
      <c r="G878" s="196">
        <v>0.375</v>
      </c>
      <c r="H878" s="215" t="s">
        <v>1221</v>
      </c>
      <c r="I878" s="217" t="s">
        <v>1449</v>
      </c>
    </row>
    <row r="879" spans="1:9" ht="14.4" x14ac:dyDescent="0.3">
      <c r="A879" s="197"/>
      <c r="B879" s="198" t="s">
        <v>139</v>
      </c>
      <c r="C879" s="199" t="s">
        <v>140</v>
      </c>
      <c r="D879" s="200" t="s">
        <v>1247</v>
      </c>
      <c r="E879" s="196">
        <v>0.60416666666666663</v>
      </c>
      <c r="F879" s="212"/>
      <c r="G879" s="196">
        <v>0.66666666666666663</v>
      </c>
      <c r="H879" s="215">
        <v>605</v>
      </c>
      <c r="I879" s="216" t="s">
        <v>1662</v>
      </c>
    </row>
    <row r="880" spans="1:9" ht="14.4" x14ac:dyDescent="0.3">
      <c r="A880" s="197"/>
      <c r="B880" s="198" t="s">
        <v>134</v>
      </c>
      <c r="C880" s="199" t="s">
        <v>135</v>
      </c>
      <c r="D880" s="200" t="s">
        <v>1247</v>
      </c>
      <c r="E880" s="201">
        <v>0.41666666666666669</v>
      </c>
      <c r="F880" s="212"/>
      <c r="G880" s="201">
        <v>0.47916666666666669</v>
      </c>
      <c r="H880" s="215">
        <v>307</v>
      </c>
      <c r="I880" s="216" t="s">
        <v>1455</v>
      </c>
    </row>
    <row r="881" spans="1:9" ht="14.4" x14ac:dyDescent="0.3">
      <c r="A881" s="197"/>
      <c r="B881" s="198" t="s">
        <v>498</v>
      </c>
      <c r="C881" s="199" t="s">
        <v>1663</v>
      </c>
      <c r="D881" s="200" t="s">
        <v>1224</v>
      </c>
      <c r="E881" s="202" t="s">
        <v>1664</v>
      </c>
      <c r="F881" s="212"/>
      <c r="G881" s="201" t="s">
        <v>1314</v>
      </c>
      <c r="H881" s="215">
        <v>512</v>
      </c>
      <c r="I881" s="216" t="s">
        <v>1579</v>
      </c>
    </row>
    <row r="882" spans="1:9" ht="14.4" x14ac:dyDescent="0.3">
      <c r="A882" s="197"/>
      <c r="B882" s="198" t="s">
        <v>498</v>
      </c>
      <c r="C882" s="199" t="s">
        <v>1665</v>
      </c>
      <c r="D882" s="200" t="s">
        <v>1280</v>
      </c>
      <c r="E882" s="201" t="s">
        <v>1317</v>
      </c>
      <c r="F882" s="212"/>
      <c r="G882" s="201" t="s">
        <v>1311</v>
      </c>
      <c r="H882" s="215">
        <v>512</v>
      </c>
      <c r="I882" s="216" t="s">
        <v>1579</v>
      </c>
    </row>
    <row r="883" spans="1:9" ht="14.4" x14ac:dyDescent="0.3">
      <c r="A883" s="197"/>
      <c r="B883" s="198" t="s">
        <v>501</v>
      </c>
      <c r="C883" s="199" t="s">
        <v>502</v>
      </c>
      <c r="D883" s="200" t="s">
        <v>1446</v>
      </c>
      <c r="E883" s="201" t="s">
        <v>1314</v>
      </c>
      <c r="F883" s="212"/>
      <c r="G883" s="201" t="s">
        <v>1311</v>
      </c>
      <c r="H883" s="215">
        <v>207</v>
      </c>
      <c r="I883" s="216" t="s">
        <v>1666</v>
      </c>
    </row>
    <row r="884" spans="1:9" ht="14.4" x14ac:dyDescent="0.3">
      <c r="A884" s="197"/>
      <c r="B884" s="203"/>
      <c r="C884" s="204"/>
      <c r="D884" s="205"/>
      <c r="E884" s="206"/>
      <c r="F884" s="218"/>
      <c r="G884" s="206"/>
      <c r="H884" s="219"/>
      <c r="I884" s="220"/>
    </row>
    <row r="885" spans="1:9" ht="15" thickBot="1" x14ac:dyDescent="0.35">
      <c r="A885" s="207"/>
      <c r="B885" s="208"/>
      <c r="C885" s="209"/>
      <c r="D885" s="210"/>
      <c r="E885" s="211"/>
      <c r="F885" s="221"/>
      <c r="G885" s="211"/>
      <c r="H885" s="222"/>
      <c r="I885" s="223"/>
    </row>
    <row r="886" spans="1:9" ht="14.4" thickBot="1" x14ac:dyDescent="0.35"/>
    <row r="887" spans="1:9" ht="14.4" thickBot="1" x14ac:dyDescent="0.35">
      <c r="A887" s="226" t="s">
        <v>1204</v>
      </c>
      <c r="B887" s="224" t="s">
        <v>1434</v>
      </c>
      <c r="C887" s="224" t="s">
        <v>1435</v>
      </c>
      <c r="D887" s="224" t="s">
        <v>1207</v>
      </c>
      <c r="E887" s="368" t="s">
        <v>1208</v>
      </c>
      <c r="F887" s="368"/>
      <c r="G887" s="368"/>
      <c r="H887" s="224" t="s">
        <v>1209</v>
      </c>
      <c r="I887" s="225" t="s">
        <v>1436</v>
      </c>
    </row>
    <row r="888" spans="1:9" ht="14.4" x14ac:dyDescent="0.3">
      <c r="A888" s="197" t="s">
        <v>1667</v>
      </c>
      <c r="B888" s="193" t="s">
        <v>121</v>
      </c>
      <c r="C888" s="194" t="s">
        <v>122</v>
      </c>
      <c r="D888" s="195" t="s">
        <v>1247</v>
      </c>
      <c r="E888" s="196">
        <v>0.29166666666666669</v>
      </c>
      <c r="F888" s="212"/>
      <c r="G888" s="196">
        <v>0.35416666666666669</v>
      </c>
      <c r="H888" s="213">
        <v>607</v>
      </c>
      <c r="I888" s="214" t="s">
        <v>1466</v>
      </c>
    </row>
    <row r="889" spans="1:9" ht="14.4" x14ac:dyDescent="0.3">
      <c r="A889" s="197"/>
      <c r="B889" s="198" t="s">
        <v>123</v>
      </c>
      <c r="C889" s="199" t="s">
        <v>124</v>
      </c>
      <c r="D889" s="200" t="s">
        <v>1226</v>
      </c>
      <c r="E889" s="201">
        <v>0.41666666666666669</v>
      </c>
      <c r="F889" s="212"/>
      <c r="G889" s="201">
        <v>0.45833333333333331</v>
      </c>
      <c r="H889" s="215">
        <v>304</v>
      </c>
      <c r="I889" s="216"/>
    </row>
    <row r="890" spans="1:9" ht="14.4" x14ac:dyDescent="0.3">
      <c r="A890" s="197"/>
      <c r="B890" s="198" t="s">
        <v>217</v>
      </c>
      <c r="C890" s="199" t="s">
        <v>218</v>
      </c>
      <c r="D890" s="200" t="s">
        <v>1446</v>
      </c>
      <c r="E890" s="201">
        <v>0.35416666666666669</v>
      </c>
      <c r="F890" s="212"/>
      <c r="G890" s="201">
        <v>0.41666666666666669</v>
      </c>
      <c r="H890" s="215">
        <v>502</v>
      </c>
      <c r="I890" s="216" t="s">
        <v>1566</v>
      </c>
    </row>
    <row r="891" spans="1:9" ht="14.4" x14ac:dyDescent="0.3">
      <c r="A891" s="197"/>
      <c r="B891" s="198" t="s">
        <v>128</v>
      </c>
      <c r="C891" s="199" t="s">
        <v>129</v>
      </c>
      <c r="D891" s="200" t="s">
        <v>1247</v>
      </c>
      <c r="E891" s="201">
        <v>0.41666666666666669</v>
      </c>
      <c r="F891" s="212"/>
      <c r="G891" s="201">
        <v>0.47916666666666669</v>
      </c>
      <c r="H891" s="215">
        <v>308</v>
      </c>
      <c r="I891" s="217" t="s">
        <v>1448</v>
      </c>
    </row>
    <row r="892" spans="1:9" ht="14.4" x14ac:dyDescent="0.3">
      <c r="A892" s="197"/>
      <c r="B892" s="198" t="s">
        <v>130</v>
      </c>
      <c r="C892" s="199" t="s">
        <v>131</v>
      </c>
      <c r="D892" s="200" t="s">
        <v>1226</v>
      </c>
      <c r="E892" s="196">
        <v>0.52083333333333337</v>
      </c>
      <c r="F892" s="212"/>
      <c r="G892" s="196">
        <v>0.60416666666666663</v>
      </c>
      <c r="H892" s="215" t="s">
        <v>1221</v>
      </c>
      <c r="I892" s="217" t="s">
        <v>1449</v>
      </c>
    </row>
    <row r="893" spans="1:9" ht="14.4" x14ac:dyDescent="0.3">
      <c r="A893" s="197"/>
      <c r="B893" s="198" t="s">
        <v>139</v>
      </c>
      <c r="C893" s="199" t="s">
        <v>140</v>
      </c>
      <c r="D893" s="200" t="s">
        <v>1247</v>
      </c>
      <c r="E893" s="196">
        <v>0.47916666666666669</v>
      </c>
      <c r="F893" s="212"/>
      <c r="G893" s="196">
        <v>0.54166666666666663</v>
      </c>
      <c r="H893" s="215">
        <v>206</v>
      </c>
      <c r="I893" s="216" t="s">
        <v>1489</v>
      </c>
    </row>
    <row r="894" spans="1:9" ht="14.4" x14ac:dyDescent="0.3">
      <c r="A894" s="197"/>
      <c r="B894" s="198" t="s">
        <v>134</v>
      </c>
      <c r="C894" s="199" t="s">
        <v>135</v>
      </c>
      <c r="D894" s="200" t="s">
        <v>1446</v>
      </c>
      <c r="E894" s="201">
        <v>0.47916666666666669</v>
      </c>
      <c r="F894" s="212"/>
      <c r="G894" s="201">
        <v>0.54166666666666663</v>
      </c>
      <c r="H894" s="215">
        <v>304</v>
      </c>
      <c r="I894" s="216" t="s">
        <v>1455</v>
      </c>
    </row>
    <row r="895" spans="1:9" ht="14.4" x14ac:dyDescent="0.3">
      <c r="A895" s="197"/>
      <c r="B895" s="198" t="s">
        <v>498</v>
      </c>
      <c r="C895" s="199" t="s">
        <v>1663</v>
      </c>
      <c r="D895" s="200" t="s">
        <v>1267</v>
      </c>
      <c r="E895" s="202" t="s">
        <v>1664</v>
      </c>
      <c r="F895" s="212"/>
      <c r="G895" s="201" t="s">
        <v>1314</v>
      </c>
      <c r="H895" s="215">
        <v>512</v>
      </c>
      <c r="I895" s="216" t="s">
        <v>1579</v>
      </c>
    </row>
    <row r="896" spans="1:9" ht="14.4" x14ac:dyDescent="0.3">
      <c r="A896" s="197"/>
      <c r="B896" s="198" t="s">
        <v>498</v>
      </c>
      <c r="C896" s="199" t="s">
        <v>1665</v>
      </c>
      <c r="D896" s="200" t="s">
        <v>1226</v>
      </c>
      <c r="E896" s="201" t="s">
        <v>1317</v>
      </c>
      <c r="F896" s="212"/>
      <c r="G896" s="201" t="s">
        <v>1311</v>
      </c>
      <c r="H896" s="215">
        <v>512</v>
      </c>
      <c r="I896" s="216" t="s">
        <v>1579</v>
      </c>
    </row>
    <row r="897" spans="1:9" ht="14.4" x14ac:dyDescent="0.3">
      <c r="A897" s="197"/>
      <c r="B897" s="198" t="s">
        <v>501</v>
      </c>
      <c r="C897" s="199" t="s">
        <v>502</v>
      </c>
      <c r="D897" s="200" t="s">
        <v>1446</v>
      </c>
      <c r="E897" s="201" t="s">
        <v>1311</v>
      </c>
      <c r="F897" s="212"/>
      <c r="G897" s="201" t="s">
        <v>1293</v>
      </c>
      <c r="H897" s="215">
        <v>207</v>
      </c>
      <c r="I897" s="216" t="s">
        <v>1666</v>
      </c>
    </row>
    <row r="898" spans="1:9" ht="14.4" x14ac:dyDescent="0.3">
      <c r="A898" s="197"/>
      <c r="B898" s="203"/>
      <c r="C898" s="204"/>
      <c r="D898" s="205"/>
      <c r="E898" s="206"/>
      <c r="F898" s="218"/>
      <c r="G898" s="206"/>
      <c r="H898" s="219"/>
      <c r="I898" s="220"/>
    </row>
    <row r="899" spans="1:9" ht="15" thickBot="1" x14ac:dyDescent="0.35">
      <c r="A899" s="207"/>
      <c r="B899" s="208"/>
      <c r="C899" s="209"/>
      <c r="D899" s="210"/>
      <c r="E899" s="211"/>
      <c r="F899" s="221"/>
      <c r="G899" s="211"/>
      <c r="H899" s="222"/>
      <c r="I899" s="223"/>
    </row>
    <row r="900" spans="1:9" ht="14.4" thickBot="1" x14ac:dyDescent="0.35"/>
    <row r="901" spans="1:9" ht="14.4" thickBot="1" x14ac:dyDescent="0.35">
      <c r="A901" s="226" t="s">
        <v>1204</v>
      </c>
      <c r="B901" s="224" t="s">
        <v>1434</v>
      </c>
      <c r="C901" s="224" t="s">
        <v>1435</v>
      </c>
      <c r="D901" s="224" t="s">
        <v>1207</v>
      </c>
      <c r="E901" s="368" t="s">
        <v>1208</v>
      </c>
      <c r="F901" s="368"/>
      <c r="G901" s="368"/>
      <c r="H901" s="224" t="s">
        <v>1209</v>
      </c>
      <c r="I901" s="225" t="s">
        <v>1436</v>
      </c>
    </row>
    <row r="902" spans="1:9" ht="14.4" x14ac:dyDescent="0.3">
      <c r="A902" s="197" t="s">
        <v>1668</v>
      </c>
      <c r="B902" s="193" t="s">
        <v>121</v>
      </c>
      <c r="C902" s="194" t="s">
        <v>122</v>
      </c>
      <c r="D902" s="195" t="s">
        <v>1247</v>
      </c>
      <c r="E902" s="196">
        <v>0.54166666666666663</v>
      </c>
      <c r="F902" s="212"/>
      <c r="G902" s="196">
        <v>0.60416666666666663</v>
      </c>
      <c r="H902" s="213">
        <v>206</v>
      </c>
      <c r="I902" s="214" t="s">
        <v>1466</v>
      </c>
    </row>
    <row r="903" spans="1:9" ht="14.4" x14ac:dyDescent="0.3">
      <c r="A903" s="197"/>
      <c r="B903" s="198" t="s">
        <v>123</v>
      </c>
      <c r="C903" s="199" t="s">
        <v>124</v>
      </c>
      <c r="D903" s="200" t="s">
        <v>1280</v>
      </c>
      <c r="E903" s="201">
        <v>0.29166666666666669</v>
      </c>
      <c r="F903" s="212"/>
      <c r="G903" s="201">
        <v>0.33333333333333331</v>
      </c>
      <c r="H903" s="215">
        <v>301</v>
      </c>
      <c r="I903" s="216"/>
    </row>
    <row r="904" spans="1:9" ht="14.4" x14ac:dyDescent="0.3">
      <c r="A904" s="197"/>
      <c r="B904" s="198" t="s">
        <v>217</v>
      </c>
      <c r="C904" s="199" t="s">
        <v>218</v>
      </c>
      <c r="D904" s="200" t="s">
        <v>1247</v>
      </c>
      <c r="E904" s="201">
        <v>0.47916666666666669</v>
      </c>
      <c r="F904" s="212"/>
      <c r="G904" s="201">
        <v>0.54166666666666663</v>
      </c>
      <c r="H904" s="215">
        <v>302</v>
      </c>
      <c r="I904" s="216" t="s">
        <v>1555</v>
      </c>
    </row>
    <row r="905" spans="1:9" ht="14.4" x14ac:dyDescent="0.3">
      <c r="A905" s="197"/>
      <c r="B905" s="198" t="s">
        <v>128</v>
      </c>
      <c r="C905" s="199" t="s">
        <v>129</v>
      </c>
      <c r="D905" s="200" t="s">
        <v>1446</v>
      </c>
      <c r="E905" s="201">
        <v>0.47916666666666669</v>
      </c>
      <c r="F905" s="212"/>
      <c r="G905" s="201">
        <v>0.54166666666666663</v>
      </c>
      <c r="H905" s="215">
        <v>409</v>
      </c>
      <c r="I905" s="217" t="s">
        <v>1454</v>
      </c>
    </row>
    <row r="906" spans="1:9" ht="14.4" x14ac:dyDescent="0.3">
      <c r="A906" s="197"/>
      <c r="B906" s="198" t="s">
        <v>130</v>
      </c>
      <c r="C906" s="199" t="s">
        <v>131</v>
      </c>
      <c r="D906" s="200" t="s">
        <v>1280</v>
      </c>
      <c r="E906" s="196">
        <v>0.33333333333333331</v>
      </c>
      <c r="F906" s="212"/>
      <c r="G906" s="196">
        <v>0.41666666666666669</v>
      </c>
      <c r="H906" s="215" t="s">
        <v>1221</v>
      </c>
      <c r="I906" s="217" t="s">
        <v>1449</v>
      </c>
    </row>
    <row r="907" spans="1:9" ht="14.4" x14ac:dyDescent="0.3">
      <c r="A907" s="197"/>
      <c r="B907" s="198" t="s">
        <v>139</v>
      </c>
      <c r="C907" s="199" t="s">
        <v>140</v>
      </c>
      <c r="D907" s="200" t="s">
        <v>1446</v>
      </c>
      <c r="E907" s="196">
        <v>0.29166666666666669</v>
      </c>
      <c r="F907" s="212"/>
      <c r="G907" s="196">
        <v>0.35416666666666669</v>
      </c>
      <c r="H907" s="215">
        <v>607</v>
      </c>
      <c r="I907" s="216" t="s">
        <v>1489</v>
      </c>
    </row>
    <row r="908" spans="1:9" ht="14.4" x14ac:dyDescent="0.3">
      <c r="A908" s="197"/>
      <c r="B908" s="198" t="s">
        <v>134</v>
      </c>
      <c r="C908" s="199" t="s">
        <v>135</v>
      </c>
      <c r="D908" s="200" t="s">
        <v>1446</v>
      </c>
      <c r="E908" s="201">
        <v>0.41666666666666669</v>
      </c>
      <c r="F908" s="212"/>
      <c r="G908" s="201" t="s">
        <v>1293</v>
      </c>
      <c r="H908" s="215">
        <v>301</v>
      </c>
      <c r="I908" s="216" t="s">
        <v>1461</v>
      </c>
    </row>
    <row r="909" spans="1:9" ht="14.4" x14ac:dyDescent="0.3">
      <c r="A909" s="197"/>
      <c r="B909" s="198" t="s">
        <v>498</v>
      </c>
      <c r="C909" s="199" t="s">
        <v>1663</v>
      </c>
      <c r="D909" s="200" t="s">
        <v>1285</v>
      </c>
      <c r="E909" s="202" t="s">
        <v>1311</v>
      </c>
      <c r="F909" s="212"/>
      <c r="G909" s="201" t="s">
        <v>1293</v>
      </c>
      <c r="H909" s="215">
        <v>512</v>
      </c>
      <c r="I909" s="216" t="s">
        <v>1669</v>
      </c>
    </row>
    <row r="910" spans="1:9" ht="14.4" x14ac:dyDescent="0.3">
      <c r="A910" s="197"/>
      <c r="B910" s="198" t="s">
        <v>498</v>
      </c>
      <c r="C910" s="199" t="s">
        <v>1665</v>
      </c>
      <c r="D910" s="200" t="s">
        <v>1285</v>
      </c>
      <c r="E910" s="201" t="s">
        <v>1317</v>
      </c>
      <c r="F910" s="212"/>
      <c r="G910" s="201" t="s">
        <v>1311</v>
      </c>
      <c r="H910" s="215">
        <v>512</v>
      </c>
      <c r="I910" s="216" t="s">
        <v>1669</v>
      </c>
    </row>
    <row r="911" spans="1:9" ht="14.4" x14ac:dyDescent="0.3">
      <c r="A911" s="197"/>
      <c r="B911" s="198" t="s">
        <v>501</v>
      </c>
      <c r="C911" s="199" t="s">
        <v>502</v>
      </c>
      <c r="D911" s="200" t="s">
        <v>1446</v>
      </c>
      <c r="E911" s="201" t="s">
        <v>1316</v>
      </c>
      <c r="F911" s="212"/>
      <c r="G911" s="201" t="s">
        <v>1294</v>
      </c>
      <c r="H911" s="215">
        <v>207</v>
      </c>
      <c r="I911" s="216" t="s">
        <v>1670</v>
      </c>
    </row>
    <row r="912" spans="1:9" ht="14.4" x14ac:dyDescent="0.3">
      <c r="A912" s="197"/>
      <c r="B912" s="203"/>
      <c r="C912" s="204"/>
      <c r="D912" s="205"/>
      <c r="E912" s="206"/>
      <c r="F912" s="218"/>
      <c r="G912" s="206"/>
      <c r="H912" s="219"/>
      <c r="I912" s="220"/>
    </row>
    <row r="913" spans="1:9" ht="15" thickBot="1" x14ac:dyDescent="0.35">
      <c r="A913" s="207"/>
      <c r="B913" s="208"/>
      <c r="C913" s="209"/>
      <c r="D913" s="210"/>
      <c r="E913" s="211"/>
      <c r="F913" s="221"/>
      <c r="G913" s="211"/>
      <c r="H913" s="222"/>
      <c r="I913" s="223"/>
    </row>
    <row r="914" spans="1:9" ht="14.4" thickBot="1" x14ac:dyDescent="0.35"/>
    <row r="915" spans="1:9" ht="14.4" thickBot="1" x14ac:dyDescent="0.35">
      <c r="A915" s="226" t="s">
        <v>1204</v>
      </c>
      <c r="B915" s="224" t="s">
        <v>1434</v>
      </c>
      <c r="C915" s="224" t="s">
        <v>1435</v>
      </c>
      <c r="D915" s="224" t="s">
        <v>1207</v>
      </c>
      <c r="E915" s="368" t="s">
        <v>1208</v>
      </c>
      <c r="F915" s="368"/>
      <c r="G915" s="368"/>
      <c r="H915" s="224" t="s">
        <v>1209</v>
      </c>
      <c r="I915" s="225" t="s">
        <v>1436</v>
      </c>
    </row>
    <row r="916" spans="1:9" ht="14.4" x14ac:dyDescent="0.3">
      <c r="A916" s="197" t="s">
        <v>1671</v>
      </c>
      <c r="B916" s="193" t="s">
        <v>121</v>
      </c>
      <c r="C916" s="194" t="s">
        <v>122</v>
      </c>
      <c r="D916" s="195" t="s">
        <v>1247</v>
      </c>
      <c r="E916" s="196">
        <v>0.41666666666666669</v>
      </c>
      <c r="F916" s="212"/>
      <c r="G916" s="196">
        <v>0.47916666666666669</v>
      </c>
      <c r="H916" s="213">
        <v>304</v>
      </c>
      <c r="I916" s="214" t="s">
        <v>1445</v>
      </c>
    </row>
    <row r="917" spans="1:9" ht="14.4" x14ac:dyDescent="0.3">
      <c r="A917" s="197"/>
      <c r="B917" s="198" t="s">
        <v>123</v>
      </c>
      <c r="C917" s="199" t="s">
        <v>124</v>
      </c>
      <c r="D917" s="200" t="s">
        <v>1285</v>
      </c>
      <c r="E917" s="201">
        <v>0.66666666666666663</v>
      </c>
      <c r="F917" s="212"/>
      <c r="G917" s="201">
        <v>0.70833333333333337</v>
      </c>
      <c r="H917" s="215">
        <v>601</v>
      </c>
      <c r="I917" s="216" t="s">
        <v>1454</v>
      </c>
    </row>
    <row r="918" spans="1:9" ht="14.4" x14ac:dyDescent="0.3">
      <c r="A918" s="197"/>
      <c r="B918" s="198" t="s">
        <v>217</v>
      </c>
      <c r="C918" s="199" t="s">
        <v>218</v>
      </c>
      <c r="D918" s="200" t="s">
        <v>1446</v>
      </c>
      <c r="E918" s="201">
        <v>0.35416666666666669</v>
      </c>
      <c r="F918" s="212"/>
      <c r="G918" s="201">
        <v>0.41666666666666669</v>
      </c>
      <c r="H918" s="215">
        <v>301</v>
      </c>
      <c r="I918" s="216" t="s">
        <v>1555</v>
      </c>
    </row>
    <row r="919" spans="1:9" ht="14.4" x14ac:dyDescent="0.3">
      <c r="A919" s="197"/>
      <c r="B919" s="198" t="s">
        <v>128</v>
      </c>
      <c r="C919" s="199" t="s">
        <v>129</v>
      </c>
      <c r="D919" s="200" t="s">
        <v>1247</v>
      </c>
      <c r="E919" s="201">
        <v>0.60416666666666663</v>
      </c>
      <c r="F919" s="212"/>
      <c r="G919" s="201">
        <v>0.66666666666666663</v>
      </c>
      <c r="H919" s="215">
        <v>601</v>
      </c>
      <c r="I919" s="217" t="s">
        <v>1454</v>
      </c>
    </row>
    <row r="920" spans="1:9" ht="14.4" x14ac:dyDescent="0.3">
      <c r="A920" s="197"/>
      <c r="B920" s="198" t="s">
        <v>130</v>
      </c>
      <c r="C920" s="199" t="s">
        <v>131</v>
      </c>
      <c r="D920" s="200" t="s">
        <v>1280</v>
      </c>
      <c r="E920" s="196">
        <v>0.29166666666666669</v>
      </c>
      <c r="F920" s="212"/>
      <c r="G920" s="196">
        <v>0.375</v>
      </c>
      <c r="H920" s="215" t="s">
        <v>1221</v>
      </c>
      <c r="I920" s="217" t="s">
        <v>1468</v>
      </c>
    </row>
    <row r="921" spans="1:9" ht="14.4" x14ac:dyDescent="0.3">
      <c r="A921" s="197"/>
      <c r="B921" s="198" t="s">
        <v>139</v>
      </c>
      <c r="C921" s="199" t="s">
        <v>140</v>
      </c>
      <c r="D921" s="200" t="s">
        <v>1226</v>
      </c>
      <c r="E921" s="196">
        <v>0.60416666666666663</v>
      </c>
      <c r="F921" s="212"/>
      <c r="G921" s="196">
        <v>0.72916666666666663</v>
      </c>
      <c r="H921" s="215">
        <v>206</v>
      </c>
      <c r="I921" s="216" t="s">
        <v>1489</v>
      </c>
    </row>
    <row r="922" spans="1:9" ht="14.4" x14ac:dyDescent="0.3">
      <c r="A922" s="197"/>
      <c r="B922" s="198" t="s">
        <v>134</v>
      </c>
      <c r="C922" s="199" t="s">
        <v>135</v>
      </c>
      <c r="D922" s="200" t="s">
        <v>1446</v>
      </c>
      <c r="E922" s="201">
        <v>0.29166666666666669</v>
      </c>
      <c r="F922" s="212"/>
      <c r="G922" s="201">
        <v>0.35416666666666669</v>
      </c>
      <c r="H922" s="215">
        <v>511</v>
      </c>
      <c r="I922" s="216" t="s">
        <v>1455</v>
      </c>
    </row>
    <row r="923" spans="1:9" ht="14.4" x14ac:dyDescent="0.3">
      <c r="A923" s="197"/>
      <c r="B923" s="198" t="s">
        <v>498</v>
      </c>
      <c r="C923" s="199" t="s">
        <v>1663</v>
      </c>
      <c r="D923" s="200" t="s">
        <v>1226</v>
      </c>
      <c r="E923" s="202" t="s">
        <v>1328</v>
      </c>
      <c r="F923" s="212"/>
      <c r="G923" s="201" t="s">
        <v>1311</v>
      </c>
      <c r="H923" s="215">
        <v>205</v>
      </c>
      <c r="I923" s="216" t="s">
        <v>1669</v>
      </c>
    </row>
    <row r="924" spans="1:9" ht="14.4" x14ac:dyDescent="0.3">
      <c r="A924" s="197"/>
      <c r="B924" s="198" t="s">
        <v>498</v>
      </c>
      <c r="C924" s="199" t="s">
        <v>1665</v>
      </c>
      <c r="D924" s="200" t="s">
        <v>1226</v>
      </c>
      <c r="E924" s="201" t="s">
        <v>1311</v>
      </c>
      <c r="F924" s="212"/>
      <c r="G924" s="201" t="s">
        <v>1316</v>
      </c>
      <c r="H924" s="215">
        <v>512</v>
      </c>
      <c r="I924" s="216" t="s">
        <v>1669</v>
      </c>
    </row>
    <row r="925" spans="1:9" ht="14.4" x14ac:dyDescent="0.3">
      <c r="A925" s="197"/>
      <c r="B925" s="198" t="s">
        <v>501</v>
      </c>
      <c r="C925" s="199" t="s">
        <v>502</v>
      </c>
      <c r="D925" s="200" t="s">
        <v>1247</v>
      </c>
      <c r="E925" s="201" t="s">
        <v>1293</v>
      </c>
      <c r="F925" s="212"/>
      <c r="G925" s="201" t="s">
        <v>1316</v>
      </c>
      <c r="H925" s="215">
        <v>407</v>
      </c>
      <c r="I925" s="216" t="s">
        <v>1670</v>
      </c>
    </row>
    <row r="926" spans="1:9" ht="14.4" x14ac:dyDescent="0.3">
      <c r="A926" s="197"/>
      <c r="B926" s="203"/>
      <c r="C926" s="204"/>
      <c r="D926" s="205"/>
      <c r="E926" s="206"/>
      <c r="F926" s="218"/>
      <c r="G926" s="206"/>
      <c r="H926" s="219"/>
      <c r="I926" s="220"/>
    </row>
    <row r="927" spans="1:9" ht="15" thickBot="1" x14ac:dyDescent="0.35">
      <c r="A927" s="207"/>
      <c r="B927" s="208"/>
      <c r="C927" s="209"/>
      <c r="D927" s="210"/>
      <c r="E927" s="211"/>
      <c r="F927" s="221"/>
      <c r="G927" s="211"/>
      <c r="H927" s="222"/>
      <c r="I927" s="223"/>
    </row>
    <row r="928" spans="1:9" ht="14.4" thickBot="1" x14ac:dyDescent="0.35"/>
    <row r="929" spans="1:9" ht="14.4" thickBot="1" x14ac:dyDescent="0.35">
      <c r="A929" s="226" t="s">
        <v>1204</v>
      </c>
      <c r="B929" s="224" t="s">
        <v>1434</v>
      </c>
      <c r="C929" s="224" t="s">
        <v>1435</v>
      </c>
      <c r="D929" s="224" t="s">
        <v>1207</v>
      </c>
      <c r="E929" s="368" t="s">
        <v>1208</v>
      </c>
      <c r="F929" s="368"/>
      <c r="G929" s="368"/>
      <c r="H929" s="224" t="s">
        <v>1209</v>
      </c>
      <c r="I929" s="225" t="s">
        <v>1436</v>
      </c>
    </row>
    <row r="930" spans="1:9" ht="14.4" x14ac:dyDescent="0.3">
      <c r="A930" s="197" t="s">
        <v>1672</v>
      </c>
      <c r="B930" s="193" t="s">
        <v>185</v>
      </c>
      <c r="C930" s="194" t="s">
        <v>186</v>
      </c>
      <c r="D930" s="195" t="s">
        <v>1247</v>
      </c>
      <c r="E930" s="196">
        <v>0.60416666666666663</v>
      </c>
      <c r="F930" s="212"/>
      <c r="G930" s="196">
        <v>0.66666666666666663</v>
      </c>
      <c r="H930" s="213">
        <v>305</v>
      </c>
      <c r="I930" s="214" t="s">
        <v>1634</v>
      </c>
    </row>
    <row r="931" spans="1:9" ht="14.4" x14ac:dyDescent="0.3">
      <c r="A931" s="197"/>
      <c r="B931" s="198" t="s">
        <v>144</v>
      </c>
      <c r="C931" s="199" t="s">
        <v>145</v>
      </c>
      <c r="D931" s="200" t="s">
        <v>1247</v>
      </c>
      <c r="E931" s="201">
        <v>0.54166666666666663</v>
      </c>
      <c r="F931" s="212"/>
      <c r="G931" s="201">
        <v>0.60416666666666663</v>
      </c>
      <c r="H931" s="215">
        <v>308</v>
      </c>
      <c r="I931" s="216" t="s">
        <v>1495</v>
      </c>
    </row>
    <row r="932" spans="1:9" ht="14.4" x14ac:dyDescent="0.3">
      <c r="A932" s="197"/>
      <c r="B932" s="198" t="s">
        <v>142</v>
      </c>
      <c r="C932" s="199" t="s">
        <v>143</v>
      </c>
      <c r="D932" s="200" t="s">
        <v>1224</v>
      </c>
      <c r="E932" s="201">
        <v>0.60416666666666663</v>
      </c>
      <c r="F932" s="212"/>
      <c r="G932" s="201">
        <v>0.6875</v>
      </c>
      <c r="H932" s="215" t="s">
        <v>1221</v>
      </c>
      <c r="I932" s="216" t="s">
        <v>1468</v>
      </c>
    </row>
    <row r="933" spans="1:9" ht="14.4" x14ac:dyDescent="0.3">
      <c r="A933" s="197"/>
      <c r="B933" s="198" t="s">
        <v>504</v>
      </c>
      <c r="C933" s="199" t="s">
        <v>505</v>
      </c>
      <c r="D933" s="200" t="s">
        <v>1224</v>
      </c>
      <c r="E933" s="201" t="s">
        <v>1415</v>
      </c>
      <c r="F933" s="212"/>
      <c r="G933" s="201" t="s">
        <v>1316</v>
      </c>
      <c r="H933" s="215" t="s">
        <v>1673</v>
      </c>
      <c r="I933" s="217" t="s">
        <v>1669</v>
      </c>
    </row>
    <row r="934" spans="1:9" ht="14.4" x14ac:dyDescent="0.3">
      <c r="A934" s="197"/>
      <c r="B934" s="198" t="s">
        <v>506</v>
      </c>
      <c r="C934" s="199" t="s">
        <v>507</v>
      </c>
      <c r="D934" s="200" t="s">
        <v>1267</v>
      </c>
      <c r="E934" s="196" t="s">
        <v>1415</v>
      </c>
      <c r="F934" s="212"/>
      <c r="G934" s="196" t="s">
        <v>1316</v>
      </c>
      <c r="H934" s="215" t="s">
        <v>1673</v>
      </c>
      <c r="I934" s="217" t="s">
        <v>1674</v>
      </c>
    </row>
    <row r="935" spans="1:9" ht="14.4" x14ac:dyDescent="0.3">
      <c r="A935" s="197"/>
      <c r="B935" s="198" t="s">
        <v>508</v>
      </c>
      <c r="C935" s="199" t="s">
        <v>509</v>
      </c>
      <c r="D935" s="200" t="s">
        <v>1226</v>
      </c>
      <c r="E935" s="196" t="s">
        <v>1317</v>
      </c>
      <c r="F935" s="212"/>
      <c r="G935" s="196" t="s">
        <v>1361</v>
      </c>
      <c r="H935" s="215" t="s">
        <v>1512</v>
      </c>
      <c r="I935" s="216" t="s">
        <v>1675</v>
      </c>
    </row>
    <row r="936" spans="1:9" ht="14.4" x14ac:dyDescent="0.3">
      <c r="A936" s="197"/>
      <c r="B936" s="198"/>
      <c r="C936" s="199"/>
      <c r="D936" s="200"/>
      <c r="E936" s="201"/>
      <c r="F936" s="212"/>
      <c r="G936" s="201"/>
      <c r="H936" s="215"/>
      <c r="I936" s="216"/>
    </row>
    <row r="937" spans="1:9" ht="14.4" x14ac:dyDescent="0.3">
      <c r="A937" s="197"/>
      <c r="B937" s="198"/>
      <c r="C937" s="199"/>
      <c r="D937" s="200"/>
      <c r="E937" s="202"/>
      <c r="F937" s="212"/>
      <c r="G937" s="201"/>
      <c r="H937" s="215"/>
      <c r="I937" s="216"/>
    </row>
    <row r="938" spans="1:9" ht="14.4" x14ac:dyDescent="0.3">
      <c r="A938" s="197"/>
      <c r="B938" s="198"/>
      <c r="C938" s="199"/>
      <c r="D938" s="200"/>
      <c r="E938" s="201"/>
      <c r="F938" s="212"/>
      <c r="G938" s="201"/>
      <c r="H938" s="215"/>
      <c r="I938" s="216"/>
    </row>
    <row r="939" spans="1:9" ht="14.4" x14ac:dyDescent="0.3">
      <c r="A939" s="197"/>
      <c r="B939" s="198"/>
      <c r="C939" s="199"/>
      <c r="D939" s="200"/>
      <c r="E939" s="201"/>
      <c r="F939" s="212"/>
      <c r="G939" s="201"/>
      <c r="H939" s="215"/>
      <c r="I939" s="216"/>
    </row>
    <row r="940" spans="1:9" ht="14.4" x14ac:dyDescent="0.3">
      <c r="A940" s="197"/>
      <c r="B940" s="203"/>
      <c r="C940" s="204"/>
      <c r="D940" s="205"/>
      <c r="E940" s="206"/>
      <c r="F940" s="218"/>
      <c r="G940" s="206"/>
      <c r="H940" s="219"/>
      <c r="I940" s="220"/>
    </row>
    <row r="941" spans="1:9" ht="15" thickBot="1" x14ac:dyDescent="0.35">
      <c r="A941" s="207"/>
      <c r="B941" s="208"/>
      <c r="C941" s="209"/>
      <c r="D941" s="210"/>
      <c r="E941" s="211"/>
      <c r="F941" s="221"/>
      <c r="G941" s="211"/>
      <c r="H941" s="222"/>
      <c r="I941" s="223"/>
    </row>
    <row r="942" spans="1:9" ht="14.4" thickBot="1" x14ac:dyDescent="0.35"/>
    <row r="943" spans="1:9" ht="14.4" thickBot="1" x14ac:dyDescent="0.35">
      <c r="A943" s="226" t="s">
        <v>1204</v>
      </c>
      <c r="B943" s="224" t="s">
        <v>1434</v>
      </c>
      <c r="C943" s="224" t="s">
        <v>1435</v>
      </c>
      <c r="D943" s="224" t="s">
        <v>1207</v>
      </c>
      <c r="E943" s="368" t="s">
        <v>1208</v>
      </c>
      <c r="F943" s="368"/>
      <c r="G943" s="368"/>
      <c r="H943" s="224" t="s">
        <v>1209</v>
      </c>
      <c r="I943" s="225" t="s">
        <v>1436</v>
      </c>
    </row>
    <row r="944" spans="1:9" ht="14.4" x14ac:dyDescent="0.3">
      <c r="A944" s="197" t="s">
        <v>1676</v>
      </c>
      <c r="B944" s="193" t="s">
        <v>185</v>
      </c>
      <c r="C944" s="194" t="s">
        <v>186</v>
      </c>
      <c r="D944" s="195" t="s">
        <v>1226</v>
      </c>
      <c r="E944" s="196">
        <v>0.29166666666666669</v>
      </c>
      <c r="F944" s="212"/>
      <c r="G944" s="196">
        <v>0.41666666666666669</v>
      </c>
      <c r="H944" s="213">
        <v>507</v>
      </c>
      <c r="I944" s="214" t="s">
        <v>1556</v>
      </c>
    </row>
    <row r="945" spans="1:9" ht="14.4" x14ac:dyDescent="0.3">
      <c r="A945" s="197"/>
      <c r="B945" s="198" t="s">
        <v>144</v>
      </c>
      <c r="C945" s="199" t="s">
        <v>145</v>
      </c>
      <c r="D945" s="200" t="s">
        <v>1247</v>
      </c>
      <c r="E945" s="201">
        <v>0.60416666666666663</v>
      </c>
      <c r="F945" s="212"/>
      <c r="G945" s="201">
        <v>0.66666666666666663</v>
      </c>
      <c r="H945" s="215">
        <v>304</v>
      </c>
      <c r="I945" s="216" t="s">
        <v>1456</v>
      </c>
    </row>
    <row r="946" spans="1:9" ht="14.4" x14ac:dyDescent="0.3">
      <c r="A946" s="197"/>
      <c r="B946" s="198" t="s">
        <v>142</v>
      </c>
      <c r="C946" s="199" t="s">
        <v>143</v>
      </c>
      <c r="D946" s="200" t="s">
        <v>1280</v>
      </c>
      <c r="E946" s="201">
        <v>0.52083333333333337</v>
      </c>
      <c r="F946" s="212"/>
      <c r="G946" s="201">
        <v>0.60416666666666663</v>
      </c>
      <c r="H946" s="215" t="s">
        <v>1221</v>
      </c>
      <c r="I946" s="216" t="s">
        <v>1468</v>
      </c>
    </row>
    <row r="947" spans="1:9" ht="14.4" x14ac:dyDescent="0.3">
      <c r="A947" s="197"/>
      <c r="B947" s="198" t="s">
        <v>504</v>
      </c>
      <c r="C947" s="199" t="s">
        <v>505</v>
      </c>
      <c r="D947" s="200" t="s">
        <v>1267</v>
      </c>
      <c r="E947" s="201" t="s">
        <v>1415</v>
      </c>
      <c r="F947" s="212"/>
      <c r="G947" s="201" t="s">
        <v>1316</v>
      </c>
      <c r="H947" s="215" t="s">
        <v>1673</v>
      </c>
      <c r="I947" s="217" t="s">
        <v>1669</v>
      </c>
    </row>
    <row r="948" spans="1:9" ht="14.4" x14ac:dyDescent="0.3">
      <c r="A948" s="197"/>
      <c r="B948" s="198" t="s">
        <v>506</v>
      </c>
      <c r="C948" s="199" t="s">
        <v>507</v>
      </c>
      <c r="D948" s="200" t="s">
        <v>1285</v>
      </c>
      <c r="E948" s="196" t="s">
        <v>1415</v>
      </c>
      <c r="F948" s="212"/>
      <c r="G948" s="196" t="s">
        <v>1316</v>
      </c>
      <c r="H948" s="215" t="s">
        <v>1673</v>
      </c>
      <c r="I948" s="217" t="s">
        <v>1675</v>
      </c>
    </row>
    <row r="949" spans="1:9" ht="14.4" x14ac:dyDescent="0.3">
      <c r="A949" s="197"/>
      <c r="B949" s="198" t="s">
        <v>508</v>
      </c>
      <c r="C949" s="199" t="s">
        <v>509</v>
      </c>
      <c r="D949" s="200" t="s">
        <v>1224</v>
      </c>
      <c r="E949" s="196" t="s">
        <v>1317</v>
      </c>
      <c r="F949" s="212"/>
      <c r="G949" s="196" t="s">
        <v>1361</v>
      </c>
      <c r="H949" s="215" t="s">
        <v>1677</v>
      </c>
      <c r="I949" s="216" t="s">
        <v>1675</v>
      </c>
    </row>
    <row r="950" spans="1:9" ht="14.4" x14ac:dyDescent="0.3">
      <c r="A950" s="197"/>
      <c r="B950" s="198"/>
      <c r="C950" s="199"/>
      <c r="D950" s="200"/>
      <c r="E950" s="201"/>
      <c r="F950" s="212"/>
      <c r="G950" s="201"/>
      <c r="H950" s="215"/>
      <c r="I950" s="216"/>
    </row>
    <row r="951" spans="1:9" ht="14.4" x14ac:dyDescent="0.3">
      <c r="A951" s="197"/>
      <c r="B951" s="198"/>
      <c r="C951" s="199"/>
      <c r="D951" s="200"/>
      <c r="E951" s="202"/>
      <c r="F951" s="212"/>
      <c r="G951" s="201"/>
      <c r="H951" s="215"/>
      <c r="I951" s="216"/>
    </row>
    <row r="952" spans="1:9" ht="14.4" x14ac:dyDescent="0.3">
      <c r="A952" s="197"/>
      <c r="B952" s="198"/>
      <c r="C952" s="199"/>
      <c r="D952" s="200"/>
      <c r="E952" s="201"/>
      <c r="F952" s="212"/>
      <c r="G952" s="201"/>
      <c r="H952" s="215"/>
      <c r="I952" s="216"/>
    </row>
    <row r="953" spans="1:9" ht="14.4" x14ac:dyDescent="0.3">
      <c r="A953" s="197"/>
      <c r="B953" s="198"/>
      <c r="C953" s="199"/>
      <c r="D953" s="200"/>
      <c r="E953" s="201"/>
      <c r="F953" s="212"/>
      <c r="G953" s="201"/>
      <c r="H953" s="215"/>
      <c r="I953" s="216"/>
    </row>
    <row r="954" spans="1:9" ht="14.4" x14ac:dyDescent="0.3">
      <c r="A954" s="197"/>
      <c r="B954" s="203"/>
      <c r="C954" s="204"/>
      <c r="D954" s="205"/>
      <c r="E954" s="206"/>
      <c r="F954" s="218"/>
      <c r="G954" s="206"/>
      <c r="H954" s="219"/>
      <c r="I954" s="220"/>
    </row>
    <row r="955" spans="1:9" ht="15" thickBot="1" x14ac:dyDescent="0.35">
      <c r="A955" s="207"/>
      <c r="B955" s="208"/>
      <c r="C955" s="209"/>
      <c r="D955" s="210"/>
      <c r="E955" s="211"/>
      <c r="F955" s="221"/>
      <c r="G955" s="211"/>
      <c r="H955" s="222"/>
      <c r="I955" s="223"/>
    </row>
    <row r="956" spans="1:9" ht="14.4" thickBot="1" x14ac:dyDescent="0.35"/>
    <row r="957" spans="1:9" ht="14.4" thickBot="1" x14ac:dyDescent="0.35">
      <c r="A957" s="226" t="s">
        <v>1204</v>
      </c>
      <c r="B957" s="224" t="s">
        <v>1434</v>
      </c>
      <c r="C957" s="224" t="s">
        <v>1435</v>
      </c>
      <c r="D957" s="224" t="s">
        <v>1207</v>
      </c>
      <c r="E957" s="368" t="s">
        <v>1208</v>
      </c>
      <c r="F957" s="368"/>
      <c r="G957" s="368"/>
      <c r="H957" s="224" t="s">
        <v>1209</v>
      </c>
      <c r="I957" s="225" t="s">
        <v>1436</v>
      </c>
    </row>
    <row r="958" spans="1:9" ht="14.4" x14ac:dyDescent="0.3">
      <c r="A958" s="197" t="s">
        <v>1678</v>
      </c>
      <c r="B958" s="193" t="s">
        <v>185</v>
      </c>
      <c r="C958" s="194" t="s">
        <v>186</v>
      </c>
      <c r="D958" s="195"/>
      <c r="E958" s="196"/>
      <c r="F958" s="212"/>
      <c r="G958" s="196"/>
      <c r="H958" s="213"/>
      <c r="I958" s="214"/>
    </row>
    <row r="959" spans="1:9" ht="14.4" x14ac:dyDescent="0.3">
      <c r="A959" s="197"/>
      <c r="B959" s="198" t="s">
        <v>144</v>
      </c>
      <c r="C959" s="199" t="s">
        <v>145</v>
      </c>
      <c r="D959" s="200"/>
      <c r="E959" s="201"/>
      <c r="F959" s="212"/>
      <c r="G959" s="201"/>
      <c r="H959" s="215"/>
      <c r="I959" s="216"/>
    </row>
    <row r="960" spans="1:9" ht="14.4" x14ac:dyDescent="0.3">
      <c r="A960" s="197"/>
      <c r="B960" s="198" t="s">
        <v>142</v>
      </c>
      <c r="C960" s="199" t="s">
        <v>143</v>
      </c>
      <c r="D960" s="200"/>
      <c r="E960" s="201"/>
      <c r="F960" s="212"/>
      <c r="G960" s="201"/>
      <c r="H960" s="215"/>
      <c r="I960" s="216"/>
    </row>
    <row r="961" spans="1:9" ht="14.4" x14ac:dyDescent="0.3">
      <c r="A961" s="197"/>
      <c r="B961" s="198" t="s">
        <v>504</v>
      </c>
      <c r="C961" s="199" t="s">
        <v>505</v>
      </c>
      <c r="D961" s="200" t="s">
        <v>1224</v>
      </c>
      <c r="E961" s="201" t="s">
        <v>1362</v>
      </c>
      <c r="F961" s="212"/>
      <c r="G961" s="201" t="s">
        <v>1500</v>
      </c>
      <c r="H961" s="215" t="s">
        <v>1673</v>
      </c>
      <c r="I961" s="217" t="s">
        <v>1669</v>
      </c>
    </row>
    <row r="962" spans="1:9" ht="14.4" x14ac:dyDescent="0.3">
      <c r="A962" s="197"/>
      <c r="B962" s="198" t="s">
        <v>506</v>
      </c>
      <c r="C962" s="199" t="s">
        <v>507</v>
      </c>
      <c r="D962" s="200" t="s">
        <v>1443</v>
      </c>
      <c r="E962" s="196" t="s">
        <v>1362</v>
      </c>
      <c r="F962" s="212"/>
      <c r="G962" s="196" t="s">
        <v>1500</v>
      </c>
      <c r="H962" s="215" t="s">
        <v>1673</v>
      </c>
      <c r="I962" s="217" t="s">
        <v>1679</v>
      </c>
    </row>
    <row r="963" spans="1:9" ht="14.4" x14ac:dyDescent="0.3">
      <c r="A963" s="197"/>
      <c r="B963" s="198" t="s">
        <v>508</v>
      </c>
      <c r="C963" s="199" t="s">
        <v>509</v>
      </c>
      <c r="D963" s="200" t="s">
        <v>1226</v>
      </c>
      <c r="E963" s="196" t="s">
        <v>1316</v>
      </c>
      <c r="F963" s="212"/>
      <c r="G963" s="196" t="s">
        <v>1438</v>
      </c>
      <c r="H963" s="215" t="s">
        <v>1680</v>
      </c>
      <c r="I963" s="216" t="s">
        <v>1675</v>
      </c>
    </row>
    <row r="964" spans="1:9" ht="14.4" x14ac:dyDescent="0.3">
      <c r="A964" s="197"/>
      <c r="B964" s="198"/>
      <c r="C964" s="199"/>
      <c r="D964" s="200"/>
      <c r="E964" s="201"/>
      <c r="F964" s="212"/>
      <c r="G964" s="201"/>
      <c r="H964" s="215"/>
      <c r="I964" s="216"/>
    </row>
    <row r="965" spans="1:9" ht="14.4" x14ac:dyDescent="0.3">
      <c r="A965" s="197"/>
      <c r="B965" s="198"/>
      <c r="C965" s="199"/>
      <c r="D965" s="200"/>
      <c r="E965" s="202"/>
      <c r="F965" s="212"/>
      <c r="G965" s="201"/>
      <c r="H965" s="215"/>
      <c r="I965" s="216"/>
    </row>
    <row r="966" spans="1:9" ht="14.4" x14ac:dyDescent="0.3">
      <c r="A966" s="197"/>
      <c r="B966" s="198"/>
      <c r="C966" s="199"/>
      <c r="D966" s="200"/>
      <c r="E966" s="201"/>
      <c r="F966" s="212"/>
      <c r="G966" s="201"/>
      <c r="H966" s="215"/>
      <c r="I966" s="216"/>
    </row>
    <row r="967" spans="1:9" ht="14.4" x14ac:dyDescent="0.3">
      <c r="A967" s="197"/>
      <c r="B967" s="198"/>
      <c r="C967" s="199"/>
      <c r="D967" s="200"/>
      <c r="E967" s="201"/>
      <c r="F967" s="212"/>
      <c r="G967" s="201"/>
      <c r="H967" s="215"/>
      <c r="I967" s="216"/>
    </row>
    <row r="968" spans="1:9" ht="14.4" x14ac:dyDescent="0.3">
      <c r="A968" s="197"/>
      <c r="B968" s="203"/>
      <c r="C968" s="204"/>
      <c r="D968" s="205"/>
      <c r="E968" s="206"/>
      <c r="F968" s="218"/>
      <c r="G968" s="206"/>
      <c r="H968" s="219"/>
      <c r="I968" s="220"/>
    </row>
    <row r="969" spans="1:9" ht="15" thickBot="1" x14ac:dyDescent="0.35">
      <c r="A969" s="207"/>
      <c r="B969" s="208"/>
      <c r="C969" s="209"/>
      <c r="D969" s="210"/>
      <c r="E969" s="211"/>
      <c r="F969" s="221"/>
      <c r="G969" s="211"/>
      <c r="H969" s="222"/>
      <c r="I969" s="223"/>
    </row>
    <row r="970" spans="1:9" ht="14.4" thickBot="1" x14ac:dyDescent="0.35"/>
    <row r="971" spans="1:9" ht="14.4" thickBot="1" x14ac:dyDescent="0.35">
      <c r="A971" s="226" t="s">
        <v>1204</v>
      </c>
      <c r="B971" s="224" t="s">
        <v>1434</v>
      </c>
      <c r="C971" s="224" t="s">
        <v>1435</v>
      </c>
      <c r="D971" s="224" t="s">
        <v>1207</v>
      </c>
      <c r="E971" s="368" t="s">
        <v>1208</v>
      </c>
      <c r="F971" s="368"/>
      <c r="G971" s="368"/>
      <c r="H971" s="224" t="s">
        <v>1209</v>
      </c>
      <c r="I971" s="225" t="s">
        <v>1436</v>
      </c>
    </row>
    <row r="972" spans="1:9" ht="14.4" x14ac:dyDescent="0.3">
      <c r="A972" s="197" t="s">
        <v>1681</v>
      </c>
      <c r="B972" s="193" t="s">
        <v>185</v>
      </c>
      <c r="C972" s="194" t="s">
        <v>186</v>
      </c>
      <c r="D972" s="195"/>
      <c r="E972" s="196"/>
      <c r="F972" s="212"/>
      <c r="G972" s="196"/>
      <c r="H972" s="213"/>
      <c r="I972" s="214"/>
    </row>
    <row r="973" spans="1:9" ht="14.4" x14ac:dyDescent="0.3">
      <c r="A973" s="197"/>
      <c r="B973" s="198" t="s">
        <v>144</v>
      </c>
      <c r="C973" s="199" t="s">
        <v>145</v>
      </c>
      <c r="D973" s="200"/>
      <c r="E973" s="201"/>
      <c r="F973" s="212"/>
      <c r="G973" s="201"/>
      <c r="H973" s="215"/>
      <c r="I973" s="216"/>
    </row>
    <row r="974" spans="1:9" ht="14.4" x14ac:dyDescent="0.3">
      <c r="A974" s="197"/>
      <c r="B974" s="198" t="s">
        <v>142</v>
      </c>
      <c r="C974" s="199" t="s">
        <v>143</v>
      </c>
      <c r="D974" s="200"/>
      <c r="E974" s="201"/>
      <c r="F974" s="212"/>
      <c r="G974" s="201"/>
      <c r="H974" s="215"/>
      <c r="I974" s="216"/>
    </row>
    <row r="975" spans="1:9" ht="14.4" x14ac:dyDescent="0.3">
      <c r="A975" s="197"/>
      <c r="B975" s="198" t="s">
        <v>504</v>
      </c>
      <c r="C975" s="199" t="s">
        <v>505</v>
      </c>
      <c r="D975" s="200" t="s">
        <v>1280</v>
      </c>
      <c r="E975" s="201" t="s">
        <v>1362</v>
      </c>
      <c r="F975" s="212"/>
      <c r="G975" s="201" t="s">
        <v>1500</v>
      </c>
      <c r="H975" s="215" t="s">
        <v>1682</v>
      </c>
      <c r="I975" s="217" t="s">
        <v>1669</v>
      </c>
    </row>
    <row r="976" spans="1:9" ht="14.4" x14ac:dyDescent="0.3">
      <c r="A976" s="197"/>
      <c r="B976" s="198" t="s">
        <v>506</v>
      </c>
      <c r="C976" s="199" t="s">
        <v>507</v>
      </c>
      <c r="D976" s="200" t="s">
        <v>1443</v>
      </c>
      <c r="E976" s="196" t="s">
        <v>1415</v>
      </c>
      <c r="F976" s="212"/>
      <c r="G976" s="196" t="s">
        <v>1316</v>
      </c>
      <c r="H976" s="215" t="s">
        <v>1673</v>
      </c>
      <c r="I976" s="217" t="s">
        <v>1679</v>
      </c>
    </row>
    <row r="977" spans="1:9" ht="14.4" x14ac:dyDescent="0.3">
      <c r="A977" s="197"/>
      <c r="B977" s="198" t="s">
        <v>508</v>
      </c>
      <c r="C977" s="199" t="s">
        <v>509</v>
      </c>
      <c r="D977" s="200" t="s">
        <v>1285</v>
      </c>
      <c r="E977" s="196" t="s">
        <v>1362</v>
      </c>
      <c r="F977" s="212"/>
      <c r="G977" s="196" t="s">
        <v>1500</v>
      </c>
      <c r="H977" s="215" t="s">
        <v>1683</v>
      </c>
      <c r="I977" s="216" t="s">
        <v>1675</v>
      </c>
    </row>
    <row r="978" spans="1:9" ht="14.4" x14ac:dyDescent="0.3">
      <c r="A978" s="197"/>
      <c r="B978" s="198"/>
      <c r="C978" s="199"/>
      <c r="D978" s="200"/>
      <c r="E978" s="201"/>
      <c r="F978" s="212"/>
      <c r="G978" s="201"/>
      <c r="H978" s="215"/>
      <c r="I978" s="216"/>
    </row>
    <row r="979" spans="1:9" ht="14.4" x14ac:dyDescent="0.3">
      <c r="A979" s="197"/>
      <c r="B979" s="198"/>
      <c r="C979" s="199"/>
      <c r="D979" s="200"/>
      <c r="E979" s="202"/>
      <c r="F979" s="212"/>
      <c r="G979" s="201"/>
      <c r="H979" s="215"/>
      <c r="I979" s="216"/>
    </row>
    <row r="980" spans="1:9" ht="14.4" x14ac:dyDescent="0.3">
      <c r="A980" s="197"/>
      <c r="B980" s="198"/>
      <c r="C980" s="199"/>
      <c r="D980" s="200"/>
      <c r="E980" s="201"/>
      <c r="F980" s="212"/>
      <c r="G980" s="201"/>
      <c r="H980" s="215"/>
      <c r="I980" s="216"/>
    </row>
    <row r="981" spans="1:9" ht="14.4" x14ac:dyDescent="0.3">
      <c r="A981" s="197"/>
      <c r="B981" s="198"/>
      <c r="C981" s="199"/>
      <c r="D981" s="200"/>
      <c r="E981" s="201"/>
      <c r="F981" s="212"/>
      <c r="G981" s="201"/>
      <c r="H981" s="215"/>
      <c r="I981" s="216"/>
    </row>
    <row r="982" spans="1:9" ht="14.4" x14ac:dyDescent="0.3">
      <c r="A982" s="197"/>
      <c r="B982" s="203"/>
      <c r="C982" s="204"/>
      <c r="D982" s="205"/>
      <c r="E982" s="206"/>
      <c r="F982" s="218"/>
      <c r="G982" s="206"/>
      <c r="H982" s="219"/>
      <c r="I982" s="220"/>
    </row>
    <row r="983" spans="1:9" ht="15" thickBot="1" x14ac:dyDescent="0.35">
      <c r="A983" s="207"/>
      <c r="B983" s="208"/>
      <c r="C983" s="209"/>
      <c r="D983" s="210"/>
      <c r="E983" s="211"/>
      <c r="F983" s="221"/>
      <c r="G983" s="211"/>
      <c r="H983" s="222"/>
      <c r="I983" s="223"/>
    </row>
    <row r="984" spans="1:9" ht="14.4" thickBot="1" x14ac:dyDescent="0.35"/>
    <row r="985" spans="1:9" ht="14.4" thickBot="1" x14ac:dyDescent="0.35">
      <c r="A985" s="226" t="s">
        <v>1204</v>
      </c>
      <c r="B985" s="224" t="s">
        <v>1434</v>
      </c>
      <c r="C985" s="224" t="s">
        <v>1435</v>
      </c>
      <c r="D985" s="224" t="s">
        <v>1207</v>
      </c>
      <c r="E985" s="368" t="s">
        <v>1208</v>
      </c>
      <c r="F985" s="368"/>
      <c r="G985" s="368"/>
      <c r="H985" s="224" t="s">
        <v>1209</v>
      </c>
      <c r="I985" s="225" t="s">
        <v>1436</v>
      </c>
    </row>
    <row r="986" spans="1:9" ht="14.4" x14ac:dyDescent="0.3">
      <c r="A986" s="197" t="s">
        <v>1684</v>
      </c>
      <c r="B986" s="193" t="s">
        <v>274</v>
      </c>
      <c r="C986" s="194" t="s">
        <v>275</v>
      </c>
      <c r="D986" s="195"/>
      <c r="E986" s="196"/>
      <c r="F986" s="212"/>
      <c r="G986" s="196"/>
      <c r="H986" s="213"/>
      <c r="I986" s="214"/>
    </row>
    <row r="987" spans="1:9" ht="14.4" x14ac:dyDescent="0.3">
      <c r="A987" s="197"/>
      <c r="B987" s="198" t="s">
        <v>510</v>
      </c>
      <c r="C987" s="199" t="s">
        <v>511</v>
      </c>
      <c r="D987" s="200" t="s">
        <v>1226</v>
      </c>
      <c r="E987" s="201" t="s">
        <v>1316</v>
      </c>
      <c r="F987" s="212"/>
      <c r="G987" s="201" t="s">
        <v>1331</v>
      </c>
      <c r="H987" s="215">
        <v>207</v>
      </c>
      <c r="I987" s="216" t="s">
        <v>1579</v>
      </c>
    </row>
    <row r="988" spans="1:9" ht="14.4" x14ac:dyDescent="0.3">
      <c r="A988" s="197"/>
      <c r="B988" s="198" t="s">
        <v>512</v>
      </c>
      <c r="C988" s="199" t="s">
        <v>513</v>
      </c>
      <c r="D988" s="200" t="s">
        <v>1280</v>
      </c>
      <c r="E988" s="201" t="s">
        <v>1317</v>
      </c>
      <c r="F988" s="212"/>
      <c r="G988" s="201" t="s">
        <v>1361</v>
      </c>
      <c r="H988" s="215" t="s">
        <v>1685</v>
      </c>
      <c r="I988" s="216" t="s">
        <v>1675</v>
      </c>
    </row>
    <row r="989" spans="1:9" ht="14.4" x14ac:dyDescent="0.3">
      <c r="A989" s="197"/>
      <c r="B989" s="198" t="s">
        <v>1686</v>
      </c>
      <c r="C989" s="199" t="s">
        <v>1687</v>
      </c>
      <c r="D989" s="200" t="s">
        <v>1267</v>
      </c>
      <c r="E989" s="201" t="s">
        <v>1362</v>
      </c>
      <c r="F989" s="212"/>
      <c r="G989" s="201" t="s">
        <v>1500</v>
      </c>
      <c r="H989" s="215" t="s">
        <v>1688</v>
      </c>
      <c r="I989" s="217" t="s">
        <v>1669</v>
      </c>
    </row>
    <row r="990" spans="1:9" ht="14.4" x14ac:dyDescent="0.3">
      <c r="A990" s="197"/>
      <c r="B990" s="198" t="s">
        <v>1689</v>
      </c>
      <c r="C990" s="199" t="s">
        <v>1690</v>
      </c>
      <c r="D990" s="200" t="s">
        <v>1443</v>
      </c>
      <c r="E990" s="196" t="s">
        <v>1415</v>
      </c>
      <c r="F990" s="212"/>
      <c r="G990" s="196" t="s">
        <v>1525</v>
      </c>
      <c r="H990" s="215" t="s">
        <v>1526</v>
      </c>
      <c r="I990" s="217" t="s">
        <v>1691</v>
      </c>
    </row>
    <row r="991" spans="1:9" ht="14.4" x14ac:dyDescent="0.3">
      <c r="A991" s="197"/>
      <c r="B991" s="198" t="s">
        <v>516</v>
      </c>
      <c r="C991" s="199" t="s">
        <v>517</v>
      </c>
      <c r="D991" s="200" t="s">
        <v>1443</v>
      </c>
      <c r="E991" s="196" t="s">
        <v>1311</v>
      </c>
      <c r="F991" s="212"/>
      <c r="G991" s="196" t="s">
        <v>1361</v>
      </c>
      <c r="H991" s="215" t="s">
        <v>1557</v>
      </c>
      <c r="I991" s="216" t="s">
        <v>1670</v>
      </c>
    </row>
    <row r="992" spans="1:9" ht="14.4" x14ac:dyDescent="0.3">
      <c r="A992" s="197"/>
      <c r="B992" s="198"/>
      <c r="C992" s="199"/>
      <c r="D992" s="200"/>
      <c r="E992" s="201"/>
      <c r="F992" s="212"/>
      <c r="G992" s="201"/>
      <c r="H992" s="215"/>
      <c r="I992" s="216"/>
    </row>
    <row r="993" spans="1:9" ht="14.4" x14ac:dyDescent="0.3">
      <c r="A993" s="197"/>
      <c r="B993" s="198"/>
      <c r="C993" s="199"/>
      <c r="D993" s="200"/>
      <c r="E993" s="202"/>
      <c r="F993" s="212"/>
      <c r="G993" s="201"/>
      <c r="H993" s="215"/>
      <c r="I993" s="216"/>
    </row>
    <row r="994" spans="1:9" ht="14.4" x14ac:dyDescent="0.3">
      <c r="A994" s="197"/>
      <c r="B994" s="198"/>
      <c r="C994" s="199"/>
      <c r="D994" s="200"/>
      <c r="E994" s="201"/>
      <c r="F994" s="212"/>
      <c r="G994" s="201"/>
      <c r="H994" s="215"/>
      <c r="I994" s="216"/>
    </row>
    <row r="995" spans="1:9" ht="14.4" x14ac:dyDescent="0.3">
      <c r="A995" s="197"/>
      <c r="B995" s="198"/>
      <c r="C995" s="199"/>
      <c r="D995" s="200"/>
      <c r="E995" s="201"/>
      <c r="F995" s="212"/>
      <c r="G995" s="201"/>
      <c r="H995" s="215"/>
      <c r="I995" s="216"/>
    </row>
    <row r="996" spans="1:9" ht="14.4" x14ac:dyDescent="0.3">
      <c r="A996" s="197"/>
      <c r="B996" s="203"/>
      <c r="C996" s="204"/>
      <c r="D996" s="205"/>
      <c r="E996" s="206"/>
      <c r="F996" s="218"/>
      <c r="G996" s="206"/>
      <c r="H996" s="219"/>
      <c r="I996" s="220"/>
    </row>
    <row r="997" spans="1:9" ht="15" thickBot="1" x14ac:dyDescent="0.35">
      <c r="A997" s="207"/>
      <c r="B997" s="208"/>
      <c r="C997" s="209"/>
      <c r="D997" s="210"/>
      <c r="E997" s="211"/>
      <c r="F997" s="221"/>
      <c r="G997" s="211"/>
      <c r="H997" s="222"/>
      <c r="I997" s="223"/>
    </row>
    <row r="998" spans="1:9" ht="14.4" thickBot="1" x14ac:dyDescent="0.35"/>
    <row r="999" spans="1:9" ht="14.4" thickBot="1" x14ac:dyDescent="0.35">
      <c r="A999" s="226" t="s">
        <v>1204</v>
      </c>
      <c r="B999" s="224" t="s">
        <v>1434</v>
      </c>
      <c r="C999" s="224" t="s">
        <v>1435</v>
      </c>
      <c r="D999" s="224" t="s">
        <v>1207</v>
      </c>
      <c r="E999" s="368" t="s">
        <v>1208</v>
      </c>
      <c r="F999" s="368"/>
      <c r="G999" s="368"/>
      <c r="H999" s="224" t="s">
        <v>1209</v>
      </c>
      <c r="I999" s="225" t="s">
        <v>1436</v>
      </c>
    </row>
    <row r="1000" spans="1:9" ht="14.4" x14ac:dyDescent="0.3">
      <c r="A1000" s="197" t="s">
        <v>1692</v>
      </c>
      <c r="B1000" s="193" t="s">
        <v>274</v>
      </c>
      <c r="C1000" s="194" t="s">
        <v>275</v>
      </c>
      <c r="D1000" s="195"/>
      <c r="E1000" s="196"/>
      <c r="F1000" s="212"/>
      <c r="G1000" s="196"/>
      <c r="H1000" s="213"/>
      <c r="I1000" s="214"/>
    </row>
    <row r="1001" spans="1:9" ht="14.4" x14ac:dyDescent="0.3">
      <c r="A1001" s="197"/>
      <c r="B1001" s="198" t="s">
        <v>510</v>
      </c>
      <c r="C1001" s="199" t="s">
        <v>511</v>
      </c>
      <c r="D1001" s="200" t="s">
        <v>1285</v>
      </c>
      <c r="E1001" s="201" t="s">
        <v>1314</v>
      </c>
      <c r="F1001" s="212"/>
      <c r="G1001" s="201" t="s">
        <v>1293</v>
      </c>
      <c r="H1001" s="215">
        <v>207</v>
      </c>
      <c r="I1001" s="216" t="s">
        <v>1579</v>
      </c>
    </row>
    <row r="1002" spans="1:9" ht="14.4" x14ac:dyDescent="0.3">
      <c r="A1002" s="197"/>
      <c r="B1002" s="198" t="s">
        <v>512</v>
      </c>
      <c r="C1002" s="199" t="s">
        <v>513</v>
      </c>
      <c r="D1002" s="200" t="s">
        <v>1224</v>
      </c>
      <c r="E1002" s="201" t="s">
        <v>1331</v>
      </c>
      <c r="F1002" s="212"/>
      <c r="G1002" s="201" t="s">
        <v>1500</v>
      </c>
      <c r="H1002" s="215">
        <v>512</v>
      </c>
      <c r="I1002" s="216" t="s">
        <v>1675</v>
      </c>
    </row>
    <row r="1003" spans="1:9" ht="14.4" x14ac:dyDescent="0.3">
      <c r="A1003" s="197"/>
      <c r="B1003" s="198" t="s">
        <v>1686</v>
      </c>
      <c r="C1003" s="199" t="s">
        <v>1687</v>
      </c>
      <c r="D1003" s="200" t="s">
        <v>1226</v>
      </c>
      <c r="E1003" s="201" t="s">
        <v>1362</v>
      </c>
      <c r="F1003" s="212"/>
      <c r="G1003" s="201" t="s">
        <v>1500</v>
      </c>
      <c r="H1003" s="215" t="s">
        <v>1688</v>
      </c>
      <c r="I1003" s="217" t="s">
        <v>1669</v>
      </c>
    </row>
    <row r="1004" spans="1:9" ht="14.4" x14ac:dyDescent="0.3">
      <c r="A1004" s="197"/>
      <c r="B1004" s="198" t="s">
        <v>1689</v>
      </c>
      <c r="C1004" s="199" t="s">
        <v>1690</v>
      </c>
      <c r="D1004" s="200" t="s">
        <v>1280</v>
      </c>
      <c r="E1004" s="196" t="s">
        <v>1362</v>
      </c>
      <c r="F1004" s="212"/>
      <c r="G1004" s="196" t="s">
        <v>1500</v>
      </c>
      <c r="H1004" s="215" t="s">
        <v>1535</v>
      </c>
      <c r="I1004" s="217" t="s">
        <v>1476</v>
      </c>
    </row>
    <row r="1005" spans="1:9" ht="14.4" x14ac:dyDescent="0.3">
      <c r="A1005" s="197"/>
      <c r="B1005" s="198" t="s">
        <v>516</v>
      </c>
      <c r="C1005" s="199" t="s">
        <v>517</v>
      </c>
      <c r="D1005" s="200" t="s">
        <v>1285</v>
      </c>
      <c r="E1005" s="196" t="s">
        <v>1362</v>
      </c>
      <c r="F1005" s="212"/>
      <c r="G1005" s="196" t="s">
        <v>1500</v>
      </c>
      <c r="H1005" s="215" t="s">
        <v>1693</v>
      </c>
      <c r="I1005" s="216" t="s">
        <v>1670</v>
      </c>
    </row>
    <row r="1006" spans="1:9" ht="14.4" x14ac:dyDescent="0.3">
      <c r="A1006" s="197"/>
      <c r="B1006" s="198"/>
      <c r="C1006" s="199"/>
      <c r="D1006" s="200"/>
      <c r="E1006" s="201"/>
      <c r="F1006" s="212"/>
      <c r="G1006" s="201"/>
      <c r="H1006" s="215"/>
      <c r="I1006" s="216"/>
    </row>
    <row r="1007" spans="1:9" ht="14.4" x14ac:dyDescent="0.3">
      <c r="A1007" s="197"/>
      <c r="B1007" s="198"/>
      <c r="C1007" s="199"/>
      <c r="D1007" s="200"/>
      <c r="E1007" s="202"/>
      <c r="F1007" s="212"/>
      <c r="G1007" s="201"/>
      <c r="H1007" s="215"/>
      <c r="I1007" s="216"/>
    </row>
    <row r="1008" spans="1:9" ht="14.4" x14ac:dyDescent="0.3">
      <c r="A1008" s="197"/>
      <c r="B1008" s="198"/>
      <c r="C1008" s="199"/>
      <c r="D1008" s="200"/>
      <c r="E1008" s="201"/>
      <c r="F1008" s="212"/>
      <c r="G1008" s="201"/>
      <c r="H1008" s="215"/>
      <c r="I1008" s="216"/>
    </row>
    <row r="1009" spans="1:9" ht="14.4" x14ac:dyDescent="0.3">
      <c r="A1009" s="197"/>
      <c r="B1009" s="198"/>
      <c r="C1009" s="199"/>
      <c r="D1009" s="200"/>
      <c r="E1009" s="201"/>
      <c r="F1009" s="212"/>
      <c r="G1009" s="201"/>
      <c r="H1009" s="215"/>
      <c r="I1009" s="216"/>
    </row>
    <row r="1010" spans="1:9" ht="14.4" x14ac:dyDescent="0.3">
      <c r="A1010" s="197"/>
      <c r="B1010" s="203"/>
      <c r="C1010" s="204"/>
      <c r="D1010" s="205"/>
      <c r="E1010" s="206"/>
      <c r="F1010" s="218"/>
      <c r="G1010" s="206"/>
      <c r="H1010" s="219"/>
      <c r="I1010" s="220"/>
    </row>
    <row r="1011" spans="1:9" ht="15" thickBot="1" x14ac:dyDescent="0.35">
      <c r="A1011" s="207"/>
      <c r="B1011" s="208"/>
      <c r="C1011" s="209"/>
      <c r="D1011" s="210"/>
      <c r="E1011" s="211"/>
      <c r="F1011" s="221"/>
      <c r="G1011" s="211"/>
      <c r="H1011" s="222"/>
      <c r="I1011" s="223"/>
    </row>
    <row r="1012" spans="1:9" ht="14.4" thickBot="1" x14ac:dyDescent="0.35"/>
    <row r="1013" spans="1:9" ht="14.4" thickBot="1" x14ac:dyDescent="0.35">
      <c r="A1013" s="226" t="s">
        <v>1204</v>
      </c>
      <c r="B1013" s="224" t="s">
        <v>1434</v>
      </c>
      <c r="C1013" s="224" t="s">
        <v>1435</v>
      </c>
      <c r="D1013" s="224" t="s">
        <v>1207</v>
      </c>
      <c r="E1013" s="368" t="s">
        <v>1208</v>
      </c>
      <c r="F1013" s="368"/>
      <c r="G1013" s="368"/>
      <c r="H1013" s="224" t="s">
        <v>1209</v>
      </c>
      <c r="I1013" s="225" t="s">
        <v>1436</v>
      </c>
    </row>
    <row r="1014" spans="1:9" ht="14.4" x14ac:dyDescent="0.3">
      <c r="A1014" s="197" t="s">
        <v>1694</v>
      </c>
      <c r="B1014" s="193" t="s">
        <v>274</v>
      </c>
      <c r="C1014" s="194" t="s">
        <v>275</v>
      </c>
      <c r="D1014" s="195"/>
      <c r="E1014" s="196"/>
      <c r="F1014" s="212"/>
      <c r="G1014" s="196"/>
      <c r="H1014" s="213"/>
      <c r="I1014" s="214"/>
    </row>
    <row r="1015" spans="1:9" ht="14.4" x14ac:dyDescent="0.3">
      <c r="A1015" s="197"/>
      <c r="B1015" s="198" t="s">
        <v>510</v>
      </c>
      <c r="C1015" s="199" t="s">
        <v>511</v>
      </c>
      <c r="D1015" s="200" t="s">
        <v>1224</v>
      </c>
      <c r="E1015" s="201" t="s">
        <v>1331</v>
      </c>
      <c r="F1015" s="212"/>
      <c r="G1015" s="201" t="s">
        <v>1500</v>
      </c>
      <c r="H1015" s="215">
        <v>301</v>
      </c>
      <c r="I1015" s="216" t="s">
        <v>1579</v>
      </c>
    </row>
    <row r="1016" spans="1:9" ht="14.4" x14ac:dyDescent="0.3">
      <c r="A1016" s="197"/>
      <c r="B1016" s="198" t="s">
        <v>512</v>
      </c>
      <c r="C1016" s="199" t="s">
        <v>513</v>
      </c>
      <c r="D1016" s="200" t="s">
        <v>1446</v>
      </c>
      <c r="E1016" s="201" t="s">
        <v>1316</v>
      </c>
      <c r="F1016" s="212"/>
      <c r="G1016" s="201" t="s">
        <v>1331</v>
      </c>
      <c r="H1016" s="215" t="s">
        <v>1695</v>
      </c>
      <c r="I1016" s="216" t="s">
        <v>1675</v>
      </c>
    </row>
    <row r="1017" spans="1:9" ht="14.4" x14ac:dyDescent="0.3">
      <c r="A1017" s="197"/>
      <c r="B1017" s="198" t="s">
        <v>1686</v>
      </c>
      <c r="C1017" s="199" t="s">
        <v>1687</v>
      </c>
      <c r="D1017" s="200" t="s">
        <v>1285</v>
      </c>
      <c r="E1017" s="201" t="s">
        <v>1362</v>
      </c>
      <c r="F1017" s="212"/>
      <c r="G1017" s="201" t="s">
        <v>1331</v>
      </c>
      <c r="H1017" s="215" t="s">
        <v>1688</v>
      </c>
      <c r="I1017" s="217" t="s">
        <v>1669</v>
      </c>
    </row>
    <row r="1018" spans="1:9" ht="14.4" x14ac:dyDescent="0.3">
      <c r="A1018" s="197"/>
      <c r="B1018" s="198" t="s">
        <v>1689</v>
      </c>
      <c r="C1018" s="199" t="s">
        <v>1690</v>
      </c>
      <c r="D1018" s="200" t="s">
        <v>1226</v>
      </c>
      <c r="E1018" s="196" t="s">
        <v>1362</v>
      </c>
      <c r="F1018" s="212"/>
      <c r="G1018" s="196" t="s">
        <v>1331</v>
      </c>
      <c r="H1018" s="215" t="s">
        <v>1563</v>
      </c>
      <c r="I1018" s="217" t="s">
        <v>1476</v>
      </c>
    </row>
    <row r="1019" spans="1:9" ht="14.4" x14ac:dyDescent="0.3">
      <c r="A1019" s="197"/>
      <c r="B1019" s="198" t="s">
        <v>516</v>
      </c>
      <c r="C1019" s="199" t="s">
        <v>517</v>
      </c>
      <c r="D1019" s="200" t="s">
        <v>1280</v>
      </c>
      <c r="E1019" s="196" t="s">
        <v>1362</v>
      </c>
      <c r="F1019" s="212"/>
      <c r="G1019" s="196" t="s">
        <v>1331</v>
      </c>
      <c r="H1019" s="215" t="s">
        <v>1696</v>
      </c>
      <c r="I1019" s="216" t="s">
        <v>1670</v>
      </c>
    </row>
    <row r="1020" spans="1:9" ht="14.4" x14ac:dyDescent="0.3">
      <c r="A1020" s="197"/>
      <c r="B1020" s="198"/>
      <c r="C1020" s="199"/>
      <c r="D1020" s="200"/>
      <c r="E1020" s="201"/>
      <c r="F1020" s="212"/>
      <c r="G1020" s="201"/>
      <c r="H1020" s="215"/>
      <c r="I1020" s="216"/>
    </row>
    <row r="1021" spans="1:9" ht="14.4" x14ac:dyDescent="0.3">
      <c r="A1021" s="197"/>
      <c r="B1021" s="198"/>
      <c r="C1021" s="199"/>
      <c r="D1021" s="200"/>
      <c r="E1021" s="202"/>
      <c r="F1021" s="212"/>
      <c r="G1021" s="201"/>
      <c r="H1021" s="215"/>
      <c r="I1021" s="216"/>
    </row>
    <row r="1022" spans="1:9" ht="14.4" x14ac:dyDescent="0.3">
      <c r="A1022" s="197"/>
      <c r="B1022" s="198"/>
      <c r="C1022" s="199"/>
      <c r="D1022" s="200"/>
      <c r="E1022" s="201"/>
      <c r="F1022" s="212"/>
      <c r="G1022" s="201"/>
      <c r="H1022" s="215"/>
      <c r="I1022" s="216"/>
    </row>
    <row r="1023" spans="1:9" ht="14.4" x14ac:dyDescent="0.3">
      <c r="A1023" s="197"/>
      <c r="B1023" s="198"/>
      <c r="C1023" s="199"/>
      <c r="D1023" s="200"/>
      <c r="E1023" s="201"/>
      <c r="F1023" s="212"/>
      <c r="G1023" s="201"/>
      <c r="H1023" s="215"/>
      <c r="I1023" s="216"/>
    </row>
    <row r="1024" spans="1:9" ht="14.4" x14ac:dyDescent="0.3">
      <c r="A1024" s="197"/>
      <c r="B1024" s="203"/>
      <c r="C1024" s="204"/>
      <c r="D1024" s="205"/>
      <c r="E1024" s="206"/>
      <c r="F1024" s="218"/>
      <c r="G1024" s="206"/>
      <c r="H1024" s="219"/>
      <c r="I1024" s="220"/>
    </row>
    <row r="1025" spans="1:9" ht="15" thickBot="1" x14ac:dyDescent="0.35">
      <c r="A1025" s="207"/>
      <c r="B1025" s="208"/>
      <c r="C1025" s="209"/>
      <c r="D1025" s="210"/>
      <c r="E1025" s="211"/>
      <c r="F1025" s="221"/>
      <c r="G1025" s="211"/>
      <c r="H1025" s="222"/>
      <c r="I1025" s="223"/>
    </row>
    <row r="1026" spans="1:9" ht="14.4" thickBot="1" x14ac:dyDescent="0.35"/>
    <row r="1027" spans="1:9" ht="14.4" thickBot="1" x14ac:dyDescent="0.35">
      <c r="A1027" s="226" t="s">
        <v>1204</v>
      </c>
      <c r="B1027" s="224" t="s">
        <v>1434</v>
      </c>
      <c r="C1027" s="224" t="s">
        <v>1435</v>
      </c>
      <c r="D1027" s="224" t="s">
        <v>1207</v>
      </c>
      <c r="E1027" s="368" t="s">
        <v>1208</v>
      </c>
      <c r="F1027" s="368"/>
      <c r="G1027" s="368"/>
      <c r="H1027" s="224" t="s">
        <v>1209</v>
      </c>
      <c r="I1027" s="225" t="s">
        <v>1436</v>
      </c>
    </row>
    <row r="1028" spans="1:9" ht="14.4" x14ac:dyDescent="0.3">
      <c r="A1028" s="197" t="s">
        <v>1697</v>
      </c>
      <c r="B1028" s="193" t="s">
        <v>519</v>
      </c>
      <c r="C1028" s="194" t="s">
        <v>520</v>
      </c>
      <c r="D1028" s="195" t="s">
        <v>1247</v>
      </c>
      <c r="E1028" s="196" t="s">
        <v>1314</v>
      </c>
      <c r="F1028" s="212"/>
      <c r="G1028" s="196" t="s">
        <v>1311</v>
      </c>
      <c r="H1028" s="213" t="s">
        <v>1481</v>
      </c>
      <c r="I1028" s="214" t="s">
        <v>1579</v>
      </c>
    </row>
    <row r="1029" spans="1:9" ht="14.4" x14ac:dyDescent="0.3">
      <c r="A1029" s="197"/>
      <c r="B1029" s="198" t="s">
        <v>521</v>
      </c>
      <c r="C1029" s="199" t="s">
        <v>522</v>
      </c>
      <c r="D1029" s="200" t="s">
        <v>1280</v>
      </c>
      <c r="E1029" s="201" t="s">
        <v>1311</v>
      </c>
      <c r="F1029" s="212"/>
      <c r="G1029" s="201" t="s">
        <v>1361</v>
      </c>
      <c r="H1029" s="215" t="s">
        <v>1673</v>
      </c>
      <c r="I1029" s="216" t="s">
        <v>1579</v>
      </c>
    </row>
    <row r="1030" spans="1:9" ht="14.4" x14ac:dyDescent="0.3">
      <c r="A1030" s="197"/>
      <c r="B1030" s="198" t="s">
        <v>523</v>
      </c>
      <c r="C1030" s="199" t="s">
        <v>524</v>
      </c>
      <c r="D1030" s="200" t="s">
        <v>1524</v>
      </c>
      <c r="E1030" s="201" t="s">
        <v>1331</v>
      </c>
      <c r="F1030" s="212"/>
      <c r="G1030" s="201" t="s">
        <v>1500</v>
      </c>
      <c r="H1030" s="215" t="s">
        <v>1698</v>
      </c>
      <c r="I1030" s="216" t="s">
        <v>1670</v>
      </c>
    </row>
    <row r="1031" spans="1:9" ht="14.4" x14ac:dyDescent="0.3">
      <c r="A1031" s="197"/>
      <c r="B1031" s="198" t="s">
        <v>525</v>
      </c>
      <c r="C1031" s="199" t="s">
        <v>526</v>
      </c>
      <c r="D1031" s="200" t="s">
        <v>1443</v>
      </c>
      <c r="E1031" s="201" t="s">
        <v>1415</v>
      </c>
      <c r="F1031" s="212"/>
      <c r="G1031" s="201" t="s">
        <v>1316</v>
      </c>
      <c r="H1031" s="215" t="s">
        <v>1673</v>
      </c>
      <c r="I1031" s="217" t="s">
        <v>1699</v>
      </c>
    </row>
    <row r="1032" spans="1:9" ht="14.4" x14ac:dyDescent="0.3">
      <c r="A1032" s="197"/>
      <c r="B1032" s="198" t="s">
        <v>494</v>
      </c>
      <c r="C1032" s="199" t="s">
        <v>495</v>
      </c>
      <c r="D1032" s="200"/>
      <c r="E1032" s="196"/>
      <c r="F1032" s="212"/>
      <c r="G1032" s="196"/>
      <c r="H1032" s="215"/>
      <c r="I1032" s="217"/>
    </row>
    <row r="1033" spans="1:9" ht="14.4" x14ac:dyDescent="0.3">
      <c r="A1033" s="197"/>
      <c r="B1033" s="198"/>
      <c r="C1033" s="199"/>
      <c r="D1033" s="200"/>
      <c r="E1033" s="196"/>
      <c r="F1033" s="212"/>
      <c r="G1033" s="196"/>
      <c r="H1033" s="215"/>
      <c r="I1033" s="216"/>
    </row>
    <row r="1034" spans="1:9" ht="14.4" x14ac:dyDescent="0.3">
      <c r="A1034" s="197"/>
      <c r="B1034" s="198"/>
      <c r="C1034" s="199"/>
      <c r="D1034" s="200"/>
      <c r="E1034" s="201"/>
      <c r="F1034" s="212"/>
      <c r="G1034" s="201"/>
      <c r="H1034" s="215"/>
      <c r="I1034" s="216"/>
    </row>
    <row r="1035" spans="1:9" ht="14.4" x14ac:dyDescent="0.3">
      <c r="A1035" s="197"/>
      <c r="B1035" s="198"/>
      <c r="C1035" s="199"/>
      <c r="D1035" s="200"/>
      <c r="E1035" s="202"/>
      <c r="F1035" s="212"/>
      <c r="G1035" s="201"/>
      <c r="H1035" s="215"/>
      <c r="I1035" s="216"/>
    </row>
    <row r="1036" spans="1:9" ht="14.4" x14ac:dyDescent="0.3">
      <c r="A1036" s="197"/>
      <c r="B1036" s="198"/>
      <c r="C1036" s="199"/>
      <c r="D1036" s="200"/>
      <c r="E1036" s="201"/>
      <c r="F1036" s="212"/>
      <c r="G1036" s="201"/>
      <c r="H1036" s="215"/>
      <c r="I1036" s="216"/>
    </row>
    <row r="1037" spans="1:9" ht="14.4" x14ac:dyDescent="0.3">
      <c r="A1037" s="197"/>
      <c r="B1037" s="198"/>
      <c r="C1037" s="199"/>
      <c r="D1037" s="200"/>
      <c r="E1037" s="201"/>
      <c r="F1037" s="212"/>
      <c r="G1037" s="201"/>
      <c r="H1037" s="215"/>
      <c r="I1037" s="216"/>
    </row>
    <row r="1038" spans="1:9" ht="14.4" x14ac:dyDescent="0.3">
      <c r="A1038" s="197"/>
      <c r="B1038" s="203"/>
      <c r="C1038" s="204"/>
      <c r="D1038" s="205"/>
      <c r="E1038" s="206"/>
      <c r="F1038" s="218"/>
      <c r="G1038" s="206"/>
      <c r="H1038" s="219"/>
      <c r="I1038" s="220"/>
    </row>
    <row r="1039" spans="1:9" ht="15" thickBot="1" x14ac:dyDescent="0.35">
      <c r="A1039" s="207"/>
      <c r="B1039" s="208"/>
      <c r="C1039" s="209"/>
      <c r="D1039" s="210"/>
      <c r="E1039" s="211"/>
      <c r="F1039" s="221"/>
      <c r="G1039" s="211"/>
      <c r="H1039" s="222"/>
      <c r="I1039" s="223"/>
    </row>
    <row r="1040" spans="1:9" ht="14.4" thickBot="1" x14ac:dyDescent="0.35"/>
    <row r="1041" spans="1:9" ht="14.4" thickBot="1" x14ac:dyDescent="0.35">
      <c r="A1041" s="226" t="s">
        <v>1204</v>
      </c>
      <c r="B1041" s="224" t="s">
        <v>1434</v>
      </c>
      <c r="C1041" s="224" t="s">
        <v>1435</v>
      </c>
      <c r="D1041" s="224" t="s">
        <v>1207</v>
      </c>
      <c r="E1041" s="368" t="s">
        <v>1208</v>
      </c>
      <c r="F1041" s="368"/>
      <c r="G1041" s="368"/>
      <c r="H1041" s="224" t="s">
        <v>1209</v>
      </c>
      <c r="I1041" s="225" t="s">
        <v>1436</v>
      </c>
    </row>
    <row r="1042" spans="1:9" ht="14.4" x14ac:dyDescent="0.3">
      <c r="A1042" s="197" t="s">
        <v>1700</v>
      </c>
      <c r="B1042" s="193" t="s">
        <v>519</v>
      </c>
      <c r="C1042" s="194" t="s">
        <v>520</v>
      </c>
      <c r="D1042" s="195" t="s">
        <v>1285</v>
      </c>
      <c r="E1042" s="196" t="s">
        <v>1311</v>
      </c>
      <c r="F1042" s="212"/>
      <c r="G1042" s="196" t="s">
        <v>1316</v>
      </c>
      <c r="H1042" s="213" t="s">
        <v>1481</v>
      </c>
      <c r="I1042" s="214" t="s">
        <v>1579</v>
      </c>
    </row>
    <row r="1043" spans="1:9" ht="14.4" x14ac:dyDescent="0.3">
      <c r="A1043" s="197"/>
      <c r="B1043" s="198" t="s">
        <v>521</v>
      </c>
      <c r="C1043" s="199" t="s">
        <v>522</v>
      </c>
      <c r="D1043" s="200" t="s">
        <v>1267</v>
      </c>
      <c r="E1043" s="201" t="s">
        <v>1311</v>
      </c>
      <c r="F1043" s="212"/>
      <c r="G1043" s="201" t="s">
        <v>1361</v>
      </c>
      <c r="H1043" s="215" t="s">
        <v>1673</v>
      </c>
      <c r="I1043" s="216" t="s">
        <v>1579</v>
      </c>
    </row>
    <row r="1044" spans="1:9" ht="14.4" x14ac:dyDescent="0.3">
      <c r="A1044" s="197"/>
      <c r="B1044" s="198" t="s">
        <v>523</v>
      </c>
      <c r="C1044" s="199" t="s">
        <v>524</v>
      </c>
      <c r="D1044" s="200" t="s">
        <v>1470</v>
      </c>
      <c r="E1044" s="201" t="s">
        <v>1317</v>
      </c>
      <c r="F1044" s="212"/>
      <c r="G1044" s="201" t="s">
        <v>1328</v>
      </c>
      <c r="H1044" s="215" t="s">
        <v>1701</v>
      </c>
      <c r="I1044" s="216" t="s">
        <v>1670</v>
      </c>
    </row>
    <row r="1045" spans="1:9" ht="14.4" x14ac:dyDescent="0.3">
      <c r="A1045" s="197"/>
      <c r="B1045" s="198" t="s">
        <v>525</v>
      </c>
      <c r="C1045" s="199" t="s">
        <v>526</v>
      </c>
      <c r="D1045" s="200" t="s">
        <v>1443</v>
      </c>
      <c r="E1045" s="201" t="s">
        <v>1316</v>
      </c>
      <c r="F1045" s="212"/>
      <c r="G1045" s="201" t="s">
        <v>1438</v>
      </c>
      <c r="H1045" s="215" t="s">
        <v>1680</v>
      </c>
      <c r="I1045" s="217" t="s">
        <v>1699</v>
      </c>
    </row>
    <row r="1046" spans="1:9" ht="14.4" x14ac:dyDescent="0.3">
      <c r="A1046" s="197"/>
      <c r="B1046" s="198" t="s">
        <v>494</v>
      </c>
      <c r="C1046" s="199" t="s">
        <v>495</v>
      </c>
      <c r="D1046" s="200"/>
      <c r="E1046" s="196"/>
      <c r="F1046" s="212"/>
      <c r="G1046" s="196"/>
      <c r="H1046" s="215"/>
      <c r="I1046" s="217"/>
    </row>
    <row r="1047" spans="1:9" ht="14.4" x14ac:dyDescent="0.3">
      <c r="A1047" s="197"/>
      <c r="B1047" s="198"/>
      <c r="C1047" s="199"/>
      <c r="D1047" s="200"/>
      <c r="E1047" s="196"/>
      <c r="F1047" s="212"/>
      <c r="G1047" s="196"/>
      <c r="H1047" s="215"/>
      <c r="I1047" s="216"/>
    </row>
    <row r="1048" spans="1:9" ht="14.4" x14ac:dyDescent="0.3">
      <c r="A1048" s="197"/>
      <c r="B1048" s="198"/>
      <c r="C1048" s="199"/>
      <c r="D1048" s="200"/>
      <c r="E1048" s="201"/>
      <c r="F1048" s="212"/>
      <c r="G1048" s="201"/>
      <c r="H1048" s="215"/>
      <c r="I1048" s="216"/>
    </row>
    <row r="1049" spans="1:9" ht="14.4" x14ac:dyDescent="0.3">
      <c r="A1049" s="197"/>
      <c r="B1049" s="198"/>
      <c r="C1049" s="199"/>
      <c r="D1049" s="200"/>
      <c r="E1049" s="202"/>
      <c r="F1049" s="212"/>
      <c r="G1049" s="201"/>
      <c r="H1049" s="215"/>
      <c r="I1049" s="216"/>
    </row>
    <row r="1050" spans="1:9" ht="14.4" x14ac:dyDescent="0.3">
      <c r="A1050" s="197"/>
      <c r="B1050" s="198"/>
      <c r="C1050" s="199"/>
      <c r="D1050" s="200"/>
      <c r="E1050" s="201"/>
      <c r="F1050" s="212"/>
      <c r="G1050" s="201"/>
      <c r="H1050" s="215"/>
      <c r="I1050" s="216"/>
    </row>
    <row r="1051" spans="1:9" ht="14.4" x14ac:dyDescent="0.3">
      <c r="A1051" s="197"/>
      <c r="B1051" s="198"/>
      <c r="C1051" s="199"/>
      <c r="D1051" s="200"/>
      <c r="E1051" s="201"/>
      <c r="F1051" s="212"/>
      <c r="G1051" s="201"/>
      <c r="H1051" s="215"/>
      <c r="I1051" s="216"/>
    </row>
    <row r="1052" spans="1:9" ht="14.4" x14ac:dyDescent="0.3">
      <c r="A1052" s="197"/>
      <c r="B1052" s="203"/>
      <c r="C1052" s="204"/>
      <c r="D1052" s="205"/>
      <c r="E1052" s="206"/>
      <c r="F1052" s="218"/>
      <c r="G1052" s="206"/>
      <c r="H1052" s="219"/>
      <c r="I1052" s="220"/>
    </row>
    <row r="1053" spans="1:9" ht="15" thickBot="1" x14ac:dyDescent="0.35">
      <c r="A1053" s="207"/>
      <c r="B1053" s="208"/>
      <c r="C1053" s="209"/>
      <c r="D1053" s="210"/>
      <c r="E1053" s="211"/>
      <c r="F1053" s="221"/>
      <c r="G1053" s="211"/>
      <c r="H1053" s="222"/>
      <c r="I1053" s="223"/>
    </row>
    <row r="1054" spans="1:9" ht="14.4" thickBot="1" x14ac:dyDescent="0.35"/>
    <row r="1055" spans="1:9" ht="14.4" thickBot="1" x14ac:dyDescent="0.35">
      <c r="A1055" s="226" t="s">
        <v>1204</v>
      </c>
      <c r="B1055" s="224" t="s">
        <v>1434</v>
      </c>
      <c r="C1055" s="224" t="s">
        <v>1435</v>
      </c>
      <c r="D1055" s="224" t="s">
        <v>1207</v>
      </c>
      <c r="E1055" s="368" t="s">
        <v>1208</v>
      </c>
      <c r="F1055" s="368"/>
      <c r="G1055" s="368"/>
      <c r="H1055" s="224" t="s">
        <v>1209</v>
      </c>
      <c r="I1055" s="225" t="s">
        <v>1436</v>
      </c>
    </row>
    <row r="1056" spans="1:9" ht="14.4" x14ac:dyDescent="0.3">
      <c r="A1056" s="197" t="s">
        <v>1702</v>
      </c>
      <c r="B1056" s="193" t="s">
        <v>519</v>
      </c>
      <c r="C1056" s="194" t="s">
        <v>520</v>
      </c>
      <c r="D1056" s="195" t="s">
        <v>1247</v>
      </c>
      <c r="E1056" s="196" t="s">
        <v>1311</v>
      </c>
      <c r="F1056" s="212"/>
      <c r="G1056" s="196" t="s">
        <v>1293</v>
      </c>
      <c r="H1056" s="213" t="s">
        <v>1703</v>
      </c>
      <c r="I1056" s="214" t="s">
        <v>1579</v>
      </c>
    </row>
    <row r="1057" spans="1:9" ht="14.4" x14ac:dyDescent="0.3">
      <c r="A1057" s="197"/>
      <c r="B1057" s="198" t="s">
        <v>521</v>
      </c>
      <c r="C1057" s="199" t="s">
        <v>522</v>
      </c>
      <c r="D1057" s="200" t="s">
        <v>1224</v>
      </c>
      <c r="E1057" s="201" t="s">
        <v>1311</v>
      </c>
      <c r="F1057" s="212"/>
      <c r="G1057" s="201" t="s">
        <v>1361</v>
      </c>
      <c r="H1057" s="215" t="s">
        <v>1673</v>
      </c>
      <c r="I1057" s="216" t="s">
        <v>1579</v>
      </c>
    </row>
    <row r="1058" spans="1:9" ht="14.4" x14ac:dyDescent="0.3">
      <c r="A1058" s="197"/>
      <c r="B1058" s="198" t="s">
        <v>523</v>
      </c>
      <c r="C1058" s="199" t="s">
        <v>524</v>
      </c>
      <c r="D1058" s="200" t="s">
        <v>1524</v>
      </c>
      <c r="E1058" s="201" t="s">
        <v>1317</v>
      </c>
      <c r="F1058" s="212"/>
      <c r="G1058" s="201" t="s">
        <v>1311</v>
      </c>
      <c r="H1058" s="215" t="s">
        <v>1704</v>
      </c>
      <c r="I1058" s="216" t="s">
        <v>1670</v>
      </c>
    </row>
    <row r="1059" spans="1:9" ht="14.4" x14ac:dyDescent="0.3">
      <c r="A1059" s="197"/>
      <c r="B1059" s="198" t="s">
        <v>525</v>
      </c>
      <c r="C1059" s="199" t="s">
        <v>526</v>
      </c>
      <c r="D1059" s="200" t="s">
        <v>1247</v>
      </c>
      <c r="E1059" s="201" t="s">
        <v>1317</v>
      </c>
      <c r="F1059" s="212"/>
      <c r="G1059" s="201" t="s">
        <v>1328</v>
      </c>
      <c r="H1059" s="215" t="s">
        <v>1544</v>
      </c>
      <c r="I1059" s="217" t="s">
        <v>1705</v>
      </c>
    </row>
    <row r="1060" spans="1:9" ht="14.4" x14ac:dyDescent="0.3">
      <c r="A1060" s="197"/>
      <c r="B1060" s="198" t="s">
        <v>494</v>
      </c>
      <c r="C1060" s="199" t="s">
        <v>495</v>
      </c>
      <c r="D1060" s="200"/>
      <c r="E1060" s="196"/>
      <c r="F1060" s="212"/>
      <c r="G1060" s="196"/>
      <c r="H1060" s="215"/>
      <c r="I1060" s="217"/>
    </row>
    <row r="1061" spans="1:9" ht="14.4" x14ac:dyDescent="0.3">
      <c r="A1061" s="197"/>
      <c r="B1061" s="198"/>
      <c r="C1061" s="199"/>
      <c r="D1061" s="200"/>
      <c r="E1061" s="196"/>
      <c r="F1061" s="212"/>
      <c r="G1061" s="196"/>
      <c r="H1061" s="215"/>
      <c r="I1061" s="216"/>
    </row>
    <row r="1062" spans="1:9" ht="14.4" x14ac:dyDescent="0.3">
      <c r="A1062" s="197"/>
      <c r="B1062" s="198"/>
      <c r="C1062" s="199"/>
      <c r="D1062" s="200"/>
      <c r="E1062" s="201"/>
      <c r="F1062" s="212"/>
      <c r="G1062" s="201"/>
      <c r="H1062" s="215"/>
      <c r="I1062" s="216"/>
    </row>
    <row r="1063" spans="1:9" ht="14.4" x14ac:dyDescent="0.3">
      <c r="A1063" s="197"/>
      <c r="B1063" s="198"/>
      <c r="C1063" s="199"/>
      <c r="D1063" s="200"/>
      <c r="E1063" s="202"/>
      <c r="F1063" s="212"/>
      <c r="G1063" s="201"/>
      <c r="H1063" s="215"/>
      <c r="I1063" s="216"/>
    </row>
    <row r="1064" spans="1:9" ht="14.4" x14ac:dyDescent="0.3">
      <c r="A1064" s="197"/>
      <c r="B1064" s="198"/>
      <c r="C1064" s="199"/>
      <c r="D1064" s="200"/>
      <c r="E1064" s="201"/>
      <c r="F1064" s="212"/>
      <c r="G1064" s="201"/>
      <c r="H1064" s="215"/>
      <c r="I1064" s="216"/>
    </row>
    <row r="1065" spans="1:9" ht="14.4" x14ac:dyDescent="0.3">
      <c r="A1065" s="197"/>
      <c r="B1065" s="198"/>
      <c r="C1065" s="199"/>
      <c r="D1065" s="200"/>
      <c r="E1065" s="201"/>
      <c r="F1065" s="212"/>
      <c r="G1065" s="201"/>
      <c r="H1065" s="215"/>
      <c r="I1065" s="216"/>
    </row>
    <row r="1066" spans="1:9" ht="14.4" x14ac:dyDescent="0.3">
      <c r="A1066" s="197"/>
      <c r="B1066" s="203"/>
      <c r="C1066" s="204"/>
      <c r="D1066" s="205"/>
      <c r="E1066" s="206"/>
      <c r="F1066" s="218"/>
      <c r="G1066" s="206"/>
      <c r="H1066" s="219"/>
      <c r="I1066" s="220"/>
    </row>
    <row r="1067" spans="1:9" ht="15" thickBot="1" x14ac:dyDescent="0.35">
      <c r="A1067" s="207"/>
      <c r="B1067" s="208"/>
      <c r="C1067" s="209"/>
      <c r="D1067" s="210"/>
      <c r="E1067" s="211"/>
      <c r="F1067" s="221"/>
      <c r="G1067" s="211"/>
      <c r="H1067" s="222"/>
      <c r="I1067" s="223"/>
    </row>
    <row r="1068" spans="1:9" ht="14.4" thickBot="1" x14ac:dyDescent="0.35"/>
    <row r="1069" spans="1:9" ht="14.4" thickBot="1" x14ac:dyDescent="0.35">
      <c r="A1069" s="226" t="s">
        <v>1204</v>
      </c>
      <c r="B1069" s="224" t="s">
        <v>1434</v>
      </c>
      <c r="C1069" s="224" t="s">
        <v>1435</v>
      </c>
      <c r="D1069" s="224" t="s">
        <v>1207</v>
      </c>
      <c r="E1069" s="368" t="s">
        <v>1208</v>
      </c>
      <c r="F1069" s="368"/>
      <c r="G1069" s="368"/>
      <c r="H1069" s="224" t="s">
        <v>1209</v>
      </c>
      <c r="I1069" s="225" t="s">
        <v>1436</v>
      </c>
    </row>
    <row r="1070" spans="1:9" ht="14.4" x14ac:dyDescent="0.3">
      <c r="A1070" s="197"/>
      <c r="B1070" s="193"/>
      <c r="C1070" s="194"/>
      <c r="D1070" s="195"/>
      <c r="E1070" s="196"/>
      <c r="F1070" s="212"/>
      <c r="G1070" s="196"/>
      <c r="H1070" s="213"/>
      <c r="I1070" s="214"/>
    </row>
    <row r="1071" spans="1:9" ht="14.4" x14ac:dyDescent="0.3">
      <c r="A1071" s="197"/>
      <c r="B1071" s="198"/>
      <c r="C1071" s="199"/>
      <c r="D1071" s="200"/>
      <c r="E1071" s="201"/>
      <c r="F1071" s="212"/>
      <c r="G1071" s="201"/>
      <c r="H1071" s="215"/>
      <c r="I1071" s="216"/>
    </row>
    <row r="1072" spans="1:9" ht="14.4" x14ac:dyDescent="0.3">
      <c r="A1072" s="197"/>
      <c r="B1072" s="198"/>
      <c r="C1072" s="199"/>
      <c r="D1072" s="200"/>
      <c r="E1072" s="201"/>
      <c r="F1072" s="212"/>
      <c r="G1072" s="201"/>
      <c r="H1072" s="215"/>
      <c r="I1072" s="216"/>
    </row>
    <row r="1073" spans="1:9" ht="14.4" x14ac:dyDescent="0.3">
      <c r="A1073" s="197"/>
      <c r="B1073" s="198"/>
      <c r="C1073" s="199"/>
      <c r="D1073" s="200"/>
      <c r="E1073" s="201"/>
      <c r="F1073" s="212"/>
      <c r="G1073" s="201"/>
      <c r="H1073" s="215"/>
      <c r="I1073" s="217"/>
    </row>
    <row r="1074" spans="1:9" ht="14.4" x14ac:dyDescent="0.3">
      <c r="A1074" s="197"/>
      <c r="B1074" s="198"/>
      <c r="C1074" s="199"/>
      <c r="D1074" s="200"/>
      <c r="E1074" s="196"/>
      <c r="F1074" s="212"/>
      <c r="G1074" s="196"/>
      <c r="H1074" s="215"/>
      <c r="I1074" s="217"/>
    </row>
    <row r="1075" spans="1:9" ht="14.4" x14ac:dyDescent="0.3">
      <c r="A1075" s="197"/>
      <c r="B1075" s="198"/>
      <c r="C1075" s="199"/>
      <c r="D1075" s="200"/>
      <c r="E1075" s="196"/>
      <c r="F1075" s="212"/>
      <c r="G1075" s="196"/>
      <c r="H1075" s="215"/>
      <c r="I1075" s="216"/>
    </row>
    <row r="1076" spans="1:9" ht="14.4" x14ac:dyDescent="0.3">
      <c r="A1076" s="197"/>
      <c r="B1076" s="198"/>
      <c r="C1076" s="199"/>
      <c r="D1076" s="200"/>
      <c r="E1076" s="201"/>
      <c r="F1076" s="212"/>
      <c r="G1076" s="201"/>
      <c r="H1076" s="215"/>
      <c r="I1076" s="216"/>
    </row>
    <row r="1077" spans="1:9" ht="14.4" x14ac:dyDescent="0.3">
      <c r="A1077" s="197"/>
      <c r="B1077" s="198"/>
      <c r="C1077" s="199"/>
      <c r="D1077" s="200"/>
      <c r="E1077" s="202"/>
      <c r="F1077" s="212"/>
      <c r="G1077" s="201"/>
      <c r="H1077" s="215"/>
      <c r="I1077" s="216"/>
    </row>
    <row r="1078" spans="1:9" ht="14.4" x14ac:dyDescent="0.3">
      <c r="A1078" s="197"/>
      <c r="B1078" s="198"/>
      <c r="C1078" s="199"/>
      <c r="D1078" s="200"/>
      <c r="E1078" s="201"/>
      <c r="F1078" s="212"/>
      <c r="G1078" s="201"/>
      <c r="H1078" s="215"/>
      <c r="I1078" s="216"/>
    </row>
    <row r="1079" spans="1:9" ht="14.4" x14ac:dyDescent="0.3">
      <c r="A1079" s="197"/>
      <c r="B1079" s="198"/>
      <c r="C1079" s="199"/>
      <c r="D1079" s="200"/>
      <c r="E1079" s="201"/>
      <c r="F1079" s="212"/>
      <c r="G1079" s="201"/>
      <c r="H1079" s="215"/>
      <c r="I1079" s="216"/>
    </row>
    <row r="1080" spans="1:9" ht="14.4" x14ac:dyDescent="0.3">
      <c r="A1080" s="197"/>
      <c r="B1080" s="203"/>
      <c r="C1080" s="204"/>
      <c r="D1080" s="205"/>
      <c r="E1080" s="206"/>
      <c r="F1080" s="218"/>
      <c r="G1080" s="206"/>
      <c r="H1080" s="219"/>
      <c r="I1080" s="220"/>
    </row>
    <row r="1081" spans="1:9" ht="15" thickBot="1" x14ac:dyDescent="0.35">
      <c r="A1081" s="207"/>
      <c r="B1081" s="208"/>
      <c r="C1081" s="209"/>
      <c r="D1081" s="210"/>
      <c r="E1081" s="211"/>
      <c r="F1081" s="221"/>
      <c r="G1081" s="211"/>
      <c r="H1081" s="222"/>
      <c r="I1081" s="223"/>
    </row>
    <row r="1082" spans="1:9" ht="14.4" thickBot="1" x14ac:dyDescent="0.35"/>
    <row r="1083" spans="1:9" ht="14.4" thickBot="1" x14ac:dyDescent="0.35">
      <c r="A1083" s="226" t="s">
        <v>1204</v>
      </c>
      <c r="B1083" s="224" t="s">
        <v>1434</v>
      </c>
      <c r="C1083" s="224" t="s">
        <v>1435</v>
      </c>
      <c r="D1083" s="224" t="s">
        <v>1207</v>
      </c>
      <c r="E1083" s="368" t="s">
        <v>1208</v>
      </c>
      <c r="F1083" s="368"/>
      <c r="G1083" s="368"/>
      <c r="H1083" s="224" t="s">
        <v>1209</v>
      </c>
      <c r="I1083" s="225" t="s">
        <v>1436</v>
      </c>
    </row>
    <row r="1084" spans="1:9" ht="14.4" x14ac:dyDescent="0.3">
      <c r="A1084" s="197"/>
      <c r="B1084" s="193"/>
      <c r="C1084" s="194"/>
      <c r="D1084" s="195"/>
      <c r="E1084" s="196"/>
      <c r="F1084" s="212"/>
      <c r="G1084" s="196"/>
      <c r="H1084" s="213"/>
      <c r="I1084" s="214"/>
    </row>
    <row r="1085" spans="1:9" ht="14.4" x14ac:dyDescent="0.3">
      <c r="A1085" s="197"/>
      <c r="B1085" s="198"/>
      <c r="C1085" s="199"/>
      <c r="D1085" s="200"/>
      <c r="E1085" s="201"/>
      <c r="F1085" s="212"/>
      <c r="G1085" s="201"/>
      <c r="H1085" s="215"/>
      <c r="I1085" s="216"/>
    </row>
    <row r="1086" spans="1:9" ht="14.4" x14ac:dyDescent="0.3">
      <c r="A1086" s="197"/>
      <c r="B1086" s="198"/>
      <c r="C1086" s="199"/>
      <c r="D1086" s="200"/>
      <c r="E1086" s="201"/>
      <c r="F1086" s="212"/>
      <c r="G1086" s="201"/>
      <c r="H1086" s="215"/>
      <c r="I1086" s="216"/>
    </row>
    <row r="1087" spans="1:9" ht="14.4" x14ac:dyDescent="0.3">
      <c r="A1087" s="197"/>
      <c r="B1087" s="198"/>
      <c r="C1087" s="199"/>
      <c r="D1087" s="200"/>
      <c r="E1087" s="201"/>
      <c r="F1087" s="212"/>
      <c r="G1087" s="201"/>
      <c r="H1087" s="215"/>
      <c r="I1087" s="217"/>
    </row>
    <row r="1088" spans="1:9" ht="14.4" x14ac:dyDescent="0.3">
      <c r="A1088" s="197"/>
      <c r="B1088" s="198"/>
      <c r="C1088" s="199"/>
      <c r="D1088" s="200"/>
      <c r="E1088" s="196"/>
      <c r="F1088" s="212"/>
      <c r="G1088" s="196"/>
      <c r="H1088" s="215"/>
      <c r="I1088" s="217"/>
    </row>
    <row r="1089" spans="1:9" ht="14.4" x14ac:dyDescent="0.3">
      <c r="A1089" s="197"/>
      <c r="B1089" s="198"/>
      <c r="C1089" s="199"/>
      <c r="D1089" s="200"/>
      <c r="E1089" s="196"/>
      <c r="F1089" s="212"/>
      <c r="G1089" s="196"/>
      <c r="H1089" s="215"/>
      <c r="I1089" s="216"/>
    </row>
    <row r="1090" spans="1:9" ht="14.4" x14ac:dyDescent="0.3">
      <c r="A1090" s="197"/>
      <c r="B1090" s="198"/>
      <c r="C1090" s="199"/>
      <c r="D1090" s="200"/>
      <c r="E1090" s="201"/>
      <c r="F1090" s="212"/>
      <c r="G1090" s="201"/>
      <c r="H1090" s="215"/>
      <c r="I1090" s="216"/>
    </row>
    <row r="1091" spans="1:9" ht="14.4" x14ac:dyDescent="0.3">
      <c r="A1091" s="197"/>
      <c r="B1091" s="198"/>
      <c r="C1091" s="199"/>
      <c r="D1091" s="200"/>
      <c r="E1091" s="202"/>
      <c r="F1091" s="212"/>
      <c r="G1091" s="201"/>
      <c r="H1091" s="215"/>
      <c r="I1091" s="216"/>
    </row>
    <row r="1092" spans="1:9" ht="14.4" x14ac:dyDescent="0.3">
      <c r="A1092" s="197"/>
      <c r="B1092" s="198"/>
      <c r="C1092" s="199"/>
      <c r="D1092" s="200"/>
      <c r="E1092" s="201"/>
      <c r="F1092" s="212"/>
      <c r="G1092" s="201"/>
      <c r="H1092" s="215"/>
      <c r="I1092" s="216"/>
    </row>
    <row r="1093" spans="1:9" ht="14.4" x14ac:dyDescent="0.3">
      <c r="A1093" s="197"/>
      <c r="B1093" s="198"/>
      <c r="C1093" s="199"/>
      <c r="D1093" s="200"/>
      <c r="E1093" s="201"/>
      <c r="F1093" s="212"/>
      <c r="G1093" s="201"/>
      <c r="H1093" s="215"/>
      <c r="I1093" s="216"/>
    </row>
    <row r="1094" spans="1:9" ht="14.4" x14ac:dyDescent="0.3">
      <c r="A1094" s="197"/>
      <c r="B1094" s="203"/>
      <c r="C1094" s="204"/>
      <c r="D1094" s="205"/>
      <c r="E1094" s="206"/>
      <c r="F1094" s="218"/>
      <c r="G1094" s="206"/>
      <c r="H1094" s="219"/>
      <c r="I1094" s="220"/>
    </row>
    <row r="1095" spans="1:9" ht="15" thickBot="1" x14ac:dyDescent="0.35">
      <c r="A1095" s="207"/>
      <c r="B1095" s="208"/>
      <c r="C1095" s="209"/>
      <c r="D1095" s="210"/>
      <c r="E1095" s="211"/>
      <c r="F1095" s="221"/>
      <c r="G1095" s="211"/>
      <c r="H1095" s="222"/>
      <c r="I1095" s="223"/>
    </row>
    <row r="1096" spans="1:9" ht="14.4" thickBot="1" x14ac:dyDescent="0.35"/>
    <row r="1097" spans="1:9" ht="14.4" thickBot="1" x14ac:dyDescent="0.35">
      <c r="A1097" s="226" t="s">
        <v>1204</v>
      </c>
      <c r="B1097" s="224" t="s">
        <v>1434</v>
      </c>
      <c r="C1097" s="224" t="s">
        <v>1435</v>
      </c>
      <c r="D1097" s="224" t="s">
        <v>1207</v>
      </c>
      <c r="E1097" s="368" t="s">
        <v>1208</v>
      </c>
      <c r="F1097" s="368"/>
      <c r="G1097" s="368"/>
      <c r="H1097" s="224" t="s">
        <v>1209</v>
      </c>
      <c r="I1097" s="225" t="s">
        <v>1436</v>
      </c>
    </row>
    <row r="1098" spans="1:9" ht="14.4" x14ac:dyDescent="0.3">
      <c r="A1098" s="197"/>
      <c r="B1098" s="193"/>
      <c r="C1098" s="194"/>
      <c r="D1098" s="195"/>
      <c r="E1098" s="196"/>
      <c r="F1098" s="212"/>
      <c r="G1098" s="196"/>
      <c r="H1098" s="213"/>
      <c r="I1098" s="214"/>
    </row>
    <row r="1099" spans="1:9" ht="14.4" x14ac:dyDescent="0.3">
      <c r="A1099" s="197"/>
      <c r="B1099" s="198"/>
      <c r="C1099" s="199"/>
      <c r="D1099" s="200"/>
      <c r="E1099" s="201"/>
      <c r="F1099" s="212"/>
      <c r="G1099" s="201"/>
      <c r="H1099" s="215"/>
      <c r="I1099" s="216"/>
    </row>
    <row r="1100" spans="1:9" ht="14.4" x14ac:dyDescent="0.3">
      <c r="A1100" s="197"/>
      <c r="B1100" s="198"/>
      <c r="C1100" s="199"/>
      <c r="D1100" s="200"/>
      <c r="E1100" s="201"/>
      <c r="F1100" s="212"/>
      <c r="G1100" s="201"/>
      <c r="H1100" s="215"/>
      <c r="I1100" s="216"/>
    </row>
    <row r="1101" spans="1:9" ht="14.4" x14ac:dyDescent="0.3">
      <c r="A1101" s="197"/>
      <c r="B1101" s="198"/>
      <c r="C1101" s="199"/>
      <c r="D1101" s="200"/>
      <c r="E1101" s="201"/>
      <c r="F1101" s="212"/>
      <c r="G1101" s="201"/>
      <c r="H1101" s="215"/>
      <c r="I1101" s="217"/>
    </row>
    <row r="1102" spans="1:9" ht="14.4" x14ac:dyDescent="0.3">
      <c r="A1102" s="197"/>
      <c r="B1102" s="198"/>
      <c r="C1102" s="199"/>
      <c r="D1102" s="200"/>
      <c r="E1102" s="196"/>
      <c r="F1102" s="212"/>
      <c r="G1102" s="196"/>
      <c r="H1102" s="215"/>
      <c r="I1102" s="217"/>
    </row>
    <row r="1103" spans="1:9" ht="14.4" x14ac:dyDescent="0.3">
      <c r="A1103" s="197"/>
      <c r="B1103" s="198"/>
      <c r="C1103" s="199"/>
      <c r="D1103" s="200"/>
      <c r="E1103" s="196"/>
      <c r="F1103" s="212"/>
      <c r="G1103" s="196"/>
      <c r="H1103" s="215"/>
      <c r="I1103" s="216"/>
    </row>
    <row r="1104" spans="1:9" ht="14.4" x14ac:dyDescent="0.3">
      <c r="A1104" s="197"/>
      <c r="B1104" s="198"/>
      <c r="C1104" s="199"/>
      <c r="D1104" s="200"/>
      <c r="E1104" s="201"/>
      <c r="F1104" s="212"/>
      <c r="G1104" s="201"/>
      <c r="H1104" s="215"/>
      <c r="I1104" s="216"/>
    </row>
    <row r="1105" spans="1:9" ht="14.4" x14ac:dyDescent="0.3">
      <c r="A1105" s="197"/>
      <c r="B1105" s="198"/>
      <c r="C1105" s="199"/>
      <c r="D1105" s="200"/>
      <c r="E1105" s="202"/>
      <c r="F1105" s="212"/>
      <c r="G1105" s="201"/>
      <c r="H1105" s="215"/>
      <c r="I1105" s="216"/>
    </row>
    <row r="1106" spans="1:9" ht="14.4" x14ac:dyDescent="0.3">
      <c r="A1106" s="197"/>
      <c r="B1106" s="198"/>
      <c r="C1106" s="199"/>
      <c r="D1106" s="200"/>
      <c r="E1106" s="201"/>
      <c r="F1106" s="212"/>
      <c r="G1106" s="201"/>
      <c r="H1106" s="215"/>
      <c r="I1106" s="216"/>
    </row>
    <row r="1107" spans="1:9" ht="14.4" x14ac:dyDescent="0.3">
      <c r="A1107" s="197"/>
      <c r="B1107" s="198"/>
      <c r="C1107" s="199"/>
      <c r="D1107" s="200"/>
      <c r="E1107" s="201"/>
      <c r="F1107" s="212"/>
      <c r="G1107" s="201"/>
      <c r="H1107" s="215"/>
      <c r="I1107" s="216"/>
    </row>
    <row r="1108" spans="1:9" ht="14.4" x14ac:dyDescent="0.3">
      <c r="A1108" s="197"/>
      <c r="B1108" s="203"/>
      <c r="C1108" s="204"/>
      <c r="D1108" s="205"/>
      <c r="E1108" s="206"/>
      <c r="F1108" s="218"/>
      <c r="G1108" s="206"/>
      <c r="H1108" s="219"/>
      <c r="I1108" s="220"/>
    </row>
    <row r="1109" spans="1:9" ht="14.4" x14ac:dyDescent="0.3">
      <c r="A1109" s="207"/>
      <c r="B1109" s="208"/>
      <c r="C1109" s="209"/>
      <c r="D1109" s="210"/>
      <c r="E1109" s="211"/>
      <c r="F1109" s="221"/>
      <c r="G1109" s="211"/>
      <c r="H1109" s="222"/>
      <c r="I1109" s="223"/>
    </row>
    <row r="1110" spans="1:9" ht="14.4" thickBot="1" x14ac:dyDescent="0.35"/>
    <row r="1111" spans="1:9" ht="14.4" thickBot="1" x14ac:dyDescent="0.35">
      <c r="A1111" s="226" t="s">
        <v>1204</v>
      </c>
      <c r="B1111" s="224" t="s">
        <v>1434</v>
      </c>
      <c r="C1111" s="224" t="s">
        <v>1435</v>
      </c>
      <c r="D1111" s="224" t="s">
        <v>1207</v>
      </c>
      <c r="E1111" s="368" t="s">
        <v>1208</v>
      </c>
      <c r="F1111" s="368"/>
      <c r="G1111" s="368"/>
      <c r="H1111" s="224" t="s">
        <v>1209</v>
      </c>
      <c r="I1111" s="225" t="s">
        <v>1436</v>
      </c>
    </row>
    <row r="1112" spans="1:9" ht="14.4" x14ac:dyDescent="0.3">
      <c r="A1112" s="197"/>
      <c r="B1112" s="193"/>
      <c r="C1112" s="194"/>
      <c r="D1112" s="195"/>
      <c r="E1112" s="196"/>
      <c r="F1112" s="212"/>
      <c r="G1112" s="196"/>
      <c r="H1112" s="213"/>
      <c r="I1112" s="214"/>
    </row>
    <row r="1113" spans="1:9" ht="14.4" x14ac:dyDescent="0.3">
      <c r="A1113" s="197"/>
      <c r="B1113" s="198"/>
      <c r="C1113" s="199"/>
      <c r="D1113" s="200"/>
      <c r="E1113" s="201"/>
      <c r="F1113" s="212"/>
      <c r="G1113" s="201"/>
      <c r="H1113" s="215"/>
      <c r="I1113" s="216"/>
    </row>
    <row r="1114" spans="1:9" ht="14.4" x14ac:dyDescent="0.3">
      <c r="A1114" s="197"/>
      <c r="B1114" s="198"/>
      <c r="C1114" s="199"/>
      <c r="D1114" s="200"/>
      <c r="E1114" s="201"/>
      <c r="F1114" s="212"/>
      <c r="G1114" s="201"/>
      <c r="H1114" s="215"/>
      <c r="I1114" s="216"/>
    </row>
    <row r="1115" spans="1:9" ht="14.4" x14ac:dyDescent="0.3">
      <c r="A1115" s="197"/>
      <c r="B1115" s="198"/>
      <c r="C1115" s="199"/>
      <c r="D1115" s="200"/>
      <c r="E1115" s="201"/>
      <c r="F1115" s="212"/>
      <c r="G1115" s="201"/>
      <c r="H1115" s="215"/>
      <c r="I1115" s="217"/>
    </row>
    <row r="1116" spans="1:9" ht="14.4" x14ac:dyDescent="0.3">
      <c r="A1116" s="197"/>
      <c r="B1116" s="198"/>
      <c r="C1116" s="199"/>
      <c r="D1116" s="200"/>
      <c r="E1116" s="196"/>
      <c r="F1116" s="212"/>
      <c r="G1116" s="196"/>
      <c r="H1116" s="215"/>
      <c r="I1116" s="217"/>
    </row>
    <row r="1117" spans="1:9" ht="14.4" x14ac:dyDescent="0.3">
      <c r="A1117" s="197"/>
      <c r="B1117" s="198"/>
      <c r="C1117" s="199"/>
      <c r="D1117" s="200"/>
      <c r="E1117" s="196"/>
      <c r="F1117" s="212"/>
      <c r="G1117" s="196"/>
      <c r="H1117" s="215"/>
      <c r="I1117" s="216"/>
    </row>
    <row r="1118" spans="1:9" ht="14.4" x14ac:dyDescent="0.3">
      <c r="A1118" s="197"/>
      <c r="B1118" s="198"/>
      <c r="C1118" s="199"/>
      <c r="D1118" s="200"/>
      <c r="E1118" s="201"/>
      <c r="F1118" s="212"/>
      <c r="G1118" s="201"/>
      <c r="H1118" s="215"/>
      <c r="I1118" s="216"/>
    </row>
    <row r="1119" spans="1:9" ht="14.4" x14ac:dyDescent="0.3">
      <c r="A1119" s="197"/>
      <c r="B1119" s="198"/>
      <c r="C1119" s="199"/>
      <c r="D1119" s="200"/>
      <c r="E1119" s="202"/>
      <c r="F1119" s="212"/>
      <c r="G1119" s="201"/>
      <c r="H1119" s="215"/>
      <c r="I1119" s="216"/>
    </row>
    <row r="1120" spans="1:9" ht="14.4" x14ac:dyDescent="0.3">
      <c r="A1120" s="197"/>
      <c r="B1120" s="198"/>
      <c r="C1120" s="199"/>
      <c r="D1120" s="200"/>
      <c r="E1120" s="201"/>
      <c r="F1120" s="212"/>
      <c r="G1120" s="201"/>
      <c r="H1120" s="215"/>
      <c r="I1120" s="216"/>
    </row>
    <row r="1121" spans="1:9" ht="14.4" x14ac:dyDescent="0.3">
      <c r="A1121" s="197"/>
      <c r="B1121" s="198"/>
      <c r="C1121" s="199"/>
      <c r="D1121" s="200"/>
      <c r="E1121" s="201"/>
      <c r="F1121" s="212"/>
      <c r="G1121" s="201"/>
      <c r="H1121" s="215"/>
      <c r="I1121" s="216"/>
    </row>
    <row r="1122" spans="1:9" ht="14.4" x14ac:dyDescent="0.3">
      <c r="A1122" s="197"/>
      <c r="B1122" s="203"/>
      <c r="C1122" s="204"/>
      <c r="D1122" s="205"/>
      <c r="E1122" s="206"/>
      <c r="F1122" s="218"/>
      <c r="G1122" s="206"/>
      <c r="H1122" s="219"/>
      <c r="I1122" s="220"/>
    </row>
    <row r="1123" spans="1:9" ht="15" thickBot="1" x14ac:dyDescent="0.35">
      <c r="A1123" s="207"/>
      <c r="B1123" s="208"/>
      <c r="C1123" s="209"/>
      <c r="D1123" s="210"/>
      <c r="E1123" s="211"/>
      <c r="F1123" s="221"/>
      <c r="G1123" s="211"/>
      <c r="H1123" s="222"/>
      <c r="I1123" s="223"/>
    </row>
    <row r="1124" spans="1:9" ht="14.4" thickBot="1" x14ac:dyDescent="0.35"/>
    <row r="1125" spans="1:9" ht="14.4" thickBot="1" x14ac:dyDescent="0.35">
      <c r="A1125" s="226" t="s">
        <v>1204</v>
      </c>
      <c r="B1125" s="224" t="s">
        <v>1434</v>
      </c>
      <c r="C1125" s="224" t="s">
        <v>1435</v>
      </c>
      <c r="D1125" s="224" t="s">
        <v>1207</v>
      </c>
      <c r="E1125" s="368" t="s">
        <v>1208</v>
      </c>
      <c r="F1125" s="368"/>
      <c r="G1125" s="368"/>
      <c r="H1125" s="224" t="s">
        <v>1209</v>
      </c>
      <c r="I1125" s="225" t="s">
        <v>1436</v>
      </c>
    </row>
    <row r="1126" spans="1:9" ht="14.4" x14ac:dyDescent="0.3">
      <c r="A1126" s="197"/>
      <c r="B1126" s="193"/>
      <c r="C1126" s="194"/>
      <c r="D1126" s="195"/>
      <c r="E1126" s="196"/>
      <c r="F1126" s="212"/>
      <c r="G1126" s="196"/>
      <c r="H1126" s="213"/>
      <c r="I1126" s="214"/>
    </row>
    <row r="1127" spans="1:9" ht="14.4" x14ac:dyDescent="0.3">
      <c r="A1127" s="197"/>
      <c r="B1127" s="198"/>
      <c r="C1127" s="199"/>
      <c r="D1127" s="200"/>
      <c r="E1127" s="201"/>
      <c r="F1127" s="212"/>
      <c r="G1127" s="201"/>
      <c r="H1127" s="215"/>
      <c r="I1127" s="216"/>
    </row>
    <row r="1128" spans="1:9" ht="14.4" x14ac:dyDescent="0.3">
      <c r="A1128" s="197"/>
      <c r="B1128" s="198"/>
      <c r="C1128" s="199"/>
      <c r="D1128" s="200"/>
      <c r="E1128" s="201"/>
      <c r="F1128" s="212"/>
      <c r="G1128" s="201"/>
      <c r="H1128" s="215"/>
      <c r="I1128" s="216"/>
    </row>
    <row r="1129" spans="1:9" ht="14.4" x14ac:dyDescent="0.3">
      <c r="A1129" s="197"/>
      <c r="B1129" s="198"/>
      <c r="C1129" s="199"/>
      <c r="D1129" s="200"/>
      <c r="E1129" s="201"/>
      <c r="F1129" s="212"/>
      <c r="G1129" s="201"/>
      <c r="H1129" s="215"/>
      <c r="I1129" s="217"/>
    </row>
    <row r="1130" spans="1:9" ht="14.4" x14ac:dyDescent="0.3">
      <c r="A1130" s="197"/>
      <c r="B1130" s="198"/>
      <c r="C1130" s="199"/>
      <c r="D1130" s="200"/>
      <c r="E1130" s="196"/>
      <c r="F1130" s="212"/>
      <c r="G1130" s="196"/>
      <c r="H1130" s="215"/>
      <c r="I1130" s="217"/>
    </row>
    <row r="1131" spans="1:9" ht="14.4" x14ac:dyDescent="0.3">
      <c r="A1131" s="197"/>
      <c r="B1131" s="198"/>
      <c r="C1131" s="199"/>
      <c r="D1131" s="200"/>
      <c r="E1131" s="196"/>
      <c r="F1131" s="212"/>
      <c r="G1131" s="196"/>
      <c r="H1131" s="215"/>
      <c r="I1131" s="216"/>
    </row>
    <row r="1132" spans="1:9" ht="14.4" x14ac:dyDescent="0.3">
      <c r="A1132" s="197"/>
      <c r="B1132" s="198"/>
      <c r="C1132" s="199"/>
      <c r="D1132" s="200"/>
      <c r="E1132" s="201"/>
      <c r="F1132" s="212"/>
      <c r="G1132" s="201"/>
      <c r="H1132" s="215"/>
      <c r="I1132" s="216"/>
    </row>
    <row r="1133" spans="1:9" ht="14.4" x14ac:dyDescent="0.3">
      <c r="A1133" s="197"/>
      <c r="B1133" s="198"/>
      <c r="C1133" s="199"/>
      <c r="D1133" s="200"/>
      <c r="E1133" s="202"/>
      <c r="F1133" s="212"/>
      <c r="G1133" s="201"/>
      <c r="H1133" s="215"/>
      <c r="I1133" s="216"/>
    </row>
    <row r="1134" spans="1:9" ht="14.4" x14ac:dyDescent="0.3">
      <c r="A1134" s="197"/>
      <c r="B1134" s="198"/>
      <c r="C1134" s="199"/>
      <c r="D1134" s="200"/>
      <c r="E1134" s="201"/>
      <c r="F1134" s="212"/>
      <c r="G1134" s="201"/>
      <c r="H1134" s="215"/>
      <c r="I1134" s="216"/>
    </row>
    <row r="1135" spans="1:9" ht="14.4" x14ac:dyDescent="0.3">
      <c r="A1135" s="197"/>
      <c r="B1135" s="198"/>
      <c r="C1135" s="199"/>
      <c r="D1135" s="200"/>
      <c r="E1135" s="201"/>
      <c r="F1135" s="212"/>
      <c r="G1135" s="201"/>
      <c r="H1135" s="215"/>
      <c r="I1135" s="216"/>
    </row>
    <row r="1136" spans="1:9" ht="14.4" x14ac:dyDescent="0.3">
      <c r="A1136" s="197"/>
      <c r="B1136" s="203"/>
      <c r="C1136" s="204"/>
      <c r="D1136" s="205"/>
      <c r="E1136" s="206"/>
      <c r="F1136" s="218"/>
      <c r="G1136" s="206"/>
      <c r="H1136" s="219"/>
      <c r="I1136" s="220"/>
    </row>
    <row r="1137" spans="1:9" ht="15" thickBot="1" x14ac:dyDescent="0.35">
      <c r="A1137" s="207"/>
      <c r="B1137" s="208"/>
      <c r="C1137" s="209"/>
      <c r="D1137" s="210"/>
      <c r="E1137" s="211"/>
      <c r="F1137" s="221"/>
      <c r="G1137" s="211"/>
      <c r="H1137" s="222"/>
      <c r="I1137" s="223"/>
    </row>
    <row r="1138" spans="1:9" ht="14.4" thickBot="1" x14ac:dyDescent="0.35"/>
    <row r="1139" spans="1:9" ht="14.4" thickBot="1" x14ac:dyDescent="0.35">
      <c r="A1139" s="226" t="s">
        <v>1204</v>
      </c>
      <c r="B1139" s="224" t="s">
        <v>1434</v>
      </c>
      <c r="C1139" s="224" t="s">
        <v>1435</v>
      </c>
      <c r="D1139" s="224" t="s">
        <v>1207</v>
      </c>
      <c r="E1139" s="368" t="s">
        <v>1208</v>
      </c>
      <c r="F1139" s="368"/>
      <c r="G1139" s="368"/>
      <c r="H1139" s="224" t="s">
        <v>1209</v>
      </c>
      <c r="I1139" s="225" t="s">
        <v>1436</v>
      </c>
    </row>
    <row r="1140" spans="1:9" ht="14.4" x14ac:dyDescent="0.3">
      <c r="A1140" s="197"/>
      <c r="B1140" s="193"/>
      <c r="C1140" s="194"/>
      <c r="D1140" s="195"/>
      <c r="E1140" s="196"/>
      <c r="F1140" s="212"/>
      <c r="G1140" s="196"/>
      <c r="H1140" s="213"/>
      <c r="I1140" s="214"/>
    </row>
    <row r="1141" spans="1:9" ht="14.4" x14ac:dyDescent="0.3">
      <c r="A1141" s="197"/>
      <c r="B1141" s="198"/>
      <c r="C1141" s="199"/>
      <c r="D1141" s="200"/>
      <c r="E1141" s="201"/>
      <c r="F1141" s="212"/>
      <c r="G1141" s="201"/>
      <c r="H1141" s="215"/>
      <c r="I1141" s="216"/>
    </row>
    <row r="1142" spans="1:9" ht="14.4" x14ac:dyDescent="0.3">
      <c r="A1142" s="197"/>
      <c r="B1142" s="198"/>
      <c r="C1142" s="199"/>
      <c r="D1142" s="200"/>
      <c r="E1142" s="201"/>
      <c r="F1142" s="212"/>
      <c r="G1142" s="201"/>
      <c r="H1142" s="215"/>
      <c r="I1142" s="216"/>
    </row>
    <row r="1143" spans="1:9" ht="14.4" x14ac:dyDescent="0.3">
      <c r="A1143" s="197"/>
      <c r="B1143" s="198"/>
      <c r="C1143" s="199"/>
      <c r="D1143" s="200"/>
      <c r="E1143" s="201"/>
      <c r="F1143" s="212"/>
      <c r="G1143" s="201"/>
      <c r="H1143" s="215"/>
      <c r="I1143" s="217"/>
    </row>
    <row r="1144" spans="1:9" ht="14.4" x14ac:dyDescent="0.3">
      <c r="A1144" s="197"/>
      <c r="B1144" s="198"/>
      <c r="C1144" s="199"/>
      <c r="D1144" s="200"/>
      <c r="E1144" s="196"/>
      <c r="F1144" s="212"/>
      <c r="G1144" s="196"/>
      <c r="H1144" s="215"/>
      <c r="I1144" s="217"/>
    </row>
    <row r="1145" spans="1:9" ht="14.4" x14ac:dyDescent="0.3">
      <c r="A1145" s="197"/>
      <c r="B1145" s="198"/>
      <c r="C1145" s="199"/>
      <c r="D1145" s="200"/>
      <c r="E1145" s="196"/>
      <c r="F1145" s="212"/>
      <c r="G1145" s="196"/>
      <c r="H1145" s="215"/>
      <c r="I1145" s="216"/>
    </row>
    <row r="1146" spans="1:9" ht="14.4" x14ac:dyDescent="0.3">
      <c r="A1146" s="197"/>
      <c r="B1146" s="198"/>
      <c r="C1146" s="199"/>
      <c r="D1146" s="200"/>
      <c r="E1146" s="201"/>
      <c r="F1146" s="212"/>
      <c r="G1146" s="201"/>
      <c r="H1146" s="215"/>
      <c r="I1146" s="216"/>
    </row>
    <row r="1147" spans="1:9" ht="14.4" x14ac:dyDescent="0.3">
      <c r="A1147" s="197"/>
      <c r="B1147" s="198"/>
      <c r="C1147" s="199"/>
      <c r="D1147" s="200"/>
      <c r="E1147" s="202"/>
      <c r="F1147" s="212"/>
      <c r="G1147" s="201"/>
      <c r="H1147" s="215"/>
      <c r="I1147" s="216"/>
    </row>
    <row r="1148" spans="1:9" ht="14.4" x14ac:dyDescent="0.3">
      <c r="A1148" s="197"/>
      <c r="B1148" s="198"/>
      <c r="C1148" s="199"/>
      <c r="D1148" s="200"/>
      <c r="E1148" s="201"/>
      <c r="F1148" s="212"/>
      <c r="G1148" s="201"/>
      <c r="H1148" s="215"/>
      <c r="I1148" s="216"/>
    </row>
    <row r="1149" spans="1:9" ht="14.4" x14ac:dyDescent="0.3">
      <c r="A1149" s="197"/>
      <c r="B1149" s="198"/>
      <c r="C1149" s="199"/>
      <c r="D1149" s="200"/>
      <c r="E1149" s="201"/>
      <c r="F1149" s="212"/>
      <c r="G1149" s="201"/>
      <c r="H1149" s="215"/>
      <c r="I1149" s="216"/>
    </row>
    <row r="1150" spans="1:9" ht="14.4" x14ac:dyDescent="0.3">
      <c r="A1150" s="197"/>
      <c r="B1150" s="203"/>
      <c r="C1150" s="204"/>
      <c r="D1150" s="205"/>
      <c r="E1150" s="206"/>
      <c r="F1150" s="218"/>
      <c r="G1150" s="206"/>
      <c r="H1150" s="219"/>
      <c r="I1150" s="220"/>
    </row>
    <row r="1151" spans="1:9" ht="15" thickBot="1" x14ac:dyDescent="0.35">
      <c r="A1151" s="207"/>
      <c r="B1151" s="208"/>
      <c r="C1151" s="209"/>
      <c r="D1151" s="210"/>
      <c r="E1151" s="211"/>
      <c r="F1151" s="221"/>
      <c r="G1151" s="211"/>
      <c r="H1151" s="222"/>
      <c r="I1151" s="223"/>
    </row>
    <row r="1152" spans="1:9" ht="14.4" thickBot="1" x14ac:dyDescent="0.35"/>
    <row r="1153" spans="1:9" ht="14.4" thickBot="1" x14ac:dyDescent="0.35">
      <c r="A1153" s="226" t="s">
        <v>1204</v>
      </c>
      <c r="B1153" s="224" t="s">
        <v>1434</v>
      </c>
      <c r="C1153" s="224" t="s">
        <v>1435</v>
      </c>
      <c r="D1153" s="224" t="s">
        <v>1207</v>
      </c>
      <c r="E1153" s="368" t="s">
        <v>1208</v>
      </c>
      <c r="F1153" s="368"/>
      <c r="G1153" s="368"/>
      <c r="H1153" s="224" t="s">
        <v>1209</v>
      </c>
      <c r="I1153" s="225" t="s">
        <v>1436</v>
      </c>
    </row>
    <row r="1154" spans="1:9" ht="14.4" x14ac:dyDescent="0.3">
      <c r="A1154" s="197"/>
      <c r="B1154" s="193"/>
      <c r="C1154" s="194"/>
      <c r="D1154" s="195"/>
      <c r="E1154" s="196"/>
      <c r="F1154" s="212"/>
      <c r="G1154" s="196"/>
      <c r="H1154" s="213"/>
      <c r="I1154" s="214"/>
    </row>
    <row r="1155" spans="1:9" ht="14.4" x14ac:dyDescent="0.3">
      <c r="A1155" s="197"/>
      <c r="B1155" s="198"/>
      <c r="C1155" s="199"/>
      <c r="D1155" s="200"/>
      <c r="E1155" s="201"/>
      <c r="F1155" s="212"/>
      <c r="G1155" s="201"/>
      <c r="H1155" s="215"/>
      <c r="I1155" s="216"/>
    </row>
    <row r="1156" spans="1:9" ht="14.4" x14ac:dyDescent="0.3">
      <c r="A1156" s="197"/>
      <c r="B1156" s="198"/>
      <c r="C1156" s="199"/>
      <c r="D1156" s="200"/>
      <c r="E1156" s="201"/>
      <c r="F1156" s="212"/>
      <c r="G1156" s="201"/>
      <c r="H1156" s="215"/>
      <c r="I1156" s="216"/>
    </row>
    <row r="1157" spans="1:9" ht="14.4" x14ac:dyDescent="0.3">
      <c r="A1157" s="197"/>
      <c r="B1157" s="198"/>
      <c r="C1157" s="199"/>
      <c r="D1157" s="200"/>
      <c r="E1157" s="201"/>
      <c r="F1157" s="212"/>
      <c r="G1157" s="201"/>
      <c r="H1157" s="215"/>
      <c r="I1157" s="217"/>
    </row>
    <row r="1158" spans="1:9" ht="14.4" x14ac:dyDescent="0.3">
      <c r="A1158" s="197"/>
      <c r="B1158" s="198"/>
      <c r="C1158" s="199"/>
      <c r="D1158" s="200"/>
      <c r="E1158" s="196"/>
      <c r="F1158" s="212"/>
      <c r="G1158" s="196"/>
      <c r="H1158" s="215"/>
      <c r="I1158" s="217"/>
    </row>
    <row r="1159" spans="1:9" ht="14.4" x14ac:dyDescent="0.3">
      <c r="A1159" s="197"/>
      <c r="B1159" s="198"/>
      <c r="C1159" s="199"/>
      <c r="D1159" s="200"/>
      <c r="E1159" s="196"/>
      <c r="F1159" s="212"/>
      <c r="G1159" s="196"/>
      <c r="H1159" s="215"/>
      <c r="I1159" s="216"/>
    </row>
    <row r="1160" spans="1:9" ht="14.4" x14ac:dyDescent="0.3">
      <c r="A1160" s="197"/>
      <c r="B1160" s="198"/>
      <c r="C1160" s="199"/>
      <c r="D1160" s="200"/>
      <c r="E1160" s="201"/>
      <c r="F1160" s="212"/>
      <c r="G1160" s="201"/>
      <c r="H1160" s="215"/>
      <c r="I1160" s="216"/>
    </row>
    <row r="1161" spans="1:9" ht="14.4" x14ac:dyDescent="0.3">
      <c r="A1161" s="197"/>
      <c r="B1161" s="198"/>
      <c r="C1161" s="199"/>
      <c r="D1161" s="200"/>
      <c r="E1161" s="202"/>
      <c r="F1161" s="212"/>
      <c r="G1161" s="201"/>
      <c r="H1161" s="215"/>
      <c r="I1161" s="216"/>
    </row>
    <row r="1162" spans="1:9" ht="14.4" x14ac:dyDescent="0.3">
      <c r="A1162" s="197"/>
      <c r="B1162" s="198"/>
      <c r="C1162" s="199"/>
      <c r="D1162" s="200"/>
      <c r="E1162" s="201"/>
      <c r="F1162" s="212"/>
      <c r="G1162" s="201"/>
      <c r="H1162" s="215"/>
      <c r="I1162" s="216"/>
    </row>
    <row r="1163" spans="1:9" ht="14.4" x14ac:dyDescent="0.3">
      <c r="A1163" s="197"/>
      <c r="B1163" s="198"/>
      <c r="C1163" s="199"/>
      <c r="D1163" s="200"/>
      <c r="E1163" s="201"/>
      <c r="F1163" s="212"/>
      <c r="G1163" s="201"/>
      <c r="H1163" s="215"/>
      <c r="I1163" s="216"/>
    </row>
    <row r="1164" spans="1:9" ht="14.4" x14ac:dyDescent="0.3">
      <c r="A1164" s="197"/>
      <c r="B1164" s="203"/>
      <c r="C1164" s="204"/>
      <c r="D1164" s="205"/>
      <c r="E1164" s="206"/>
      <c r="F1164" s="218"/>
      <c r="G1164" s="206"/>
      <c r="H1164" s="219"/>
      <c r="I1164" s="220"/>
    </row>
    <row r="1165" spans="1:9" ht="15" thickBot="1" x14ac:dyDescent="0.35">
      <c r="A1165" s="207"/>
      <c r="B1165" s="208"/>
      <c r="C1165" s="209"/>
      <c r="D1165" s="210"/>
      <c r="E1165" s="211"/>
      <c r="F1165" s="221"/>
      <c r="G1165" s="211"/>
      <c r="H1165" s="222"/>
      <c r="I1165" s="223"/>
    </row>
    <row r="1166" spans="1:9" ht="14.4" thickBot="1" x14ac:dyDescent="0.35"/>
    <row r="1167" spans="1:9" ht="14.4" thickBot="1" x14ac:dyDescent="0.35">
      <c r="A1167" s="226" t="s">
        <v>1204</v>
      </c>
      <c r="B1167" s="224" t="s">
        <v>1434</v>
      </c>
      <c r="C1167" s="224" t="s">
        <v>1435</v>
      </c>
      <c r="D1167" s="224" t="s">
        <v>1207</v>
      </c>
      <c r="E1167" s="368" t="s">
        <v>1208</v>
      </c>
      <c r="F1167" s="368"/>
      <c r="G1167" s="368"/>
      <c r="H1167" s="224" t="s">
        <v>1209</v>
      </c>
      <c r="I1167" s="225" t="s">
        <v>1436</v>
      </c>
    </row>
    <row r="1168" spans="1:9" ht="14.4" x14ac:dyDescent="0.3">
      <c r="A1168" s="197"/>
      <c r="B1168" s="193"/>
      <c r="C1168" s="194"/>
      <c r="D1168" s="195"/>
      <c r="E1168" s="196"/>
      <c r="F1168" s="212"/>
      <c r="G1168" s="196"/>
      <c r="H1168" s="213"/>
      <c r="I1168" s="214"/>
    </row>
    <row r="1169" spans="1:9" ht="14.4" x14ac:dyDescent="0.3">
      <c r="A1169" s="197"/>
      <c r="B1169" s="198"/>
      <c r="C1169" s="199"/>
      <c r="D1169" s="200"/>
      <c r="E1169" s="201"/>
      <c r="F1169" s="212"/>
      <c r="G1169" s="201"/>
      <c r="H1169" s="215"/>
      <c r="I1169" s="216"/>
    </row>
    <row r="1170" spans="1:9" ht="14.4" x14ac:dyDescent="0.3">
      <c r="A1170" s="197"/>
      <c r="B1170" s="198"/>
      <c r="C1170" s="199"/>
      <c r="D1170" s="200"/>
      <c r="E1170" s="201"/>
      <c r="F1170" s="212"/>
      <c r="G1170" s="201"/>
      <c r="H1170" s="215"/>
      <c r="I1170" s="216"/>
    </row>
    <row r="1171" spans="1:9" ht="14.4" x14ac:dyDescent="0.3">
      <c r="A1171" s="197"/>
      <c r="B1171" s="198"/>
      <c r="C1171" s="199"/>
      <c r="D1171" s="200"/>
      <c r="E1171" s="201"/>
      <c r="F1171" s="212"/>
      <c r="G1171" s="201"/>
      <c r="H1171" s="215"/>
      <c r="I1171" s="217"/>
    </row>
    <row r="1172" spans="1:9" ht="14.4" x14ac:dyDescent="0.3">
      <c r="A1172" s="197"/>
      <c r="B1172" s="198"/>
      <c r="C1172" s="199"/>
      <c r="D1172" s="200"/>
      <c r="E1172" s="196"/>
      <c r="F1172" s="212"/>
      <c r="G1172" s="196"/>
      <c r="H1172" s="215"/>
      <c r="I1172" s="217"/>
    </row>
    <row r="1173" spans="1:9" ht="14.4" x14ac:dyDescent="0.3">
      <c r="A1173" s="197"/>
      <c r="B1173" s="198"/>
      <c r="C1173" s="199"/>
      <c r="D1173" s="200"/>
      <c r="E1173" s="196"/>
      <c r="F1173" s="212"/>
      <c r="G1173" s="196"/>
      <c r="H1173" s="215"/>
      <c r="I1173" s="216"/>
    </row>
    <row r="1174" spans="1:9" ht="14.4" x14ac:dyDescent="0.3">
      <c r="A1174" s="197"/>
      <c r="B1174" s="198"/>
      <c r="C1174" s="199"/>
      <c r="D1174" s="200"/>
      <c r="E1174" s="201"/>
      <c r="F1174" s="212"/>
      <c r="G1174" s="201"/>
      <c r="H1174" s="215"/>
      <c r="I1174" s="216"/>
    </row>
    <row r="1175" spans="1:9" ht="14.4" x14ac:dyDescent="0.3">
      <c r="A1175" s="197"/>
      <c r="B1175" s="198"/>
      <c r="C1175" s="199"/>
      <c r="D1175" s="200"/>
      <c r="E1175" s="202"/>
      <c r="F1175" s="212"/>
      <c r="G1175" s="201"/>
      <c r="H1175" s="215"/>
      <c r="I1175" s="216"/>
    </row>
    <row r="1176" spans="1:9" ht="14.4" x14ac:dyDescent="0.3">
      <c r="A1176" s="197"/>
      <c r="B1176" s="198"/>
      <c r="C1176" s="199"/>
      <c r="D1176" s="200"/>
      <c r="E1176" s="201"/>
      <c r="F1176" s="212"/>
      <c r="G1176" s="201"/>
      <c r="H1176" s="215"/>
      <c r="I1176" s="216"/>
    </row>
    <row r="1177" spans="1:9" ht="14.4" x14ac:dyDescent="0.3">
      <c r="A1177" s="197"/>
      <c r="B1177" s="198"/>
      <c r="C1177" s="199"/>
      <c r="D1177" s="200"/>
      <c r="E1177" s="201"/>
      <c r="F1177" s="212"/>
      <c r="G1177" s="201"/>
      <c r="H1177" s="215"/>
      <c r="I1177" s="216"/>
    </row>
    <row r="1178" spans="1:9" ht="14.4" x14ac:dyDescent="0.3">
      <c r="A1178" s="197"/>
      <c r="B1178" s="203"/>
      <c r="C1178" s="204"/>
      <c r="D1178" s="205"/>
      <c r="E1178" s="206"/>
      <c r="F1178" s="218"/>
      <c r="G1178" s="206"/>
      <c r="H1178" s="219"/>
      <c r="I1178" s="220"/>
    </row>
    <row r="1179" spans="1:9" ht="15" thickBot="1" x14ac:dyDescent="0.35">
      <c r="A1179" s="207"/>
      <c r="B1179" s="208"/>
      <c r="C1179" s="209"/>
      <c r="D1179" s="210"/>
      <c r="E1179" s="211"/>
      <c r="F1179" s="221"/>
      <c r="G1179" s="211"/>
      <c r="H1179" s="222"/>
      <c r="I1179" s="223"/>
    </row>
    <row r="1180" spans="1:9" ht="14.4" thickBot="1" x14ac:dyDescent="0.35"/>
    <row r="1181" spans="1:9" ht="14.4" thickBot="1" x14ac:dyDescent="0.35">
      <c r="A1181" s="226" t="s">
        <v>1204</v>
      </c>
      <c r="B1181" s="224" t="s">
        <v>1434</v>
      </c>
      <c r="C1181" s="224" t="s">
        <v>1435</v>
      </c>
      <c r="D1181" s="224" t="s">
        <v>1207</v>
      </c>
      <c r="E1181" s="368" t="s">
        <v>1208</v>
      </c>
      <c r="F1181" s="368"/>
      <c r="G1181" s="368"/>
      <c r="H1181" s="224" t="s">
        <v>1209</v>
      </c>
      <c r="I1181" s="225" t="s">
        <v>1436</v>
      </c>
    </row>
    <row r="1182" spans="1:9" ht="14.4" x14ac:dyDescent="0.3">
      <c r="A1182" s="197"/>
      <c r="B1182" s="193"/>
      <c r="C1182" s="194"/>
      <c r="D1182" s="195"/>
      <c r="E1182" s="196"/>
      <c r="F1182" s="212"/>
      <c r="G1182" s="196"/>
      <c r="H1182" s="213"/>
      <c r="I1182" s="214"/>
    </row>
    <row r="1183" spans="1:9" ht="14.4" x14ac:dyDescent="0.3">
      <c r="A1183" s="197"/>
      <c r="B1183" s="198"/>
      <c r="C1183" s="199"/>
      <c r="D1183" s="200"/>
      <c r="E1183" s="201"/>
      <c r="F1183" s="212"/>
      <c r="G1183" s="201"/>
      <c r="H1183" s="215"/>
      <c r="I1183" s="216"/>
    </row>
    <row r="1184" spans="1:9" ht="14.4" x14ac:dyDescent="0.3">
      <c r="A1184" s="197"/>
      <c r="B1184" s="198"/>
      <c r="C1184" s="199"/>
      <c r="D1184" s="200"/>
      <c r="E1184" s="201"/>
      <c r="F1184" s="212"/>
      <c r="G1184" s="201"/>
      <c r="H1184" s="215"/>
      <c r="I1184" s="216"/>
    </row>
    <row r="1185" spans="1:9" ht="14.4" x14ac:dyDescent="0.3">
      <c r="A1185" s="197"/>
      <c r="B1185" s="198"/>
      <c r="C1185" s="199"/>
      <c r="D1185" s="200"/>
      <c r="E1185" s="201"/>
      <c r="F1185" s="212"/>
      <c r="G1185" s="201"/>
      <c r="H1185" s="215"/>
      <c r="I1185" s="217"/>
    </row>
    <row r="1186" spans="1:9" ht="14.4" x14ac:dyDescent="0.3">
      <c r="A1186" s="197"/>
      <c r="B1186" s="198"/>
      <c r="C1186" s="199"/>
      <c r="D1186" s="200"/>
      <c r="E1186" s="196"/>
      <c r="F1186" s="212"/>
      <c r="G1186" s="196"/>
      <c r="H1186" s="215"/>
      <c r="I1186" s="217"/>
    </row>
    <row r="1187" spans="1:9" ht="14.4" x14ac:dyDescent="0.3">
      <c r="A1187" s="197"/>
      <c r="B1187" s="198"/>
      <c r="C1187" s="199"/>
      <c r="D1187" s="200"/>
      <c r="E1187" s="196"/>
      <c r="F1187" s="212"/>
      <c r="G1187" s="196"/>
      <c r="H1187" s="215"/>
      <c r="I1187" s="216"/>
    </row>
    <row r="1188" spans="1:9" ht="14.4" x14ac:dyDescent="0.3">
      <c r="A1188" s="197"/>
      <c r="B1188" s="198"/>
      <c r="C1188" s="199"/>
      <c r="D1188" s="200"/>
      <c r="E1188" s="201"/>
      <c r="F1188" s="212"/>
      <c r="G1188" s="201"/>
      <c r="H1188" s="215"/>
      <c r="I1188" s="216"/>
    </row>
    <row r="1189" spans="1:9" ht="14.4" x14ac:dyDescent="0.3">
      <c r="A1189" s="197"/>
      <c r="B1189" s="198"/>
      <c r="C1189" s="199"/>
      <c r="D1189" s="200"/>
      <c r="E1189" s="202"/>
      <c r="F1189" s="212"/>
      <c r="G1189" s="201"/>
      <c r="H1189" s="215"/>
      <c r="I1189" s="216"/>
    </row>
    <row r="1190" spans="1:9" ht="14.4" x14ac:dyDescent="0.3">
      <c r="A1190" s="197"/>
      <c r="B1190" s="198"/>
      <c r="C1190" s="199"/>
      <c r="D1190" s="200"/>
      <c r="E1190" s="201"/>
      <c r="F1190" s="212"/>
      <c r="G1190" s="201"/>
      <c r="H1190" s="215"/>
      <c r="I1190" s="216"/>
    </row>
    <row r="1191" spans="1:9" ht="14.4" x14ac:dyDescent="0.3">
      <c r="A1191" s="197"/>
      <c r="B1191" s="198"/>
      <c r="C1191" s="199"/>
      <c r="D1191" s="200"/>
      <c r="E1191" s="201"/>
      <c r="F1191" s="212"/>
      <c r="G1191" s="201"/>
      <c r="H1191" s="215"/>
      <c r="I1191" s="216"/>
    </row>
    <row r="1192" spans="1:9" ht="14.4" x14ac:dyDescent="0.3">
      <c r="A1192" s="197"/>
      <c r="B1192" s="203"/>
      <c r="C1192" s="204"/>
      <c r="D1192" s="205"/>
      <c r="E1192" s="206"/>
      <c r="F1192" s="218"/>
      <c r="G1192" s="206"/>
      <c r="H1192" s="219"/>
      <c r="I1192" s="220"/>
    </row>
    <row r="1193" spans="1:9" ht="15" thickBot="1" x14ac:dyDescent="0.35">
      <c r="A1193" s="207"/>
      <c r="B1193" s="208"/>
      <c r="C1193" s="209"/>
      <c r="D1193" s="210"/>
      <c r="E1193" s="211"/>
      <c r="F1193" s="221"/>
      <c r="G1193" s="211"/>
      <c r="H1193" s="222"/>
      <c r="I1193" s="223"/>
    </row>
    <row r="1194" spans="1:9" ht="14.4" thickBot="1" x14ac:dyDescent="0.35"/>
    <row r="1195" spans="1:9" ht="14.4" thickBot="1" x14ac:dyDescent="0.35">
      <c r="A1195" s="226" t="s">
        <v>1204</v>
      </c>
      <c r="B1195" s="224" t="s">
        <v>1434</v>
      </c>
      <c r="C1195" s="224" t="s">
        <v>1435</v>
      </c>
      <c r="D1195" s="224" t="s">
        <v>1207</v>
      </c>
      <c r="E1195" s="368" t="s">
        <v>1208</v>
      </c>
      <c r="F1195" s="368"/>
      <c r="G1195" s="368"/>
      <c r="H1195" s="224" t="s">
        <v>1209</v>
      </c>
      <c r="I1195" s="225" t="s">
        <v>1436</v>
      </c>
    </row>
    <row r="1196" spans="1:9" ht="14.4" x14ac:dyDescent="0.3">
      <c r="A1196" s="197"/>
      <c r="B1196" s="193"/>
      <c r="C1196" s="194"/>
      <c r="D1196" s="195"/>
      <c r="E1196" s="196"/>
      <c r="F1196" s="212"/>
      <c r="G1196" s="196"/>
      <c r="H1196" s="213"/>
      <c r="I1196" s="214"/>
    </row>
    <row r="1197" spans="1:9" ht="14.4" x14ac:dyDescent="0.3">
      <c r="A1197" s="197"/>
      <c r="B1197" s="198"/>
      <c r="C1197" s="199"/>
      <c r="D1197" s="200"/>
      <c r="E1197" s="201"/>
      <c r="F1197" s="212"/>
      <c r="G1197" s="201"/>
      <c r="H1197" s="215"/>
      <c r="I1197" s="216"/>
    </row>
    <row r="1198" spans="1:9" ht="14.4" x14ac:dyDescent="0.3">
      <c r="A1198" s="197"/>
      <c r="B1198" s="198"/>
      <c r="C1198" s="199"/>
      <c r="D1198" s="200"/>
      <c r="E1198" s="201"/>
      <c r="F1198" s="212"/>
      <c r="G1198" s="201"/>
      <c r="H1198" s="215"/>
      <c r="I1198" s="216"/>
    </row>
    <row r="1199" spans="1:9" ht="14.4" x14ac:dyDescent="0.3">
      <c r="A1199" s="197"/>
      <c r="B1199" s="198"/>
      <c r="C1199" s="199"/>
      <c r="D1199" s="200"/>
      <c r="E1199" s="201"/>
      <c r="F1199" s="212"/>
      <c r="G1199" s="201"/>
      <c r="H1199" s="215"/>
      <c r="I1199" s="217"/>
    </row>
    <row r="1200" spans="1:9" ht="14.4" x14ac:dyDescent="0.3">
      <c r="A1200" s="197"/>
      <c r="B1200" s="198"/>
      <c r="C1200" s="199"/>
      <c r="D1200" s="200"/>
      <c r="E1200" s="196"/>
      <c r="F1200" s="212"/>
      <c r="G1200" s="196"/>
      <c r="H1200" s="215"/>
      <c r="I1200" s="217"/>
    </row>
    <row r="1201" spans="1:9" ht="14.4" x14ac:dyDescent="0.3">
      <c r="A1201" s="197"/>
      <c r="B1201" s="198"/>
      <c r="C1201" s="199"/>
      <c r="D1201" s="200"/>
      <c r="E1201" s="196"/>
      <c r="F1201" s="212"/>
      <c r="G1201" s="196"/>
      <c r="H1201" s="215"/>
      <c r="I1201" s="216"/>
    </row>
    <row r="1202" spans="1:9" ht="14.4" x14ac:dyDescent="0.3">
      <c r="A1202" s="197"/>
      <c r="B1202" s="198"/>
      <c r="C1202" s="199"/>
      <c r="D1202" s="200"/>
      <c r="E1202" s="201"/>
      <c r="F1202" s="212"/>
      <c r="G1202" s="201"/>
      <c r="H1202" s="215"/>
      <c r="I1202" s="216"/>
    </row>
    <row r="1203" spans="1:9" ht="14.4" x14ac:dyDescent="0.3">
      <c r="A1203" s="197"/>
      <c r="B1203" s="198"/>
      <c r="C1203" s="199"/>
      <c r="D1203" s="200"/>
      <c r="E1203" s="202"/>
      <c r="F1203" s="212"/>
      <c r="G1203" s="201"/>
      <c r="H1203" s="215"/>
      <c r="I1203" s="216"/>
    </row>
    <row r="1204" spans="1:9" ht="14.4" x14ac:dyDescent="0.3">
      <c r="A1204" s="197"/>
      <c r="B1204" s="198"/>
      <c r="C1204" s="199"/>
      <c r="D1204" s="200"/>
      <c r="E1204" s="201"/>
      <c r="F1204" s="212"/>
      <c r="G1204" s="201"/>
      <c r="H1204" s="215"/>
      <c r="I1204" s="216"/>
    </row>
    <row r="1205" spans="1:9" ht="14.4" x14ac:dyDescent="0.3">
      <c r="A1205" s="197"/>
      <c r="B1205" s="198"/>
      <c r="C1205" s="199"/>
      <c r="D1205" s="200"/>
      <c r="E1205" s="201"/>
      <c r="F1205" s="212"/>
      <c r="G1205" s="201"/>
      <c r="H1205" s="215"/>
      <c r="I1205" s="216"/>
    </row>
    <row r="1206" spans="1:9" ht="14.4" x14ac:dyDescent="0.3">
      <c r="A1206" s="197"/>
      <c r="B1206" s="203"/>
      <c r="C1206" s="204"/>
      <c r="D1206" s="205"/>
      <c r="E1206" s="206"/>
      <c r="F1206" s="218"/>
      <c r="G1206" s="206"/>
      <c r="H1206" s="219"/>
      <c r="I1206" s="220"/>
    </row>
    <row r="1207" spans="1:9" ht="14.4" x14ac:dyDescent="0.3">
      <c r="A1207" s="207"/>
      <c r="B1207" s="208"/>
      <c r="C1207" s="209"/>
      <c r="D1207" s="210"/>
      <c r="E1207" s="211"/>
      <c r="F1207" s="221"/>
      <c r="G1207" s="211"/>
      <c r="H1207" s="222"/>
      <c r="I1207" s="223"/>
    </row>
    <row r="1208" spans="1:9" ht="14.4" thickBot="1" x14ac:dyDescent="0.35"/>
    <row r="1209" spans="1:9" ht="14.4" thickBot="1" x14ac:dyDescent="0.35">
      <c r="A1209" s="226" t="s">
        <v>1204</v>
      </c>
      <c r="B1209" s="224" t="s">
        <v>1434</v>
      </c>
      <c r="C1209" s="224" t="s">
        <v>1435</v>
      </c>
      <c r="D1209" s="224" t="s">
        <v>1207</v>
      </c>
      <c r="E1209" s="368" t="s">
        <v>1208</v>
      </c>
      <c r="F1209" s="368"/>
      <c r="G1209" s="368"/>
      <c r="H1209" s="224" t="s">
        <v>1209</v>
      </c>
      <c r="I1209" s="225" t="s">
        <v>1436</v>
      </c>
    </row>
    <row r="1210" spans="1:9" ht="14.4" x14ac:dyDescent="0.3">
      <c r="A1210" s="197"/>
      <c r="B1210" s="193"/>
      <c r="C1210" s="194"/>
      <c r="D1210" s="195"/>
      <c r="E1210" s="196"/>
      <c r="F1210" s="212"/>
      <c r="G1210" s="196"/>
      <c r="H1210" s="213"/>
      <c r="I1210" s="214"/>
    </row>
    <row r="1211" spans="1:9" ht="14.4" x14ac:dyDescent="0.3">
      <c r="A1211" s="197"/>
      <c r="B1211" s="198"/>
      <c r="C1211" s="199"/>
      <c r="D1211" s="200"/>
      <c r="E1211" s="201"/>
      <c r="F1211" s="212"/>
      <c r="G1211" s="201"/>
      <c r="H1211" s="215"/>
      <c r="I1211" s="216"/>
    </row>
    <row r="1212" spans="1:9" ht="14.4" x14ac:dyDescent="0.3">
      <c r="A1212" s="197"/>
      <c r="B1212" s="198"/>
      <c r="C1212" s="199"/>
      <c r="D1212" s="200"/>
      <c r="E1212" s="201"/>
      <c r="F1212" s="212"/>
      <c r="G1212" s="201"/>
      <c r="H1212" s="215"/>
      <c r="I1212" s="216"/>
    </row>
    <row r="1213" spans="1:9" ht="14.4" x14ac:dyDescent="0.3">
      <c r="A1213" s="197"/>
      <c r="B1213" s="198"/>
      <c r="C1213" s="199"/>
      <c r="D1213" s="200"/>
      <c r="E1213" s="201"/>
      <c r="F1213" s="212"/>
      <c r="G1213" s="201"/>
      <c r="H1213" s="215"/>
      <c r="I1213" s="217"/>
    </row>
    <row r="1214" spans="1:9" ht="14.4" x14ac:dyDescent="0.3">
      <c r="A1214" s="197"/>
      <c r="B1214" s="198"/>
      <c r="C1214" s="199"/>
      <c r="D1214" s="200"/>
      <c r="E1214" s="196"/>
      <c r="F1214" s="212"/>
      <c r="G1214" s="196"/>
      <c r="H1214" s="215"/>
      <c r="I1214" s="217"/>
    </row>
    <row r="1215" spans="1:9" ht="14.4" x14ac:dyDescent="0.3">
      <c r="A1215" s="197"/>
      <c r="B1215" s="198"/>
      <c r="C1215" s="199"/>
      <c r="D1215" s="200"/>
      <c r="E1215" s="196"/>
      <c r="F1215" s="212"/>
      <c r="G1215" s="196"/>
      <c r="H1215" s="215"/>
      <c r="I1215" s="216"/>
    </row>
    <row r="1216" spans="1:9" ht="14.4" x14ac:dyDescent="0.3">
      <c r="A1216" s="197"/>
      <c r="B1216" s="198"/>
      <c r="C1216" s="199"/>
      <c r="D1216" s="200"/>
      <c r="E1216" s="201"/>
      <c r="F1216" s="212"/>
      <c r="G1216" s="201"/>
      <c r="H1216" s="215"/>
      <c r="I1216" s="216"/>
    </row>
    <row r="1217" spans="1:9" ht="14.4" x14ac:dyDescent="0.3">
      <c r="A1217" s="197"/>
      <c r="B1217" s="198"/>
      <c r="C1217" s="199"/>
      <c r="D1217" s="200"/>
      <c r="E1217" s="202"/>
      <c r="F1217" s="212"/>
      <c r="G1217" s="201"/>
      <c r="H1217" s="215"/>
      <c r="I1217" s="216"/>
    </row>
    <row r="1218" spans="1:9" ht="14.4" x14ac:dyDescent="0.3">
      <c r="A1218" s="197"/>
      <c r="B1218" s="198"/>
      <c r="C1218" s="199"/>
      <c r="D1218" s="200"/>
      <c r="E1218" s="201"/>
      <c r="F1218" s="212"/>
      <c r="G1218" s="201"/>
      <c r="H1218" s="215"/>
      <c r="I1218" s="216"/>
    </row>
    <row r="1219" spans="1:9" ht="14.4" x14ac:dyDescent="0.3">
      <c r="A1219" s="197"/>
      <c r="B1219" s="198"/>
      <c r="C1219" s="199"/>
      <c r="D1219" s="200"/>
      <c r="E1219" s="201"/>
      <c r="F1219" s="212"/>
      <c r="G1219" s="201"/>
      <c r="H1219" s="215"/>
      <c r="I1219" s="216"/>
    </row>
    <row r="1220" spans="1:9" ht="14.4" x14ac:dyDescent="0.3">
      <c r="A1220" s="197"/>
      <c r="B1220" s="203"/>
      <c r="C1220" s="204"/>
      <c r="D1220" s="205"/>
      <c r="E1220" s="206"/>
      <c r="F1220" s="218"/>
      <c r="G1220" s="206"/>
      <c r="H1220" s="219"/>
      <c r="I1220" s="220"/>
    </row>
    <row r="1221" spans="1:9" ht="14.4" x14ac:dyDescent="0.3">
      <c r="A1221" s="207"/>
      <c r="B1221" s="208"/>
      <c r="C1221" s="209"/>
      <c r="D1221" s="210"/>
      <c r="E1221" s="211"/>
      <c r="F1221" s="221"/>
      <c r="G1221" s="211"/>
      <c r="H1221" s="222"/>
      <c r="I1221" s="223"/>
    </row>
    <row r="1222" spans="1:9" ht="14.4" thickBot="1" x14ac:dyDescent="0.35"/>
    <row r="1223" spans="1:9" ht="14.4" thickBot="1" x14ac:dyDescent="0.35">
      <c r="A1223" s="226" t="s">
        <v>1204</v>
      </c>
      <c r="B1223" s="224" t="s">
        <v>1434</v>
      </c>
      <c r="C1223" s="224" t="s">
        <v>1435</v>
      </c>
      <c r="D1223" s="224" t="s">
        <v>1207</v>
      </c>
      <c r="E1223" s="368" t="s">
        <v>1208</v>
      </c>
      <c r="F1223" s="368"/>
      <c r="G1223" s="368"/>
      <c r="H1223" s="224" t="s">
        <v>1209</v>
      </c>
      <c r="I1223" s="225" t="s">
        <v>1436</v>
      </c>
    </row>
    <row r="1224" spans="1:9" ht="14.4" x14ac:dyDescent="0.3">
      <c r="A1224" s="197"/>
      <c r="B1224" s="193"/>
      <c r="C1224" s="194"/>
      <c r="D1224" s="195"/>
      <c r="E1224" s="196"/>
      <c r="F1224" s="212"/>
      <c r="G1224" s="196"/>
      <c r="H1224" s="213"/>
      <c r="I1224" s="214"/>
    </row>
    <row r="1225" spans="1:9" ht="14.4" x14ac:dyDescent="0.3">
      <c r="A1225" s="197"/>
      <c r="B1225" s="198"/>
      <c r="C1225" s="199"/>
      <c r="D1225" s="200"/>
      <c r="E1225" s="201"/>
      <c r="F1225" s="212"/>
      <c r="G1225" s="201"/>
      <c r="H1225" s="215"/>
      <c r="I1225" s="216"/>
    </row>
    <row r="1226" spans="1:9" ht="14.4" x14ac:dyDescent="0.3">
      <c r="A1226" s="197"/>
      <c r="B1226" s="198"/>
      <c r="C1226" s="199"/>
      <c r="D1226" s="200"/>
      <c r="E1226" s="201"/>
      <c r="F1226" s="212"/>
      <c r="G1226" s="201"/>
      <c r="H1226" s="215"/>
      <c r="I1226" s="216"/>
    </row>
    <row r="1227" spans="1:9" ht="14.4" x14ac:dyDescent="0.3">
      <c r="A1227" s="197"/>
      <c r="B1227" s="198"/>
      <c r="C1227" s="199"/>
      <c r="D1227" s="200"/>
      <c r="E1227" s="201"/>
      <c r="F1227" s="212"/>
      <c r="G1227" s="201"/>
      <c r="H1227" s="215"/>
      <c r="I1227" s="217"/>
    </row>
    <row r="1228" spans="1:9" ht="14.4" x14ac:dyDescent="0.3">
      <c r="A1228" s="197"/>
      <c r="B1228" s="198"/>
      <c r="C1228" s="199"/>
      <c r="D1228" s="200"/>
      <c r="E1228" s="196"/>
      <c r="F1228" s="212"/>
      <c r="G1228" s="196"/>
      <c r="H1228" s="215"/>
      <c r="I1228" s="217"/>
    </row>
    <row r="1229" spans="1:9" ht="14.4" x14ac:dyDescent="0.3">
      <c r="A1229" s="197"/>
      <c r="B1229" s="198"/>
      <c r="C1229" s="199"/>
      <c r="D1229" s="200"/>
      <c r="E1229" s="196"/>
      <c r="F1229" s="212"/>
      <c r="G1229" s="196"/>
      <c r="H1229" s="215"/>
      <c r="I1229" s="216"/>
    </row>
    <row r="1230" spans="1:9" ht="14.4" x14ac:dyDescent="0.3">
      <c r="A1230" s="197"/>
      <c r="B1230" s="198"/>
      <c r="C1230" s="199"/>
      <c r="D1230" s="200"/>
      <c r="E1230" s="201"/>
      <c r="F1230" s="212"/>
      <c r="G1230" s="201"/>
      <c r="H1230" s="215"/>
      <c r="I1230" s="216"/>
    </row>
    <row r="1231" spans="1:9" ht="14.4" x14ac:dyDescent="0.3">
      <c r="A1231" s="197"/>
      <c r="B1231" s="198"/>
      <c r="C1231" s="199"/>
      <c r="D1231" s="200"/>
      <c r="E1231" s="202"/>
      <c r="F1231" s="212"/>
      <c r="G1231" s="201"/>
      <c r="H1231" s="215"/>
      <c r="I1231" s="216"/>
    </row>
    <row r="1232" spans="1:9" ht="14.4" x14ac:dyDescent="0.3">
      <c r="A1232" s="197"/>
      <c r="B1232" s="198"/>
      <c r="C1232" s="199"/>
      <c r="D1232" s="200"/>
      <c r="E1232" s="201"/>
      <c r="F1232" s="212"/>
      <c r="G1232" s="201"/>
      <c r="H1232" s="215"/>
      <c r="I1232" s="216"/>
    </row>
    <row r="1233" spans="1:9" ht="14.4" x14ac:dyDescent="0.3">
      <c r="A1233" s="197"/>
      <c r="B1233" s="198"/>
      <c r="C1233" s="199"/>
      <c r="D1233" s="200"/>
      <c r="E1233" s="201"/>
      <c r="F1233" s="212"/>
      <c r="G1233" s="201"/>
      <c r="H1233" s="215"/>
      <c r="I1233" s="216"/>
    </row>
    <row r="1234" spans="1:9" ht="14.4" x14ac:dyDescent="0.3">
      <c r="A1234" s="197"/>
      <c r="B1234" s="203"/>
      <c r="C1234" s="204"/>
      <c r="D1234" s="205"/>
      <c r="E1234" s="206"/>
      <c r="F1234" s="218"/>
      <c r="G1234" s="206"/>
      <c r="H1234" s="219"/>
      <c r="I1234" s="220"/>
    </row>
    <row r="1235" spans="1:9" ht="14.4" x14ac:dyDescent="0.3">
      <c r="A1235" s="207"/>
      <c r="B1235" s="208"/>
      <c r="C1235" s="209"/>
      <c r="D1235" s="210"/>
      <c r="E1235" s="211"/>
      <c r="F1235" s="221"/>
      <c r="G1235" s="211"/>
      <c r="H1235" s="222"/>
      <c r="I1235" s="223"/>
    </row>
    <row r="1236" spans="1:9" ht="14.4" thickBot="1" x14ac:dyDescent="0.35"/>
    <row r="1237" spans="1:9" ht="14.4" thickBot="1" x14ac:dyDescent="0.35">
      <c r="A1237" s="226" t="s">
        <v>1204</v>
      </c>
      <c r="B1237" s="224" t="s">
        <v>1434</v>
      </c>
      <c r="C1237" s="224" t="s">
        <v>1435</v>
      </c>
      <c r="D1237" s="224" t="s">
        <v>1207</v>
      </c>
      <c r="E1237" s="368" t="s">
        <v>1208</v>
      </c>
      <c r="F1237" s="368"/>
      <c r="G1237" s="368"/>
      <c r="H1237" s="224" t="s">
        <v>1209</v>
      </c>
      <c r="I1237" s="225" t="s">
        <v>1436</v>
      </c>
    </row>
    <row r="1238" spans="1:9" ht="14.4" x14ac:dyDescent="0.3">
      <c r="A1238" s="197"/>
      <c r="B1238" s="193"/>
      <c r="C1238" s="194"/>
      <c r="D1238" s="195"/>
      <c r="E1238" s="196"/>
      <c r="F1238" s="212"/>
      <c r="G1238" s="196"/>
      <c r="H1238" s="213"/>
      <c r="I1238" s="214"/>
    </row>
    <row r="1239" spans="1:9" ht="14.4" x14ac:dyDescent="0.3">
      <c r="A1239" s="197"/>
      <c r="B1239" s="198"/>
      <c r="C1239" s="199"/>
      <c r="D1239" s="200"/>
      <c r="E1239" s="201"/>
      <c r="F1239" s="212"/>
      <c r="G1239" s="201"/>
      <c r="H1239" s="215"/>
      <c r="I1239" s="216"/>
    </row>
    <row r="1240" spans="1:9" ht="14.4" x14ac:dyDescent="0.3">
      <c r="A1240" s="197"/>
      <c r="B1240" s="198"/>
      <c r="C1240" s="199"/>
      <c r="D1240" s="200"/>
      <c r="E1240" s="201"/>
      <c r="F1240" s="212"/>
      <c r="G1240" s="201"/>
      <c r="H1240" s="215"/>
      <c r="I1240" s="216"/>
    </row>
    <row r="1241" spans="1:9" ht="14.4" x14ac:dyDescent="0.3">
      <c r="A1241" s="197"/>
      <c r="B1241" s="198"/>
      <c r="C1241" s="199"/>
      <c r="D1241" s="200"/>
      <c r="E1241" s="201"/>
      <c r="F1241" s="212"/>
      <c r="G1241" s="201"/>
      <c r="H1241" s="215"/>
      <c r="I1241" s="217"/>
    </row>
    <row r="1242" spans="1:9" ht="14.4" x14ac:dyDescent="0.3">
      <c r="A1242" s="197"/>
      <c r="B1242" s="198"/>
      <c r="C1242" s="199"/>
      <c r="D1242" s="200"/>
      <c r="E1242" s="196"/>
      <c r="F1242" s="212"/>
      <c r="G1242" s="196"/>
      <c r="H1242" s="215"/>
      <c r="I1242" s="217"/>
    </row>
    <row r="1243" spans="1:9" ht="14.4" x14ac:dyDescent="0.3">
      <c r="A1243" s="197"/>
      <c r="B1243" s="198"/>
      <c r="C1243" s="199"/>
      <c r="D1243" s="200"/>
      <c r="E1243" s="196"/>
      <c r="F1243" s="212"/>
      <c r="G1243" s="196"/>
      <c r="H1243" s="215"/>
      <c r="I1243" s="216"/>
    </row>
    <row r="1244" spans="1:9" ht="14.4" x14ac:dyDescent="0.3">
      <c r="A1244" s="197"/>
      <c r="B1244" s="198"/>
      <c r="C1244" s="199"/>
      <c r="D1244" s="200"/>
      <c r="E1244" s="201"/>
      <c r="F1244" s="212"/>
      <c r="G1244" s="201"/>
      <c r="H1244" s="215"/>
      <c r="I1244" s="216"/>
    </row>
    <row r="1245" spans="1:9" ht="14.4" x14ac:dyDescent="0.3">
      <c r="A1245" s="197"/>
      <c r="B1245" s="198"/>
      <c r="C1245" s="199"/>
      <c r="D1245" s="200"/>
      <c r="E1245" s="202"/>
      <c r="F1245" s="212"/>
      <c r="G1245" s="201"/>
      <c r="H1245" s="215"/>
      <c r="I1245" s="216"/>
    </row>
    <row r="1246" spans="1:9" ht="14.4" x14ac:dyDescent="0.3">
      <c r="A1246" s="197"/>
      <c r="B1246" s="198"/>
      <c r="C1246" s="199"/>
      <c r="D1246" s="200"/>
      <c r="E1246" s="201"/>
      <c r="F1246" s="212"/>
      <c r="G1246" s="201"/>
      <c r="H1246" s="215"/>
      <c r="I1246" s="216"/>
    </row>
    <row r="1247" spans="1:9" ht="14.4" x14ac:dyDescent="0.3">
      <c r="A1247" s="197"/>
      <c r="B1247" s="198"/>
      <c r="C1247" s="199"/>
      <c r="D1247" s="200"/>
      <c r="E1247" s="201"/>
      <c r="F1247" s="212"/>
      <c r="G1247" s="201"/>
      <c r="H1247" s="215"/>
      <c r="I1247" s="216"/>
    </row>
    <row r="1248" spans="1:9" ht="14.4" x14ac:dyDescent="0.3">
      <c r="A1248" s="197"/>
      <c r="B1248" s="203"/>
      <c r="C1248" s="204"/>
      <c r="D1248" s="205"/>
      <c r="E1248" s="206"/>
      <c r="F1248" s="218"/>
      <c r="G1248" s="206"/>
      <c r="H1248" s="219"/>
      <c r="I1248" s="220"/>
    </row>
    <row r="1249" spans="1:9" ht="15" thickBot="1" x14ac:dyDescent="0.35">
      <c r="A1249" s="207"/>
      <c r="B1249" s="208"/>
      <c r="C1249" s="209"/>
      <c r="D1249" s="210"/>
      <c r="E1249" s="211"/>
      <c r="F1249" s="221"/>
      <c r="G1249" s="211"/>
      <c r="H1249" s="222"/>
      <c r="I1249" s="223"/>
    </row>
    <row r="1250" spans="1:9" ht="14.4" thickBot="1" x14ac:dyDescent="0.35"/>
    <row r="1251" spans="1:9" ht="14.4" thickBot="1" x14ac:dyDescent="0.35">
      <c r="A1251" s="226" t="s">
        <v>1204</v>
      </c>
      <c r="B1251" s="224" t="s">
        <v>1434</v>
      </c>
      <c r="C1251" s="224" t="s">
        <v>1435</v>
      </c>
      <c r="D1251" s="224" t="s">
        <v>1207</v>
      </c>
      <c r="E1251" s="368" t="s">
        <v>1208</v>
      </c>
      <c r="F1251" s="368"/>
      <c r="G1251" s="368"/>
      <c r="H1251" s="224" t="s">
        <v>1209</v>
      </c>
      <c r="I1251" s="225" t="s">
        <v>1436</v>
      </c>
    </row>
    <row r="1252" spans="1:9" ht="14.4" x14ac:dyDescent="0.3">
      <c r="A1252" s="197"/>
      <c r="B1252" s="193"/>
      <c r="C1252" s="194"/>
      <c r="D1252" s="195"/>
      <c r="E1252" s="196"/>
      <c r="F1252" s="212"/>
      <c r="G1252" s="196"/>
      <c r="H1252" s="213"/>
      <c r="I1252" s="214"/>
    </row>
    <row r="1253" spans="1:9" ht="14.4" x14ac:dyDescent="0.3">
      <c r="A1253" s="197"/>
      <c r="B1253" s="198"/>
      <c r="C1253" s="199"/>
      <c r="D1253" s="200"/>
      <c r="E1253" s="201"/>
      <c r="F1253" s="212"/>
      <c r="G1253" s="201"/>
      <c r="H1253" s="215"/>
      <c r="I1253" s="216"/>
    </row>
    <row r="1254" spans="1:9" ht="14.4" x14ac:dyDescent="0.3">
      <c r="A1254" s="197"/>
      <c r="B1254" s="198"/>
      <c r="C1254" s="199"/>
      <c r="D1254" s="200"/>
      <c r="E1254" s="201"/>
      <c r="F1254" s="212"/>
      <c r="G1254" s="201"/>
      <c r="H1254" s="215"/>
      <c r="I1254" s="216"/>
    </row>
    <row r="1255" spans="1:9" ht="14.4" x14ac:dyDescent="0.3">
      <c r="A1255" s="197"/>
      <c r="B1255" s="198"/>
      <c r="C1255" s="199"/>
      <c r="D1255" s="200"/>
      <c r="E1255" s="201"/>
      <c r="F1255" s="212"/>
      <c r="G1255" s="201"/>
      <c r="H1255" s="215"/>
      <c r="I1255" s="217"/>
    </row>
    <row r="1256" spans="1:9" ht="14.4" x14ac:dyDescent="0.3">
      <c r="A1256" s="197"/>
      <c r="B1256" s="198"/>
      <c r="C1256" s="199"/>
      <c r="D1256" s="200"/>
      <c r="E1256" s="196"/>
      <c r="F1256" s="212"/>
      <c r="G1256" s="196"/>
      <c r="H1256" s="215"/>
      <c r="I1256" s="217"/>
    </row>
    <row r="1257" spans="1:9" ht="14.4" x14ac:dyDescent="0.3">
      <c r="A1257" s="197"/>
      <c r="B1257" s="198"/>
      <c r="C1257" s="199"/>
      <c r="D1257" s="200"/>
      <c r="E1257" s="196"/>
      <c r="F1257" s="212"/>
      <c r="G1257" s="196"/>
      <c r="H1257" s="215"/>
      <c r="I1257" s="216"/>
    </row>
    <row r="1258" spans="1:9" ht="14.4" x14ac:dyDescent="0.3">
      <c r="A1258" s="197"/>
      <c r="B1258" s="198"/>
      <c r="C1258" s="199"/>
      <c r="D1258" s="200"/>
      <c r="E1258" s="201"/>
      <c r="F1258" s="212"/>
      <c r="G1258" s="201"/>
      <c r="H1258" s="215"/>
      <c r="I1258" s="216"/>
    </row>
    <row r="1259" spans="1:9" ht="14.4" x14ac:dyDescent="0.3">
      <c r="A1259" s="197"/>
      <c r="B1259" s="198"/>
      <c r="C1259" s="199"/>
      <c r="D1259" s="200"/>
      <c r="E1259" s="202"/>
      <c r="F1259" s="212"/>
      <c r="G1259" s="201"/>
      <c r="H1259" s="215"/>
      <c r="I1259" s="216"/>
    </row>
    <row r="1260" spans="1:9" ht="14.4" x14ac:dyDescent="0.3">
      <c r="A1260" s="197"/>
      <c r="B1260" s="198"/>
      <c r="C1260" s="199"/>
      <c r="D1260" s="200"/>
      <c r="E1260" s="201"/>
      <c r="F1260" s="212"/>
      <c r="G1260" s="201"/>
      <c r="H1260" s="215"/>
      <c r="I1260" s="216"/>
    </row>
    <row r="1261" spans="1:9" ht="14.4" x14ac:dyDescent="0.3">
      <c r="A1261" s="197"/>
      <c r="B1261" s="198"/>
      <c r="C1261" s="199"/>
      <c r="D1261" s="200"/>
      <c r="E1261" s="201"/>
      <c r="F1261" s="212"/>
      <c r="G1261" s="201"/>
      <c r="H1261" s="215"/>
      <c r="I1261" s="216"/>
    </row>
    <row r="1262" spans="1:9" ht="14.4" x14ac:dyDescent="0.3">
      <c r="A1262" s="197"/>
      <c r="B1262" s="203"/>
      <c r="C1262" s="204"/>
      <c r="D1262" s="205"/>
      <c r="E1262" s="206"/>
      <c r="F1262" s="218"/>
      <c r="G1262" s="206"/>
      <c r="H1262" s="219"/>
      <c r="I1262" s="220"/>
    </row>
    <row r="1263" spans="1:9" ht="15" thickBot="1" x14ac:dyDescent="0.35">
      <c r="A1263" s="207"/>
      <c r="B1263" s="208"/>
      <c r="C1263" s="209"/>
      <c r="D1263" s="210"/>
      <c r="E1263" s="211"/>
      <c r="F1263" s="221"/>
      <c r="G1263" s="211"/>
      <c r="H1263" s="222"/>
      <c r="I1263" s="223"/>
    </row>
    <row r="1264" spans="1:9" ht="14.4" thickBot="1" x14ac:dyDescent="0.35"/>
    <row r="1265" spans="1:9" ht="14.4" thickBot="1" x14ac:dyDescent="0.35">
      <c r="A1265" s="226" t="s">
        <v>1204</v>
      </c>
      <c r="B1265" s="224" t="s">
        <v>1434</v>
      </c>
      <c r="C1265" s="224" t="s">
        <v>1435</v>
      </c>
      <c r="D1265" s="224" t="s">
        <v>1207</v>
      </c>
      <c r="E1265" s="368" t="s">
        <v>1208</v>
      </c>
      <c r="F1265" s="368"/>
      <c r="G1265" s="368"/>
      <c r="H1265" s="224" t="s">
        <v>1209</v>
      </c>
      <c r="I1265" s="225" t="s">
        <v>1436</v>
      </c>
    </row>
    <row r="1266" spans="1:9" ht="14.4" x14ac:dyDescent="0.3">
      <c r="A1266" s="197"/>
      <c r="B1266" s="193"/>
      <c r="C1266" s="194"/>
      <c r="D1266" s="195"/>
      <c r="E1266" s="196"/>
      <c r="F1266" s="212"/>
      <c r="G1266" s="196"/>
      <c r="H1266" s="213"/>
      <c r="I1266" s="214"/>
    </row>
    <row r="1267" spans="1:9" ht="14.4" x14ac:dyDescent="0.3">
      <c r="A1267" s="197"/>
      <c r="B1267" s="198"/>
      <c r="C1267" s="199"/>
      <c r="D1267" s="200"/>
      <c r="E1267" s="201"/>
      <c r="F1267" s="212"/>
      <c r="G1267" s="201"/>
      <c r="H1267" s="215"/>
      <c r="I1267" s="216"/>
    </row>
    <row r="1268" spans="1:9" ht="14.4" x14ac:dyDescent="0.3">
      <c r="A1268" s="197"/>
      <c r="B1268" s="198"/>
      <c r="C1268" s="199"/>
      <c r="D1268" s="200"/>
      <c r="E1268" s="201"/>
      <c r="F1268" s="212"/>
      <c r="G1268" s="201"/>
      <c r="H1268" s="215"/>
      <c r="I1268" s="216"/>
    </row>
    <row r="1269" spans="1:9" ht="14.4" x14ac:dyDescent="0.3">
      <c r="A1269" s="197"/>
      <c r="B1269" s="198"/>
      <c r="C1269" s="199"/>
      <c r="D1269" s="200"/>
      <c r="E1269" s="201"/>
      <c r="F1269" s="212"/>
      <c r="G1269" s="201"/>
      <c r="H1269" s="215"/>
      <c r="I1269" s="217"/>
    </row>
    <row r="1270" spans="1:9" ht="14.4" x14ac:dyDescent="0.3">
      <c r="A1270" s="197"/>
      <c r="B1270" s="198"/>
      <c r="C1270" s="199"/>
      <c r="D1270" s="200"/>
      <c r="E1270" s="196"/>
      <c r="F1270" s="212"/>
      <c r="G1270" s="196"/>
      <c r="H1270" s="215"/>
      <c r="I1270" s="217"/>
    </row>
    <row r="1271" spans="1:9" ht="14.4" x14ac:dyDescent="0.3">
      <c r="A1271" s="197"/>
      <c r="B1271" s="198"/>
      <c r="C1271" s="199"/>
      <c r="D1271" s="200"/>
      <c r="E1271" s="196"/>
      <c r="F1271" s="212"/>
      <c r="G1271" s="196"/>
      <c r="H1271" s="215"/>
      <c r="I1271" s="216"/>
    </row>
    <row r="1272" spans="1:9" ht="14.4" x14ac:dyDescent="0.3">
      <c r="A1272" s="197"/>
      <c r="B1272" s="198"/>
      <c r="C1272" s="199"/>
      <c r="D1272" s="200"/>
      <c r="E1272" s="201"/>
      <c r="F1272" s="212"/>
      <c r="G1272" s="201"/>
      <c r="H1272" s="215"/>
      <c r="I1272" s="216"/>
    </row>
    <row r="1273" spans="1:9" ht="14.4" x14ac:dyDescent="0.3">
      <c r="A1273" s="197"/>
      <c r="B1273" s="198"/>
      <c r="C1273" s="199"/>
      <c r="D1273" s="200"/>
      <c r="E1273" s="202"/>
      <c r="F1273" s="212"/>
      <c r="G1273" s="201"/>
      <c r="H1273" s="215"/>
      <c r="I1273" s="216"/>
    </row>
    <row r="1274" spans="1:9" ht="14.4" x14ac:dyDescent="0.3">
      <c r="A1274" s="197"/>
      <c r="B1274" s="198"/>
      <c r="C1274" s="199"/>
      <c r="D1274" s="200"/>
      <c r="E1274" s="201"/>
      <c r="F1274" s="212"/>
      <c r="G1274" s="201"/>
      <c r="H1274" s="215"/>
      <c r="I1274" s="216"/>
    </row>
    <row r="1275" spans="1:9" ht="14.4" x14ac:dyDescent="0.3">
      <c r="A1275" s="197"/>
      <c r="B1275" s="198"/>
      <c r="C1275" s="199"/>
      <c r="D1275" s="200"/>
      <c r="E1275" s="201"/>
      <c r="F1275" s="212"/>
      <c r="G1275" s="201"/>
      <c r="H1275" s="215"/>
      <c r="I1275" s="216"/>
    </row>
    <row r="1276" spans="1:9" ht="14.4" x14ac:dyDescent="0.3">
      <c r="A1276" s="197"/>
      <c r="B1276" s="203"/>
      <c r="C1276" s="204"/>
      <c r="D1276" s="205"/>
      <c r="E1276" s="206"/>
      <c r="F1276" s="218"/>
      <c r="G1276" s="206"/>
      <c r="H1276" s="219"/>
      <c r="I1276" s="220"/>
    </row>
    <row r="1277" spans="1:9" ht="15" thickBot="1" x14ac:dyDescent="0.35">
      <c r="A1277" s="207"/>
      <c r="B1277" s="208"/>
      <c r="C1277" s="209"/>
      <c r="D1277" s="210"/>
      <c r="E1277" s="211"/>
      <c r="F1277" s="221"/>
      <c r="G1277" s="211"/>
      <c r="H1277" s="222"/>
      <c r="I1277" s="223"/>
    </row>
    <row r="1278" spans="1:9" ht="14.4" thickBot="1" x14ac:dyDescent="0.35"/>
    <row r="1279" spans="1:9" ht="14.4" thickBot="1" x14ac:dyDescent="0.35">
      <c r="A1279" s="226" t="s">
        <v>1204</v>
      </c>
      <c r="B1279" s="224" t="s">
        <v>1434</v>
      </c>
      <c r="C1279" s="224" t="s">
        <v>1435</v>
      </c>
      <c r="D1279" s="224" t="s">
        <v>1207</v>
      </c>
      <c r="E1279" s="368" t="s">
        <v>1208</v>
      </c>
      <c r="F1279" s="368"/>
      <c r="G1279" s="368"/>
      <c r="H1279" s="224" t="s">
        <v>1209</v>
      </c>
      <c r="I1279" s="225" t="s">
        <v>1436</v>
      </c>
    </row>
    <row r="1280" spans="1:9" ht="14.4" x14ac:dyDescent="0.3">
      <c r="A1280" s="197"/>
      <c r="B1280" s="193"/>
      <c r="C1280" s="194"/>
      <c r="D1280" s="195"/>
      <c r="E1280" s="196"/>
      <c r="F1280" s="212"/>
      <c r="G1280" s="196"/>
      <c r="H1280" s="213"/>
      <c r="I1280" s="214"/>
    </row>
    <row r="1281" spans="1:9" ht="14.4" x14ac:dyDescent="0.3">
      <c r="A1281" s="197"/>
      <c r="B1281" s="198"/>
      <c r="C1281" s="199"/>
      <c r="D1281" s="200"/>
      <c r="E1281" s="201"/>
      <c r="F1281" s="212"/>
      <c r="G1281" s="201"/>
      <c r="H1281" s="215"/>
      <c r="I1281" s="216"/>
    </row>
    <row r="1282" spans="1:9" ht="14.4" x14ac:dyDescent="0.3">
      <c r="A1282" s="197"/>
      <c r="B1282" s="198"/>
      <c r="C1282" s="199"/>
      <c r="D1282" s="200"/>
      <c r="E1282" s="201"/>
      <c r="F1282" s="212"/>
      <c r="G1282" s="201"/>
      <c r="H1282" s="215"/>
      <c r="I1282" s="216"/>
    </row>
    <row r="1283" spans="1:9" ht="14.4" x14ac:dyDescent="0.3">
      <c r="A1283" s="197"/>
      <c r="B1283" s="198"/>
      <c r="C1283" s="199"/>
      <c r="D1283" s="200"/>
      <c r="E1283" s="201"/>
      <c r="F1283" s="212"/>
      <c r="G1283" s="201"/>
      <c r="H1283" s="215"/>
      <c r="I1283" s="217"/>
    </row>
    <row r="1284" spans="1:9" ht="14.4" x14ac:dyDescent="0.3">
      <c r="A1284" s="197"/>
      <c r="B1284" s="198"/>
      <c r="C1284" s="199"/>
      <c r="D1284" s="200"/>
      <c r="E1284" s="196"/>
      <c r="F1284" s="212"/>
      <c r="G1284" s="196"/>
      <c r="H1284" s="215"/>
      <c r="I1284" s="217"/>
    </row>
    <row r="1285" spans="1:9" ht="14.4" x14ac:dyDescent="0.3">
      <c r="A1285" s="197"/>
      <c r="B1285" s="198"/>
      <c r="C1285" s="199"/>
      <c r="D1285" s="200"/>
      <c r="E1285" s="196"/>
      <c r="F1285" s="212"/>
      <c r="G1285" s="196"/>
      <c r="H1285" s="215"/>
      <c r="I1285" s="216"/>
    </row>
    <row r="1286" spans="1:9" ht="14.4" x14ac:dyDescent="0.3">
      <c r="A1286" s="197"/>
      <c r="B1286" s="198"/>
      <c r="C1286" s="199"/>
      <c r="D1286" s="200"/>
      <c r="E1286" s="201"/>
      <c r="F1286" s="212"/>
      <c r="G1286" s="201"/>
      <c r="H1286" s="215"/>
      <c r="I1286" s="216"/>
    </row>
    <row r="1287" spans="1:9" ht="14.4" x14ac:dyDescent="0.3">
      <c r="A1287" s="197"/>
      <c r="B1287" s="198"/>
      <c r="C1287" s="199"/>
      <c r="D1287" s="200"/>
      <c r="E1287" s="202"/>
      <c r="F1287" s="212"/>
      <c r="G1287" s="201"/>
      <c r="H1287" s="215"/>
      <c r="I1287" s="216"/>
    </row>
    <row r="1288" spans="1:9" ht="14.4" x14ac:dyDescent="0.3">
      <c r="A1288" s="197"/>
      <c r="B1288" s="198"/>
      <c r="C1288" s="199"/>
      <c r="D1288" s="200"/>
      <c r="E1288" s="201"/>
      <c r="F1288" s="212"/>
      <c r="G1288" s="201"/>
      <c r="H1288" s="215"/>
      <c r="I1288" s="216"/>
    </row>
    <row r="1289" spans="1:9" ht="14.4" x14ac:dyDescent="0.3">
      <c r="A1289" s="197"/>
      <c r="B1289" s="198"/>
      <c r="C1289" s="199"/>
      <c r="D1289" s="200"/>
      <c r="E1289" s="201"/>
      <c r="F1289" s="212"/>
      <c r="G1289" s="201"/>
      <c r="H1289" s="215"/>
      <c r="I1289" s="216"/>
    </row>
    <row r="1290" spans="1:9" ht="14.4" x14ac:dyDescent="0.3">
      <c r="A1290" s="197"/>
      <c r="B1290" s="203"/>
      <c r="C1290" s="204"/>
      <c r="D1290" s="205"/>
      <c r="E1290" s="206"/>
      <c r="F1290" s="218"/>
      <c r="G1290" s="206"/>
      <c r="H1290" s="219"/>
      <c r="I1290" s="220"/>
    </row>
    <row r="1291" spans="1:9" ht="15" thickBot="1" x14ac:dyDescent="0.35">
      <c r="A1291" s="207"/>
      <c r="B1291" s="208"/>
      <c r="C1291" s="209"/>
      <c r="D1291" s="210"/>
      <c r="E1291" s="211"/>
      <c r="F1291" s="221"/>
      <c r="G1291" s="211"/>
      <c r="H1291" s="222"/>
      <c r="I1291" s="223"/>
    </row>
    <row r="1292" spans="1:9" ht="14.4" thickBot="1" x14ac:dyDescent="0.35"/>
    <row r="1293" spans="1:9" ht="14.4" thickBot="1" x14ac:dyDescent="0.35">
      <c r="A1293" s="226" t="s">
        <v>1204</v>
      </c>
      <c r="B1293" s="224" t="s">
        <v>1434</v>
      </c>
      <c r="C1293" s="224" t="s">
        <v>1435</v>
      </c>
      <c r="D1293" s="224" t="s">
        <v>1207</v>
      </c>
      <c r="E1293" s="368" t="s">
        <v>1208</v>
      </c>
      <c r="F1293" s="368"/>
      <c r="G1293" s="368"/>
      <c r="H1293" s="224" t="s">
        <v>1209</v>
      </c>
      <c r="I1293" s="225" t="s">
        <v>1436</v>
      </c>
    </row>
    <row r="1294" spans="1:9" ht="14.4" x14ac:dyDescent="0.3">
      <c r="A1294" s="197"/>
      <c r="B1294" s="193"/>
      <c r="C1294" s="194"/>
      <c r="D1294" s="195"/>
      <c r="E1294" s="196"/>
      <c r="F1294" s="212"/>
      <c r="G1294" s="196"/>
      <c r="H1294" s="213"/>
      <c r="I1294" s="214"/>
    </row>
    <row r="1295" spans="1:9" ht="14.4" x14ac:dyDescent="0.3">
      <c r="A1295" s="197"/>
      <c r="B1295" s="198"/>
      <c r="C1295" s="199"/>
      <c r="D1295" s="200"/>
      <c r="E1295" s="201"/>
      <c r="F1295" s="212"/>
      <c r="G1295" s="201"/>
      <c r="H1295" s="215"/>
      <c r="I1295" s="216"/>
    </row>
    <row r="1296" spans="1:9" ht="14.4" x14ac:dyDescent="0.3">
      <c r="A1296" s="197"/>
      <c r="B1296" s="198"/>
      <c r="C1296" s="199"/>
      <c r="D1296" s="200"/>
      <c r="E1296" s="201"/>
      <c r="F1296" s="212"/>
      <c r="G1296" s="201"/>
      <c r="H1296" s="215"/>
      <c r="I1296" s="216"/>
    </row>
    <row r="1297" spans="1:9" ht="14.4" x14ac:dyDescent="0.3">
      <c r="A1297" s="197"/>
      <c r="B1297" s="198"/>
      <c r="C1297" s="199"/>
      <c r="D1297" s="200"/>
      <c r="E1297" s="201"/>
      <c r="F1297" s="212"/>
      <c r="G1297" s="201"/>
      <c r="H1297" s="215"/>
      <c r="I1297" s="217"/>
    </row>
    <row r="1298" spans="1:9" ht="14.4" x14ac:dyDescent="0.3">
      <c r="A1298" s="197"/>
      <c r="B1298" s="198"/>
      <c r="C1298" s="199"/>
      <c r="D1298" s="200"/>
      <c r="E1298" s="196"/>
      <c r="F1298" s="212"/>
      <c r="G1298" s="196"/>
      <c r="H1298" s="215"/>
      <c r="I1298" s="217"/>
    </row>
    <row r="1299" spans="1:9" ht="14.4" x14ac:dyDescent="0.3">
      <c r="A1299" s="197"/>
      <c r="B1299" s="198"/>
      <c r="C1299" s="199"/>
      <c r="D1299" s="200"/>
      <c r="E1299" s="196"/>
      <c r="F1299" s="212"/>
      <c r="G1299" s="196"/>
      <c r="H1299" s="215"/>
      <c r="I1299" s="216"/>
    </row>
    <row r="1300" spans="1:9" ht="14.4" x14ac:dyDescent="0.3">
      <c r="A1300" s="197"/>
      <c r="B1300" s="198"/>
      <c r="C1300" s="199"/>
      <c r="D1300" s="200"/>
      <c r="E1300" s="201"/>
      <c r="F1300" s="212"/>
      <c r="G1300" s="201"/>
      <c r="H1300" s="215"/>
      <c r="I1300" s="216"/>
    </row>
    <row r="1301" spans="1:9" ht="14.4" x14ac:dyDescent="0.3">
      <c r="A1301" s="197"/>
      <c r="B1301" s="198"/>
      <c r="C1301" s="199"/>
      <c r="D1301" s="200"/>
      <c r="E1301" s="202"/>
      <c r="F1301" s="212"/>
      <c r="G1301" s="201"/>
      <c r="H1301" s="215"/>
      <c r="I1301" s="216"/>
    </row>
    <row r="1302" spans="1:9" ht="14.4" x14ac:dyDescent="0.3">
      <c r="A1302" s="197"/>
      <c r="B1302" s="198"/>
      <c r="C1302" s="199"/>
      <c r="D1302" s="200"/>
      <c r="E1302" s="201"/>
      <c r="F1302" s="212"/>
      <c r="G1302" s="201"/>
      <c r="H1302" s="215"/>
      <c r="I1302" s="216"/>
    </row>
    <row r="1303" spans="1:9" ht="14.4" x14ac:dyDescent="0.3">
      <c r="A1303" s="197"/>
      <c r="B1303" s="198"/>
      <c r="C1303" s="199"/>
      <c r="D1303" s="200"/>
      <c r="E1303" s="201"/>
      <c r="F1303" s="212"/>
      <c r="G1303" s="201"/>
      <c r="H1303" s="215"/>
      <c r="I1303" s="216"/>
    </row>
    <row r="1304" spans="1:9" ht="14.4" x14ac:dyDescent="0.3">
      <c r="A1304" s="197"/>
      <c r="B1304" s="203"/>
      <c r="C1304" s="204"/>
      <c r="D1304" s="205"/>
      <c r="E1304" s="206"/>
      <c r="F1304" s="218"/>
      <c r="G1304" s="206"/>
      <c r="H1304" s="219"/>
      <c r="I1304" s="220"/>
    </row>
    <row r="1305" spans="1:9" ht="15" thickBot="1" x14ac:dyDescent="0.35">
      <c r="A1305" s="207"/>
      <c r="B1305" s="208"/>
      <c r="C1305" s="209"/>
      <c r="D1305" s="210"/>
      <c r="E1305" s="211"/>
      <c r="F1305" s="221"/>
      <c r="G1305" s="211"/>
      <c r="H1305" s="222"/>
      <c r="I1305" s="223"/>
    </row>
    <row r="1306" spans="1:9" ht="14.4" thickBot="1" x14ac:dyDescent="0.35"/>
    <row r="1307" spans="1:9" ht="14.4" thickBot="1" x14ac:dyDescent="0.35">
      <c r="A1307" s="226" t="s">
        <v>1204</v>
      </c>
      <c r="B1307" s="224" t="s">
        <v>1434</v>
      </c>
      <c r="C1307" s="224" t="s">
        <v>1435</v>
      </c>
      <c r="D1307" s="224" t="s">
        <v>1207</v>
      </c>
      <c r="E1307" s="368" t="s">
        <v>1208</v>
      </c>
      <c r="F1307" s="368"/>
      <c r="G1307" s="368"/>
      <c r="H1307" s="224" t="s">
        <v>1209</v>
      </c>
      <c r="I1307" s="225" t="s">
        <v>1436</v>
      </c>
    </row>
    <row r="1308" spans="1:9" ht="14.4" x14ac:dyDescent="0.3">
      <c r="A1308" s="197"/>
      <c r="B1308" s="193"/>
      <c r="C1308" s="194"/>
      <c r="D1308" s="195"/>
      <c r="E1308" s="196"/>
      <c r="F1308" s="212"/>
      <c r="G1308" s="196"/>
      <c r="H1308" s="213"/>
      <c r="I1308" s="214"/>
    </row>
    <row r="1309" spans="1:9" ht="14.4" x14ac:dyDescent="0.3">
      <c r="A1309" s="197"/>
      <c r="B1309" s="198"/>
      <c r="C1309" s="199"/>
      <c r="D1309" s="200"/>
      <c r="E1309" s="201"/>
      <c r="F1309" s="212"/>
      <c r="G1309" s="201"/>
      <c r="H1309" s="215"/>
      <c r="I1309" s="216"/>
    </row>
    <row r="1310" spans="1:9" ht="14.4" x14ac:dyDescent="0.3">
      <c r="A1310" s="197"/>
      <c r="B1310" s="198"/>
      <c r="C1310" s="199"/>
      <c r="D1310" s="200"/>
      <c r="E1310" s="201"/>
      <c r="F1310" s="212"/>
      <c r="G1310" s="201"/>
      <c r="H1310" s="215"/>
      <c r="I1310" s="216"/>
    </row>
    <row r="1311" spans="1:9" ht="14.4" x14ac:dyDescent="0.3">
      <c r="A1311" s="197"/>
      <c r="B1311" s="198"/>
      <c r="C1311" s="199"/>
      <c r="D1311" s="200"/>
      <c r="E1311" s="201"/>
      <c r="F1311" s="212"/>
      <c r="G1311" s="201"/>
      <c r="H1311" s="215"/>
      <c r="I1311" s="217"/>
    </row>
    <row r="1312" spans="1:9" ht="14.4" x14ac:dyDescent="0.3">
      <c r="A1312" s="197"/>
      <c r="B1312" s="198"/>
      <c r="C1312" s="199"/>
      <c r="D1312" s="200"/>
      <c r="E1312" s="196"/>
      <c r="F1312" s="212"/>
      <c r="G1312" s="196"/>
      <c r="H1312" s="215"/>
      <c r="I1312" s="217"/>
    </row>
    <row r="1313" spans="1:9" ht="14.4" x14ac:dyDescent="0.3">
      <c r="A1313" s="197"/>
      <c r="B1313" s="198"/>
      <c r="C1313" s="199"/>
      <c r="D1313" s="200"/>
      <c r="E1313" s="196"/>
      <c r="F1313" s="212"/>
      <c r="G1313" s="196"/>
      <c r="H1313" s="215"/>
      <c r="I1313" s="216"/>
    </row>
    <row r="1314" spans="1:9" ht="14.4" x14ac:dyDescent="0.3">
      <c r="A1314" s="197"/>
      <c r="B1314" s="198"/>
      <c r="C1314" s="199"/>
      <c r="D1314" s="200"/>
      <c r="E1314" s="201"/>
      <c r="F1314" s="212"/>
      <c r="G1314" s="201"/>
      <c r="H1314" s="215"/>
      <c r="I1314" s="216"/>
    </row>
    <row r="1315" spans="1:9" ht="14.4" x14ac:dyDescent="0.3">
      <c r="A1315" s="197"/>
      <c r="B1315" s="198"/>
      <c r="C1315" s="199"/>
      <c r="D1315" s="200"/>
      <c r="E1315" s="202"/>
      <c r="F1315" s="212"/>
      <c r="G1315" s="201"/>
      <c r="H1315" s="215"/>
      <c r="I1315" s="216"/>
    </row>
    <row r="1316" spans="1:9" ht="14.4" x14ac:dyDescent="0.3">
      <c r="A1316" s="197"/>
      <c r="B1316" s="198"/>
      <c r="C1316" s="199"/>
      <c r="D1316" s="200"/>
      <c r="E1316" s="201"/>
      <c r="F1316" s="212"/>
      <c r="G1316" s="201"/>
      <c r="H1316" s="215"/>
      <c r="I1316" s="216"/>
    </row>
    <row r="1317" spans="1:9" ht="14.4" x14ac:dyDescent="0.3">
      <c r="A1317" s="197"/>
      <c r="B1317" s="198"/>
      <c r="C1317" s="199"/>
      <c r="D1317" s="200"/>
      <c r="E1317" s="201"/>
      <c r="F1317" s="212"/>
      <c r="G1317" s="201"/>
      <c r="H1317" s="215"/>
      <c r="I1317" s="216"/>
    </row>
    <row r="1318" spans="1:9" ht="14.4" x14ac:dyDescent="0.3">
      <c r="A1318" s="197"/>
      <c r="B1318" s="203"/>
      <c r="C1318" s="204"/>
      <c r="D1318" s="205"/>
      <c r="E1318" s="206"/>
      <c r="F1318" s="218"/>
      <c r="G1318" s="206"/>
      <c r="H1318" s="219"/>
      <c r="I1318" s="220"/>
    </row>
    <row r="1319" spans="1:9" ht="15" thickBot="1" x14ac:dyDescent="0.35">
      <c r="A1319" s="207"/>
      <c r="B1319" s="208"/>
      <c r="C1319" s="209"/>
      <c r="D1319" s="210"/>
      <c r="E1319" s="211"/>
      <c r="F1319" s="221"/>
      <c r="G1319" s="211"/>
      <c r="H1319" s="222"/>
      <c r="I1319" s="223"/>
    </row>
    <row r="1320" spans="1:9" ht="14.4" thickBot="1" x14ac:dyDescent="0.35"/>
    <row r="1321" spans="1:9" ht="14.4" thickBot="1" x14ac:dyDescent="0.35">
      <c r="A1321" s="226" t="s">
        <v>1204</v>
      </c>
      <c r="B1321" s="224" t="s">
        <v>1434</v>
      </c>
      <c r="C1321" s="224" t="s">
        <v>1435</v>
      </c>
      <c r="D1321" s="224" t="s">
        <v>1207</v>
      </c>
      <c r="E1321" s="368" t="s">
        <v>1208</v>
      </c>
      <c r="F1321" s="368"/>
      <c r="G1321" s="368"/>
      <c r="H1321" s="224" t="s">
        <v>1209</v>
      </c>
      <c r="I1321" s="225" t="s">
        <v>1436</v>
      </c>
    </row>
    <row r="1322" spans="1:9" ht="14.4" x14ac:dyDescent="0.3">
      <c r="A1322" s="197"/>
      <c r="B1322" s="193"/>
      <c r="C1322" s="194"/>
      <c r="D1322" s="195"/>
      <c r="E1322" s="196"/>
      <c r="F1322" s="212"/>
      <c r="G1322" s="196"/>
      <c r="H1322" s="213"/>
      <c r="I1322" s="214"/>
    </row>
    <row r="1323" spans="1:9" ht="14.4" x14ac:dyDescent="0.3">
      <c r="A1323" s="197"/>
      <c r="B1323" s="198"/>
      <c r="C1323" s="199"/>
      <c r="D1323" s="200"/>
      <c r="E1323" s="201"/>
      <c r="F1323" s="212"/>
      <c r="G1323" s="201"/>
      <c r="H1323" s="215"/>
      <c r="I1323" s="216"/>
    </row>
    <row r="1324" spans="1:9" ht="14.4" x14ac:dyDescent="0.3">
      <c r="A1324" s="197"/>
      <c r="B1324" s="198"/>
      <c r="C1324" s="199"/>
      <c r="D1324" s="200"/>
      <c r="E1324" s="201"/>
      <c r="F1324" s="212"/>
      <c r="G1324" s="201"/>
      <c r="H1324" s="215"/>
      <c r="I1324" s="216"/>
    </row>
    <row r="1325" spans="1:9" ht="14.4" x14ac:dyDescent="0.3">
      <c r="A1325" s="197"/>
      <c r="B1325" s="198"/>
      <c r="C1325" s="199"/>
      <c r="D1325" s="200"/>
      <c r="E1325" s="201"/>
      <c r="F1325" s="212"/>
      <c r="G1325" s="201"/>
      <c r="H1325" s="215"/>
      <c r="I1325" s="217"/>
    </row>
    <row r="1326" spans="1:9" ht="14.4" x14ac:dyDescent="0.3">
      <c r="A1326" s="197"/>
      <c r="B1326" s="198"/>
      <c r="C1326" s="199"/>
      <c r="D1326" s="200"/>
      <c r="E1326" s="196"/>
      <c r="F1326" s="212"/>
      <c r="G1326" s="196"/>
      <c r="H1326" s="215"/>
      <c r="I1326" s="217"/>
    </row>
    <row r="1327" spans="1:9" ht="14.4" x14ac:dyDescent="0.3">
      <c r="A1327" s="197"/>
      <c r="B1327" s="198"/>
      <c r="C1327" s="199"/>
      <c r="D1327" s="200"/>
      <c r="E1327" s="196"/>
      <c r="F1327" s="212"/>
      <c r="G1327" s="196"/>
      <c r="H1327" s="215"/>
      <c r="I1327" s="216"/>
    </row>
    <row r="1328" spans="1:9" ht="14.4" x14ac:dyDescent="0.3">
      <c r="A1328" s="197"/>
      <c r="B1328" s="198"/>
      <c r="C1328" s="199"/>
      <c r="D1328" s="200"/>
      <c r="E1328" s="201"/>
      <c r="F1328" s="212"/>
      <c r="G1328" s="201"/>
      <c r="H1328" s="215"/>
      <c r="I1328" s="216"/>
    </row>
    <row r="1329" spans="1:9" ht="14.4" x14ac:dyDescent="0.3">
      <c r="A1329" s="197"/>
      <c r="B1329" s="198"/>
      <c r="C1329" s="199"/>
      <c r="D1329" s="200"/>
      <c r="E1329" s="202"/>
      <c r="F1329" s="212"/>
      <c r="G1329" s="201"/>
      <c r="H1329" s="215"/>
      <c r="I1329" s="216"/>
    </row>
    <row r="1330" spans="1:9" ht="14.4" x14ac:dyDescent="0.3">
      <c r="A1330" s="197"/>
      <c r="B1330" s="198"/>
      <c r="C1330" s="199"/>
      <c r="D1330" s="200"/>
      <c r="E1330" s="201"/>
      <c r="F1330" s="212"/>
      <c r="G1330" s="201"/>
      <c r="H1330" s="215"/>
      <c r="I1330" s="216"/>
    </row>
    <row r="1331" spans="1:9" ht="14.4" x14ac:dyDescent="0.3">
      <c r="A1331" s="197"/>
      <c r="B1331" s="198"/>
      <c r="C1331" s="199"/>
      <c r="D1331" s="200"/>
      <c r="E1331" s="201"/>
      <c r="F1331" s="212"/>
      <c r="G1331" s="201"/>
      <c r="H1331" s="215"/>
      <c r="I1331" s="216"/>
    </row>
    <row r="1332" spans="1:9" ht="14.4" x14ac:dyDescent="0.3">
      <c r="A1332" s="197"/>
      <c r="B1332" s="203"/>
      <c r="C1332" s="204"/>
      <c r="D1332" s="205"/>
      <c r="E1332" s="206"/>
      <c r="F1332" s="218"/>
      <c r="G1332" s="206"/>
      <c r="H1332" s="219"/>
      <c r="I1332" s="220"/>
    </row>
    <row r="1333" spans="1:9" ht="15" thickBot="1" x14ac:dyDescent="0.35">
      <c r="A1333" s="207"/>
      <c r="B1333" s="208"/>
      <c r="C1333" s="209"/>
      <c r="D1333" s="210"/>
      <c r="E1333" s="211"/>
      <c r="F1333" s="221"/>
      <c r="G1333" s="211"/>
      <c r="H1333" s="222"/>
      <c r="I1333" s="223"/>
    </row>
    <row r="1334" spans="1:9" ht="14.4" thickBot="1" x14ac:dyDescent="0.35"/>
    <row r="1335" spans="1:9" ht="14.4" thickBot="1" x14ac:dyDescent="0.35">
      <c r="A1335" s="226" t="s">
        <v>1204</v>
      </c>
      <c r="B1335" s="224" t="s">
        <v>1434</v>
      </c>
      <c r="C1335" s="224" t="s">
        <v>1435</v>
      </c>
      <c r="D1335" s="224" t="s">
        <v>1207</v>
      </c>
      <c r="E1335" s="368" t="s">
        <v>1208</v>
      </c>
      <c r="F1335" s="368"/>
      <c r="G1335" s="368"/>
      <c r="H1335" s="224" t="s">
        <v>1209</v>
      </c>
      <c r="I1335" s="225" t="s">
        <v>1436</v>
      </c>
    </row>
    <row r="1336" spans="1:9" ht="14.4" x14ac:dyDescent="0.3">
      <c r="A1336" s="197"/>
      <c r="B1336" s="193"/>
      <c r="C1336" s="194"/>
      <c r="D1336" s="195"/>
      <c r="E1336" s="196"/>
      <c r="F1336" s="212"/>
      <c r="G1336" s="196"/>
      <c r="H1336" s="213"/>
      <c r="I1336" s="214"/>
    </row>
    <row r="1337" spans="1:9" ht="14.4" x14ac:dyDescent="0.3">
      <c r="A1337" s="197"/>
      <c r="B1337" s="198"/>
      <c r="C1337" s="199"/>
      <c r="D1337" s="200"/>
      <c r="E1337" s="201"/>
      <c r="F1337" s="212"/>
      <c r="G1337" s="201"/>
      <c r="H1337" s="215"/>
      <c r="I1337" s="216"/>
    </row>
    <row r="1338" spans="1:9" ht="14.4" x14ac:dyDescent="0.3">
      <c r="A1338" s="197"/>
      <c r="B1338" s="198"/>
      <c r="C1338" s="199"/>
      <c r="D1338" s="200"/>
      <c r="E1338" s="201"/>
      <c r="F1338" s="212"/>
      <c r="G1338" s="201"/>
      <c r="H1338" s="215"/>
      <c r="I1338" s="216"/>
    </row>
    <row r="1339" spans="1:9" ht="14.4" x14ac:dyDescent="0.3">
      <c r="A1339" s="197"/>
      <c r="B1339" s="198"/>
      <c r="C1339" s="199"/>
      <c r="D1339" s="200"/>
      <c r="E1339" s="201"/>
      <c r="F1339" s="212"/>
      <c r="G1339" s="201"/>
      <c r="H1339" s="215"/>
      <c r="I1339" s="217"/>
    </row>
    <row r="1340" spans="1:9" ht="14.4" x14ac:dyDescent="0.3">
      <c r="A1340" s="197"/>
      <c r="B1340" s="198"/>
      <c r="C1340" s="199"/>
      <c r="D1340" s="200"/>
      <c r="E1340" s="196"/>
      <c r="F1340" s="212"/>
      <c r="G1340" s="196"/>
      <c r="H1340" s="215"/>
      <c r="I1340" s="217"/>
    </row>
    <row r="1341" spans="1:9" ht="14.4" x14ac:dyDescent="0.3">
      <c r="A1341" s="197"/>
      <c r="B1341" s="198"/>
      <c r="C1341" s="199"/>
      <c r="D1341" s="200"/>
      <c r="E1341" s="196"/>
      <c r="F1341" s="212"/>
      <c r="G1341" s="196"/>
      <c r="H1341" s="215"/>
      <c r="I1341" s="216"/>
    </row>
    <row r="1342" spans="1:9" ht="14.4" x14ac:dyDescent="0.3">
      <c r="A1342" s="197"/>
      <c r="B1342" s="198"/>
      <c r="C1342" s="199"/>
      <c r="D1342" s="200"/>
      <c r="E1342" s="201"/>
      <c r="F1342" s="212"/>
      <c r="G1342" s="201"/>
      <c r="H1342" s="215"/>
      <c r="I1342" s="216"/>
    </row>
    <row r="1343" spans="1:9" ht="14.4" x14ac:dyDescent="0.3">
      <c r="A1343" s="197"/>
      <c r="B1343" s="198"/>
      <c r="C1343" s="199"/>
      <c r="D1343" s="200"/>
      <c r="E1343" s="202"/>
      <c r="F1343" s="212"/>
      <c r="G1343" s="201"/>
      <c r="H1343" s="215"/>
      <c r="I1343" s="216"/>
    </row>
    <row r="1344" spans="1:9" ht="14.4" x14ac:dyDescent="0.3">
      <c r="A1344" s="197"/>
      <c r="B1344" s="198"/>
      <c r="C1344" s="199"/>
      <c r="D1344" s="200"/>
      <c r="E1344" s="201"/>
      <c r="F1344" s="212"/>
      <c r="G1344" s="201"/>
      <c r="H1344" s="215"/>
      <c r="I1344" s="216"/>
    </row>
    <row r="1345" spans="1:9" ht="14.4" x14ac:dyDescent="0.3">
      <c r="A1345" s="197"/>
      <c r="B1345" s="198"/>
      <c r="C1345" s="199"/>
      <c r="D1345" s="200"/>
      <c r="E1345" s="201"/>
      <c r="F1345" s="212"/>
      <c r="G1345" s="201"/>
      <c r="H1345" s="215"/>
      <c r="I1345" s="216"/>
    </row>
    <row r="1346" spans="1:9" ht="14.4" x14ac:dyDescent="0.3">
      <c r="A1346" s="197"/>
      <c r="B1346" s="203"/>
      <c r="C1346" s="204"/>
      <c r="D1346" s="205"/>
      <c r="E1346" s="206"/>
      <c r="F1346" s="218"/>
      <c r="G1346" s="206"/>
      <c r="H1346" s="219"/>
      <c r="I1346" s="220"/>
    </row>
    <row r="1347" spans="1:9" ht="14.4" x14ac:dyDescent="0.3">
      <c r="A1347" s="207"/>
      <c r="B1347" s="208"/>
      <c r="C1347" s="209"/>
      <c r="D1347" s="210"/>
      <c r="E1347" s="211"/>
      <c r="F1347" s="221"/>
      <c r="G1347" s="211"/>
      <c r="H1347" s="222"/>
      <c r="I1347" s="223"/>
    </row>
    <row r="1348" spans="1:9" ht="14.4" thickBot="1" x14ac:dyDescent="0.35"/>
    <row r="1349" spans="1:9" ht="14.4" thickBot="1" x14ac:dyDescent="0.35">
      <c r="A1349" s="226" t="s">
        <v>1204</v>
      </c>
      <c r="B1349" s="224" t="s">
        <v>1434</v>
      </c>
      <c r="C1349" s="224" t="s">
        <v>1435</v>
      </c>
      <c r="D1349" s="224" t="s">
        <v>1207</v>
      </c>
      <c r="E1349" s="368" t="s">
        <v>1208</v>
      </c>
      <c r="F1349" s="368"/>
      <c r="G1349" s="368"/>
      <c r="H1349" s="224" t="s">
        <v>1209</v>
      </c>
      <c r="I1349" s="225" t="s">
        <v>1436</v>
      </c>
    </row>
    <row r="1350" spans="1:9" ht="14.4" x14ac:dyDescent="0.3">
      <c r="A1350" s="197"/>
      <c r="B1350" s="193"/>
      <c r="C1350" s="194"/>
      <c r="D1350" s="195"/>
      <c r="E1350" s="196"/>
      <c r="F1350" s="212"/>
      <c r="G1350" s="196"/>
      <c r="H1350" s="213"/>
      <c r="I1350" s="214"/>
    </row>
    <row r="1351" spans="1:9" ht="14.4" x14ac:dyDescent="0.3">
      <c r="A1351" s="197"/>
      <c r="B1351" s="198"/>
      <c r="C1351" s="199"/>
      <c r="D1351" s="200"/>
      <c r="E1351" s="201"/>
      <c r="F1351" s="212"/>
      <c r="G1351" s="201"/>
      <c r="H1351" s="215"/>
      <c r="I1351" s="216"/>
    </row>
    <row r="1352" spans="1:9" ht="14.4" x14ac:dyDescent="0.3">
      <c r="A1352" s="197"/>
      <c r="B1352" s="198"/>
      <c r="C1352" s="199"/>
      <c r="D1352" s="200"/>
      <c r="E1352" s="201"/>
      <c r="F1352" s="212"/>
      <c r="G1352" s="201"/>
      <c r="H1352" s="215"/>
      <c r="I1352" s="216"/>
    </row>
    <row r="1353" spans="1:9" ht="14.4" x14ac:dyDescent="0.3">
      <c r="A1353" s="197"/>
      <c r="B1353" s="198"/>
      <c r="C1353" s="199"/>
      <c r="D1353" s="200"/>
      <c r="E1353" s="201"/>
      <c r="F1353" s="212"/>
      <c r="G1353" s="201"/>
      <c r="H1353" s="215"/>
      <c r="I1353" s="217"/>
    </row>
    <row r="1354" spans="1:9" ht="14.4" x14ac:dyDescent="0.3">
      <c r="A1354" s="197"/>
      <c r="B1354" s="198"/>
      <c r="C1354" s="199"/>
      <c r="D1354" s="200"/>
      <c r="E1354" s="196"/>
      <c r="F1354" s="212"/>
      <c r="G1354" s="196"/>
      <c r="H1354" s="215"/>
      <c r="I1354" s="217"/>
    </row>
    <row r="1355" spans="1:9" ht="14.4" x14ac:dyDescent="0.3">
      <c r="A1355" s="197"/>
      <c r="B1355" s="198"/>
      <c r="C1355" s="199"/>
      <c r="D1355" s="200"/>
      <c r="E1355" s="196"/>
      <c r="F1355" s="212"/>
      <c r="G1355" s="196"/>
      <c r="H1355" s="215"/>
      <c r="I1355" s="216"/>
    </row>
    <row r="1356" spans="1:9" ht="14.4" x14ac:dyDescent="0.3">
      <c r="A1356" s="197"/>
      <c r="B1356" s="198"/>
      <c r="C1356" s="199"/>
      <c r="D1356" s="200"/>
      <c r="E1356" s="201"/>
      <c r="F1356" s="212"/>
      <c r="G1356" s="201"/>
      <c r="H1356" s="215"/>
      <c r="I1356" s="216"/>
    </row>
    <row r="1357" spans="1:9" ht="14.4" x14ac:dyDescent="0.3">
      <c r="A1357" s="197"/>
      <c r="B1357" s="198"/>
      <c r="C1357" s="199"/>
      <c r="D1357" s="200"/>
      <c r="E1357" s="202"/>
      <c r="F1357" s="212"/>
      <c r="G1357" s="201"/>
      <c r="H1357" s="215"/>
      <c r="I1357" s="216"/>
    </row>
    <row r="1358" spans="1:9" ht="14.4" x14ac:dyDescent="0.3">
      <c r="A1358" s="197"/>
      <c r="B1358" s="198"/>
      <c r="C1358" s="199"/>
      <c r="D1358" s="200"/>
      <c r="E1358" s="201"/>
      <c r="F1358" s="212"/>
      <c r="G1358" s="201"/>
      <c r="H1358" s="215"/>
      <c r="I1358" s="216"/>
    </row>
    <row r="1359" spans="1:9" ht="14.4" x14ac:dyDescent="0.3">
      <c r="A1359" s="197"/>
      <c r="B1359" s="198"/>
      <c r="C1359" s="199"/>
      <c r="D1359" s="200"/>
      <c r="E1359" s="201"/>
      <c r="F1359" s="212"/>
      <c r="G1359" s="201"/>
      <c r="H1359" s="215"/>
      <c r="I1359" s="216"/>
    </row>
    <row r="1360" spans="1:9" ht="14.4" x14ac:dyDescent="0.3">
      <c r="A1360" s="197"/>
      <c r="B1360" s="203"/>
      <c r="C1360" s="204"/>
      <c r="D1360" s="205"/>
      <c r="E1360" s="206"/>
      <c r="F1360" s="218"/>
      <c r="G1360" s="206"/>
      <c r="H1360" s="219"/>
      <c r="I1360" s="220"/>
    </row>
    <row r="1361" spans="1:9" ht="15" thickBot="1" x14ac:dyDescent="0.35">
      <c r="A1361" s="207"/>
      <c r="B1361" s="208"/>
      <c r="C1361" s="209"/>
      <c r="D1361" s="210"/>
      <c r="E1361" s="211"/>
      <c r="F1361" s="221"/>
      <c r="G1361" s="211"/>
      <c r="H1361" s="222"/>
      <c r="I1361" s="223"/>
    </row>
    <row r="1362" spans="1:9" ht="14.4" thickBot="1" x14ac:dyDescent="0.35"/>
    <row r="1363" spans="1:9" ht="14.4" thickBot="1" x14ac:dyDescent="0.35">
      <c r="A1363" s="226" t="s">
        <v>1204</v>
      </c>
      <c r="B1363" s="224" t="s">
        <v>1434</v>
      </c>
      <c r="C1363" s="224" t="s">
        <v>1435</v>
      </c>
      <c r="D1363" s="224" t="s">
        <v>1207</v>
      </c>
      <c r="E1363" s="368" t="s">
        <v>1208</v>
      </c>
      <c r="F1363" s="368"/>
      <c r="G1363" s="368"/>
      <c r="H1363" s="224" t="s">
        <v>1209</v>
      </c>
      <c r="I1363" s="225" t="s">
        <v>1436</v>
      </c>
    </row>
    <row r="1364" spans="1:9" ht="14.4" x14ac:dyDescent="0.3">
      <c r="A1364" s="197"/>
      <c r="B1364" s="193"/>
      <c r="C1364" s="194"/>
      <c r="D1364" s="195"/>
      <c r="E1364" s="196"/>
      <c r="F1364" s="212"/>
      <c r="G1364" s="196"/>
      <c r="H1364" s="213"/>
      <c r="I1364" s="214"/>
    </row>
    <row r="1365" spans="1:9" ht="14.4" x14ac:dyDescent="0.3">
      <c r="A1365" s="197"/>
      <c r="B1365" s="198"/>
      <c r="C1365" s="199"/>
      <c r="D1365" s="200"/>
      <c r="E1365" s="201"/>
      <c r="F1365" s="212"/>
      <c r="G1365" s="201"/>
      <c r="H1365" s="215"/>
      <c r="I1365" s="216"/>
    </row>
    <row r="1366" spans="1:9" ht="14.4" x14ac:dyDescent="0.3">
      <c r="A1366" s="197"/>
      <c r="B1366" s="198"/>
      <c r="C1366" s="199"/>
      <c r="D1366" s="200"/>
      <c r="E1366" s="201"/>
      <c r="F1366" s="212"/>
      <c r="G1366" s="201"/>
      <c r="H1366" s="215"/>
      <c r="I1366" s="216"/>
    </row>
    <row r="1367" spans="1:9" ht="14.4" x14ac:dyDescent="0.3">
      <c r="A1367" s="197"/>
      <c r="B1367" s="198"/>
      <c r="C1367" s="199"/>
      <c r="D1367" s="200"/>
      <c r="E1367" s="201"/>
      <c r="F1367" s="212"/>
      <c r="G1367" s="201"/>
      <c r="H1367" s="215"/>
      <c r="I1367" s="217"/>
    </row>
    <row r="1368" spans="1:9" ht="14.4" x14ac:dyDescent="0.3">
      <c r="A1368" s="197"/>
      <c r="B1368" s="198"/>
      <c r="C1368" s="199"/>
      <c r="D1368" s="200"/>
      <c r="E1368" s="196"/>
      <c r="F1368" s="212"/>
      <c r="G1368" s="196"/>
      <c r="H1368" s="215"/>
      <c r="I1368" s="217"/>
    </row>
    <row r="1369" spans="1:9" ht="14.4" x14ac:dyDescent="0.3">
      <c r="A1369" s="197"/>
      <c r="B1369" s="198"/>
      <c r="C1369" s="199"/>
      <c r="D1369" s="200"/>
      <c r="E1369" s="196"/>
      <c r="F1369" s="212"/>
      <c r="G1369" s="196"/>
      <c r="H1369" s="215"/>
      <c r="I1369" s="216"/>
    </row>
    <row r="1370" spans="1:9" ht="14.4" x14ac:dyDescent="0.3">
      <c r="A1370" s="197"/>
      <c r="B1370" s="198"/>
      <c r="C1370" s="199"/>
      <c r="D1370" s="200"/>
      <c r="E1370" s="201"/>
      <c r="F1370" s="212"/>
      <c r="G1370" s="201"/>
      <c r="H1370" s="215"/>
      <c r="I1370" s="216"/>
    </row>
    <row r="1371" spans="1:9" ht="14.4" x14ac:dyDescent="0.3">
      <c r="A1371" s="197"/>
      <c r="B1371" s="198"/>
      <c r="C1371" s="199"/>
      <c r="D1371" s="200"/>
      <c r="E1371" s="202"/>
      <c r="F1371" s="212"/>
      <c r="G1371" s="201"/>
      <c r="H1371" s="215"/>
      <c r="I1371" s="216"/>
    </row>
    <row r="1372" spans="1:9" ht="14.4" x14ac:dyDescent="0.3">
      <c r="A1372" s="197"/>
      <c r="B1372" s="198"/>
      <c r="C1372" s="199"/>
      <c r="D1372" s="200"/>
      <c r="E1372" s="201"/>
      <c r="F1372" s="212"/>
      <c r="G1372" s="201"/>
      <c r="H1372" s="215"/>
      <c r="I1372" s="216"/>
    </row>
    <row r="1373" spans="1:9" ht="14.4" x14ac:dyDescent="0.3">
      <c r="A1373" s="197"/>
      <c r="B1373" s="198"/>
      <c r="C1373" s="199"/>
      <c r="D1373" s="200"/>
      <c r="E1373" s="201"/>
      <c r="F1373" s="212"/>
      <c r="G1373" s="201"/>
      <c r="H1373" s="215"/>
      <c r="I1373" s="216"/>
    </row>
    <row r="1374" spans="1:9" ht="14.4" x14ac:dyDescent="0.3">
      <c r="A1374" s="197"/>
      <c r="B1374" s="203"/>
      <c r="C1374" s="204"/>
      <c r="D1374" s="205"/>
      <c r="E1374" s="206"/>
      <c r="F1374" s="218"/>
      <c r="G1374" s="206"/>
      <c r="H1374" s="219"/>
      <c r="I1374" s="220"/>
    </row>
    <row r="1375" spans="1:9" ht="15" thickBot="1" x14ac:dyDescent="0.35">
      <c r="A1375" s="207"/>
      <c r="B1375" s="208"/>
      <c r="C1375" s="209"/>
      <c r="D1375" s="210"/>
      <c r="E1375" s="211"/>
      <c r="F1375" s="221"/>
      <c r="G1375" s="211"/>
      <c r="H1375" s="222"/>
      <c r="I1375" s="223"/>
    </row>
    <row r="1376" spans="1:9" ht="14.4" thickBot="1" x14ac:dyDescent="0.35"/>
    <row r="1377" spans="1:9" ht="14.4" thickBot="1" x14ac:dyDescent="0.35">
      <c r="A1377" s="226" t="s">
        <v>1204</v>
      </c>
      <c r="B1377" s="224" t="s">
        <v>1434</v>
      </c>
      <c r="C1377" s="224" t="s">
        <v>1435</v>
      </c>
      <c r="D1377" s="224" t="s">
        <v>1207</v>
      </c>
      <c r="E1377" s="368" t="s">
        <v>1208</v>
      </c>
      <c r="F1377" s="368"/>
      <c r="G1377" s="368"/>
      <c r="H1377" s="224" t="s">
        <v>1209</v>
      </c>
      <c r="I1377" s="225" t="s">
        <v>1436</v>
      </c>
    </row>
    <row r="1378" spans="1:9" ht="14.4" x14ac:dyDescent="0.3">
      <c r="A1378" s="197"/>
      <c r="B1378" s="193"/>
      <c r="C1378" s="194"/>
      <c r="D1378" s="195"/>
      <c r="E1378" s="196"/>
      <c r="F1378" s="212"/>
      <c r="G1378" s="196"/>
      <c r="H1378" s="213"/>
      <c r="I1378" s="214"/>
    </row>
    <row r="1379" spans="1:9" ht="14.4" x14ac:dyDescent="0.3">
      <c r="A1379" s="197"/>
      <c r="B1379" s="198"/>
      <c r="C1379" s="199"/>
      <c r="D1379" s="200"/>
      <c r="E1379" s="201"/>
      <c r="F1379" s="212"/>
      <c r="G1379" s="201"/>
      <c r="H1379" s="215"/>
      <c r="I1379" s="216"/>
    </row>
    <row r="1380" spans="1:9" ht="14.4" x14ac:dyDescent="0.3">
      <c r="A1380" s="197"/>
      <c r="B1380" s="198"/>
      <c r="C1380" s="199"/>
      <c r="D1380" s="200"/>
      <c r="E1380" s="201"/>
      <c r="F1380" s="212"/>
      <c r="G1380" s="201"/>
      <c r="H1380" s="215"/>
      <c r="I1380" s="216"/>
    </row>
    <row r="1381" spans="1:9" ht="14.4" x14ac:dyDescent="0.3">
      <c r="A1381" s="197"/>
      <c r="B1381" s="198"/>
      <c r="C1381" s="199"/>
      <c r="D1381" s="200"/>
      <c r="E1381" s="201"/>
      <c r="F1381" s="212"/>
      <c r="G1381" s="201"/>
      <c r="H1381" s="215"/>
      <c r="I1381" s="217"/>
    </row>
    <row r="1382" spans="1:9" ht="14.4" x14ac:dyDescent="0.3">
      <c r="A1382" s="197"/>
      <c r="B1382" s="198"/>
      <c r="C1382" s="199"/>
      <c r="D1382" s="200"/>
      <c r="E1382" s="196"/>
      <c r="F1382" s="212"/>
      <c r="G1382" s="196"/>
      <c r="H1382" s="215"/>
      <c r="I1382" s="217"/>
    </row>
    <row r="1383" spans="1:9" ht="14.4" x14ac:dyDescent="0.3">
      <c r="A1383" s="197"/>
      <c r="B1383" s="198"/>
      <c r="C1383" s="199"/>
      <c r="D1383" s="200"/>
      <c r="E1383" s="196"/>
      <c r="F1383" s="212"/>
      <c r="G1383" s="196"/>
      <c r="H1383" s="215"/>
      <c r="I1383" s="216"/>
    </row>
    <row r="1384" spans="1:9" ht="14.4" x14ac:dyDescent="0.3">
      <c r="A1384" s="197"/>
      <c r="B1384" s="198"/>
      <c r="C1384" s="199"/>
      <c r="D1384" s="200"/>
      <c r="E1384" s="201"/>
      <c r="F1384" s="212"/>
      <c r="G1384" s="201"/>
      <c r="H1384" s="215"/>
      <c r="I1384" s="216"/>
    </row>
    <row r="1385" spans="1:9" ht="14.4" x14ac:dyDescent="0.3">
      <c r="A1385" s="197"/>
      <c r="B1385" s="198"/>
      <c r="C1385" s="199"/>
      <c r="D1385" s="200"/>
      <c r="E1385" s="202"/>
      <c r="F1385" s="212"/>
      <c r="G1385" s="201"/>
      <c r="H1385" s="215"/>
      <c r="I1385" s="216"/>
    </row>
    <row r="1386" spans="1:9" ht="14.4" x14ac:dyDescent="0.3">
      <c r="A1386" s="197"/>
      <c r="B1386" s="198"/>
      <c r="C1386" s="199"/>
      <c r="D1386" s="200"/>
      <c r="E1386" s="201"/>
      <c r="F1386" s="212"/>
      <c r="G1386" s="201"/>
      <c r="H1386" s="215"/>
      <c r="I1386" s="216"/>
    </row>
    <row r="1387" spans="1:9" ht="14.4" x14ac:dyDescent="0.3">
      <c r="A1387" s="197"/>
      <c r="B1387" s="198"/>
      <c r="C1387" s="199"/>
      <c r="D1387" s="200"/>
      <c r="E1387" s="201"/>
      <c r="F1387" s="212"/>
      <c r="G1387" s="201"/>
      <c r="H1387" s="215"/>
      <c r="I1387" s="216"/>
    </row>
    <row r="1388" spans="1:9" ht="14.4" x14ac:dyDescent="0.3">
      <c r="A1388" s="197"/>
      <c r="B1388" s="203"/>
      <c r="C1388" s="204"/>
      <c r="D1388" s="205"/>
      <c r="E1388" s="206"/>
      <c r="F1388" s="218"/>
      <c r="G1388" s="206"/>
      <c r="H1388" s="219"/>
      <c r="I1388" s="220"/>
    </row>
    <row r="1389" spans="1:9" ht="15" thickBot="1" x14ac:dyDescent="0.35">
      <c r="A1389" s="207"/>
      <c r="B1389" s="208"/>
      <c r="C1389" s="209"/>
      <c r="D1389" s="210"/>
      <c r="E1389" s="211"/>
      <c r="F1389" s="221"/>
      <c r="G1389" s="211"/>
      <c r="H1389" s="222"/>
      <c r="I1389" s="223"/>
    </row>
    <row r="1390" spans="1:9" ht="14.4" thickBot="1" x14ac:dyDescent="0.35"/>
    <row r="1391" spans="1:9" ht="14.4" thickBot="1" x14ac:dyDescent="0.35">
      <c r="A1391" s="226" t="s">
        <v>1204</v>
      </c>
      <c r="B1391" s="224" t="s">
        <v>1434</v>
      </c>
      <c r="C1391" s="224" t="s">
        <v>1435</v>
      </c>
      <c r="D1391" s="224" t="s">
        <v>1207</v>
      </c>
      <c r="E1391" s="368" t="s">
        <v>1208</v>
      </c>
      <c r="F1391" s="368"/>
      <c r="G1391" s="368"/>
      <c r="H1391" s="224" t="s">
        <v>1209</v>
      </c>
      <c r="I1391" s="225" t="s">
        <v>1436</v>
      </c>
    </row>
    <row r="1392" spans="1:9" ht="14.4" x14ac:dyDescent="0.3">
      <c r="A1392" s="197"/>
      <c r="B1392" s="193"/>
      <c r="C1392" s="194"/>
      <c r="D1392" s="195"/>
      <c r="E1392" s="196"/>
      <c r="F1392" s="212"/>
      <c r="G1392" s="196"/>
      <c r="H1392" s="213"/>
      <c r="I1392" s="214"/>
    </row>
    <row r="1393" spans="1:9" ht="14.4" x14ac:dyDescent="0.3">
      <c r="A1393" s="197"/>
      <c r="B1393" s="198"/>
      <c r="C1393" s="199"/>
      <c r="D1393" s="200"/>
      <c r="E1393" s="201"/>
      <c r="F1393" s="212"/>
      <c r="G1393" s="201"/>
      <c r="H1393" s="215"/>
      <c r="I1393" s="216"/>
    </row>
    <row r="1394" spans="1:9" ht="14.4" x14ac:dyDescent="0.3">
      <c r="A1394" s="197"/>
      <c r="B1394" s="198"/>
      <c r="C1394" s="199"/>
      <c r="D1394" s="200"/>
      <c r="E1394" s="201"/>
      <c r="F1394" s="212"/>
      <c r="G1394" s="201"/>
      <c r="H1394" s="215"/>
      <c r="I1394" s="216"/>
    </row>
    <row r="1395" spans="1:9" ht="14.4" x14ac:dyDescent="0.3">
      <c r="A1395" s="197"/>
      <c r="B1395" s="198"/>
      <c r="C1395" s="199"/>
      <c r="D1395" s="200"/>
      <c r="E1395" s="201"/>
      <c r="F1395" s="212"/>
      <c r="G1395" s="201"/>
      <c r="H1395" s="215"/>
      <c r="I1395" s="217"/>
    </row>
    <row r="1396" spans="1:9" ht="14.4" x14ac:dyDescent="0.3">
      <c r="A1396" s="197"/>
      <c r="B1396" s="198"/>
      <c r="C1396" s="199"/>
      <c r="D1396" s="200"/>
      <c r="E1396" s="196"/>
      <c r="F1396" s="212"/>
      <c r="G1396" s="196"/>
      <c r="H1396" s="215"/>
      <c r="I1396" s="217"/>
    </row>
    <row r="1397" spans="1:9" ht="14.4" x14ac:dyDescent="0.3">
      <c r="A1397" s="197"/>
      <c r="B1397" s="198"/>
      <c r="C1397" s="199"/>
      <c r="D1397" s="200"/>
      <c r="E1397" s="196"/>
      <c r="F1397" s="212"/>
      <c r="G1397" s="196"/>
      <c r="H1397" s="215"/>
      <c r="I1397" s="216"/>
    </row>
    <row r="1398" spans="1:9" ht="14.4" x14ac:dyDescent="0.3">
      <c r="A1398" s="197"/>
      <c r="B1398" s="198"/>
      <c r="C1398" s="199"/>
      <c r="D1398" s="200"/>
      <c r="E1398" s="201"/>
      <c r="F1398" s="212"/>
      <c r="G1398" s="201"/>
      <c r="H1398" s="215"/>
      <c r="I1398" s="216"/>
    </row>
    <row r="1399" spans="1:9" ht="14.4" x14ac:dyDescent="0.3">
      <c r="A1399" s="197"/>
      <c r="B1399" s="198"/>
      <c r="C1399" s="199"/>
      <c r="D1399" s="200"/>
      <c r="E1399" s="202"/>
      <c r="F1399" s="212"/>
      <c r="G1399" s="201"/>
      <c r="H1399" s="215"/>
      <c r="I1399" s="216"/>
    </row>
    <row r="1400" spans="1:9" ht="14.4" x14ac:dyDescent="0.3">
      <c r="A1400" s="197"/>
      <c r="B1400" s="198"/>
      <c r="C1400" s="199"/>
      <c r="D1400" s="200"/>
      <c r="E1400" s="201"/>
      <c r="F1400" s="212"/>
      <c r="G1400" s="201"/>
      <c r="H1400" s="215"/>
      <c r="I1400" s="216"/>
    </row>
    <row r="1401" spans="1:9" ht="14.4" x14ac:dyDescent="0.3">
      <c r="A1401" s="197"/>
      <c r="B1401" s="198"/>
      <c r="C1401" s="199"/>
      <c r="D1401" s="200"/>
      <c r="E1401" s="201"/>
      <c r="F1401" s="212"/>
      <c r="G1401" s="201"/>
      <c r="H1401" s="215"/>
      <c r="I1401" s="216"/>
    </row>
    <row r="1402" spans="1:9" ht="14.4" x14ac:dyDescent="0.3">
      <c r="A1402" s="197"/>
      <c r="B1402" s="203"/>
      <c r="C1402" s="204"/>
      <c r="D1402" s="205"/>
      <c r="E1402" s="206"/>
      <c r="F1402" s="218"/>
      <c r="G1402" s="206"/>
      <c r="H1402" s="219"/>
      <c r="I1402" s="220"/>
    </row>
    <row r="1403" spans="1:9" ht="15" thickBot="1" x14ac:dyDescent="0.35">
      <c r="A1403" s="207"/>
      <c r="B1403" s="208"/>
      <c r="C1403" s="209"/>
      <c r="D1403" s="210"/>
      <c r="E1403" s="211"/>
      <c r="F1403" s="221"/>
      <c r="G1403" s="211"/>
      <c r="H1403" s="222"/>
      <c r="I1403" s="223"/>
    </row>
    <row r="1404" spans="1:9" ht="14.4" thickBot="1" x14ac:dyDescent="0.35"/>
    <row r="1405" spans="1:9" ht="14.4" thickBot="1" x14ac:dyDescent="0.35">
      <c r="A1405" s="226" t="s">
        <v>1204</v>
      </c>
      <c r="B1405" s="224" t="s">
        <v>1434</v>
      </c>
      <c r="C1405" s="224" t="s">
        <v>1435</v>
      </c>
      <c r="D1405" s="224" t="s">
        <v>1207</v>
      </c>
      <c r="E1405" s="368" t="s">
        <v>1208</v>
      </c>
      <c r="F1405" s="368"/>
      <c r="G1405" s="368"/>
      <c r="H1405" s="224" t="s">
        <v>1209</v>
      </c>
      <c r="I1405" s="225" t="s">
        <v>1436</v>
      </c>
    </row>
    <row r="1406" spans="1:9" ht="14.4" x14ac:dyDescent="0.3">
      <c r="A1406" s="197"/>
      <c r="B1406" s="193"/>
      <c r="C1406" s="194"/>
      <c r="D1406" s="195"/>
      <c r="E1406" s="196"/>
      <c r="F1406" s="212"/>
      <c r="G1406" s="196"/>
      <c r="H1406" s="213"/>
      <c r="I1406" s="214"/>
    </row>
    <row r="1407" spans="1:9" ht="14.4" x14ac:dyDescent="0.3">
      <c r="A1407" s="197"/>
      <c r="B1407" s="198"/>
      <c r="C1407" s="199"/>
      <c r="D1407" s="200"/>
      <c r="E1407" s="201"/>
      <c r="F1407" s="212"/>
      <c r="G1407" s="201"/>
      <c r="H1407" s="215"/>
      <c r="I1407" s="216"/>
    </row>
    <row r="1408" spans="1:9" ht="14.4" x14ac:dyDescent="0.3">
      <c r="A1408" s="197"/>
      <c r="B1408" s="198"/>
      <c r="C1408" s="199"/>
      <c r="D1408" s="200"/>
      <c r="E1408" s="201"/>
      <c r="F1408" s="212"/>
      <c r="G1408" s="201"/>
      <c r="H1408" s="215"/>
      <c r="I1408" s="216"/>
    </row>
    <row r="1409" spans="1:9" ht="14.4" x14ac:dyDescent="0.3">
      <c r="A1409" s="197"/>
      <c r="B1409" s="198"/>
      <c r="C1409" s="199"/>
      <c r="D1409" s="200"/>
      <c r="E1409" s="201"/>
      <c r="F1409" s="212"/>
      <c r="G1409" s="201"/>
      <c r="H1409" s="215"/>
      <c r="I1409" s="217"/>
    </row>
    <row r="1410" spans="1:9" ht="14.4" x14ac:dyDescent="0.3">
      <c r="A1410" s="197"/>
      <c r="B1410" s="198"/>
      <c r="C1410" s="199"/>
      <c r="D1410" s="200"/>
      <c r="E1410" s="196"/>
      <c r="F1410" s="212"/>
      <c r="G1410" s="196"/>
      <c r="H1410" s="215"/>
      <c r="I1410" s="217"/>
    </row>
    <row r="1411" spans="1:9" ht="14.4" x14ac:dyDescent="0.3">
      <c r="A1411" s="197"/>
      <c r="B1411" s="198"/>
      <c r="C1411" s="199"/>
      <c r="D1411" s="200"/>
      <c r="E1411" s="196"/>
      <c r="F1411" s="212"/>
      <c r="G1411" s="196"/>
      <c r="H1411" s="215"/>
      <c r="I1411" s="216"/>
    </row>
    <row r="1412" spans="1:9" ht="14.4" x14ac:dyDescent="0.3">
      <c r="A1412" s="197"/>
      <c r="B1412" s="198"/>
      <c r="C1412" s="199"/>
      <c r="D1412" s="200"/>
      <c r="E1412" s="201"/>
      <c r="F1412" s="212"/>
      <c r="G1412" s="201"/>
      <c r="H1412" s="215"/>
      <c r="I1412" s="216"/>
    </row>
    <row r="1413" spans="1:9" ht="14.4" x14ac:dyDescent="0.3">
      <c r="A1413" s="197"/>
      <c r="B1413" s="198"/>
      <c r="C1413" s="199"/>
      <c r="D1413" s="200"/>
      <c r="E1413" s="202"/>
      <c r="F1413" s="212"/>
      <c r="G1413" s="201"/>
      <c r="H1413" s="215"/>
      <c r="I1413" s="216"/>
    </row>
    <row r="1414" spans="1:9" ht="14.4" x14ac:dyDescent="0.3">
      <c r="A1414" s="197"/>
      <c r="B1414" s="198"/>
      <c r="C1414" s="199"/>
      <c r="D1414" s="200"/>
      <c r="E1414" s="201"/>
      <c r="F1414" s="212"/>
      <c r="G1414" s="201"/>
      <c r="H1414" s="215"/>
      <c r="I1414" s="216"/>
    </row>
    <row r="1415" spans="1:9" ht="14.4" x14ac:dyDescent="0.3">
      <c r="A1415" s="197"/>
      <c r="B1415" s="198"/>
      <c r="C1415" s="199"/>
      <c r="D1415" s="200"/>
      <c r="E1415" s="201"/>
      <c r="F1415" s="212"/>
      <c r="G1415" s="201"/>
      <c r="H1415" s="215"/>
      <c r="I1415" s="216"/>
    </row>
    <row r="1416" spans="1:9" ht="14.4" x14ac:dyDescent="0.3">
      <c r="A1416" s="197"/>
      <c r="B1416" s="203"/>
      <c r="C1416" s="204"/>
      <c r="D1416" s="205"/>
      <c r="E1416" s="206"/>
      <c r="F1416" s="218"/>
      <c r="G1416" s="206"/>
      <c r="H1416" s="219"/>
      <c r="I1416" s="220"/>
    </row>
    <row r="1417" spans="1:9" ht="15" thickBot="1" x14ac:dyDescent="0.35">
      <c r="A1417" s="207"/>
      <c r="B1417" s="208"/>
      <c r="C1417" s="209"/>
      <c r="D1417" s="210"/>
      <c r="E1417" s="211"/>
      <c r="F1417" s="221"/>
      <c r="G1417" s="211"/>
      <c r="H1417" s="222"/>
      <c r="I1417" s="223"/>
    </row>
    <row r="1418" spans="1:9" ht="14.4" thickBot="1" x14ac:dyDescent="0.35"/>
    <row r="1419" spans="1:9" ht="14.4" thickBot="1" x14ac:dyDescent="0.35">
      <c r="A1419" s="226" t="s">
        <v>1204</v>
      </c>
      <c r="B1419" s="224" t="s">
        <v>1434</v>
      </c>
      <c r="C1419" s="224" t="s">
        <v>1435</v>
      </c>
      <c r="D1419" s="224" t="s">
        <v>1207</v>
      </c>
      <c r="E1419" s="368" t="s">
        <v>1208</v>
      </c>
      <c r="F1419" s="368"/>
      <c r="G1419" s="368"/>
      <c r="H1419" s="224" t="s">
        <v>1209</v>
      </c>
      <c r="I1419" s="225" t="s">
        <v>1436</v>
      </c>
    </row>
    <row r="1420" spans="1:9" ht="14.4" x14ac:dyDescent="0.3">
      <c r="A1420" s="197"/>
      <c r="B1420" s="193"/>
      <c r="C1420" s="194"/>
      <c r="D1420" s="195"/>
      <c r="E1420" s="196"/>
      <c r="F1420" s="212"/>
      <c r="G1420" s="196"/>
      <c r="H1420" s="213"/>
      <c r="I1420" s="214"/>
    </row>
    <row r="1421" spans="1:9" ht="14.4" x14ac:dyDescent="0.3">
      <c r="A1421" s="197"/>
      <c r="B1421" s="198"/>
      <c r="C1421" s="199"/>
      <c r="D1421" s="200"/>
      <c r="E1421" s="201"/>
      <c r="F1421" s="212"/>
      <c r="G1421" s="201"/>
      <c r="H1421" s="215"/>
      <c r="I1421" s="216"/>
    </row>
    <row r="1422" spans="1:9" ht="14.4" x14ac:dyDescent="0.3">
      <c r="A1422" s="197"/>
      <c r="B1422" s="198"/>
      <c r="C1422" s="199"/>
      <c r="D1422" s="200"/>
      <c r="E1422" s="201"/>
      <c r="F1422" s="212"/>
      <c r="G1422" s="201"/>
      <c r="H1422" s="215"/>
      <c r="I1422" s="216"/>
    </row>
    <row r="1423" spans="1:9" ht="14.4" x14ac:dyDescent="0.3">
      <c r="A1423" s="197"/>
      <c r="B1423" s="198"/>
      <c r="C1423" s="199"/>
      <c r="D1423" s="200"/>
      <c r="E1423" s="201"/>
      <c r="F1423" s="212"/>
      <c r="G1423" s="201"/>
      <c r="H1423" s="215"/>
      <c r="I1423" s="217"/>
    </row>
    <row r="1424" spans="1:9" ht="14.4" x14ac:dyDescent="0.3">
      <c r="A1424" s="197"/>
      <c r="B1424" s="198"/>
      <c r="C1424" s="199"/>
      <c r="D1424" s="200"/>
      <c r="E1424" s="196"/>
      <c r="F1424" s="212"/>
      <c r="G1424" s="196"/>
      <c r="H1424" s="215"/>
      <c r="I1424" s="217"/>
    </row>
    <row r="1425" spans="1:9" ht="14.4" x14ac:dyDescent="0.3">
      <c r="A1425" s="197"/>
      <c r="B1425" s="198"/>
      <c r="C1425" s="199"/>
      <c r="D1425" s="200"/>
      <c r="E1425" s="196"/>
      <c r="F1425" s="212"/>
      <c r="G1425" s="196"/>
      <c r="H1425" s="215"/>
      <c r="I1425" s="216"/>
    </row>
    <row r="1426" spans="1:9" ht="14.4" x14ac:dyDescent="0.3">
      <c r="A1426" s="197"/>
      <c r="B1426" s="198"/>
      <c r="C1426" s="199"/>
      <c r="D1426" s="200"/>
      <c r="E1426" s="201"/>
      <c r="F1426" s="212"/>
      <c r="G1426" s="201"/>
      <c r="H1426" s="215"/>
      <c r="I1426" s="216"/>
    </row>
    <row r="1427" spans="1:9" ht="14.4" x14ac:dyDescent="0.3">
      <c r="A1427" s="197"/>
      <c r="B1427" s="198"/>
      <c r="C1427" s="199"/>
      <c r="D1427" s="200"/>
      <c r="E1427" s="202"/>
      <c r="F1427" s="212"/>
      <c r="G1427" s="201"/>
      <c r="H1427" s="215"/>
      <c r="I1427" s="216"/>
    </row>
    <row r="1428" spans="1:9" ht="14.4" x14ac:dyDescent="0.3">
      <c r="A1428" s="197"/>
      <c r="B1428" s="198"/>
      <c r="C1428" s="199"/>
      <c r="D1428" s="200"/>
      <c r="E1428" s="201"/>
      <c r="F1428" s="212"/>
      <c r="G1428" s="201"/>
      <c r="H1428" s="215"/>
      <c r="I1428" s="216"/>
    </row>
    <row r="1429" spans="1:9" ht="14.4" x14ac:dyDescent="0.3">
      <c r="A1429" s="197"/>
      <c r="B1429" s="198"/>
      <c r="C1429" s="199"/>
      <c r="D1429" s="200"/>
      <c r="E1429" s="201"/>
      <c r="F1429" s="212"/>
      <c r="G1429" s="201"/>
      <c r="H1429" s="215"/>
      <c r="I1429" s="216"/>
    </row>
    <row r="1430" spans="1:9" ht="14.4" x14ac:dyDescent="0.3">
      <c r="A1430" s="197"/>
      <c r="B1430" s="203"/>
      <c r="C1430" s="204"/>
      <c r="D1430" s="205"/>
      <c r="E1430" s="206"/>
      <c r="F1430" s="218"/>
      <c r="G1430" s="206"/>
      <c r="H1430" s="219"/>
      <c r="I1430" s="220"/>
    </row>
    <row r="1431" spans="1:9" ht="15" thickBot="1" x14ac:dyDescent="0.35">
      <c r="A1431" s="207"/>
      <c r="B1431" s="208"/>
      <c r="C1431" s="209"/>
      <c r="D1431" s="210"/>
      <c r="E1431" s="211"/>
      <c r="F1431" s="221"/>
      <c r="G1431" s="211"/>
      <c r="H1431" s="222"/>
      <c r="I1431" s="223"/>
    </row>
    <row r="1432" spans="1:9" ht="14.4" thickBot="1" x14ac:dyDescent="0.35"/>
    <row r="1433" spans="1:9" ht="14.4" thickBot="1" x14ac:dyDescent="0.35">
      <c r="A1433" s="226" t="s">
        <v>1204</v>
      </c>
      <c r="B1433" s="224" t="s">
        <v>1434</v>
      </c>
      <c r="C1433" s="224" t="s">
        <v>1435</v>
      </c>
      <c r="D1433" s="224" t="s">
        <v>1207</v>
      </c>
      <c r="E1433" s="368" t="s">
        <v>1208</v>
      </c>
      <c r="F1433" s="368"/>
      <c r="G1433" s="368"/>
      <c r="H1433" s="224" t="s">
        <v>1209</v>
      </c>
      <c r="I1433" s="225" t="s">
        <v>1436</v>
      </c>
    </row>
    <row r="1434" spans="1:9" ht="14.4" x14ac:dyDescent="0.3">
      <c r="A1434" s="197"/>
      <c r="B1434" s="193"/>
      <c r="C1434" s="194"/>
      <c r="D1434" s="195"/>
      <c r="E1434" s="196"/>
      <c r="F1434" s="212"/>
      <c r="G1434" s="196"/>
      <c r="H1434" s="213"/>
      <c r="I1434" s="214"/>
    </row>
    <row r="1435" spans="1:9" ht="14.4" x14ac:dyDescent="0.3">
      <c r="A1435" s="197"/>
      <c r="B1435" s="198"/>
      <c r="C1435" s="199"/>
      <c r="D1435" s="200"/>
      <c r="E1435" s="201"/>
      <c r="F1435" s="212"/>
      <c r="G1435" s="201"/>
      <c r="H1435" s="215"/>
      <c r="I1435" s="216"/>
    </row>
    <row r="1436" spans="1:9" ht="14.4" x14ac:dyDescent="0.3">
      <c r="A1436" s="197"/>
      <c r="B1436" s="198"/>
      <c r="C1436" s="199"/>
      <c r="D1436" s="200"/>
      <c r="E1436" s="201"/>
      <c r="F1436" s="212"/>
      <c r="G1436" s="201"/>
      <c r="H1436" s="215"/>
      <c r="I1436" s="216"/>
    </row>
    <row r="1437" spans="1:9" ht="14.4" x14ac:dyDescent="0.3">
      <c r="A1437" s="197"/>
      <c r="B1437" s="198"/>
      <c r="C1437" s="199"/>
      <c r="D1437" s="200"/>
      <c r="E1437" s="201"/>
      <c r="F1437" s="212"/>
      <c r="G1437" s="201"/>
      <c r="H1437" s="215"/>
      <c r="I1437" s="217"/>
    </row>
    <row r="1438" spans="1:9" ht="14.4" x14ac:dyDescent="0.3">
      <c r="A1438" s="197"/>
      <c r="B1438" s="198"/>
      <c r="C1438" s="199"/>
      <c r="D1438" s="200"/>
      <c r="E1438" s="196"/>
      <c r="F1438" s="212"/>
      <c r="G1438" s="196"/>
      <c r="H1438" s="215"/>
      <c r="I1438" s="217"/>
    </row>
    <row r="1439" spans="1:9" ht="14.4" x14ac:dyDescent="0.3">
      <c r="A1439" s="197"/>
      <c r="B1439" s="198"/>
      <c r="C1439" s="199"/>
      <c r="D1439" s="200"/>
      <c r="E1439" s="196"/>
      <c r="F1439" s="212"/>
      <c r="G1439" s="196"/>
      <c r="H1439" s="215"/>
      <c r="I1439" s="216"/>
    </row>
    <row r="1440" spans="1:9" ht="14.4" x14ac:dyDescent="0.3">
      <c r="A1440" s="197"/>
      <c r="B1440" s="198"/>
      <c r="C1440" s="199"/>
      <c r="D1440" s="200"/>
      <c r="E1440" s="201"/>
      <c r="F1440" s="212"/>
      <c r="G1440" s="201"/>
      <c r="H1440" s="215"/>
      <c r="I1440" s="216"/>
    </row>
    <row r="1441" spans="1:9" ht="14.4" x14ac:dyDescent="0.3">
      <c r="A1441" s="197"/>
      <c r="B1441" s="198"/>
      <c r="C1441" s="199"/>
      <c r="D1441" s="200"/>
      <c r="E1441" s="202"/>
      <c r="F1441" s="212"/>
      <c r="G1441" s="201"/>
      <c r="H1441" s="215"/>
      <c r="I1441" s="216"/>
    </row>
    <row r="1442" spans="1:9" ht="14.4" x14ac:dyDescent="0.3">
      <c r="A1442" s="197"/>
      <c r="B1442" s="198"/>
      <c r="C1442" s="199"/>
      <c r="D1442" s="200"/>
      <c r="E1442" s="201"/>
      <c r="F1442" s="212"/>
      <c r="G1442" s="201"/>
      <c r="H1442" s="215"/>
      <c r="I1442" s="216"/>
    </row>
    <row r="1443" spans="1:9" ht="14.4" x14ac:dyDescent="0.3">
      <c r="A1443" s="197"/>
      <c r="B1443" s="198"/>
      <c r="C1443" s="199"/>
      <c r="D1443" s="200"/>
      <c r="E1443" s="201"/>
      <c r="F1443" s="212"/>
      <c r="G1443" s="201"/>
      <c r="H1443" s="215"/>
      <c r="I1443" s="216"/>
    </row>
    <row r="1444" spans="1:9" ht="14.4" x14ac:dyDescent="0.3">
      <c r="A1444" s="197"/>
      <c r="B1444" s="203"/>
      <c r="C1444" s="204"/>
      <c r="D1444" s="205"/>
      <c r="E1444" s="206"/>
      <c r="F1444" s="218"/>
      <c r="G1444" s="206"/>
      <c r="H1444" s="219"/>
      <c r="I1444" s="220"/>
    </row>
    <row r="1445" spans="1:9" ht="15" thickBot="1" x14ac:dyDescent="0.35">
      <c r="A1445" s="207"/>
      <c r="B1445" s="208"/>
      <c r="C1445" s="209"/>
      <c r="D1445" s="210"/>
      <c r="E1445" s="211"/>
      <c r="F1445" s="221"/>
      <c r="G1445" s="211"/>
      <c r="H1445" s="222"/>
      <c r="I1445" s="223"/>
    </row>
    <row r="1446" spans="1:9" ht="14.4" thickBot="1" x14ac:dyDescent="0.35"/>
    <row r="1447" spans="1:9" ht="14.4" thickBot="1" x14ac:dyDescent="0.35">
      <c r="A1447" s="226" t="s">
        <v>1204</v>
      </c>
      <c r="B1447" s="224" t="s">
        <v>1434</v>
      </c>
      <c r="C1447" s="224" t="s">
        <v>1435</v>
      </c>
      <c r="D1447" s="224" t="s">
        <v>1207</v>
      </c>
      <c r="E1447" s="368" t="s">
        <v>1208</v>
      </c>
      <c r="F1447" s="368"/>
      <c r="G1447" s="368"/>
      <c r="H1447" s="224" t="s">
        <v>1209</v>
      </c>
      <c r="I1447" s="225" t="s">
        <v>1436</v>
      </c>
    </row>
    <row r="1448" spans="1:9" ht="14.4" x14ac:dyDescent="0.3">
      <c r="A1448" s="197"/>
      <c r="B1448" s="193"/>
      <c r="C1448" s="194"/>
      <c r="D1448" s="195"/>
      <c r="E1448" s="196"/>
      <c r="F1448" s="212"/>
      <c r="G1448" s="196"/>
      <c r="H1448" s="213"/>
      <c r="I1448" s="214"/>
    </row>
    <row r="1449" spans="1:9" ht="14.4" x14ac:dyDescent="0.3">
      <c r="A1449" s="197"/>
      <c r="B1449" s="198"/>
      <c r="C1449" s="199"/>
      <c r="D1449" s="200"/>
      <c r="E1449" s="201"/>
      <c r="F1449" s="212"/>
      <c r="G1449" s="201"/>
      <c r="H1449" s="215"/>
      <c r="I1449" s="216"/>
    </row>
    <row r="1450" spans="1:9" ht="14.4" x14ac:dyDescent="0.3">
      <c r="A1450" s="197"/>
      <c r="B1450" s="198"/>
      <c r="C1450" s="199"/>
      <c r="D1450" s="200"/>
      <c r="E1450" s="201"/>
      <c r="F1450" s="212"/>
      <c r="G1450" s="201"/>
      <c r="H1450" s="215"/>
      <c r="I1450" s="216"/>
    </row>
    <row r="1451" spans="1:9" ht="14.4" x14ac:dyDescent="0.3">
      <c r="A1451" s="197"/>
      <c r="B1451" s="198"/>
      <c r="C1451" s="199"/>
      <c r="D1451" s="200"/>
      <c r="E1451" s="201"/>
      <c r="F1451" s="212"/>
      <c r="G1451" s="201"/>
      <c r="H1451" s="215"/>
      <c r="I1451" s="217"/>
    </row>
    <row r="1452" spans="1:9" ht="14.4" x14ac:dyDescent="0.3">
      <c r="A1452" s="197"/>
      <c r="B1452" s="198"/>
      <c r="C1452" s="199"/>
      <c r="D1452" s="200"/>
      <c r="E1452" s="196"/>
      <c r="F1452" s="212"/>
      <c r="G1452" s="196"/>
      <c r="H1452" s="215"/>
      <c r="I1452" s="217"/>
    </row>
    <row r="1453" spans="1:9" ht="14.4" x14ac:dyDescent="0.3">
      <c r="A1453" s="197"/>
      <c r="B1453" s="198"/>
      <c r="C1453" s="199"/>
      <c r="D1453" s="200"/>
      <c r="E1453" s="196"/>
      <c r="F1453" s="212"/>
      <c r="G1453" s="196"/>
      <c r="H1453" s="215"/>
      <c r="I1453" s="216"/>
    </row>
    <row r="1454" spans="1:9" ht="14.4" x14ac:dyDescent="0.3">
      <c r="A1454" s="197"/>
      <c r="B1454" s="198"/>
      <c r="C1454" s="199"/>
      <c r="D1454" s="200"/>
      <c r="E1454" s="201"/>
      <c r="F1454" s="212"/>
      <c r="G1454" s="201"/>
      <c r="H1454" s="215"/>
      <c r="I1454" s="216"/>
    </row>
    <row r="1455" spans="1:9" ht="14.4" x14ac:dyDescent="0.3">
      <c r="A1455" s="197"/>
      <c r="B1455" s="198"/>
      <c r="C1455" s="199"/>
      <c r="D1455" s="200"/>
      <c r="E1455" s="202"/>
      <c r="F1455" s="212"/>
      <c r="G1455" s="201"/>
      <c r="H1455" s="215"/>
      <c r="I1455" s="216"/>
    </row>
    <row r="1456" spans="1:9" ht="14.4" x14ac:dyDescent="0.3">
      <c r="A1456" s="197"/>
      <c r="B1456" s="198"/>
      <c r="C1456" s="199"/>
      <c r="D1456" s="200"/>
      <c r="E1456" s="201"/>
      <c r="F1456" s="212"/>
      <c r="G1456" s="201"/>
      <c r="H1456" s="215"/>
      <c r="I1456" s="216"/>
    </row>
    <row r="1457" spans="1:9" ht="14.4" x14ac:dyDescent="0.3">
      <c r="A1457" s="197"/>
      <c r="B1457" s="198"/>
      <c r="C1457" s="199"/>
      <c r="D1457" s="200"/>
      <c r="E1457" s="201"/>
      <c r="F1457" s="212"/>
      <c r="G1457" s="201"/>
      <c r="H1457" s="215"/>
      <c r="I1457" s="216"/>
    </row>
    <row r="1458" spans="1:9" ht="14.4" x14ac:dyDescent="0.3">
      <c r="A1458" s="197"/>
      <c r="B1458" s="203"/>
      <c r="C1458" s="204"/>
      <c r="D1458" s="205"/>
      <c r="E1458" s="206"/>
      <c r="F1458" s="218"/>
      <c r="G1458" s="206"/>
      <c r="H1458" s="219"/>
      <c r="I1458" s="220"/>
    </row>
    <row r="1459" spans="1:9" ht="15" thickBot="1" x14ac:dyDescent="0.35">
      <c r="A1459" s="207"/>
      <c r="B1459" s="208"/>
      <c r="C1459" s="209"/>
      <c r="D1459" s="210"/>
      <c r="E1459" s="211"/>
      <c r="F1459" s="221"/>
      <c r="G1459" s="211"/>
      <c r="H1459" s="222"/>
      <c r="I1459" s="223"/>
    </row>
    <row r="1460" spans="1:9" ht="14.4" thickBot="1" x14ac:dyDescent="0.35"/>
    <row r="1461" spans="1:9" ht="14.4" thickBot="1" x14ac:dyDescent="0.35">
      <c r="A1461" s="226" t="s">
        <v>1204</v>
      </c>
      <c r="B1461" s="224" t="s">
        <v>1434</v>
      </c>
      <c r="C1461" s="224" t="s">
        <v>1435</v>
      </c>
      <c r="D1461" s="224" t="s">
        <v>1207</v>
      </c>
      <c r="E1461" s="368" t="s">
        <v>1208</v>
      </c>
      <c r="F1461" s="368"/>
      <c r="G1461" s="368"/>
      <c r="H1461" s="224" t="s">
        <v>1209</v>
      </c>
      <c r="I1461" s="225" t="s">
        <v>1436</v>
      </c>
    </row>
    <row r="1462" spans="1:9" ht="14.4" x14ac:dyDescent="0.3">
      <c r="A1462" s="197"/>
      <c r="B1462" s="193"/>
      <c r="C1462" s="194"/>
      <c r="D1462" s="195"/>
      <c r="E1462" s="196"/>
      <c r="F1462" s="212"/>
      <c r="G1462" s="196"/>
      <c r="H1462" s="213"/>
      <c r="I1462" s="214"/>
    </row>
    <row r="1463" spans="1:9" ht="14.4" x14ac:dyDescent="0.3">
      <c r="A1463" s="197"/>
      <c r="B1463" s="198"/>
      <c r="C1463" s="199"/>
      <c r="D1463" s="200"/>
      <c r="E1463" s="201"/>
      <c r="F1463" s="212"/>
      <c r="G1463" s="201"/>
      <c r="H1463" s="215"/>
      <c r="I1463" s="216"/>
    </row>
    <row r="1464" spans="1:9" ht="14.4" x14ac:dyDescent="0.3">
      <c r="A1464" s="197"/>
      <c r="B1464" s="198"/>
      <c r="C1464" s="199"/>
      <c r="D1464" s="200"/>
      <c r="E1464" s="201"/>
      <c r="F1464" s="212"/>
      <c r="G1464" s="201"/>
      <c r="H1464" s="215"/>
      <c r="I1464" s="216"/>
    </row>
    <row r="1465" spans="1:9" ht="14.4" x14ac:dyDescent="0.3">
      <c r="A1465" s="197"/>
      <c r="B1465" s="198"/>
      <c r="C1465" s="199"/>
      <c r="D1465" s="200"/>
      <c r="E1465" s="201"/>
      <c r="F1465" s="212"/>
      <c r="G1465" s="201"/>
      <c r="H1465" s="215"/>
      <c r="I1465" s="217"/>
    </row>
    <row r="1466" spans="1:9" ht="14.4" x14ac:dyDescent="0.3">
      <c r="A1466" s="197"/>
      <c r="B1466" s="198"/>
      <c r="C1466" s="199"/>
      <c r="D1466" s="200"/>
      <c r="E1466" s="196"/>
      <c r="F1466" s="212"/>
      <c r="G1466" s="196"/>
      <c r="H1466" s="215"/>
      <c r="I1466" s="217"/>
    </row>
    <row r="1467" spans="1:9" ht="14.4" x14ac:dyDescent="0.3">
      <c r="A1467" s="197"/>
      <c r="B1467" s="198"/>
      <c r="C1467" s="199"/>
      <c r="D1467" s="200"/>
      <c r="E1467" s="196"/>
      <c r="F1467" s="212"/>
      <c r="G1467" s="196"/>
      <c r="H1467" s="215"/>
      <c r="I1467" s="216"/>
    </row>
    <row r="1468" spans="1:9" ht="14.4" x14ac:dyDescent="0.3">
      <c r="A1468" s="197"/>
      <c r="B1468" s="198"/>
      <c r="C1468" s="199"/>
      <c r="D1468" s="200"/>
      <c r="E1468" s="201"/>
      <c r="F1468" s="212"/>
      <c r="G1468" s="201"/>
      <c r="H1468" s="215"/>
      <c r="I1468" s="216"/>
    </row>
    <row r="1469" spans="1:9" ht="14.4" x14ac:dyDescent="0.3">
      <c r="A1469" s="197"/>
      <c r="B1469" s="198"/>
      <c r="C1469" s="199"/>
      <c r="D1469" s="200"/>
      <c r="E1469" s="202"/>
      <c r="F1469" s="212"/>
      <c r="G1469" s="201"/>
      <c r="H1469" s="215"/>
      <c r="I1469" s="216"/>
    </row>
    <row r="1470" spans="1:9" ht="14.4" x14ac:dyDescent="0.3">
      <c r="A1470" s="197"/>
      <c r="B1470" s="198"/>
      <c r="C1470" s="199"/>
      <c r="D1470" s="200"/>
      <c r="E1470" s="201"/>
      <c r="F1470" s="212"/>
      <c r="G1470" s="201"/>
      <c r="H1470" s="215"/>
      <c r="I1470" s="216"/>
    </row>
    <row r="1471" spans="1:9" ht="14.4" x14ac:dyDescent="0.3">
      <c r="A1471" s="197"/>
      <c r="B1471" s="198"/>
      <c r="C1471" s="199"/>
      <c r="D1471" s="200"/>
      <c r="E1471" s="201"/>
      <c r="F1471" s="212"/>
      <c r="G1471" s="201"/>
      <c r="H1471" s="215"/>
      <c r="I1471" s="216"/>
    </row>
    <row r="1472" spans="1:9" ht="14.4" x14ac:dyDescent="0.3">
      <c r="A1472" s="197"/>
      <c r="B1472" s="203"/>
      <c r="C1472" s="204"/>
      <c r="D1472" s="205"/>
      <c r="E1472" s="206"/>
      <c r="F1472" s="218"/>
      <c r="G1472" s="206"/>
      <c r="H1472" s="219"/>
      <c r="I1472" s="220"/>
    </row>
    <row r="1473" spans="1:9" ht="15" thickBot="1" x14ac:dyDescent="0.35">
      <c r="A1473" s="207"/>
      <c r="B1473" s="208"/>
      <c r="C1473" s="209"/>
      <c r="D1473" s="210"/>
      <c r="E1473" s="211"/>
      <c r="F1473" s="221"/>
      <c r="G1473" s="211"/>
      <c r="H1473" s="222"/>
      <c r="I1473" s="223"/>
    </row>
    <row r="1474" spans="1:9" ht="14.4" thickBot="1" x14ac:dyDescent="0.35"/>
    <row r="1475" spans="1:9" ht="14.4" thickBot="1" x14ac:dyDescent="0.35">
      <c r="A1475" s="226" t="s">
        <v>1204</v>
      </c>
      <c r="B1475" s="224" t="s">
        <v>1434</v>
      </c>
      <c r="C1475" s="224" t="s">
        <v>1435</v>
      </c>
      <c r="D1475" s="224" t="s">
        <v>1207</v>
      </c>
      <c r="E1475" s="368" t="s">
        <v>1208</v>
      </c>
      <c r="F1475" s="368"/>
      <c r="G1475" s="368"/>
      <c r="H1475" s="224" t="s">
        <v>1209</v>
      </c>
      <c r="I1475" s="225" t="s">
        <v>1436</v>
      </c>
    </row>
    <row r="1476" spans="1:9" ht="14.4" x14ac:dyDescent="0.3">
      <c r="A1476" s="197"/>
      <c r="B1476" s="193"/>
      <c r="C1476" s="194"/>
      <c r="D1476" s="195"/>
      <c r="E1476" s="196"/>
      <c r="F1476" s="212"/>
      <c r="G1476" s="196"/>
      <c r="H1476" s="213"/>
      <c r="I1476" s="214"/>
    </row>
    <row r="1477" spans="1:9" ht="14.4" x14ac:dyDescent="0.3">
      <c r="A1477" s="197"/>
      <c r="B1477" s="198"/>
      <c r="C1477" s="199"/>
      <c r="D1477" s="200"/>
      <c r="E1477" s="201"/>
      <c r="F1477" s="212"/>
      <c r="G1477" s="201"/>
      <c r="H1477" s="215"/>
      <c r="I1477" s="216"/>
    </row>
    <row r="1478" spans="1:9" ht="14.4" x14ac:dyDescent="0.3">
      <c r="A1478" s="197"/>
      <c r="B1478" s="198"/>
      <c r="C1478" s="199"/>
      <c r="D1478" s="200"/>
      <c r="E1478" s="201"/>
      <c r="F1478" s="212"/>
      <c r="G1478" s="201"/>
      <c r="H1478" s="215"/>
      <c r="I1478" s="216"/>
    </row>
    <row r="1479" spans="1:9" ht="14.4" x14ac:dyDescent="0.3">
      <c r="A1479" s="197"/>
      <c r="B1479" s="198"/>
      <c r="C1479" s="199"/>
      <c r="D1479" s="200"/>
      <c r="E1479" s="201"/>
      <c r="F1479" s="212"/>
      <c r="G1479" s="201"/>
      <c r="H1479" s="215"/>
      <c r="I1479" s="217"/>
    </row>
    <row r="1480" spans="1:9" ht="14.4" x14ac:dyDescent="0.3">
      <c r="A1480" s="197"/>
      <c r="B1480" s="198"/>
      <c r="C1480" s="199"/>
      <c r="D1480" s="200"/>
      <c r="E1480" s="196"/>
      <c r="F1480" s="212"/>
      <c r="G1480" s="196"/>
      <c r="H1480" s="215"/>
      <c r="I1480" s="217"/>
    </row>
    <row r="1481" spans="1:9" ht="14.4" x14ac:dyDescent="0.3">
      <c r="A1481" s="197"/>
      <c r="B1481" s="198"/>
      <c r="C1481" s="199"/>
      <c r="D1481" s="200"/>
      <c r="E1481" s="196"/>
      <c r="F1481" s="212"/>
      <c r="G1481" s="196"/>
      <c r="H1481" s="215"/>
      <c r="I1481" s="216"/>
    </row>
    <row r="1482" spans="1:9" ht="14.4" x14ac:dyDescent="0.3">
      <c r="A1482" s="197"/>
      <c r="B1482" s="198"/>
      <c r="C1482" s="199"/>
      <c r="D1482" s="200"/>
      <c r="E1482" s="201"/>
      <c r="F1482" s="212"/>
      <c r="G1482" s="201"/>
      <c r="H1482" s="215"/>
      <c r="I1482" s="216"/>
    </row>
    <row r="1483" spans="1:9" ht="14.4" x14ac:dyDescent="0.3">
      <c r="A1483" s="197"/>
      <c r="B1483" s="198"/>
      <c r="C1483" s="199"/>
      <c r="D1483" s="200"/>
      <c r="E1483" s="202"/>
      <c r="F1483" s="212"/>
      <c r="G1483" s="201"/>
      <c r="H1483" s="215"/>
      <c r="I1483" s="216"/>
    </row>
    <row r="1484" spans="1:9" ht="14.4" x14ac:dyDescent="0.3">
      <c r="A1484" s="197"/>
      <c r="B1484" s="198"/>
      <c r="C1484" s="199"/>
      <c r="D1484" s="200"/>
      <c r="E1484" s="201"/>
      <c r="F1484" s="212"/>
      <c r="G1484" s="201"/>
      <c r="H1484" s="215"/>
      <c r="I1484" s="216"/>
    </row>
    <row r="1485" spans="1:9" ht="14.4" x14ac:dyDescent="0.3">
      <c r="A1485" s="197"/>
      <c r="B1485" s="198"/>
      <c r="C1485" s="199"/>
      <c r="D1485" s="200"/>
      <c r="E1485" s="201"/>
      <c r="F1485" s="212"/>
      <c r="G1485" s="201"/>
      <c r="H1485" s="215"/>
      <c r="I1485" s="216"/>
    </row>
    <row r="1486" spans="1:9" ht="14.4" x14ac:dyDescent="0.3">
      <c r="A1486" s="197"/>
      <c r="B1486" s="203"/>
      <c r="C1486" s="204"/>
      <c r="D1486" s="205"/>
      <c r="E1486" s="206"/>
      <c r="F1486" s="218"/>
      <c r="G1486" s="206"/>
      <c r="H1486" s="219"/>
      <c r="I1486" s="220"/>
    </row>
    <row r="1487" spans="1:9" ht="15" thickBot="1" x14ac:dyDescent="0.35">
      <c r="A1487" s="207"/>
      <c r="B1487" s="208"/>
      <c r="C1487" s="209"/>
      <c r="D1487" s="210"/>
      <c r="E1487" s="211"/>
      <c r="F1487" s="221"/>
      <c r="G1487" s="211"/>
      <c r="H1487" s="222"/>
      <c r="I1487" s="223"/>
    </row>
    <row r="1488" spans="1:9" ht="14.4" thickBot="1" x14ac:dyDescent="0.35"/>
    <row r="1489" spans="1:9" ht="14.4" thickBot="1" x14ac:dyDescent="0.35">
      <c r="A1489" s="226" t="s">
        <v>1204</v>
      </c>
      <c r="B1489" s="224" t="s">
        <v>1434</v>
      </c>
      <c r="C1489" s="224" t="s">
        <v>1435</v>
      </c>
      <c r="D1489" s="224" t="s">
        <v>1207</v>
      </c>
      <c r="E1489" s="368" t="s">
        <v>1208</v>
      </c>
      <c r="F1489" s="368"/>
      <c r="G1489" s="368"/>
      <c r="H1489" s="224" t="s">
        <v>1209</v>
      </c>
      <c r="I1489" s="225" t="s">
        <v>1436</v>
      </c>
    </row>
    <row r="1490" spans="1:9" ht="14.4" x14ac:dyDescent="0.3">
      <c r="A1490" s="197"/>
      <c r="B1490" s="193"/>
      <c r="C1490" s="194"/>
      <c r="D1490" s="195"/>
      <c r="E1490" s="196"/>
      <c r="F1490" s="212"/>
      <c r="G1490" s="196"/>
      <c r="H1490" s="213"/>
      <c r="I1490" s="214"/>
    </row>
    <row r="1491" spans="1:9" ht="14.4" x14ac:dyDescent="0.3">
      <c r="A1491" s="197"/>
      <c r="B1491" s="198"/>
      <c r="C1491" s="199"/>
      <c r="D1491" s="200"/>
      <c r="E1491" s="201"/>
      <c r="F1491" s="212"/>
      <c r="G1491" s="201"/>
      <c r="H1491" s="215"/>
      <c r="I1491" s="216"/>
    </row>
    <row r="1492" spans="1:9" ht="14.4" x14ac:dyDescent="0.3">
      <c r="A1492" s="197"/>
      <c r="B1492" s="198"/>
      <c r="C1492" s="199"/>
      <c r="D1492" s="200"/>
      <c r="E1492" s="201"/>
      <c r="F1492" s="212"/>
      <c r="G1492" s="201"/>
      <c r="H1492" s="215"/>
      <c r="I1492" s="216"/>
    </row>
    <row r="1493" spans="1:9" ht="14.4" x14ac:dyDescent="0.3">
      <c r="A1493" s="197"/>
      <c r="B1493" s="198"/>
      <c r="C1493" s="199"/>
      <c r="D1493" s="200"/>
      <c r="E1493" s="201"/>
      <c r="F1493" s="212"/>
      <c r="G1493" s="201"/>
      <c r="H1493" s="215"/>
      <c r="I1493" s="217"/>
    </row>
    <row r="1494" spans="1:9" ht="14.4" x14ac:dyDescent="0.3">
      <c r="A1494" s="197"/>
      <c r="B1494" s="198"/>
      <c r="C1494" s="199"/>
      <c r="D1494" s="200"/>
      <c r="E1494" s="196"/>
      <c r="F1494" s="212"/>
      <c r="G1494" s="196"/>
      <c r="H1494" s="215"/>
      <c r="I1494" s="217"/>
    </row>
    <row r="1495" spans="1:9" ht="14.4" x14ac:dyDescent="0.3">
      <c r="A1495" s="197"/>
      <c r="B1495" s="198"/>
      <c r="C1495" s="199"/>
      <c r="D1495" s="200"/>
      <c r="E1495" s="196"/>
      <c r="F1495" s="212"/>
      <c r="G1495" s="196"/>
      <c r="H1495" s="215"/>
      <c r="I1495" s="216"/>
    </row>
    <row r="1496" spans="1:9" ht="14.4" x14ac:dyDescent="0.3">
      <c r="A1496" s="197"/>
      <c r="B1496" s="198"/>
      <c r="C1496" s="199"/>
      <c r="D1496" s="200"/>
      <c r="E1496" s="201"/>
      <c r="F1496" s="212"/>
      <c r="G1496" s="201"/>
      <c r="H1496" s="215"/>
      <c r="I1496" s="216"/>
    </row>
    <row r="1497" spans="1:9" ht="14.4" x14ac:dyDescent="0.3">
      <c r="A1497" s="197"/>
      <c r="B1497" s="198"/>
      <c r="C1497" s="199"/>
      <c r="D1497" s="200"/>
      <c r="E1497" s="202"/>
      <c r="F1497" s="212"/>
      <c r="G1497" s="201"/>
      <c r="H1497" s="215"/>
      <c r="I1497" s="216"/>
    </row>
    <row r="1498" spans="1:9" ht="14.4" x14ac:dyDescent="0.3">
      <c r="A1498" s="197"/>
      <c r="B1498" s="198"/>
      <c r="C1498" s="199"/>
      <c r="D1498" s="200"/>
      <c r="E1498" s="201"/>
      <c r="F1498" s="212"/>
      <c r="G1498" s="201"/>
      <c r="H1498" s="215"/>
      <c r="I1498" s="216"/>
    </row>
    <row r="1499" spans="1:9" ht="14.4" x14ac:dyDescent="0.3">
      <c r="A1499" s="197"/>
      <c r="B1499" s="198"/>
      <c r="C1499" s="199"/>
      <c r="D1499" s="200"/>
      <c r="E1499" s="201"/>
      <c r="F1499" s="212"/>
      <c r="G1499" s="201"/>
      <c r="H1499" s="215"/>
      <c r="I1499" s="216"/>
    </row>
    <row r="1500" spans="1:9" ht="14.4" x14ac:dyDescent="0.3">
      <c r="A1500" s="197"/>
      <c r="B1500" s="203"/>
      <c r="C1500" s="204"/>
      <c r="D1500" s="205"/>
      <c r="E1500" s="206"/>
      <c r="F1500" s="218"/>
      <c r="G1500" s="206"/>
      <c r="H1500" s="219"/>
      <c r="I1500" s="220"/>
    </row>
    <row r="1501" spans="1:9" ht="15" thickBot="1" x14ac:dyDescent="0.35">
      <c r="A1501" s="207"/>
      <c r="B1501" s="208"/>
      <c r="C1501" s="209"/>
      <c r="D1501" s="210"/>
      <c r="E1501" s="211"/>
      <c r="F1501" s="221"/>
      <c r="G1501" s="211"/>
      <c r="H1501" s="222"/>
      <c r="I1501" s="223"/>
    </row>
    <row r="1502" spans="1:9" ht="14.4" thickBot="1" x14ac:dyDescent="0.35"/>
    <row r="1503" spans="1:9" ht="14.4" thickBot="1" x14ac:dyDescent="0.35">
      <c r="A1503" s="226" t="s">
        <v>1204</v>
      </c>
      <c r="B1503" s="224" t="s">
        <v>1434</v>
      </c>
      <c r="C1503" s="224" t="s">
        <v>1435</v>
      </c>
      <c r="D1503" s="224" t="s">
        <v>1207</v>
      </c>
      <c r="E1503" s="368" t="s">
        <v>1208</v>
      </c>
      <c r="F1503" s="368"/>
      <c r="G1503" s="368"/>
      <c r="H1503" s="224" t="s">
        <v>1209</v>
      </c>
      <c r="I1503" s="225" t="s">
        <v>1436</v>
      </c>
    </row>
    <row r="1504" spans="1:9" ht="14.4" x14ac:dyDescent="0.3">
      <c r="A1504" s="197"/>
      <c r="B1504" s="193"/>
      <c r="C1504" s="194"/>
      <c r="D1504" s="195"/>
      <c r="E1504" s="196"/>
      <c r="F1504" s="212"/>
      <c r="G1504" s="196"/>
      <c r="H1504" s="213"/>
      <c r="I1504" s="214"/>
    </row>
    <row r="1505" spans="1:9" ht="14.4" x14ac:dyDescent="0.3">
      <c r="A1505" s="197"/>
      <c r="B1505" s="198"/>
      <c r="C1505" s="199"/>
      <c r="D1505" s="200"/>
      <c r="E1505" s="201"/>
      <c r="F1505" s="212"/>
      <c r="G1505" s="201"/>
      <c r="H1505" s="215"/>
      <c r="I1505" s="216"/>
    </row>
    <row r="1506" spans="1:9" ht="14.4" x14ac:dyDescent="0.3">
      <c r="A1506" s="197"/>
      <c r="B1506" s="198"/>
      <c r="C1506" s="199"/>
      <c r="D1506" s="200"/>
      <c r="E1506" s="201"/>
      <c r="F1506" s="212"/>
      <c r="G1506" s="201"/>
      <c r="H1506" s="215"/>
      <c r="I1506" s="216"/>
    </row>
    <row r="1507" spans="1:9" ht="14.4" x14ac:dyDescent="0.3">
      <c r="A1507" s="197"/>
      <c r="B1507" s="198"/>
      <c r="C1507" s="199"/>
      <c r="D1507" s="200"/>
      <c r="E1507" s="201"/>
      <c r="F1507" s="212"/>
      <c r="G1507" s="201"/>
      <c r="H1507" s="215"/>
      <c r="I1507" s="217"/>
    </row>
    <row r="1508" spans="1:9" ht="14.4" x14ac:dyDescent="0.3">
      <c r="A1508" s="197"/>
      <c r="B1508" s="198"/>
      <c r="C1508" s="199"/>
      <c r="D1508" s="200"/>
      <c r="E1508" s="196"/>
      <c r="F1508" s="212"/>
      <c r="G1508" s="196"/>
      <c r="H1508" s="215"/>
      <c r="I1508" s="217"/>
    </row>
    <row r="1509" spans="1:9" ht="14.4" x14ac:dyDescent="0.3">
      <c r="A1509" s="197"/>
      <c r="B1509" s="198"/>
      <c r="C1509" s="199"/>
      <c r="D1509" s="200"/>
      <c r="E1509" s="196"/>
      <c r="F1509" s="212"/>
      <c r="G1509" s="196"/>
      <c r="H1509" s="215"/>
      <c r="I1509" s="216"/>
    </row>
    <row r="1510" spans="1:9" ht="14.4" x14ac:dyDescent="0.3">
      <c r="A1510" s="197"/>
      <c r="B1510" s="198"/>
      <c r="C1510" s="199"/>
      <c r="D1510" s="200"/>
      <c r="E1510" s="201"/>
      <c r="F1510" s="212"/>
      <c r="G1510" s="201"/>
      <c r="H1510" s="215"/>
      <c r="I1510" s="216"/>
    </row>
    <row r="1511" spans="1:9" ht="14.4" x14ac:dyDescent="0.3">
      <c r="A1511" s="197"/>
      <c r="B1511" s="198"/>
      <c r="C1511" s="199"/>
      <c r="D1511" s="200"/>
      <c r="E1511" s="202"/>
      <c r="F1511" s="212"/>
      <c r="G1511" s="201"/>
      <c r="H1511" s="215"/>
      <c r="I1511" s="216"/>
    </row>
    <row r="1512" spans="1:9" ht="14.4" x14ac:dyDescent="0.3">
      <c r="A1512" s="197"/>
      <c r="B1512" s="198"/>
      <c r="C1512" s="199"/>
      <c r="D1512" s="200"/>
      <c r="E1512" s="201"/>
      <c r="F1512" s="212"/>
      <c r="G1512" s="201"/>
      <c r="H1512" s="215"/>
      <c r="I1512" s="216"/>
    </row>
    <row r="1513" spans="1:9" ht="14.4" x14ac:dyDescent="0.3">
      <c r="A1513" s="197"/>
      <c r="B1513" s="198"/>
      <c r="C1513" s="199"/>
      <c r="D1513" s="200"/>
      <c r="E1513" s="201"/>
      <c r="F1513" s="212"/>
      <c r="G1513" s="201"/>
      <c r="H1513" s="215"/>
      <c r="I1513" s="216"/>
    </row>
    <row r="1514" spans="1:9" ht="14.4" x14ac:dyDescent="0.3">
      <c r="A1514" s="197"/>
      <c r="B1514" s="203"/>
      <c r="C1514" s="204"/>
      <c r="D1514" s="205"/>
      <c r="E1514" s="206"/>
      <c r="F1514" s="218"/>
      <c r="G1514" s="206"/>
      <c r="H1514" s="219"/>
      <c r="I1514" s="220"/>
    </row>
    <row r="1515" spans="1:9" ht="15" thickBot="1" x14ac:dyDescent="0.35">
      <c r="A1515" s="207"/>
      <c r="B1515" s="208"/>
      <c r="C1515" s="209"/>
      <c r="D1515" s="210"/>
      <c r="E1515" s="211"/>
      <c r="F1515" s="221"/>
      <c r="G1515" s="211"/>
      <c r="H1515" s="222"/>
      <c r="I1515" s="223"/>
    </row>
    <row r="1516" spans="1:9" ht="14.4" thickBot="1" x14ac:dyDescent="0.35"/>
    <row r="1517" spans="1:9" ht="14.4" thickBot="1" x14ac:dyDescent="0.35">
      <c r="A1517" s="226" t="s">
        <v>1204</v>
      </c>
      <c r="B1517" s="224" t="s">
        <v>1434</v>
      </c>
      <c r="C1517" s="224" t="s">
        <v>1435</v>
      </c>
      <c r="D1517" s="224" t="s">
        <v>1207</v>
      </c>
      <c r="E1517" s="368" t="s">
        <v>1208</v>
      </c>
      <c r="F1517" s="368"/>
      <c r="G1517" s="368"/>
      <c r="H1517" s="224" t="s">
        <v>1209</v>
      </c>
      <c r="I1517" s="225" t="s">
        <v>1436</v>
      </c>
    </row>
    <row r="1518" spans="1:9" ht="14.4" x14ac:dyDescent="0.3">
      <c r="A1518" s="197"/>
      <c r="B1518" s="193"/>
      <c r="C1518" s="194"/>
      <c r="D1518" s="195"/>
      <c r="E1518" s="196"/>
      <c r="F1518" s="212"/>
      <c r="G1518" s="196"/>
      <c r="H1518" s="213"/>
      <c r="I1518" s="214"/>
    </row>
    <row r="1519" spans="1:9" ht="14.4" x14ac:dyDescent="0.3">
      <c r="A1519" s="197"/>
      <c r="B1519" s="198"/>
      <c r="C1519" s="199"/>
      <c r="D1519" s="200"/>
      <c r="E1519" s="201"/>
      <c r="F1519" s="212"/>
      <c r="G1519" s="201"/>
      <c r="H1519" s="215"/>
      <c r="I1519" s="216"/>
    </row>
    <row r="1520" spans="1:9" ht="14.4" x14ac:dyDescent="0.3">
      <c r="A1520" s="197"/>
      <c r="B1520" s="198"/>
      <c r="C1520" s="199"/>
      <c r="D1520" s="200"/>
      <c r="E1520" s="201"/>
      <c r="F1520" s="212"/>
      <c r="G1520" s="201"/>
      <c r="H1520" s="215"/>
      <c r="I1520" s="216"/>
    </row>
    <row r="1521" spans="1:9" ht="14.4" x14ac:dyDescent="0.3">
      <c r="A1521" s="197"/>
      <c r="B1521" s="198"/>
      <c r="C1521" s="199"/>
      <c r="D1521" s="200"/>
      <c r="E1521" s="201"/>
      <c r="F1521" s="212"/>
      <c r="G1521" s="201"/>
      <c r="H1521" s="215"/>
      <c r="I1521" s="217"/>
    </row>
    <row r="1522" spans="1:9" ht="14.4" x14ac:dyDescent="0.3">
      <c r="A1522" s="197"/>
      <c r="B1522" s="198"/>
      <c r="C1522" s="199"/>
      <c r="D1522" s="200"/>
      <c r="E1522" s="196"/>
      <c r="F1522" s="212"/>
      <c r="G1522" s="196"/>
      <c r="H1522" s="215"/>
      <c r="I1522" s="217"/>
    </row>
    <row r="1523" spans="1:9" ht="14.4" x14ac:dyDescent="0.3">
      <c r="A1523" s="197"/>
      <c r="B1523" s="198"/>
      <c r="C1523" s="199"/>
      <c r="D1523" s="200"/>
      <c r="E1523" s="196"/>
      <c r="F1523" s="212"/>
      <c r="G1523" s="196"/>
      <c r="H1523" s="215"/>
      <c r="I1523" s="216"/>
    </row>
    <row r="1524" spans="1:9" ht="14.4" x14ac:dyDescent="0.3">
      <c r="A1524" s="197"/>
      <c r="B1524" s="198"/>
      <c r="C1524" s="199"/>
      <c r="D1524" s="200"/>
      <c r="E1524" s="201"/>
      <c r="F1524" s="212"/>
      <c r="G1524" s="201"/>
      <c r="H1524" s="215"/>
      <c r="I1524" s="216"/>
    </row>
    <row r="1525" spans="1:9" ht="14.4" x14ac:dyDescent="0.3">
      <c r="A1525" s="197"/>
      <c r="B1525" s="198"/>
      <c r="C1525" s="199"/>
      <c r="D1525" s="200"/>
      <c r="E1525" s="202"/>
      <c r="F1525" s="212"/>
      <c r="G1525" s="201"/>
      <c r="H1525" s="215"/>
      <c r="I1525" s="216"/>
    </row>
    <row r="1526" spans="1:9" ht="14.4" x14ac:dyDescent="0.3">
      <c r="A1526" s="197"/>
      <c r="B1526" s="198"/>
      <c r="C1526" s="199"/>
      <c r="D1526" s="200"/>
      <c r="E1526" s="201"/>
      <c r="F1526" s="212"/>
      <c r="G1526" s="201"/>
      <c r="H1526" s="215"/>
      <c r="I1526" s="216"/>
    </row>
    <row r="1527" spans="1:9" ht="14.4" x14ac:dyDescent="0.3">
      <c r="A1527" s="197"/>
      <c r="B1527" s="198"/>
      <c r="C1527" s="199"/>
      <c r="D1527" s="200"/>
      <c r="E1527" s="201"/>
      <c r="F1527" s="212"/>
      <c r="G1527" s="201"/>
      <c r="H1527" s="215"/>
      <c r="I1527" s="216"/>
    </row>
    <row r="1528" spans="1:9" ht="14.4" x14ac:dyDescent="0.3">
      <c r="A1528" s="197"/>
      <c r="B1528" s="203"/>
      <c r="C1528" s="204"/>
      <c r="D1528" s="205"/>
      <c r="E1528" s="206"/>
      <c r="F1528" s="218"/>
      <c r="G1528" s="206"/>
      <c r="H1528" s="219"/>
      <c r="I1528" s="220"/>
    </row>
    <row r="1529" spans="1:9" ht="15" thickBot="1" x14ac:dyDescent="0.35">
      <c r="A1529" s="207"/>
      <c r="B1529" s="208"/>
      <c r="C1529" s="209"/>
      <c r="D1529" s="210"/>
      <c r="E1529" s="211"/>
      <c r="F1529" s="221"/>
      <c r="G1529" s="211"/>
      <c r="H1529" s="222"/>
      <c r="I1529" s="223"/>
    </row>
    <row r="1530" spans="1:9" ht="14.4" thickBot="1" x14ac:dyDescent="0.35"/>
    <row r="1531" spans="1:9" ht="14.4" thickBot="1" x14ac:dyDescent="0.35">
      <c r="A1531" s="226" t="s">
        <v>1204</v>
      </c>
      <c r="B1531" s="224" t="s">
        <v>1434</v>
      </c>
      <c r="C1531" s="224" t="s">
        <v>1435</v>
      </c>
      <c r="D1531" s="224" t="s">
        <v>1207</v>
      </c>
      <c r="E1531" s="368" t="s">
        <v>1208</v>
      </c>
      <c r="F1531" s="368"/>
      <c r="G1531" s="368"/>
      <c r="H1531" s="224" t="s">
        <v>1209</v>
      </c>
      <c r="I1531" s="225" t="s">
        <v>1436</v>
      </c>
    </row>
    <row r="1532" spans="1:9" ht="14.4" x14ac:dyDescent="0.3">
      <c r="A1532" s="197"/>
      <c r="B1532" s="193"/>
      <c r="C1532" s="194"/>
      <c r="D1532" s="195"/>
      <c r="E1532" s="196"/>
      <c r="F1532" s="212"/>
      <c r="G1532" s="196"/>
      <c r="H1532" s="213"/>
      <c r="I1532" s="214"/>
    </row>
    <row r="1533" spans="1:9" ht="14.4" x14ac:dyDescent="0.3">
      <c r="A1533" s="197"/>
      <c r="B1533" s="198"/>
      <c r="C1533" s="199"/>
      <c r="D1533" s="200"/>
      <c r="E1533" s="201"/>
      <c r="F1533" s="212"/>
      <c r="G1533" s="201"/>
      <c r="H1533" s="215"/>
      <c r="I1533" s="216"/>
    </row>
    <row r="1534" spans="1:9" ht="14.4" x14ac:dyDescent="0.3">
      <c r="A1534" s="197"/>
      <c r="B1534" s="198"/>
      <c r="C1534" s="199"/>
      <c r="D1534" s="200"/>
      <c r="E1534" s="201"/>
      <c r="F1534" s="212"/>
      <c r="G1534" s="201"/>
      <c r="H1534" s="215"/>
      <c r="I1534" s="216"/>
    </row>
    <row r="1535" spans="1:9" ht="14.4" x14ac:dyDescent="0.3">
      <c r="A1535" s="197"/>
      <c r="B1535" s="198"/>
      <c r="C1535" s="199"/>
      <c r="D1535" s="200"/>
      <c r="E1535" s="201"/>
      <c r="F1535" s="212"/>
      <c r="G1535" s="201"/>
      <c r="H1535" s="215"/>
      <c r="I1535" s="217"/>
    </row>
    <row r="1536" spans="1:9" ht="14.4" x14ac:dyDescent="0.3">
      <c r="A1536" s="197"/>
      <c r="B1536" s="198"/>
      <c r="C1536" s="199"/>
      <c r="D1536" s="200"/>
      <c r="E1536" s="196"/>
      <c r="F1536" s="212"/>
      <c r="G1536" s="196"/>
      <c r="H1536" s="215"/>
      <c r="I1536" s="217"/>
    </row>
    <row r="1537" spans="1:9" ht="14.4" x14ac:dyDescent="0.3">
      <c r="A1537" s="197"/>
      <c r="B1537" s="198"/>
      <c r="C1537" s="199"/>
      <c r="D1537" s="200"/>
      <c r="E1537" s="196"/>
      <c r="F1537" s="212"/>
      <c r="G1537" s="196"/>
      <c r="H1537" s="215"/>
      <c r="I1537" s="216"/>
    </row>
    <row r="1538" spans="1:9" ht="14.4" x14ac:dyDescent="0.3">
      <c r="A1538" s="197"/>
      <c r="B1538" s="198"/>
      <c r="C1538" s="199"/>
      <c r="D1538" s="200"/>
      <c r="E1538" s="201"/>
      <c r="F1538" s="212"/>
      <c r="G1538" s="201"/>
      <c r="H1538" s="215"/>
      <c r="I1538" s="216"/>
    </row>
    <row r="1539" spans="1:9" ht="14.4" x14ac:dyDescent="0.3">
      <c r="A1539" s="197"/>
      <c r="B1539" s="198"/>
      <c r="C1539" s="199"/>
      <c r="D1539" s="200"/>
      <c r="E1539" s="202"/>
      <c r="F1539" s="212"/>
      <c r="G1539" s="201"/>
      <c r="H1539" s="215"/>
      <c r="I1539" s="216"/>
    </row>
    <row r="1540" spans="1:9" ht="14.4" x14ac:dyDescent="0.3">
      <c r="A1540" s="197"/>
      <c r="B1540" s="198"/>
      <c r="C1540" s="199"/>
      <c r="D1540" s="200"/>
      <c r="E1540" s="201"/>
      <c r="F1540" s="212"/>
      <c r="G1540" s="201"/>
      <c r="H1540" s="215"/>
      <c r="I1540" s="216"/>
    </row>
    <row r="1541" spans="1:9" ht="14.4" x14ac:dyDescent="0.3">
      <c r="A1541" s="197"/>
      <c r="B1541" s="198"/>
      <c r="C1541" s="199"/>
      <c r="D1541" s="200"/>
      <c r="E1541" s="201"/>
      <c r="F1541" s="212"/>
      <c r="G1541" s="201"/>
      <c r="H1541" s="215"/>
      <c r="I1541" s="216"/>
    </row>
    <row r="1542" spans="1:9" ht="14.4" x14ac:dyDescent="0.3">
      <c r="A1542" s="197"/>
      <c r="B1542" s="203"/>
      <c r="C1542" s="204"/>
      <c r="D1542" s="205"/>
      <c r="E1542" s="206"/>
      <c r="F1542" s="218"/>
      <c r="G1542" s="206"/>
      <c r="H1542" s="219"/>
      <c r="I1542" s="220"/>
    </row>
    <row r="1543" spans="1:9" ht="15" thickBot="1" x14ac:dyDescent="0.35">
      <c r="A1543" s="207"/>
      <c r="B1543" s="208"/>
      <c r="C1543" s="209"/>
      <c r="D1543" s="210"/>
      <c r="E1543" s="211"/>
      <c r="F1543" s="221"/>
      <c r="G1543" s="211"/>
      <c r="H1543" s="222"/>
      <c r="I1543" s="223"/>
    </row>
    <row r="1544" spans="1:9" ht="14.4" thickBot="1" x14ac:dyDescent="0.35"/>
    <row r="1545" spans="1:9" ht="14.4" thickBot="1" x14ac:dyDescent="0.35">
      <c r="A1545" s="226" t="s">
        <v>1204</v>
      </c>
      <c r="B1545" s="224" t="s">
        <v>1434</v>
      </c>
      <c r="C1545" s="224" t="s">
        <v>1435</v>
      </c>
      <c r="D1545" s="224" t="s">
        <v>1207</v>
      </c>
      <c r="E1545" s="368" t="s">
        <v>1208</v>
      </c>
      <c r="F1545" s="368"/>
      <c r="G1545" s="368"/>
      <c r="H1545" s="224" t="s">
        <v>1209</v>
      </c>
      <c r="I1545" s="225" t="s">
        <v>1436</v>
      </c>
    </row>
    <row r="1546" spans="1:9" ht="14.4" x14ac:dyDescent="0.3">
      <c r="A1546" s="197"/>
      <c r="B1546" s="193"/>
      <c r="C1546" s="194"/>
      <c r="D1546" s="195"/>
      <c r="E1546" s="196"/>
      <c r="F1546" s="212"/>
      <c r="G1546" s="196"/>
      <c r="H1546" s="213"/>
      <c r="I1546" s="214"/>
    </row>
    <row r="1547" spans="1:9" ht="14.4" x14ac:dyDescent="0.3">
      <c r="A1547" s="197"/>
      <c r="B1547" s="198"/>
      <c r="C1547" s="199"/>
      <c r="D1547" s="200"/>
      <c r="E1547" s="201"/>
      <c r="F1547" s="212"/>
      <c r="G1547" s="201"/>
      <c r="H1547" s="215"/>
      <c r="I1547" s="216"/>
    </row>
    <row r="1548" spans="1:9" ht="14.4" x14ac:dyDescent="0.3">
      <c r="A1548" s="197"/>
      <c r="B1548" s="198"/>
      <c r="C1548" s="199"/>
      <c r="D1548" s="200"/>
      <c r="E1548" s="201"/>
      <c r="F1548" s="212"/>
      <c r="G1548" s="201"/>
      <c r="H1548" s="215"/>
      <c r="I1548" s="216"/>
    </row>
    <row r="1549" spans="1:9" ht="14.4" x14ac:dyDescent="0.3">
      <c r="A1549" s="197"/>
      <c r="B1549" s="198"/>
      <c r="C1549" s="199"/>
      <c r="D1549" s="200"/>
      <c r="E1549" s="201"/>
      <c r="F1549" s="212"/>
      <c r="G1549" s="201"/>
      <c r="H1549" s="215"/>
      <c r="I1549" s="217"/>
    </row>
    <row r="1550" spans="1:9" ht="14.4" x14ac:dyDescent="0.3">
      <c r="A1550" s="197"/>
      <c r="B1550" s="198"/>
      <c r="C1550" s="199"/>
      <c r="D1550" s="200"/>
      <c r="E1550" s="196"/>
      <c r="F1550" s="212"/>
      <c r="G1550" s="196"/>
      <c r="H1550" s="215"/>
      <c r="I1550" s="217"/>
    </row>
    <row r="1551" spans="1:9" ht="14.4" x14ac:dyDescent="0.3">
      <c r="A1551" s="197"/>
      <c r="B1551" s="198"/>
      <c r="C1551" s="199"/>
      <c r="D1551" s="200"/>
      <c r="E1551" s="196"/>
      <c r="F1551" s="212"/>
      <c r="G1551" s="196"/>
      <c r="H1551" s="215"/>
      <c r="I1551" s="216"/>
    </row>
    <row r="1552" spans="1:9" ht="14.4" x14ac:dyDescent="0.3">
      <c r="A1552" s="197"/>
      <c r="B1552" s="198"/>
      <c r="C1552" s="199"/>
      <c r="D1552" s="200"/>
      <c r="E1552" s="201"/>
      <c r="F1552" s="212"/>
      <c r="G1552" s="201"/>
      <c r="H1552" s="215"/>
      <c r="I1552" s="216"/>
    </row>
    <row r="1553" spans="1:9" ht="14.4" x14ac:dyDescent="0.3">
      <c r="A1553" s="197"/>
      <c r="B1553" s="198"/>
      <c r="C1553" s="199"/>
      <c r="D1553" s="200"/>
      <c r="E1553" s="202"/>
      <c r="F1553" s="212"/>
      <c r="G1553" s="201"/>
      <c r="H1553" s="215"/>
      <c r="I1553" s="216"/>
    </row>
    <row r="1554" spans="1:9" ht="14.4" x14ac:dyDescent="0.3">
      <c r="A1554" s="197"/>
      <c r="B1554" s="198"/>
      <c r="C1554" s="199"/>
      <c r="D1554" s="200"/>
      <c r="E1554" s="201"/>
      <c r="F1554" s="212"/>
      <c r="G1554" s="201"/>
      <c r="H1554" s="215"/>
      <c r="I1554" s="216"/>
    </row>
    <row r="1555" spans="1:9" ht="14.4" x14ac:dyDescent="0.3">
      <c r="A1555" s="197"/>
      <c r="B1555" s="198"/>
      <c r="C1555" s="199"/>
      <c r="D1555" s="200"/>
      <c r="E1555" s="201"/>
      <c r="F1555" s="212"/>
      <c r="G1555" s="201"/>
      <c r="H1555" s="215"/>
      <c r="I1555" s="216"/>
    </row>
    <row r="1556" spans="1:9" ht="14.4" x14ac:dyDescent="0.3">
      <c r="A1556" s="197"/>
      <c r="B1556" s="203"/>
      <c r="C1556" s="204"/>
      <c r="D1556" s="205"/>
      <c r="E1556" s="206"/>
      <c r="F1556" s="218"/>
      <c r="G1556" s="206"/>
      <c r="H1556" s="219"/>
      <c r="I1556" s="220"/>
    </row>
    <row r="1557" spans="1:9" ht="15" thickBot="1" x14ac:dyDescent="0.35">
      <c r="A1557" s="207"/>
      <c r="B1557" s="208"/>
      <c r="C1557" s="209"/>
      <c r="D1557" s="210"/>
      <c r="E1557" s="211"/>
      <c r="F1557" s="221"/>
      <c r="G1557" s="211"/>
      <c r="H1557" s="222"/>
      <c r="I1557" s="223"/>
    </row>
    <row r="1558" spans="1:9" ht="14.4" thickBot="1" x14ac:dyDescent="0.35"/>
    <row r="1559" spans="1:9" ht="14.4" thickBot="1" x14ac:dyDescent="0.35">
      <c r="A1559" s="226" t="s">
        <v>1204</v>
      </c>
      <c r="B1559" s="224" t="s">
        <v>1434</v>
      </c>
      <c r="C1559" s="224" t="s">
        <v>1435</v>
      </c>
      <c r="D1559" s="224" t="s">
        <v>1207</v>
      </c>
      <c r="E1559" s="368" t="s">
        <v>1208</v>
      </c>
      <c r="F1559" s="368"/>
      <c r="G1559" s="368"/>
      <c r="H1559" s="224" t="s">
        <v>1209</v>
      </c>
      <c r="I1559" s="225" t="s">
        <v>1436</v>
      </c>
    </row>
    <row r="1560" spans="1:9" ht="14.4" x14ac:dyDescent="0.3">
      <c r="A1560" s="197"/>
      <c r="B1560" s="193"/>
      <c r="C1560" s="194"/>
      <c r="D1560" s="195"/>
      <c r="E1560" s="196"/>
      <c r="F1560" s="212"/>
      <c r="G1560" s="196"/>
      <c r="H1560" s="213"/>
      <c r="I1560" s="214"/>
    </row>
    <row r="1561" spans="1:9" ht="14.4" x14ac:dyDescent="0.3">
      <c r="A1561" s="197"/>
      <c r="B1561" s="198"/>
      <c r="C1561" s="199"/>
      <c r="D1561" s="200"/>
      <c r="E1561" s="201"/>
      <c r="F1561" s="212"/>
      <c r="G1561" s="201"/>
      <c r="H1561" s="215"/>
      <c r="I1561" s="216"/>
    </row>
    <row r="1562" spans="1:9" ht="14.4" x14ac:dyDescent="0.3">
      <c r="A1562" s="197"/>
      <c r="B1562" s="198"/>
      <c r="C1562" s="199"/>
      <c r="D1562" s="200"/>
      <c r="E1562" s="201"/>
      <c r="F1562" s="212"/>
      <c r="G1562" s="201"/>
      <c r="H1562" s="215"/>
      <c r="I1562" s="216"/>
    </row>
    <row r="1563" spans="1:9" ht="14.4" x14ac:dyDescent="0.3">
      <c r="A1563" s="197"/>
      <c r="B1563" s="198"/>
      <c r="C1563" s="199"/>
      <c r="D1563" s="200"/>
      <c r="E1563" s="201"/>
      <c r="F1563" s="212"/>
      <c r="G1563" s="201"/>
      <c r="H1563" s="215"/>
      <c r="I1563" s="217"/>
    </row>
    <row r="1564" spans="1:9" ht="14.4" x14ac:dyDescent="0.3">
      <c r="A1564" s="197"/>
      <c r="B1564" s="198"/>
      <c r="C1564" s="199"/>
      <c r="D1564" s="200"/>
      <c r="E1564" s="196"/>
      <c r="F1564" s="212"/>
      <c r="G1564" s="196"/>
      <c r="H1564" s="215"/>
      <c r="I1564" s="217"/>
    </row>
    <row r="1565" spans="1:9" ht="14.4" x14ac:dyDescent="0.3">
      <c r="A1565" s="197"/>
      <c r="B1565" s="198"/>
      <c r="C1565" s="199"/>
      <c r="D1565" s="200"/>
      <c r="E1565" s="196"/>
      <c r="F1565" s="212"/>
      <c r="G1565" s="196"/>
      <c r="H1565" s="215"/>
      <c r="I1565" s="216"/>
    </row>
    <row r="1566" spans="1:9" ht="14.4" x14ac:dyDescent="0.3">
      <c r="A1566" s="197"/>
      <c r="B1566" s="198"/>
      <c r="C1566" s="199"/>
      <c r="D1566" s="200"/>
      <c r="E1566" s="201"/>
      <c r="F1566" s="212"/>
      <c r="G1566" s="201"/>
      <c r="H1566" s="215"/>
      <c r="I1566" s="216"/>
    </row>
    <row r="1567" spans="1:9" ht="14.4" x14ac:dyDescent="0.3">
      <c r="A1567" s="197"/>
      <c r="B1567" s="198"/>
      <c r="C1567" s="199"/>
      <c r="D1567" s="200"/>
      <c r="E1567" s="202"/>
      <c r="F1567" s="212"/>
      <c r="G1567" s="201"/>
      <c r="H1567" s="215"/>
      <c r="I1567" s="216"/>
    </row>
    <row r="1568" spans="1:9" ht="14.4" x14ac:dyDescent="0.3">
      <c r="A1568" s="197"/>
      <c r="B1568" s="198"/>
      <c r="C1568" s="199"/>
      <c r="D1568" s="200"/>
      <c r="E1568" s="201"/>
      <c r="F1568" s="212"/>
      <c r="G1568" s="201"/>
      <c r="H1568" s="215"/>
      <c r="I1568" s="216"/>
    </row>
    <row r="1569" spans="1:9" ht="14.4" x14ac:dyDescent="0.3">
      <c r="A1569" s="197"/>
      <c r="B1569" s="198"/>
      <c r="C1569" s="199"/>
      <c r="D1569" s="200"/>
      <c r="E1569" s="201"/>
      <c r="F1569" s="212"/>
      <c r="G1569" s="201"/>
      <c r="H1569" s="215"/>
      <c r="I1569" s="216"/>
    </row>
    <row r="1570" spans="1:9" ht="14.4" x14ac:dyDescent="0.3">
      <c r="A1570" s="197"/>
      <c r="B1570" s="203"/>
      <c r="C1570" s="204"/>
      <c r="D1570" s="205"/>
      <c r="E1570" s="206"/>
      <c r="F1570" s="218"/>
      <c r="G1570" s="206"/>
      <c r="H1570" s="219"/>
      <c r="I1570" s="220"/>
    </row>
    <row r="1571" spans="1:9" ht="15" thickBot="1" x14ac:dyDescent="0.35">
      <c r="A1571" s="207"/>
      <c r="B1571" s="208"/>
      <c r="C1571" s="209"/>
      <c r="D1571" s="210"/>
      <c r="E1571" s="211"/>
      <c r="F1571" s="221"/>
      <c r="G1571" s="211"/>
      <c r="H1571" s="222"/>
      <c r="I1571" s="223"/>
    </row>
    <row r="1572" spans="1:9" ht="14.4" thickBot="1" x14ac:dyDescent="0.35"/>
    <row r="1573" spans="1:9" ht="14.4" thickBot="1" x14ac:dyDescent="0.35">
      <c r="A1573" s="226" t="s">
        <v>1204</v>
      </c>
      <c r="B1573" s="224" t="s">
        <v>1434</v>
      </c>
      <c r="C1573" s="224" t="s">
        <v>1435</v>
      </c>
      <c r="D1573" s="224" t="s">
        <v>1207</v>
      </c>
      <c r="E1573" s="368" t="s">
        <v>1208</v>
      </c>
      <c r="F1573" s="368"/>
      <c r="G1573" s="368"/>
      <c r="H1573" s="224" t="s">
        <v>1209</v>
      </c>
      <c r="I1573" s="225" t="s">
        <v>1436</v>
      </c>
    </row>
    <row r="1574" spans="1:9" ht="14.4" x14ac:dyDescent="0.3">
      <c r="A1574" s="197"/>
      <c r="B1574" s="193"/>
      <c r="C1574" s="194"/>
      <c r="D1574" s="195"/>
      <c r="E1574" s="196"/>
      <c r="F1574" s="212"/>
      <c r="G1574" s="196"/>
      <c r="H1574" s="213"/>
      <c r="I1574" s="214"/>
    </row>
    <row r="1575" spans="1:9" ht="14.4" x14ac:dyDescent="0.3">
      <c r="A1575" s="197"/>
      <c r="B1575" s="198"/>
      <c r="C1575" s="199"/>
      <c r="D1575" s="200"/>
      <c r="E1575" s="201"/>
      <c r="F1575" s="212"/>
      <c r="G1575" s="201"/>
      <c r="H1575" s="215"/>
      <c r="I1575" s="216"/>
    </row>
    <row r="1576" spans="1:9" ht="14.4" x14ac:dyDescent="0.3">
      <c r="A1576" s="197"/>
      <c r="B1576" s="198"/>
      <c r="C1576" s="199"/>
      <c r="D1576" s="200"/>
      <c r="E1576" s="201"/>
      <c r="F1576" s="212"/>
      <c r="G1576" s="201"/>
      <c r="H1576" s="215"/>
      <c r="I1576" s="216"/>
    </row>
    <row r="1577" spans="1:9" ht="14.4" x14ac:dyDescent="0.3">
      <c r="A1577" s="197"/>
      <c r="B1577" s="198"/>
      <c r="C1577" s="199"/>
      <c r="D1577" s="200"/>
      <c r="E1577" s="201"/>
      <c r="F1577" s="212"/>
      <c r="G1577" s="201"/>
      <c r="H1577" s="215"/>
      <c r="I1577" s="217"/>
    </row>
    <row r="1578" spans="1:9" ht="14.4" x14ac:dyDescent="0.3">
      <c r="A1578" s="197"/>
      <c r="B1578" s="198"/>
      <c r="C1578" s="199"/>
      <c r="D1578" s="200"/>
      <c r="E1578" s="196"/>
      <c r="F1578" s="212"/>
      <c r="G1578" s="196"/>
      <c r="H1578" s="215"/>
      <c r="I1578" s="217"/>
    </row>
    <row r="1579" spans="1:9" ht="14.4" x14ac:dyDescent="0.3">
      <c r="A1579" s="197"/>
      <c r="B1579" s="198"/>
      <c r="C1579" s="199"/>
      <c r="D1579" s="200"/>
      <c r="E1579" s="196"/>
      <c r="F1579" s="212"/>
      <c r="G1579" s="196"/>
      <c r="H1579" s="215"/>
      <c r="I1579" s="216"/>
    </row>
    <row r="1580" spans="1:9" ht="14.4" x14ac:dyDescent="0.3">
      <c r="A1580" s="197"/>
      <c r="B1580" s="198"/>
      <c r="C1580" s="199"/>
      <c r="D1580" s="200"/>
      <c r="E1580" s="201"/>
      <c r="F1580" s="212"/>
      <c r="G1580" s="201"/>
      <c r="H1580" s="215"/>
      <c r="I1580" s="216"/>
    </row>
    <row r="1581" spans="1:9" ht="14.4" x14ac:dyDescent="0.3">
      <c r="A1581" s="197"/>
      <c r="B1581" s="198"/>
      <c r="C1581" s="199"/>
      <c r="D1581" s="200"/>
      <c r="E1581" s="202"/>
      <c r="F1581" s="212"/>
      <c r="G1581" s="201"/>
      <c r="H1581" s="215"/>
      <c r="I1581" s="216"/>
    </row>
    <row r="1582" spans="1:9" ht="14.4" x14ac:dyDescent="0.3">
      <c r="A1582" s="197"/>
      <c r="B1582" s="198"/>
      <c r="C1582" s="199"/>
      <c r="D1582" s="200"/>
      <c r="E1582" s="201"/>
      <c r="F1582" s="212"/>
      <c r="G1582" s="201"/>
      <c r="H1582" s="215"/>
      <c r="I1582" s="216"/>
    </row>
    <row r="1583" spans="1:9" ht="14.4" x14ac:dyDescent="0.3">
      <c r="A1583" s="197"/>
      <c r="B1583" s="198"/>
      <c r="C1583" s="199"/>
      <c r="D1583" s="200"/>
      <c r="E1583" s="201"/>
      <c r="F1583" s="212"/>
      <c r="G1583" s="201"/>
      <c r="H1583" s="215"/>
      <c r="I1583" s="216"/>
    </row>
    <row r="1584" spans="1:9" ht="14.4" x14ac:dyDescent="0.3">
      <c r="A1584" s="197"/>
      <c r="B1584" s="203"/>
      <c r="C1584" s="204"/>
      <c r="D1584" s="205"/>
      <c r="E1584" s="206"/>
      <c r="F1584" s="218"/>
      <c r="G1584" s="206"/>
      <c r="H1584" s="219"/>
      <c r="I1584" s="220"/>
    </row>
    <row r="1585" spans="1:9" ht="15" thickBot="1" x14ac:dyDescent="0.35">
      <c r="A1585" s="207"/>
      <c r="B1585" s="208"/>
      <c r="C1585" s="209"/>
      <c r="D1585" s="210"/>
      <c r="E1585" s="211"/>
      <c r="F1585" s="221"/>
      <c r="G1585" s="211"/>
      <c r="H1585" s="222"/>
      <c r="I1585" s="223"/>
    </row>
    <row r="1586" spans="1:9" ht="14.4" thickBot="1" x14ac:dyDescent="0.35"/>
    <row r="1587" spans="1:9" ht="14.4" thickBot="1" x14ac:dyDescent="0.35">
      <c r="A1587" s="226" t="s">
        <v>1204</v>
      </c>
      <c r="B1587" s="224" t="s">
        <v>1434</v>
      </c>
      <c r="C1587" s="224" t="s">
        <v>1435</v>
      </c>
      <c r="D1587" s="224" t="s">
        <v>1207</v>
      </c>
      <c r="E1587" s="368" t="s">
        <v>1208</v>
      </c>
      <c r="F1587" s="368"/>
      <c r="G1587" s="368"/>
      <c r="H1587" s="224" t="s">
        <v>1209</v>
      </c>
      <c r="I1587" s="225" t="s">
        <v>1436</v>
      </c>
    </row>
    <row r="1588" spans="1:9" ht="14.4" x14ac:dyDescent="0.3">
      <c r="A1588" s="197"/>
      <c r="B1588" s="193"/>
      <c r="C1588" s="194"/>
      <c r="D1588" s="195"/>
      <c r="E1588" s="196"/>
      <c r="F1588" s="212"/>
      <c r="G1588" s="196"/>
      <c r="H1588" s="213"/>
      <c r="I1588" s="214"/>
    </row>
    <row r="1589" spans="1:9" ht="14.4" x14ac:dyDescent="0.3">
      <c r="A1589" s="197"/>
      <c r="B1589" s="198"/>
      <c r="C1589" s="199"/>
      <c r="D1589" s="200"/>
      <c r="E1589" s="201"/>
      <c r="F1589" s="212"/>
      <c r="G1589" s="201"/>
      <c r="H1589" s="215"/>
      <c r="I1589" s="216"/>
    </row>
    <row r="1590" spans="1:9" ht="14.4" x14ac:dyDescent="0.3">
      <c r="A1590" s="197"/>
      <c r="B1590" s="198"/>
      <c r="C1590" s="199"/>
      <c r="D1590" s="200"/>
      <c r="E1590" s="201"/>
      <c r="F1590" s="212"/>
      <c r="G1590" s="201"/>
      <c r="H1590" s="215"/>
      <c r="I1590" s="216"/>
    </row>
    <row r="1591" spans="1:9" ht="14.4" x14ac:dyDescent="0.3">
      <c r="A1591" s="197"/>
      <c r="B1591" s="198"/>
      <c r="C1591" s="199"/>
      <c r="D1591" s="200"/>
      <c r="E1591" s="201"/>
      <c r="F1591" s="212"/>
      <c r="G1591" s="201"/>
      <c r="H1591" s="215"/>
      <c r="I1591" s="217"/>
    </row>
    <row r="1592" spans="1:9" ht="14.4" x14ac:dyDescent="0.3">
      <c r="A1592" s="197"/>
      <c r="B1592" s="198"/>
      <c r="C1592" s="199"/>
      <c r="D1592" s="200"/>
      <c r="E1592" s="196"/>
      <c r="F1592" s="212"/>
      <c r="G1592" s="196"/>
      <c r="H1592" s="215"/>
      <c r="I1592" s="217"/>
    </row>
    <row r="1593" spans="1:9" ht="14.4" x14ac:dyDescent="0.3">
      <c r="A1593" s="197"/>
      <c r="B1593" s="198"/>
      <c r="C1593" s="199"/>
      <c r="D1593" s="200"/>
      <c r="E1593" s="196"/>
      <c r="F1593" s="212"/>
      <c r="G1593" s="196"/>
      <c r="H1593" s="215"/>
      <c r="I1593" s="216"/>
    </row>
    <row r="1594" spans="1:9" ht="14.4" x14ac:dyDescent="0.3">
      <c r="A1594" s="197"/>
      <c r="B1594" s="198"/>
      <c r="C1594" s="199"/>
      <c r="D1594" s="200"/>
      <c r="E1594" s="201"/>
      <c r="F1594" s="212"/>
      <c r="G1594" s="201"/>
      <c r="H1594" s="215"/>
      <c r="I1594" s="216"/>
    </row>
    <row r="1595" spans="1:9" ht="14.4" x14ac:dyDescent="0.3">
      <c r="A1595" s="197"/>
      <c r="B1595" s="198"/>
      <c r="C1595" s="199"/>
      <c r="D1595" s="200"/>
      <c r="E1595" s="202"/>
      <c r="F1595" s="212"/>
      <c r="G1595" s="201"/>
      <c r="H1595" s="215"/>
      <c r="I1595" s="216"/>
    </row>
    <row r="1596" spans="1:9" ht="14.4" x14ac:dyDescent="0.3">
      <c r="A1596" s="197"/>
      <c r="B1596" s="198"/>
      <c r="C1596" s="199"/>
      <c r="D1596" s="200"/>
      <c r="E1596" s="201"/>
      <c r="F1596" s="212"/>
      <c r="G1596" s="201"/>
      <c r="H1596" s="215"/>
      <c r="I1596" s="216"/>
    </row>
    <row r="1597" spans="1:9" ht="14.4" x14ac:dyDescent="0.3">
      <c r="A1597" s="197"/>
      <c r="B1597" s="198"/>
      <c r="C1597" s="199"/>
      <c r="D1597" s="200"/>
      <c r="E1597" s="201"/>
      <c r="F1597" s="212"/>
      <c r="G1597" s="201"/>
      <c r="H1597" s="215"/>
      <c r="I1597" s="216"/>
    </row>
    <row r="1598" spans="1:9" ht="14.4" x14ac:dyDescent="0.3">
      <c r="A1598" s="197"/>
      <c r="B1598" s="203"/>
      <c r="C1598" s="204"/>
      <c r="D1598" s="205"/>
      <c r="E1598" s="206"/>
      <c r="F1598" s="218"/>
      <c r="G1598" s="206"/>
      <c r="H1598" s="219"/>
      <c r="I1598" s="220"/>
    </row>
    <row r="1599" spans="1:9" ht="15" thickBot="1" x14ac:dyDescent="0.35">
      <c r="A1599" s="207"/>
      <c r="B1599" s="208"/>
      <c r="C1599" s="209"/>
      <c r="D1599" s="210"/>
      <c r="E1599" s="211"/>
      <c r="F1599" s="221"/>
      <c r="G1599" s="211"/>
      <c r="H1599" s="222"/>
      <c r="I1599" s="223"/>
    </row>
    <row r="1600" spans="1:9" ht="14.4" thickBot="1" x14ac:dyDescent="0.35"/>
    <row r="1601" spans="1:9" ht="14.4" thickBot="1" x14ac:dyDescent="0.35">
      <c r="A1601" s="226" t="s">
        <v>1204</v>
      </c>
      <c r="B1601" s="224" t="s">
        <v>1434</v>
      </c>
      <c r="C1601" s="224" t="s">
        <v>1435</v>
      </c>
      <c r="D1601" s="224" t="s">
        <v>1207</v>
      </c>
      <c r="E1601" s="368" t="s">
        <v>1208</v>
      </c>
      <c r="F1601" s="368"/>
      <c r="G1601" s="368"/>
      <c r="H1601" s="224" t="s">
        <v>1209</v>
      </c>
      <c r="I1601" s="225" t="s">
        <v>1436</v>
      </c>
    </row>
    <row r="1602" spans="1:9" ht="14.4" x14ac:dyDescent="0.3">
      <c r="A1602" s="197"/>
      <c r="B1602" s="193"/>
      <c r="C1602" s="194"/>
      <c r="D1602" s="195"/>
      <c r="E1602" s="196"/>
      <c r="F1602" s="212"/>
      <c r="G1602" s="196"/>
      <c r="H1602" s="213"/>
      <c r="I1602" s="214"/>
    </row>
    <row r="1603" spans="1:9" ht="14.4" x14ac:dyDescent="0.3">
      <c r="A1603" s="197"/>
      <c r="B1603" s="198"/>
      <c r="C1603" s="199"/>
      <c r="D1603" s="200"/>
      <c r="E1603" s="201"/>
      <c r="F1603" s="212"/>
      <c r="G1603" s="201"/>
      <c r="H1603" s="215"/>
      <c r="I1603" s="216"/>
    </row>
    <row r="1604" spans="1:9" ht="14.4" x14ac:dyDescent="0.3">
      <c r="A1604" s="197"/>
      <c r="B1604" s="198"/>
      <c r="C1604" s="199"/>
      <c r="D1604" s="200"/>
      <c r="E1604" s="201"/>
      <c r="F1604" s="212"/>
      <c r="G1604" s="201"/>
      <c r="H1604" s="215"/>
      <c r="I1604" s="216"/>
    </row>
    <row r="1605" spans="1:9" ht="14.4" x14ac:dyDescent="0.3">
      <c r="A1605" s="197"/>
      <c r="B1605" s="198"/>
      <c r="C1605" s="199"/>
      <c r="D1605" s="200"/>
      <c r="E1605" s="201"/>
      <c r="F1605" s="212"/>
      <c r="G1605" s="201"/>
      <c r="H1605" s="215"/>
      <c r="I1605" s="217"/>
    </row>
    <row r="1606" spans="1:9" ht="14.4" x14ac:dyDescent="0.3">
      <c r="A1606" s="197"/>
      <c r="B1606" s="198"/>
      <c r="C1606" s="199"/>
      <c r="D1606" s="200"/>
      <c r="E1606" s="196"/>
      <c r="F1606" s="212"/>
      <c r="G1606" s="196"/>
      <c r="H1606" s="215"/>
      <c r="I1606" s="217"/>
    </row>
    <row r="1607" spans="1:9" ht="14.4" x14ac:dyDescent="0.3">
      <c r="A1607" s="197"/>
      <c r="B1607" s="198"/>
      <c r="C1607" s="199"/>
      <c r="D1607" s="200"/>
      <c r="E1607" s="196"/>
      <c r="F1607" s="212"/>
      <c r="G1607" s="196"/>
      <c r="H1607" s="215"/>
      <c r="I1607" s="216"/>
    </row>
    <row r="1608" spans="1:9" ht="14.4" x14ac:dyDescent="0.3">
      <c r="A1608" s="197"/>
      <c r="B1608" s="198"/>
      <c r="C1608" s="199"/>
      <c r="D1608" s="200"/>
      <c r="E1608" s="201"/>
      <c r="F1608" s="212"/>
      <c r="G1608" s="201"/>
      <c r="H1608" s="215"/>
      <c r="I1608" s="216"/>
    </row>
    <row r="1609" spans="1:9" ht="14.4" x14ac:dyDescent="0.3">
      <c r="A1609" s="197"/>
      <c r="B1609" s="198"/>
      <c r="C1609" s="199"/>
      <c r="D1609" s="200"/>
      <c r="E1609" s="202"/>
      <c r="F1609" s="212"/>
      <c r="G1609" s="201"/>
      <c r="H1609" s="215"/>
      <c r="I1609" s="216"/>
    </row>
    <row r="1610" spans="1:9" ht="14.4" x14ac:dyDescent="0.3">
      <c r="A1610" s="197"/>
      <c r="B1610" s="198"/>
      <c r="C1610" s="199"/>
      <c r="D1610" s="200"/>
      <c r="E1610" s="201"/>
      <c r="F1610" s="212"/>
      <c r="G1610" s="201"/>
      <c r="H1610" s="215"/>
      <c r="I1610" s="216"/>
    </row>
    <row r="1611" spans="1:9" ht="14.4" x14ac:dyDescent="0.3">
      <c r="A1611" s="197"/>
      <c r="B1611" s="198"/>
      <c r="C1611" s="199"/>
      <c r="D1611" s="200"/>
      <c r="E1611" s="201"/>
      <c r="F1611" s="212"/>
      <c r="G1611" s="201"/>
      <c r="H1611" s="215"/>
      <c r="I1611" s="216"/>
    </row>
    <row r="1612" spans="1:9" ht="14.4" x14ac:dyDescent="0.3">
      <c r="A1612" s="197"/>
      <c r="B1612" s="203"/>
      <c r="C1612" s="204"/>
      <c r="D1612" s="205"/>
      <c r="E1612" s="206"/>
      <c r="F1612" s="218"/>
      <c r="G1612" s="206"/>
      <c r="H1612" s="219"/>
      <c r="I1612" s="220"/>
    </row>
    <row r="1613" spans="1:9" ht="15" thickBot="1" x14ac:dyDescent="0.35">
      <c r="A1613" s="207"/>
      <c r="B1613" s="208"/>
      <c r="C1613" s="209"/>
      <c r="D1613" s="210"/>
      <c r="E1613" s="211"/>
      <c r="F1613" s="221"/>
      <c r="G1613" s="211"/>
      <c r="H1613" s="222"/>
      <c r="I1613" s="223"/>
    </row>
    <row r="1614" spans="1:9" ht="14.4" thickBot="1" x14ac:dyDescent="0.35"/>
    <row r="1615" spans="1:9" ht="14.4" thickBot="1" x14ac:dyDescent="0.35">
      <c r="A1615" s="226" t="s">
        <v>1204</v>
      </c>
      <c r="B1615" s="224" t="s">
        <v>1434</v>
      </c>
      <c r="C1615" s="224" t="s">
        <v>1435</v>
      </c>
      <c r="D1615" s="224" t="s">
        <v>1207</v>
      </c>
      <c r="E1615" s="368" t="s">
        <v>1208</v>
      </c>
      <c r="F1615" s="368"/>
      <c r="G1615" s="368"/>
      <c r="H1615" s="224" t="s">
        <v>1209</v>
      </c>
      <c r="I1615" s="225" t="s">
        <v>1436</v>
      </c>
    </row>
    <row r="1616" spans="1:9" ht="14.4" x14ac:dyDescent="0.3">
      <c r="A1616" s="197"/>
      <c r="B1616" s="193"/>
      <c r="C1616" s="194"/>
      <c r="D1616" s="195"/>
      <c r="E1616" s="196"/>
      <c r="F1616" s="212"/>
      <c r="G1616" s="196"/>
      <c r="H1616" s="213"/>
      <c r="I1616" s="214"/>
    </row>
    <row r="1617" spans="1:9" ht="14.4" x14ac:dyDescent="0.3">
      <c r="A1617" s="197"/>
      <c r="B1617" s="198"/>
      <c r="C1617" s="199"/>
      <c r="D1617" s="200"/>
      <c r="E1617" s="201"/>
      <c r="F1617" s="212"/>
      <c r="G1617" s="201"/>
      <c r="H1617" s="215"/>
      <c r="I1617" s="216"/>
    </row>
    <row r="1618" spans="1:9" ht="14.4" x14ac:dyDescent="0.3">
      <c r="A1618" s="197"/>
      <c r="B1618" s="198"/>
      <c r="C1618" s="199"/>
      <c r="D1618" s="200"/>
      <c r="E1618" s="201"/>
      <c r="F1618" s="212"/>
      <c r="G1618" s="201"/>
      <c r="H1618" s="215"/>
      <c r="I1618" s="216"/>
    </row>
    <row r="1619" spans="1:9" ht="14.4" x14ac:dyDescent="0.3">
      <c r="A1619" s="197"/>
      <c r="B1619" s="198"/>
      <c r="C1619" s="199"/>
      <c r="D1619" s="200"/>
      <c r="E1619" s="201"/>
      <c r="F1619" s="212"/>
      <c r="G1619" s="201"/>
      <c r="H1619" s="215"/>
      <c r="I1619" s="217"/>
    </row>
    <row r="1620" spans="1:9" ht="14.4" x14ac:dyDescent="0.3">
      <c r="A1620" s="197"/>
      <c r="B1620" s="198"/>
      <c r="C1620" s="199"/>
      <c r="D1620" s="200"/>
      <c r="E1620" s="196"/>
      <c r="F1620" s="212"/>
      <c r="G1620" s="196"/>
      <c r="H1620" s="215"/>
      <c r="I1620" s="217"/>
    </row>
    <row r="1621" spans="1:9" ht="14.4" x14ac:dyDescent="0.3">
      <c r="A1621" s="197"/>
      <c r="B1621" s="198"/>
      <c r="C1621" s="199"/>
      <c r="D1621" s="200"/>
      <c r="E1621" s="196"/>
      <c r="F1621" s="212"/>
      <c r="G1621" s="196"/>
      <c r="H1621" s="215"/>
      <c r="I1621" s="216"/>
    </row>
    <row r="1622" spans="1:9" ht="14.4" x14ac:dyDescent="0.3">
      <c r="A1622" s="197"/>
      <c r="B1622" s="198"/>
      <c r="C1622" s="199"/>
      <c r="D1622" s="200"/>
      <c r="E1622" s="201"/>
      <c r="F1622" s="212"/>
      <c r="G1622" s="201"/>
      <c r="H1622" s="215"/>
      <c r="I1622" s="216"/>
    </row>
    <row r="1623" spans="1:9" ht="14.4" x14ac:dyDescent="0.3">
      <c r="A1623" s="197"/>
      <c r="B1623" s="198"/>
      <c r="C1623" s="199"/>
      <c r="D1623" s="200"/>
      <c r="E1623" s="202"/>
      <c r="F1623" s="212"/>
      <c r="G1623" s="201"/>
      <c r="H1623" s="215"/>
      <c r="I1623" s="216"/>
    </row>
    <row r="1624" spans="1:9" ht="14.4" x14ac:dyDescent="0.3">
      <c r="A1624" s="197"/>
      <c r="B1624" s="198"/>
      <c r="C1624" s="199"/>
      <c r="D1624" s="200"/>
      <c r="E1624" s="201"/>
      <c r="F1624" s="212"/>
      <c r="G1624" s="201"/>
      <c r="H1624" s="215"/>
      <c r="I1624" s="216"/>
    </row>
    <row r="1625" spans="1:9" ht="14.4" x14ac:dyDescent="0.3">
      <c r="A1625" s="197"/>
      <c r="B1625" s="198"/>
      <c r="C1625" s="199"/>
      <c r="D1625" s="200"/>
      <c r="E1625" s="201"/>
      <c r="F1625" s="212"/>
      <c r="G1625" s="201"/>
      <c r="H1625" s="215"/>
      <c r="I1625" s="216"/>
    </row>
    <row r="1626" spans="1:9" ht="14.4" x14ac:dyDescent="0.3">
      <c r="A1626" s="197"/>
      <c r="B1626" s="203"/>
      <c r="C1626" s="204"/>
      <c r="D1626" s="205"/>
      <c r="E1626" s="206"/>
      <c r="F1626" s="218"/>
      <c r="G1626" s="206"/>
      <c r="H1626" s="219"/>
      <c r="I1626" s="220"/>
    </row>
    <row r="1627" spans="1:9" ht="15" thickBot="1" x14ac:dyDescent="0.35">
      <c r="A1627" s="207"/>
      <c r="B1627" s="208"/>
      <c r="C1627" s="209"/>
      <c r="D1627" s="210"/>
      <c r="E1627" s="211"/>
      <c r="F1627" s="221"/>
      <c r="G1627" s="211"/>
      <c r="H1627" s="222"/>
      <c r="I1627" s="223"/>
    </row>
    <row r="1628" spans="1:9" ht="14.4" thickBot="1" x14ac:dyDescent="0.35"/>
    <row r="1629" spans="1:9" ht="14.4" thickBot="1" x14ac:dyDescent="0.35">
      <c r="A1629" s="226" t="s">
        <v>1204</v>
      </c>
      <c r="B1629" s="224" t="s">
        <v>1434</v>
      </c>
      <c r="C1629" s="224" t="s">
        <v>1435</v>
      </c>
      <c r="D1629" s="224" t="s">
        <v>1207</v>
      </c>
      <c r="E1629" s="368" t="s">
        <v>1208</v>
      </c>
      <c r="F1629" s="368"/>
      <c r="G1629" s="368"/>
      <c r="H1629" s="224" t="s">
        <v>1209</v>
      </c>
      <c r="I1629" s="225" t="s">
        <v>1436</v>
      </c>
    </row>
    <row r="1630" spans="1:9" ht="14.4" x14ac:dyDescent="0.3">
      <c r="A1630" s="197"/>
      <c r="B1630" s="193"/>
      <c r="C1630" s="194"/>
      <c r="D1630" s="195"/>
      <c r="E1630" s="196"/>
      <c r="F1630" s="212"/>
      <c r="G1630" s="196"/>
      <c r="H1630" s="213"/>
      <c r="I1630" s="214"/>
    </row>
    <row r="1631" spans="1:9" ht="14.4" x14ac:dyDescent="0.3">
      <c r="A1631" s="197"/>
      <c r="B1631" s="198"/>
      <c r="C1631" s="199"/>
      <c r="D1631" s="200"/>
      <c r="E1631" s="201"/>
      <c r="F1631" s="212"/>
      <c r="G1631" s="201"/>
      <c r="H1631" s="215"/>
      <c r="I1631" s="216"/>
    </row>
    <row r="1632" spans="1:9" ht="14.4" x14ac:dyDescent="0.3">
      <c r="A1632" s="197"/>
      <c r="B1632" s="198"/>
      <c r="C1632" s="199"/>
      <c r="D1632" s="200"/>
      <c r="E1632" s="201"/>
      <c r="F1632" s="212"/>
      <c r="G1632" s="201"/>
      <c r="H1632" s="215"/>
      <c r="I1632" s="216"/>
    </row>
    <row r="1633" spans="1:9" ht="14.4" x14ac:dyDescent="0.3">
      <c r="A1633" s="197"/>
      <c r="B1633" s="198"/>
      <c r="C1633" s="199"/>
      <c r="D1633" s="200"/>
      <c r="E1633" s="201"/>
      <c r="F1633" s="212"/>
      <c r="G1633" s="201"/>
      <c r="H1633" s="215"/>
      <c r="I1633" s="217"/>
    </row>
    <row r="1634" spans="1:9" ht="14.4" x14ac:dyDescent="0.3">
      <c r="A1634" s="197"/>
      <c r="B1634" s="198"/>
      <c r="C1634" s="199"/>
      <c r="D1634" s="200"/>
      <c r="E1634" s="196"/>
      <c r="F1634" s="212"/>
      <c r="G1634" s="196"/>
      <c r="H1634" s="215"/>
      <c r="I1634" s="217"/>
    </row>
    <row r="1635" spans="1:9" ht="14.4" x14ac:dyDescent="0.3">
      <c r="A1635" s="197"/>
      <c r="B1635" s="198"/>
      <c r="C1635" s="199"/>
      <c r="D1635" s="200"/>
      <c r="E1635" s="196"/>
      <c r="F1635" s="212"/>
      <c r="G1635" s="196"/>
      <c r="H1635" s="215"/>
      <c r="I1635" s="216"/>
    </row>
    <row r="1636" spans="1:9" ht="14.4" x14ac:dyDescent="0.3">
      <c r="A1636" s="197"/>
      <c r="B1636" s="198"/>
      <c r="C1636" s="199"/>
      <c r="D1636" s="200"/>
      <c r="E1636" s="201"/>
      <c r="F1636" s="212"/>
      <c r="G1636" s="201"/>
      <c r="H1636" s="215"/>
      <c r="I1636" s="216"/>
    </row>
    <row r="1637" spans="1:9" ht="14.4" x14ac:dyDescent="0.3">
      <c r="A1637" s="197"/>
      <c r="B1637" s="198"/>
      <c r="C1637" s="199"/>
      <c r="D1637" s="200"/>
      <c r="E1637" s="202"/>
      <c r="F1637" s="212"/>
      <c r="G1637" s="201"/>
      <c r="H1637" s="215"/>
      <c r="I1637" s="216"/>
    </row>
    <row r="1638" spans="1:9" ht="14.4" x14ac:dyDescent="0.3">
      <c r="A1638" s="197"/>
      <c r="B1638" s="198"/>
      <c r="C1638" s="199"/>
      <c r="D1638" s="200"/>
      <c r="E1638" s="201"/>
      <c r="F1638" s="212"/>
      <c r="G1638" s="201"/>
      <c r="H1638" s="215"/>
      <c r="I1638" s="216"/>
    </row>
    <row r="1639" spans="1:9" ht="14.4" x14ac:dyDescent="0.3">
      <c r="A1639" s="197"/>
      <c r="B1639" s="198"/>
      <c r="C1639" s="199"/>
      <c r="D1639" s="200"/>
      <c r="E1639" s="201"/>
      <c r="F1639" s="212"/>
      <c r="G1639" s="201"/>
      <c r="H1639" s="215"/>
      <c r="I1639" s="216"/>
    </row>
    <row r="1640" spans="1:9" ht="14.4" x14ac:dyDescent="0.3">
      <c r="A1640" s="197"/>
      <c r="B1640" s="203"/>
      <c r="C1640" s="204"/>
      <c r="D1640" s="205"/>
      <c r="E1640" s="206"/>
      <c r="F1640" s="218"/>
      <c r="G1640" s="206"/>
      <c r="H1640" s="219"/>
      <c r="I1640" s="220"/>
    </row>
    <row r="1641" spans="1:9" ht="15" thickBot="1" x14ac:dyDescent="0.35">
      <c r="A1641" s="207"/>
      <c r="B1641" s="208"/>
      <c r="C1641" s="209"/>
      <c r="D1641" s="210"/>
      <c r="E1641" s="211"/>
      <c r="F1641" s="221"/>
      <c r="G1641" s="211"/>
      <c r="H1641" s="222"/>
      <c r="I1641" s="223"/>
    </row>
    <row r="1642" spans="1:9" ht="14.4" thickBot="1" x14ac:dyDescent="0.35"/>
    <row r="1643" spans="1:9" ht="14.4" thickBot="1" x14ac:dyDescent="0.35">
      <c r="A1643" s="226" t="s">
        <v>1204</v>
      </c>
      <c r="B1643" s="224" t="s">
        <v>1434</v>
      </c>
      <c r="C1643" s="224" t="s">
        <v>1435</v>
      </c>
      <c r="D1643" s="224" t="s">
        <v>1207</v>
      </c>
      <c r="E1643" s="368" t="s">
        <v>1208</v>
      </c>
      <c r="F1643" s="368"/>
      <c r="G1643" s="368"/>
      <c r="H1643" s="224" t="s">
        <v>1209</v>
      </c>
      <c r="I1643" s="225" t="s">
        <v>1436</v>
      </c>
    </row>
    <row r="1644" spans="1:9" ht="14.4" x14ac:dyDescent="0.3">
      <c r="A1644" s="197"/>
      <c r="B1644" s="193"/>
      <c r="C1644" s="194"/>
      <c r="D1644" s="195"/>
      <c r="E1644" s="196"/>
      <c r="F1644" s="212"/>
      <c r="G1644" s="196"/>
      <c r="H1644" s="213"/>
      <c r="I1644" s="214"/>
    </row>
    <row r="1645" spans="1:9" ht="14.4" x14ac:dyDescent="0.3">
      <c r="A1645" s="197"/>
      <c r="B1645" s="198"/>
      <c r="C1645" s="199"/>
      <c r="D1645" s="200"/>
      <c r="E1645" s="201"/>
      <c r="F1645" s="212"/>
      <c r="G1645" s="201"/>
      <c r="H1645" s="215"/>
      <c r="I1645" s="216"/>
    </row>
    <row r="1646" spans="1:9" ht="14.4" x14ac:dyDescent="0.3">
      <c r="A1646" s="197"/>
      <c r="B1646" s="198"/>
      <c r="C1646" s="199"/>
      <c r="D1646" s="200"/>
      <c r="E1646" s="201"/>
      <c r="F1646" s="212"/>
      <c r="G1646" s="201"/>
      <c r="H1646" s="215"/>
      <c r="I1646" s="216"/>
    </row>
    <row r="1647" spans="1:9" ht="14.4" x14ac:dyDescent="0.3">
      <c r="A1647" s="197"/>
      <c r="B1647" s="198"/>
      <c r="C1647" s="199"/>
      <c r="D1647" s="200"/>
      <c r="E1647" s="201"/>
      <c r="F1647" s="212"/>
      <c r="G1647" s="201"/>
      <c r="H1647" s="215"/>
      <c r="I1647" s="217"/>
    </row>
    <row r="1648" spans="1:9" ht="14.4" x14ac:dyDescent="0.3">
      <c r="A1648" s="197"/>
      <c r="B1648" s="198"/>
      <c r="C1648" s="199"/>
      <c r="D1648" s="200"/>
      <c r="E1648" s="196"/>
      <c r="F1648" s="212"/>
      <c r="G1648" s="196"/>
      <c r="H1648" s="215"/>
      <c r="I1648" s="217"/>
    </row>
    <row r="1649" spans="1:9" ht="14.4" x14ac:dyDescent="0.3">
      <c r="A1649" s="197"/>
      <c r="B1649" s="198"/>
      <c r="C1649" s="199"/>
      <c r="D1649" s="200"/>
      <c r="E1649" s="196"/>
      <c r="F1649" s="212"/>
      <c r="G1649" s="196"/>
      <c r="H1649" s="215"/>
      <c r="I1649" s="216"/>
    </row>
    <row r="1650" spans="1:9" ht="14.4" x14ac:dyDescent="0.3">
      <c r="A1650" s="197"/>
      <c r="B1650" s="198"/>
      <c r="C1650" s="199"/>
      <c r="D1650" s="200"/>
      <c r="E1650" s="201"/>
      <c r="F1650" s="212"/>
      <c r="G1650" s="201"/>
      <c r="H1650" s="215"/>
      <c r="I1650" s="216"/>
    </row>
    <row r="1651" spans="1:9" ht="14.4" x14ac:dyDescent="0.3">
      <c r="A1651" s="197"/>
      <c r="B1651" s="198"/>
      <c r="C1651" s="199"/>
      <c r="D1651" s="200"/>
      <c r="E1651" s="202"/>
      <c r="F1651" s="212"/>
      <c r="G1651" s="201"/>
      <c r="H1651" s="215"/>
      <c r="I1651" s="216"/>
    </row>
    <row r="1652" spans="1:9" ht="14.4" x14ac:dyDescent="0.3">
      <c r="A1652" s="197"/>
      <c r="B1652" s="198"/>
      <c r="C1652" s="199"/>
      <c r="D1652" s="200"/>
      <c r="E1652" s="201"/>
      <c r="F1652" s="212"/>
      <c r="G1652" s="201"/>
      <c r="H1652" s="215"/>
      <c r="I1652" s="216"/>
    </row>
    <row r="1653" spans="1:9" ht="14.4" x14ac:dyDescent="0.3">
      <c r="A1653" s="197"/>
      <c r="B1653" s="198"/>
      <c r="C1653" s="199"/>
      <c r="D1653" s="200"/>
      <c r="E1653" s="201"/>
      <c r="F1653" s="212"/>
      <c r="G1653" s="201"/>
      <c r="H1653" s="215"/>
      <c r="I1653" s="216"/>
    </row>
    <row r="1654" spans="1:9" ht="14.4" x14ac:dyDescent="0.3">
      <c r="A1654" s="197"/>
      <c r="B1654" s="203"/>
      <c r="C1654" s="204"/>
      <c r="D1654" s="205"/>
      <c r="E1654" s="206"/>
      <c r="F1654" s="218"/>
      <c r="G1654" s="206"/>
      <c r="H1654" s="219"/>
      <c r="I1654" s="220"/>
    </row>
    <row r="1655" spans="1:9" ht="15" thickBot="1" x14ac:dyDescent="0.35">
      <c r="A1655" s="207"/>
      <c r="B1655" s="208"/>
      <c r="C1655" s="209"/>
      <c r="D1655" s="210"/>
      <c r="E1655" s="211"/>
      <c r="F1655" s="221"/>
      <c r="G1655" s="211"/>
      <c r="H1655" s="222"/>
      <c r="I1655" s="223"/>
    </row>
    <row r="1656" spans="1:9" ht="14.4" thickBot="1" x14ac:dyDescent="0.35"/>
    <row r="1657" spans="1:9" ht="14.4" thickBot="1" x14ac:dyDescent="0.35">
      <c r="A1657" s="226" t="s">
        <v>1204</v>
      </c>
      <c r="B1657" s="224" t="s">
        <v>1434</v>
      </c>
      <c r="C1657" s="224" t="s">
        <v>1435</v>
      </c>
      <c r="D1657" s="224" t="s">
        <v>1207</v>
      </c>
      <c r="E1657" s="368" t="s">
        <v>1208</v>
      </c>
      <c r="F1657" s="368"/>
      <c r="G1657" s="368"/>
      <c r="H1657" s="224" t="s">
        <v>1209</v>
      </c>
      <c r="I1657" s="225" t="s">
        <v>1436</v>
      </c>
    </row>
    <row r="1658" spans="1:9" ht="14.4" x14ac:dyDescent="0.3">
      <c r="A1658" s="197"/>
      <c r="B1658" s="193"/>
      <c r="C1658" s="194"/>
      <c r="D1658" s="195"/>
      <c r="E1658" s="196"/>
      <c r="F1658" s="212"/>
      <c r="G1658" s="196"/>
      <c r="H1658" s="213"/>
      <c r="I1658" s="214"/>
    </row>
    <row r="1659" spans="1:9" ht="14.4" x14ac:dyDescent="0.3">
      <c r="A1659" s="197"/>
      <c r="B1659" s="198"/>
      <c r="C1659" s="199"/>
      <c r="D1659" s="200"/>
      <c r="E1659" s="201"/>
      <c r="F1659" s="212"/>
      <c r="G1659" s="201"/>
      <c r="H1659" s="215"/>
      <c r="I1659" s="216"/>
    </row>
    <row r="1660" spans="1:9" ht="14.4" x14ac:dyDescent="0.3">
      <c r="A1660" s="197"/>
      <c r="B1660" s="198"/>
      <c r="C1660" s="199"/>
      <c r="D1660" s="200"/>
      <c r="E1660" s="201"/>
      <c r="F1660" s="212"/>
      <c r="G1660" s="201"/>
      <c r="H1660" s="215"/>
      <c r="I1660" s="216"/>
    </row>
    <row r="1661" spans="1:9" ht="14.4" x14ac:dyDescent="0.3">
      <c r="A1661" s="197"/>
      <c r="B1661" s="198"/>
      <c r="C1661" s="199"/>
      <c r="D1661" s="200"/>
      <c r="E1661" s="201"/>
      <c r="F1661" s="212"/>
      <c r="G1661" s="201"/>
      <c r="H1661" s="215"/>
      <c r="I1661" s="217"/>
    </row>
    <row r="1662" spans="1:9" ht="14.4" x14ac:dyDescent="0.3">
      <c r="A1662" s="197"/>
      <c r="B1662" s="198"/>
      <c r="C1662" s="199"/>
      <c r="D1662" s="200"/>
      <c r="E1662" s="196"/>
      <c r="F1662" s="212"/>
      <c r="G1662" s="196"/>
      <c r="H1662" s="215"/>
      <c r="I1662" s="217"/>
    </row>
    <row r="1663" spans="1:9" ht="14.4" x14ac:dyDescent="0.3">
      <c r="A1663" s="197"/>
      <c r="B1663" s="198"/>
      <c r="C1663" s="199"/>
      <c r="D1663" s="200"/>
      <c r="E1663" s="196"/>
      <c r="F1663" s="212"/>
      <c r="G1663" s="196"/>
      <c r="H1663" s="215"/>
      <c r="I1663" s="216"/>
    </row>
    <row r="1664" spans="1:9" ht="14.4" x14ac:dyDescent="0.3">
      <c r="A1664" s="197"/>
      <c r="B1664" s="198"/>
      <c r="C1664" s="199"/>
      <c r="D1664" s="200"/>
      <c r="E1664" s="201"/>
      <c r="F1664" s="212"/>
      <c r="G1664" s="201"/>
      <c r="H1664" s="215"/>
      <c r="I1664" s="216"/>
    </row>
    <row r="1665" spans="1:9" ht="14.4" x14ac:dyDescent="0.3">
      <c r="A1665" s="197"/>
      <c r="B1665" s="198"/>
      <c r="C1665" s="199"/>
      <c r="D1665" s="200"/>
      <c r="E1665" s="202"/>
      <c r="F1665" s="212"/>
      <c r="G1665" s="201"/>
      <c r="H1665" s="215"/>
      <c r="I1665" s="216"/>
    </row>
    <row r="1666" spans="1:9" ht="14.4" x14ac:dyDescent="0.3">
      <c r="A1666" s="197"/>
      <c r="B1666" s="198"/>
      <c r="C1666" s="199"/>
      <c r="D1666" s="200"/>
      <c r="E1666" s="201"/>
      <c r="F1666" s="212"/>
      <c r="G1666" s="201"/>
      <c r="H1666" s="215"/>
      <c r="I1666" s="216"/>
    </row>
    <row r="1667" spans="1:9" ht="14.4" x14ac:dyDescent="0.3">
      <c r="A1667" s="197"/>
      <c r="B1667" s="198"/>
      <c r="C1667" s="199"/>
      <c r="D1667" s="200"/>
      <c r="E1667" s="201"/>
      <c r="F1667" s="212"/>
      <c r="G1667" s="201"/>
      <c r="H1667" s="215"/>
      <c r="I1667" s="216"/>
    </row>
    <row r="1668" spans="1:9" ht="14.4" x14ac:dyDescent="0.3">
      <c r="A1668" s="197"/>
      <c r="B1668" s="203"/>
      <c r="C1668" s="204"/>
      <c r="D1668" s="205"/>
      <c r="E1668" s="206"/>
      <c r="F1668" s="218"/>
      <c r="G1668" s="206"/>
      <c r="H1668" s="219"/>
      <c r="I1668" s="220"/>
    </row>
    <row r="1669" spans="1:9" ht="15" thickBot="1" x14ac:dyDescent="0.35">
      <c r="A1669" s="207"/>
      <c r="B1669" s="208"/>
      <c r="C1669" s="209"/>
      <c r="D1669" s="210"/>
      <c r="E1669" s="211"/>
      <c r="F1669" s="221"/>
      <c r="G1669" s="211"/>
      <c r="H1669" s="222"/>
      <c r="I1669" s="223"/>
    </row>
    <row r="1670" spans="1:9" ht="14.4" thickBot="1" x14ac:dyDescent="0.35"/>
    <row r="1671" spans="1:9" ht="14.4" thickBot="1" x14ac:dyDescent="0.35">
      <c r="A1671" s="226" t="s">
        <v>1204</v>
      </c>
      <c r="B1671" s="224" t="s">
        <v>1434</v>
      </c>
      <c r="C1671" s="224" t="s">
        <v>1435</v>
      </c>
      <c r="D1671" s="224" t="s">
        <v>1207</v>
      </c>
      <c r="E1671" s="368" t="s">
        <v>1208</v>
      </c>
      <c r="F1671" s="368"/>
      <c r="G1671" s="368"/>
      <c r="H1671" s="224" t="s">
        <v>1209</v>
      </c>
      <c r="I1671" s="225" t="s">
        <v>1436</v>
      </c>
    </row>
    <row r="1672" spans="1:9" ht="14.4" x14ac:dyDescent="0.3">
      <c r="A1672" s="197"/>
      <c r="B1672" s="193"/>
      <c r="C1672" s="194"/>
      <c r="D1672" s="195"/>
      <c r="E1672" s="196"/>
      <c r="F1672" s="212"/>
      <c r="G1672" s="196"/>
      <c r="H1672" s="213"/>
      <c r="I1672" s="214"/>
    </row>
    <row r="1673" spans="1:9" ht="14.4" x14ac:dyDescent="0.3">
      <c r="A1673" s="197"/>
      <c r="B1673" s="198"/>
      <c r="C1673" s="199"/>
      <c r="D1673" s="200"/>
      <c r="E1673" s="201"/>
      <c r="F1673" s="212"/>
      <c r="G1673" s="201"/>
      <c r="H1673" s="215"/>
      <c r="I1673" s="216"/>
    </row>
    <row r="1674" spans="1:9" ht="14.4" x14ac:dyDescent="0.3">
      <c r="A1674" s="197"/>
      <c r="B1674" s="198"/>
      <c r="C1674" s="199"/>
      <c r="D1674" s="200"/>
      <c r="E1674" s="201"/>
      <c r="F1674" s="212"/>
      <c r="G1674" s="201"/>
      <c r="H1674" s="215"/>
      <c r="I1674" s="216"/>
    </row>
    <row r="1675" spans="1:9" ht="14.4" x14ac:dyDescent="0.3">
      <c r="A1675" s="197"/>
      <c r="B1675" s="198"/>
      <c r="C1675" s="199"/>
      <c r="D1675" s="200"/>
      <c r="E1675" s="201"/>
      <c r="F1675" s="212"/>
      <c r="G1675" s="201"/>
      <c r="H1675" s="215"/>
      <c r="I1675" s="217"/>
    </row>
    <row r="1676" spans="1:9" ht="14.4" x14ac:dyDescent="0.3">
      <c r="A1676" s="197"/>
      <c r="B1676" s="198"/>
      <c r="C1676" s="199"/>
      <c r="D1676" s="200"/>
      <c r="E1676" s="196"/>
      <c r="F1676" s="212"/>
      <c r="G1676" s="196"/>
      <c r="H1676" s="215"/>
      <c r="I1676" s="217"/>
    </row>
    <row r="1677" spans="1:9" ht="14.4" x14ac:dyDescent="0.3">
      <c r="A1677" s="197"/>
      <c r="B1677" s="198"/>
      <c r="C1677" s="199"/>
      <c r="D1677" s="200"/>
      <c r="E1677" s="196"/>
      <c r="F1677" s="212"/>
      <c r="G1677" s="196"/>
      <c r="H1677" s="215"/>
      <c r="I1677" s="216"/>
    </row>
    <row r="1678" spans="1:9" ht="14.4" x14ac:dyDescent="0.3">
      <c r="A1678" s="197"/>
      <c r="B1678" s="198"/>
      <c r="C1678" s="199"/>
      <c r="D1678" s="200"/>
      <c r="E1678" s="201"/>
      <c r="F1678" s="212"/>
      <c r="G1678" s="201"/>
      <c r="H1678" s="215"/>
      <c r="I1678" s="216"/>
    </row>
    <row r="1679" spans="1:9" ht="14.4" x14ac:dyDescent="0.3">
      <c r="A1679" s="197"/>
      <c r="B1679" s="198"/>
      <c r="C1679" s="199"/>
      <c r="D1679" s="200"/>
      <c r="E1679" s="202"/>
      <c r="F1679" s="212"/>
      <c r="G1679" s="201"/>
      <c r="H1679" s="215"/>
      <c r="I1679" s="216"/>
    </row>
    <row r="1680" spans="1:9" ht="14.4" x14ac:dyDescent="0.3">
      <c r="A1680" s="197"/>
      <c r="B1680" s="198"/>
      <c r="C1680" s="199"/>
      <c r="D1680" s="200"/>
      <c r="E1680" s="201"/>
      <c r="F1680" s="212"/>
      <c r="G1680" s="201"/>
      <c r="H1680" s="215"/>
      <c r="I1680" s="216"/>
    </row>
    <row r="1681" spans="1:9" ht="14.4" x14ac:dyDescent="0.3">
      <c r="A1681" s="197"/>
      <c r="B1681" s="198"/>
      <c r="C1681" s="199"/>
      <c r="D1681" s="200"/>
      <c r="E1681" s="201"/>
      <c r="F1681" s="212"/>
      <c r="G1681" s="201"/>
      <c r="H1681" s="215"/>
      <c r="I1681" s="216"/>
    </row>
    <row r="1682" spans="1:9" ht="14.4" x14ac:dyDescent="0.3">
      <c r="A1682" s="197"/>
      <c r="B1682" s="203"/>
      <c r="C1682" s="204"/>
      <c r="D1682" s="205"/>
      <c r="E1682" s="206"/>
      <c r="F1682" s="218"/>
      <c r="G1682" s="206"/>
      <c r="H1682" s="219"/>
      <c r="I1682" s="220"/>
    </row>
    <row r="1683" spans="1:9" ht="15" thickBot="1" x14ac:dyDescent="0.35">
      <c r="A1683" s="207"/>
      <c r="B1683" s="208"/>
      <c r="C1683" s="209"/>
      <c r="D1683" s="210"/>
      <c r="E1683" s="211"/>
      <c r="F1683" s="221"/>
      <c r="G1683" s="211"/>
      <c r="H1683" s="222"/>
      <c r="I1683" s="223"/>
    </row>
    <row r="1684" spans="1:9" ht="14.4" thickBot="1" x14ac:dyDescent="0.35"/>
    <row r="1685" spans="1:9" ht="14.4" thickBot="1" x14ac:dyDescent="0.35">
      <c r="A1685" s="226" t="s">
        <v>1204</v>
      </c>
      <c r="B1685" s="224" t="s">
        <v>1434</v>
      </c>
      <c r="C1685" s="224" t="s">
        <v>1435</v>
      </c>
      <c r="D1685" s="224" t="s">
        <v>1207</v>
      </c>
      <c r="E1685" s="368" t="s">
        <v>1208</v>
      </c>
      <c r="F1685" s="368"/>
      <c r="G1685" s="368"/>
      <c r="H1685" s="224" t="s">
        <v>1209</v>
      </c>
      <c r="I1685" s="225" t="s">
        <v>1436</v>
      </c>
    </row>
    <row r="1686" spans="1:9" ht="14.4" x14ac:dyDescent="0.3">
      <c r="A1686" s="197"/>
      <c r="B1686" s="193"/>
      <c r="C1686" s="194"/>
      <c r="D1686" s="195"/>
      <c r="E1686" s="196"/>
      <c r="F1686" s="212"/>
      <c r="G1686" s="196"/>
      <c r="H1686" s="213"/>
      <c r="I1686" s="214"/>
    </row>
    <row r="1687" spans="1:9" ht="14.4" x14ac:dyDescent="0.3">
      <c r="A1687" s="197"/>
      <c r="B1687" s="198"/>
      <c r="C1687" s="199"/>
      <c r="D1687" s="200"/>
      <c r="E1687" s="201"/>
      <c r="F1687" s="212"/>
      <c r="G1687" s="201"/>
      <c r="H1687" s="215"/>
      <c r="I1687" s="216"/>
    </row>
    <row r="1688" spans="1:9" ht="14.4" x14ac:dyDescent="0.3">
      <c r="A1688" s="197"/>
      <c r="B1688" s="198"/>
      <c r="C1688" s="199"/>
      <c r="D1688" s="200"/>
      <c r="E1688" s="201"/>
      <c r="F1688" s="212"/>
      <c r="G1688" s="201"/>
      <c r="H1688" s="215"/>
      <c r="I1688" s="216"/>
    </row>
    <row r="1689" spans="1:9" ht="14.4" x14ac:dyDescent="0.3">
      <c r="A1689" s="197"/>
      <c r="B1689" s="198"/>
      <c r="C1689" s="199"/>
      <c r="D1689" s="200"/>
      <c r="E1689" s="201"/>
      <c r="F1689" s="212"/>
      <c r="G1689" s="201"/>
      <c r="H1689" s="215"/>
      <c r="I1689" s="217"/>
    </row>
    <row r="1690" spans="1:9" ht="14.4" x14ac:dyDescent="0.3">
      <c r="A1690" s="197"/>
      <c r="B1690" s="198"/>
      <c r="C1690" s="199"/>
      <c r="D1690" s="200"/>
      <c r="E1690" s="196"/>
      <c r="F1690" s="212"/>
      <c r="G1690" s="196"/>
      <c r="H1690" s="215"/>
      <c r="I1690" s="217"/>
    </row>
    <row r="1691" spans="1:9" ht="14.4" x14ac:dyDescent="0.3">
      <c r="A1691" s="197"/>
      <c r="B1691" s="198"/>
      <c r="C1691" s="199"/>
      <c r="D1691" s="200"/>
      <c r="E1691" s="196"/>
      <c r="F1691" s="212"/>
      <c r="G1691" s="196"/>
      <c r="H1691" s="215"/>
      <c r="I1691" s="216"/>
    </row>
    <row r="1692" spans="1:9" ht="14.4" x14ac:dyDescent="0.3">
      <c r="A1692" s="197"/>
      <c r="B1692" s="198"/>
      <c r="C1692" s="199"/>
      <c r="D1692" s="200"/>
      <c r="E1692" s="201"/>
      <c r="F1692" s="212"/>
      <c r="G1692" s="201"/>
      <c r="H1692" s="215"/>
      <c r="I1692" s="216"/>
    </row>
    <row r="1693" spans="1:9" ht="14.4" x14ac:dyDescent="0.3">
      <c r="A1693" s="197"/>
      <c r="B1693" s="198"/>
      <c r="C1693" s="199"/>
      <c r="D1693" s="200"/>
      <c r="E1693" s="202"/>
      <c r="F1693" s="212"/>
      <c r="G1693" s="201"/>
      <c r="H1693" s="215"/>
      <c r="I1693" s="216"/>
    </row>
    <row r="1694" spans="1:9" ht="14.4" x14ac:dyDescent="0.3">
      <c r="A1694" s="197"/>
      <c r="B1694" s="198"/>
      <c r="C1694" s="199"/>
      <c r="D1694" s="200"/>
      <c r="E1694" s="201"/>
      <c r="F1694" s="212"/>
      <c r="G1694" s="201"/>
      <c r="H1694" s="215"/>
      <c r="I1694" s="216"/>
    </row>
    <row r="1695" spans="1:9" ht="14.4" x14ac:dyDescent="0.3">
      <c r="A1695" s="197"/>
      <c r="B1695" s="198"/>
      <c r="C1695" s="199"/>
      <c r="D1695" s="200"/>
      <c r="E1695" s="201"/>
      <c r="F1695" s="212"/>
      <c r="G1695" s="201"/>
      <c r="H1695" s="215"/>
      <c r="I1695" s="216"/>
    </row>
    <row r="1696" spans="1:9" ht="14.4" x14ac:dyDescent="0.3">
      <c r="A1696" s="197"/>
      <c r="B1696" s="203"/>
      <c r="C1696" s="204"/>
      <c r="D1696" s="205"/>
      <c r="E1696" s="206"/>
      <c r="F1696" s="218"/>
      <c r="G1696" s="206"/>
      <c r="H1696" s="219"/>
      <c r="I1696" s="220"/>
    </row>
    <row r="1697" spans="1:9" ht="15" thickBot="1" x14ac:dyDescent="0.35">
      <c r="A1697" s="207"/>
      <c r="B1697" s="208"/>
      <c r="C1697" s="209"/>
      <c r="D1697" s="210"/>
      <c r="E1697" s="211"/>
      <c r="F1697" s="221"/>
      <c r="G1697" s="211"/>
      <c r="H1697" s="222"/>
      <c r="I1697" s="223"/>
    </row>
    <row r="1698" spans="1:9" ht="14.4" thickBot="1" x14ac:dyDescent="0.35"/>
    <row r="1699" spans="1:9" ht="14.4" thickBot="1" x14ac:dyDescent="0.35">
      <c r="A1699" s="226" t="s">
        <v>1204</v>
      </c>
      <c r="B1699" s="224" t="s">
        <v>1434</v>
      </c>
      <c r="C1699" s="224" t="s">
        <v>1435</v>
      </c>
      <c r="D1699" s="224" t="s">
        <v>1207</v>
      </c>
      <c r="E1699" s="368" t="s">
        <v>1208</v>
      </c>
      <c r="F1699" s="368"/>
      <c r="G1699" s="368"/>
      <c r="H1699" s="224" t="s">
        <v>1209</v>
      </c>
      <c r="I1699" s="225" t="s">
        <v>1436</v>
      </c>
    </row>
    <row r="1700" spans="1:9" ht="14.4" x14ac:dyDescent="0.3">
      <c r="A1700" s="197"/>
      <c r="B1700" s="193"/>
      <c r="C1700" s="194"/>
      <c r="D1700" s="195"/>
      <c r="E1700" s="196"/>
      <c r="F1700" s="212"/>
      <c r="G1700" s="196"/>
      <c r="H1700" s="213"/>
      <c r="I1700" s="214"/>
    </row>
    <row r="1701" spans="1:9" ht="14.4" x14ac:dyDescent="0.3">
      <c r="A1701" s="197"/>
      <c r="B1701" s="198"/>
      <c r="C1701" s="199"/>
      <c r="D1701" s="200"/>
      <c r="E1701" s="201"/>
      <c r="F1701" s="212"/>
      <c r="G1701" s="201"/>
      <c r="H1701" s="215"/>
      <c r="I1701" s="216"/>
    </row>
    <row r="1702" spans="1:9" ht="14.4" x14ac:dyDescent="0.3">
      <c r="A1702" s="197"/>
      <c r="B1702" s="198"/>
      <c r="C1702" s="199"/>
      <c r="D1702" s="200"/>
      <c r="E1702" s="201"/>
      <c r="F1702" s="212"/>
      <c r="G1702" s="201"/>
      <c r="H1702" s="215"/>
      <c r="I1702" s="216"/>
    </row>
    <row r="1703" spans="1:9" ht="14.4" x14ac:dyDescent="0.3">
      <c r="A1703" s="197"/>
      <c r="B1703" s="198"/>
      <c r="C1703" s="199"/>
      <c r="D1703" s="200"/>
      <c r="E1703" s="201"/>
      <c r="F1703" s="212"/>
      <c r="G1703" s="201"/>
      <c r="H1703" s="215"/>
      <c r="I1703" s="217"/>
    </row>
    <row r="1704" spans="1:9" ht="14.4" x14ac:dyDescent="0.3">
      <c r="A1704" s="197"/>
      <c r="B1704" s="198"/>
      <c r="C1704" s="199"/>
      <c r="D1704" s="200"/>
      <c r="E1704" s="196"/>
      <c r="F1704" s="212"/>
      <c r="G1704" s="196"/>
      <c r="H1704" s="215"/>
      <c r="I1704" s="217"/>
    </row>
    <row r="1705" spans="1:9" ht="14.4" x14ac:dyDescent="0.3">
      <c r="A1705" s="197"/>
      <c r="B1705" s="198"/>
      <c r="C1705" s="199"/>
      <c r="D1705" s="200"/>
      <c r="E1705" s="196"/>
      <c r="F1705" s="212"/>
      <c r="G1705" s="196"/>
      <c r="H1705" s="215"/>
      <c r="I1705" s="216"/>
    </row>
    <row r="1706" spans="1:9" ht="14.4" x14ac:dyDescent="0.3">
      <c r="A1706" s="197"/>
      <c r="B1706" s="198"/>
      <c r="C1706" s="199"/>
      <c r="D1706" s="200"/>
      <c r="E1706" s="201"/>
      <c r="F1706" s="212"/>
      <c r="G1706" s="201"/>
      <c r="H1706" s="215"/>
      <c r="I1706" s="216"/>
    </row>
    <row r="1707" spans="1:9" ht="14.4" x14ac:dyDescent="0.3">
      <c r="A1707" s="197"/>
      <c r="B1707" s="198"/>
      <c r="C1707" s="199"/>
      <c r="D1707" s="200"/>
      <c r="E1707" s="202"/>
      <c r="F1707" s="212"/>
      <c r="G1707" s="201"/>
      <c r="H1707" s="215"/>
      <c r="I1707" s="216"/>
    </row>
    <row r="1708" spans="1:9" ht="14.4" x14ac:dyDescent="0.3">
      <c r="A1708" s="197"/>
      <c r="B1708" s="198"/>
      <c r="C1708" s="199"/>
      <c r="D1708" s="200"/>
      <c r="E1708" s="201"/>
      <c r="F1708" s="212"/>
      <c r="G1708" s="201"/>
      <c r="H1708" s="215"/>
      <c r="I1708" s="216"/>
    </row>
    <row r="1709" spans="1:9" ht="14.4" x14ac:dyDescent="0.3">
      <c r="A1709" s="197"/>
      <c r="B1709" s="198"/>
      <c r="C1709" s="199"/>
      <c r="D1709" s="200"/>
      <c r="E1709" s="201"/>
      <c r="F1709" s="212"/>
      <c r="G1709" s="201"/>
      <c r="H1709" s="215"/>
      <c r="I1709" s="216"/>
    </row>
    <row r="1710" spans="1:9" ht="14.4" x14ac:dyDescent="0.3">
      <c r="A1710" s="197"/>
      <c r="B1710" s="203"/>
      <c r="C1710" s="204"/>
      <c r="D1710" s="205"/>
      <c r="E1710" s="206"/>
      <c r="F1710" s="218"/>
      <c r="G1710" s="206"/>
      <c r="H1710" s="219"/>
      <c r="I1710" s="220"/>
    </row>
    <row r="1711" spans="1:9" ht="15" thickBot="1" x14ac:dyDescent="0.35">
      <c r="A1711" s="207"/>
      <c r="B1711" s="208"/>
      <c r="C1711" s="209"/>
      <c r="D1711" s="210"/>
      <c r="E1711" s="211"/>
      <c r="F1711" s="221"/>
      <c r="G1711" s="211"/>
      <c r="H1711" s="222"/>
      <c r="I1711" s="223"/>
    </row>
    <row r="1712" spans="1:9" ht="14.4" thickBot="1" x14ac:dyDescent="0.35"/>
    <row r="1713" spans="1:9" ht="14.4" thickBot="1" x14ac:dyDescent="0.35">
      <c r="A1713" s="226" t="s">
        <v>1204</v>
      </c>
      <c r="B1713" s="224" t="s">
        <v>1434</v>
      </c>
      <c r="C1713" s="224" t="s">
        <v>1435</v>
      </c>
      <c r="D1713" s="224" t="s">
        <v>1207</v>
      </c>
      <c r="E1713" s="368" t="s">
        <v>1208</v>
      </c>
      <c r="F1713" s="368"/>
      <c r="G1713" s="368"/>
      <c r="H1713" s="224" t="s">
        <v>1209</v>
      </c>
      <c r="I1713" s="225" t="s">
        <v>1436</v>
      </c>
    </row>
    <row r="1714" spans="1:9" ht="14.4" x14ac:dyDescent="0.3">
      <c r="A1714" s="197"/>
      <c r="B1714" s="193"/>
      <c r="C1714" s="194"/>
      <c r="D1714" s="195"/>
      <c r="E1714" s="196"/>
      <c r="F1714" s="212"/>
      <c r="G1714" s="196"/>
      <c r="H1714" s="213"/>
      <c r="I1714" s="214"/>
    </row>
    <row r="1715" spans="1:9" ht="14.4" x14ac:dyDescent="0.3">
      <c r="A1715" s="197"/>
      <c r="B1715" s="198"/>
      <c r="C1715" s="199"/>
      <c r="D1715" s="200"/>
      <c r="E1715" s="201"/>
      <c r="F1715" s="212"/>
      <c r="G1715" s="201"/>
      <c r="H1715" s="215"/>
      <c r="I1715" s="216"/>
    </row>
    <row r="1716" spans="1:9" ht="14.4" x14ac:dyDescent="0.3">
      <c r="A1716" s="197"/>
      <c r="B1716" s="198"/>
      <c r="C1716" s="199"/>
      <c r="D1716" s="200"/>
      <c r="E1716" s="201"/>
      <c r="F1716" s="212"/>
      <c r="G1716" s="201"/>
      <c r="H1716" s="215"/>
      <c r="I1716" s="216"/>
    </row>
    <row r="1717" spans="1:9" ht="14.4" x14ac:dyDescent="0.3">
      <c r="A1717" s="197"/>
      <c r="B1717" s="198"/>
      <c r="C1717" s="199"/>
      <c r="D1717" s="200"/>
      <c r="E1717" s="201"/>
      <c r="F1717" s="212"/>
      <c r="G1717" s="201"/>
      <c r="H1717" s="215"/>
      <c r="I1717" s="217"/>
    </row>
    <row r="1718" spans="1:9" ht="14.4" x14ac:dyDescent="0.3">
      <c r="A1718" s="197"/>
      <c r="B1718" s="198"/>
      <c r="C1718" s="199"/>
      <c r="D1718" s="200"/>
      <c r="E1718" s="196"/>
      <c r="F1718" s="212"/>
      <c r="G1718" s="196"/>
      <c r="H1718" s="215"/>
      <c r="I1718" s="217"/>
    </row>
    <row r="1719" spans="1:9" ht="14.4" x14ac:dyDescent="0.3">
      <c r="A1719" s="197"/>
      <c r="B1719" s="198"/>
      <c r="C1719" s="199"/>
      <c r="D1719" s="200"/>
      <c r="E1719" s="196"/>
      <c r="F1719" s="212"/>
      <c r="G1719" s="196"/>
      <c r="H1719" s="215"/>
      <c r="I1719" s="216"/>
    </row>
    <row r="1720" spans="1:9" ht="14.4" x14ac:dyDescent="0.3">
      <c r="A1720" s="197"/>
      <c r="B1720" s="198"/>
      <c r="C1720" s="199"/>
      <c r="D1720" s="200"/>
      <c r="E1720" s="201"/>
      <c r="F1720" s="212"/>
      <c r="G1720" s="201"/>
      <c r="H1720" s="215"/>
      <c r="I1720" s="216"/>
    </row>
    <row r="1721" spans="1:9" ht="14.4" x14ac:dyDescent="0.3">
      <c r="A1721" s="197"/>
      <c r="B1721" s="198"/>
      <c r="C1721" s="199"/>
      <c r="D1721" s="200"/>
      <c r="E1721" s="202"/>
      <c r="F1721" s="212"/>
      <c r="G1721" s="201"/>
      <c r="H1721" s="215"/>
      <c r="I1721" s="216"/>
    </row>
    <row r="1722" spans="1:9" ht="14.4" x14ac:dyDescent="0.3">
      <c r="A1722" s="197"/>
      <c r="B1722" s="198"/>
      <c r="C1722" s="199"/>
      <c r="D1722" s="200"/>
      <c r="E1722" s="201"/>
      <c r="F1722" s="212"/>
      <c r="G1722" s="201"/>
      <c r="H1722" s="215"/>
      <c r="I1722" s="216"/>
    </row>
    <row r="1723" spans="1:9" ht="14.4" x14ac:dyDescent="0.3">
      <c r="A1723" s="197"/>
      <c r="B1723" s="198"/>
      <c r="C1723" s="199"/>
      <c r="D1723" s="200"/>
      <c r="E1723" s="201"/>
      <c r="F1723" s="212"/>
      <c r="G1723" s="201"/>
      <c r="H1723" s="215"/>
      <c r="I1723" s="216"/>
    </row>
    <row r="1724" spans="1:9" ht="14.4" x14ac:dyDescent="0.3">
      <c r="A1724" s="197"/>
      <c r="B1724" s="203"/>
      <c r="C1724" s="204"/>
      <c r="D1724" s="205"/>
      <c r="E1724" s="206"/>
      <c r="F1724" s="218"/>
      <c r="G1724" s="206"/>
      <c r="H1724" s="219"/>
      <c r="I1724" s="220"/>
    </row>
    <row r="1725" spans="1:9" ht="15" thickBot="1" x14ac:dyDescent="0.35">
      <c r="A1725" s="207"/>
      <c r="B1725" s="208"/>
      <c r="C1725" s="209"/>
      <c r="D1725" s="210"/>
      <c r="E1725" s="211"/>
      <c r="F1725" s="221"/>
      <c r="G1725" s="211"/>
      <c r="H1725" s="222"/>
      <c r="I1725" s="223"/>
    </row>
    <row r="1726" spans="1:9" ht="14.4" thickBot="1" x14ac:dyDescent="0.35"/>
    <row r="1727" spans="1:9" ht="14.4" thickBot="1" x14ac:dyDescent="0.35">
      <c r="A1727" s="226" t="s">
        <v>1204</v>
      </c>
      <c r="B1727" s="224" t="s">
        <v>1434</v>
      </c>
      <c r="C1727" s="224" t="s">
        <v>1435</v>
      </c>
      <c r="D1727" s="224" t="s">
        <v>1207</v>
      </c>
      <c r="E1727" s="368" t="s">
        <v>1208</v>
      </c>
      <c r="F1727" s="368"/>
      <c r="G1727" s="368"/>
      <c r="H1727" s="224" t="s">
        <v>1209</v>
      </c>
      <c r="I1727" s="225" t="s">
        <v>1436</v>
      </c>
    </row>
    <row r="1728" spans="1:9" ht="14.4" x14ac:dyDescent="0.3">
      <c r="A1728" s="197"/>
      <c r="B1728" s="193"/>
      <c r="C1728" s="194"/>
      <c r="D1728" s="195"/>
      <c r="E1728" s="196"/>
      <c r="F1728" s="212"/>
      <c r="G1728" s="196"/>
      <c r="H1728" s="213"/>
      <c r="I1728" s="214"/>
    </row>
    <row r="1729" spans="1:9" ht="14.4" x14ac:dyDescent="0.3">
      <c r="A1729" s="197"/>
      <c r="B1729" s="198"/>
      <c r="C1729" s="199"/>
      <c r="D1729" s="200"/>
      <c r="E1729" s="201"/>
      <c r="F1729" s="212"/>
      <c r="G1729" s="201"/>
      <c r="H1729" s="215"/>
      <c r="I1729" s="216"/>
    </row>
    <row r="1730" spans="1:9" ht="14.4" x14ac:dyDescent="0.3">
      <c r="A1730" s="197"/>
      <c r="B1730" s="198"/>
      <c r="C1730" s="199"/>
      <c r="D1730" s="200"/>
      <c r="E1730" s="201"/>
      <c r="F1730" s="212"/>
      <c r="G1730" s="201"/>
      <c r="H1730" s="215"/>
      <c r="I1730" s="216"/>
    </row>
    <row r="1731" spans="1:9" ht="14.4" x14ac:dyDescent="0.3">
      <c r="A1731" s="197"/>
      <c r="B1731" s="198"/>
      <c r="C1731" s="199"/>
      <c r="D1731" s="200"/>
      <c r="E1731" s="201"/>
      <c r="F1731" s="212"/>
      <c r="G1731" s="201"/>
      <c r="H1731" s="215"/>
      <c r="I1731" s="217"/>
    </row>
    <row r="1732" spans="1:9" ht="14.4" x14ac:dyDescent="0.3">
      <c r="A1732" s="197"/>
      <c r="B1732" s="198"/>
      <c r="C1732" s="199"/>
      <c r="D1732" s="200"/>
      <c r="E1732" s="196"/>
      <c r="F1732" s="212"/>
      <c r="G1732" s="196"/>
      <c r="H1732" s="215"/>
      <c r="I1732" s="217"/>
    </row>
    <row r="1733" spans="1:9" ht="14.4" x14ac:dyDescent="0.3">
      <c r="A1733" s="197"/>
      <c r="B1733" s="198"/>
      <c r="C1733" s="199"/>
      <c r="D1733" s="200"/>
      <c r="E1733" s="196"/>
      <c r="F1733" s="212"/>
      <c r="G1733" s="196"/>
      <c r="H1733" s="215"/>
      <c r="I1733" s="216"/>
    </row>
    <row r="1734" spans="1:9" ht="14.4" x14ac:dyDescent="0.3">
      <c r="A1734" s="197"/>
      <c r="B1734" s="198"/>
      <c r="C1734" s="199"/>
      <c r="D1734" s="200"/>
      <c r="E1734" s="201"/>
      <c r="F1734" s="212"/>
      <c r="G1734" s="201"/>
      <c r="H1734" s="215"/>
      <c r="I1734" s="216"/>
    </row>
    <row r="1735" spans="1:9" ht="14.4" x14ac:dyDescent="0.3">
      <c r="A1735" s="197"/>
      <c r="B1735" s="198"/>
      <c r="C1735" s="199"/>
      <c r="D1735" s="200"/>
      <c r="E1735" s="202"/>
      <c r="F1735" s="212"/>
      <c r="G1735" s="201"/>
      <c r="H1735" s="215"/>
      <c r="I1735" s="216"/>
    </row>
    <row r="1736" spans="1:9" ht="14.4" x14ac:dyDescent="0.3">
      <c r="A1736" s="197"/>
      <c r="B1736" s="198"/>
      <c r="C1736" s="199"/>
      <c r="D1736" s="200"/>
      <c r="E1736" s="201"/>
      <c r="F1736" s="212"/>
      <c r="G1736" s="201"/>
      <c r="H1736" s="215"/>
      <c r="I1736" s="216"/>
    </row>
    <row r="1737" spans="1:9" ht="14.4" x14ac:dyDescent="0.3">
      <c r="A1737" s="197"/>
      <c r="B1737" s="198"/>
      <c r="C1737" s="199"/>
      <c r="D1737" s="200"/>
      <c r="E1737" s="201"/>
      <c r="F1737" s="212"/>
      <c r="G1737" s="201"/>
      <c r="H1737" s="215"/>
      <c r="I1737" s="216"/>
    </row>
    <row r="1738" spans="1:9" ht="14.4" x14ac:dyDescent="0.3">
      <c r="A1738" s="197"/>
      <c r="B1738" s="203"/>
      <c r="C1738" s="204"/>
      <c r="D1738" s="205"/>
      <c r="E1738" s="206"/>
      <c r="F1738" s="218"/>
      <c r="G1738" s="206"/>
      <c r="H1738" s="219"/>
      <c r="I1738" s="220"/>
    </row>
    <row r="1739" spans="1:9" ht="15" thickBot="1" x14ac:dyDescent="0.35">
      <c r="A1739" s="207"/>
      <c r="B1739" s="208"/>
      <c r="C1739" s="209"/>
      <c r="D1739" s="210"/>
      <c r="E1739" s="211"/>
      <c r="F1739" s="221"/>
      <c r="G1739" s="211"/>
      <c r="H1739" s="222"/>
      <c r="I1739" s="223"/>
    </row>
    <row r="1740" spans="1:9" ht="14.4" thickBot="1" x14ac:dyDescent="0.35"/>
    <row r="1741" spans="1:9" ht="14.4" thickBot="1" x14ac:dyDescent="0.35">
      <c r="A1741" s="226" t="s">
        <v>1204</v>
      </c>
      <c r="B1741" s="224" t="s">
        <v>1434</v>
      </c>
      <c r="C1741" s="224" t="s">
        <v>1435</v>
      </c>
      <c r="D1741" s="224" t="s">
        <v>1207</v>
      </c>
      <c r="E1741" s="368" t="s">
        <v>1208</v>
      </c>
      <c r="F1741" s="368"/>
      <c r="G1741" s="368"/>
      <c r="H1741" s="224" t="s">
        <v>1209</v>
      </c>
      <c r="I1741" s="225" t="s">
        <v>1436</v>
      </c>
    </row>
    <row r="1742" spans="1:9" ht="14.4" x14ac:dyDescent="0.3">
      <c r="A1742" s="197"/>
      <c r="B1742" s="193"/>
      <c r="C1742" s="194"/>
      <c r="D1742" s="195"/>
      <c r="E1742" s="196"/>
      <c r="F1742" s="212"/>
      <c r="G1742" s="196"/>
      <c r="H1742" s="213"/>
      <c r="I1742" s="214"/>
    </row>
    <row r="1743" spans="1:9" ht="14.4" x14ac:dyDescent="0.3">
      <c r="A1743" s="197"/>
      <c r="B1743" s="198"/>
      <c r="C1743" s="199"/>
      <c r="D1743" s="200"/>
      <c r="E1743" s="201"/>
      <c r="F1743" s="212"/>
      <c r="G1743" s="201"/>
      <c r="H1743" s="215"/>
      <c r="I1743" s="216"/>
    </row>
    <row r="1744" spans="1:9" ht="14.4" x14ac:dyDescent="0.3">
      <c r="A1744" s="197"/>
      <c r="B1744" s="198"/>
      <c r="C1744" s="199"/>
      <c r="D1744" s="200"/>
      <c r="E1744" s="201"/>
      <c r="F1744" s="212"/>
      <c r="G1744" s="201"/>
      <c r="H1744" s="215"/>
      <c r="I1744" s="216"/>
    </row>
    <row r="1745" spans="1:9" ht="14.4" x14ac:dyDescent="0.3">
      <c r="A1745" s="197"/>
      <c r="B1745" s="198"/>
      <c r="C1745" s="199"/>
      <c r="D1745" s="200"/>
      <c r="E1745" s="201"/>
      <c r="F1745" s="212"/>
      <c r="G1745" s="201"/>
      <c r="H1745" s="215"/>
      <c r="I1745" s="217"/>
    </row>
    <row r="1746" spans="1:9" ht="14.4" x14ac:dyDescent="0.3">
      <c r="A1746" s="197"/>
      <c r="B1746" s="198"/>
      <c r="C1746" s="199"/>
      <c r="D1746" s="200"/>
      <c r="E1746" s="196"/>
      <c r="F1746" s="212"/>
      <c r="G1746" s="196"/>
      <c r="H1746" s="215"/>
      <c r="I1746" s="217"/>
    </row>
    <row r="1747" spans="1:9" ht="14.4" x14ac:dyDescent="0.3">
      <c r="A1747" s="197"/>
      <c r="B1747" s="198"/>
      <c r="C1747" s="199"/>
      <c r="D1747" s="200"/>
      <c r="E1747" s="196"/>
      <c r="F1747" s="212"/>
      <c r="G1747" s="196"/>
      <c r="H1747" s="215"/>
      <c r="I1747" s="216"/>
    </row>
    <row r="1748" spans="1:9" ht="14.4" x14ac:dyDescent="0.3">
      <c r="A1748" s="197"/>
      <c r="B1748" s="198"/>
      <c r="C1748" s="199"/>
      <c r="D1748" s="200"/>
      <c r="E1748" s="201"/>
      <c r="F1748" s="212"/>
      <c r="G1748" s="201"/>
      <c r="H1748" s="215"/>
      <c r="I1748" s="216"/>
    </row>
    <row r="1749" spans="1:9" ht="14.4" x14ac:dyDescent="0.3">
      <c r="A1749" s="197"/>
      <c r="B1749" s="198"/>
      <c r="C1749" s="199"/>
      <c r="D1749" s="200"/>
      <c r="E1749" s="202"/>
      <c r="F1749" s="212"/>
      <c r="G1749" s="201"/>
      <c r="H1749" s="215"/>
      <c r="I1749" s="216"/>
    </row>
    <row r="1750" spans="1:9" ht="14.4" x14ac:dyDescent="0.3">
      <c r="A1750" s="197"/>
      <c r="B1750" s="198"/>
      <c r="C1750" s="199"/>
      <c r="D1750" s="200"/>
      <c r="E1750" s="201"/>
      <c r="F1750" s="212"/>
      <c r="G1750" s="201"/>
      <c r="H1750" s="215"/>
      <c r="I1750" s="216"/>
    </row>
    <row r="1751" spans="1:9" ht="14.4" x14ac:dyDescent="0.3">
      <c r="A1751" s="197"/>
      <c r="B1751" s="198"/>
      <c r="C1751" s="199"/>
      <c r="D1751" s="200"/>
      <c r="E1751" s="201"/>
      <c r="F1751" s="212"/>
      <c r="G1751" s="201"/>
      <c r="H1751" s="215"/>
      <c r="I1751" s="216"/>
    </row>
    <row r="1752" spans="1:9" ht="14.4" x14ac:dyDescent="0.3">
      <c r="A1752" s="197"/>
      <c r="B1752" s="203"/>
      <c r="C1752" s="204"/>
      <c r="D1752" s="205"/>
      <c r="E1752" s="206"/>
      <c r="F1752" s="218"/>
      <c r="G1752" s="206"/>
      <c r="H1752" s="219"/>
      <c r="I1752" s="220"/>
    </row>
    <row r="1753" spans="1:9" ht="15" thickBot="1" x14ac:dyDescent="0.35">
      <c r="A1753" s="207"/>
      <c r="B1753" s="208"/>
      <c r="C1753" s="209"/>
      <c r="D1753" s="210"/>
      <c r="E1753" s="211"/>
      <c r="F1753" s="221"/>
      <c r="G1753" s="211"/>
      <c r="H1753" s="222"/>
      <c r="I1753" s="223"/>
    </row>
    <row r="1754" spans="1:9" ht="14.4" thickBot="1" x14ac:dyDescent="0.35"/>
    <row r="1755" spans="1:9" ht="14.4" thickBot="1" x14ac:dyDescent="0.35">
      <c r="A1755" s="226" t="s">
        <v>1204</v>
      </c>
      <c r="B1755" s="224" t="s">
        <v>1434</v>
      </c>
      <c r="C1755" s="224" t="s">
        <v>1435</v>
      </c>
      <c r="D1755" s="224" t="s">
        <v>1207</v>
      </c>
      <c r="E1755" s="368" t="s">
        <v>1208</v>
      </c>
      <c r="F1755" s="368"/>
      <c r="G1755" s="368"/>
      <c r="H1755" s="224" t="s">
        <v>1209</v>
      </c>
      <c r="I1755" s="225" t="s">
        <v>1436</v>
      </c>
    </row>
    <row r="1756" spans="1:9" ht="14.4" x14ac:dyDescent="0.3">
      <c r="A1756" s="197"/>
      <c r="B1756" s="193"/>
      <c r="C1756" s="194"/>
      <c r="D1756" s="195"/>
      <c r="E1756" s="196"/>
      <c r="F1756" s="212"/>
      <c r="G1756" s="196"/>
      <c r="H1756" s="213"/>
      <c r="I1756" s="214"/>
    </row>
    <row r="1757" spans="1:9" ht="14.4" x14ac:dyDescent="0.3">
      <c r="A1757" s="197"/>
      <c r="B1757" s="198"/>
      <c r="C1757" s="199"/>
      <c r="D1757" s="200"/>
      <c r="E1757" s="201"/>
      <c r="F1757" s="212"/>
      <c r="G1757" s="201"/>
      <c r="H1757" s="215"/>
      <c r="I1757" s="216"/>
    </row>
    <row r="1758" spans="1:9" ht="14.4" x14ac:dyDescent="0.3">
      <c r="A1758" s="197"/>
      <c r="B1758" s="198"/>
      <c r="C1758" s="199"/>
      <c r="D1758" s="200"/>
      <c r="E1758" s="201"/>
      <c r="F1758" s="212"/>
      <c r="G1758" s="201"/>
      <c r="H1758" s="215"/>
      <c r="I1758" s="216"/>
    </row>
    <row r="1759" spans="1:9" ht="14.4" x14ac:dyDescent="0.3">
      <c r="A1759" s="197"/>
      <c r="B1759" s="198"/>
      <c r="C1759" s="199"/>
      <c r="D1759" s="200"/>
      <c r="E1759" s="201"/>
      <c r="F1759" s="212"/>
      <c r="G1759" s="201"/>
      <c r="H1759" s="215"/>
      <c r="I1759" s="217"/>
    </row>
    <row r="1760" spans="1:9" ht="14.4" x14ac:dyDescent="0.3">
      <c r="A1760" s="197"/>
      <c r="B1760" s="198"/>
      <c r="C1760" s="199"/>
      <c r="D1760" s="200"/>
      <c r="E1760" s="196"/>
      <c r="F1760" s="212"/>
      <c r="G1760" s="196"/>
      <c r="H1760" s="215"/>
      <c r="I1760" s="217"/>
    </row>
    <row r="1761" spans="1:9" ht="14.4" x14ac:dyDescent="0.3">
      <c r="A1761" s="197"/>
      <c r="B1761" s="198"/>
      <c r="C1761" s="199"/>
      <c r="D1761" s="200"/>
      <c r="E1761" s="196"/>
      <c r="F1761" s="212"/>
      <c r="G1761" s="196"/>
      <c r="H1761" s="215"/>
      <c r="I1761" s="216"/>
    </row>
    <row r="1762" spans="1:9" ht="14.4" x14ac:dyDescent="0.3">
      <c r="A1762" s="197"/>
      <c r="B1762" s="198"/>
      <c r="C1762" s="199"/>
      <c r="D1762" s="200"/>
      <c r="E1762" s="201"/>
      <c r="F1762" s="212"/>
      <c r="G1762" s="201"/>
      <c r="H1762" s="215"/>
      <c r="I1762" s="216"/>
    </row>
    <row r="1763" spans="1:9" ht="14.4" x14ac:dyDescent="0.3">
      <c r="A1763" s="197"/>
      <c r="B1763" s="198"/>
      <c r="C1763" s="199"/>
      <c r="D1763" s="200"/>
      <c r="E1763" s="202"/>
      <c r="F1763" s="212"/>
      <c r="G1763" s="201"/>
      <c r="H1763" s="215"/>
      <c r="I1763" s="216"/>
    </row>
    <row r="1764" spans="1:9" ht="14.4" x14ac:dyDescent="0.3">
      <c r="A1764" s="197"/>
      <c r="B1764" s="198"/>
      <c r="C1764" s="199"/>
      <c r="D1764" s="200"/>
      <c r="E1764" s="201"/>
      <c r="F1764" s="212"/>
      <c r="G1764" s="201"/>
      <c r="H1764" s="215"/>
      <c r="I1764" s="216"/>
    </row>
    <row r="1765" spans="1:9" ht="14.4" x14ac:dyDescent="0.3">
      <c r="A1765" s="197"/>
      <c r="B1765" s="198"/>
      <c r="C1765" s="199"/>
      <c r="D1765" s="200"/>
      <c r="E1765" s="201"/>
      <c r="F1765" s="212"/>
      <c r="G1765" s="201"/>
      <c r="H1765" s="215"/>
      <c r="I1765" s="216"/>
    </row>
    <row r="1766" spans="1:9" ht="14.4" x14ac:dyDescent="0.3">
      <c r="A1766" s="197"/>
      <c r="B1766" s="203"/>
      <c r="C1766" s="204"/>
      <c r="D1766" s="205"/>
      <c r="E1766" s="206"/>
      <c r="F1766" s="218"/>
      <c r="G1766" s="206"/>
      <c r="H1766" s="219"/>
      <c r="I1766" s="220"/>
    </row>
    <row r="1767" spans="1:9" ht="15" thickBot="1" x14ac:dyDescent="0.35">
      <c r="A1767" s="207"/>
      <c r="B1767" s="208"/>
      <c r="C1767" s="209"/>
      <c r="D1767" s="210"/>
      <c r="E1767" s="211"/>
      <c r="F1767" s="221"/>
      <c r="G1767" s="211"/>
      <c r="H1767" s="222"/>
      <c r="I1767" s="223"/>
    </row>
    <row r="1768" spans="1:9" ht="14.4" thickBot="1" x14ac:dyDescent="0.35"/>
    <row r="1769" spans="1:9" ht="14.4" thickBot="1" x14ac:dyDescent="0.35">
      <c r="A1769" s="226" t="s">
        <v>1204</v>
      </c>
      <c r="B1769" s="224" t="s">
        <v>1434</v>
      </c>
      <c r="C1769" s="224" t="s">
        <v>1435</v>
      </c>
      <c r="D1769" s="224" t="s">
        <v>1207</v>
      </c>
      <c r="E1769" s="368" t="s">
        <v>1208</v>
      </c>
      <c r="F1769" s="368"/>
      <c r="G1769" s="368"/>
      <c r="H1769" s="224" t="s">
        <v>1209</v>
      </c>
      <c r="I1769" s="225" t="s">
        <v>1436</v>
      </c>
    </row>
    <row r="1770" spans="1:9" ht="14.4" x14ac:dyDescent="0.3">
      <c r="A1770" s="197"/>
      <c r="B1770" s="193"/>
      <c r="C1770" s="194"/>
      <c r="D1770" s="195"/>
      <c r="E1770" s="196"/>
      <c r="F1770" s="212"/>
      <c r="G1770" s="196"/>
      <c r="H1770" s="213"/>
      <c r="I1770" s="214"/>
    </row>
    <row r="1771" spans="1:9" ht="14.4" x14ac:dyDescent="0.3">
      <c r="A1771" s="197"/>
      <c r="B1771" s="198"/>
      <c r="C1771" s="199"/>
      <c r="D1771" s="200"/>
      <c r="E1771" s="201"/>
      <c r="F1771" s="212"/>
      <c r="G1771" s="201"/>
      <c r="H1771" s="215"/>
      <c r="I1771" s="216"/>
    </row>
    <row r="1772" spans="1:9" ht="14.4" x14ac:dyDescent="0.3">
      <c r="A1772" s="197"/>
      <c r="B1772" s="198"/>
      <c r="C1772" s="199"/>
      <c r="D1772" s="200"/>
      <c r="E1772" s="201"/>
      <c r="F1772" s="212"/>
      <c r="G1772" s="201"/>
      <c r="H1772" s="215"/>
      <c r="I1772" s="216"/>
    </row>
    <row r="1773" spans="1:9" ht="14.4" x14ac:dyDescent="0.3">
      <c r="A1773" s="197"/>
      <c r="B1773" s="198"/>
      <c r="C1773" s="199"/>
      <c r="D1773" s="200"/>
      <c r="E1773" s="201"/>
      <c r="F1773" s="212"/>
      <c r="G1773" s="201"/>
      <c r="H1773" s="215"/>
      <c r="I1773" s="217"/>
    </row>
    <row r="1774" spans="1:9" ht="14.4" x14ac:dyDescent="0.3">
      <c r="A1774" s="197"/>
      <c r="B1774" s="198"/>
      <c r="C1774" s="199"/>
      <c r="D1774" s="200"/>
      <c r="E1774" s="196"/>
      <c r="F1774" s="212"/>
      <c r="G1774" s="196"/>
      <c r="H1774" s="215"/>
      <c r="I1774" s="217"/>
    </row>
    <row r="1775" spans="1:9" ht="14.4" x14ac:dyDescent="0.3">
      <c r="A1775" s="197"/>
      <c r="B1775" s="198"/>
      <c r="C1775" s="199"/>
      <c r="D1775" s="200"/>
      <c r="E1775" s="196"/>
      <c r="F1775" s="212"/>
      <c r="G1775" s="196"/>
      <c r="H1775" s="215"/>
      <c r="I1775" s="216"/>
    </row>
    <row r="1776" spans="1:9" ht="14.4" x14ac:dyDescent="0.3">
      <c r="A1776" s="197"/>
      <c r="B1776" s="198"/>
      <c r="C1776" s="199"/>
      <c r="D1776" s="200"/>
      <c r="E1776" s="201"/>
      <c r="F1776" s="212"/>
      <c r="G1776" s="201"/>
      <c r="H1776" s="215"/>
      <c r="I1776" s="216"/>
    </row>
    <row r="1777" spans="1:9" ht="14.4" x14ac:dyDescent="0.3">
      <c r="A1777" s="197"/>
      <c r="B1777" s="198"/>
      <c r="C1777" s="199"/>
      <c r="D1777" s="200"/>
      <c r="E1777" s="202"/>
      <c r="F1777" s="212"/>
      <c r="G1777" s="201"/>
      <c r="H1777" s="215"/>
      <c r="I1777" s="216"/>
    </row>
    <row r="1778" spans="1:9" ht="14.4" x14ac:dyDescent="0.3">
      <c r="A1778" s="197"/>
      <c r="B1778" s="198"/>
      <c r="C1778" s="199"/>
      <c r="D1778" s="200"/>
      <c r="E1778" s="201"/>
      <c r="F1778" s="212"/>
      <c r="G1778" s="201"/>
      <c r="H1778" s="215"/>
      <c r="I1778" s="216"/>
    </row>
    <row r="1779" spans="1:9" ht="14.4" x14ac:dyDescent="0.3">
      <c r="A1779" s="197"/>
      <c r="B1779" s="198"/>
      <c r="C1779" s="199"/>
      <c r="D1779" s="200"/>
      <c r="E1779" s="201"/>
      <c r="F1779" s="212"/>
      <c r="G1779" s="201"/>
      <c r="H1779" s="215"/>
      <c r="I1779" s="216"/>
    </row>
    <row r="1780" spans="1:9" ht="14.4" x14ac:dyDescent="0.3">
      <c r="A1780" s="197"/>
      <c r="B1780" s="203"/>
      <c r="C1780" s="204"/>
      <c r="D1780" s="205"/>
      <c r="E1780" s="206"/>
      <c r="F1780" s="218"/>
      <c r="G1780" s="206"/>
      <c r="H1780" s="219"/>
      <c r="I1780" s="220"/>
    </row>
    <row r="1781" spans="1:9" ht="15" thickBot="1" x14ac:dyDescent="0.35">
      <c r="A1781" s="207"/>
      <c r="B1781" s="208"/>
      <c r="C1781" s="209"/>
      <c r="D1781" s="210"/>
      <c r="E1781" s="211"/>
      <c r="F1781" s="221"/>
      <c r="G1781" s="211"/>
      <c r="H1781" s="222"/>
      <c r="I1781" s="223"/>
    </row>
    <row r="1782" spans="1:9" ht="14.4" thickBot="1" x14ac:dyDescent="0.35"/>
    <row r="1783" spans="1:9" ht="14.4" thickBot="1" x14ac:dyDescent="0.35">
      <c r="A1783" s="226" t="s">
        <v>1204</v>
      </c>
      <c r="B1783" s="224" t="s">
        <v>1434</v>
      </c>
      <c r="C1783" s="224" t="s">
        <v>1435</v>
      </c>
      <c r="D1783" s="224" t="s">
        <v>1207</v>
      </c>
      <c r="E1783" s="368" t="s">
        <v>1208</v>
      </c>
      <c r="F1783" s="368"/>
      <c r="G1783" s="368"/>
      <c r="H1783" s="224" t="s">
        <v>1209</v>
      </c>
      <c r="I1783" s="225" t="s">
        <v>1436</v>
      </c>
    </row>
    <row r="1784" spans="1:9" ht="14.4" x14ac:dyDescent="0.3">
      <c r="A1784" s="197"/>
      <c r="B1784" s="193"/>
      <c r="C1784" s="194"/>
      <c r="D1784" s="195"/>
      <c r="E1784" s="196"/>
      <c r="F1784" s="212"/>
      <c r="G1784" s="196"/>
      <c r="H1784" s="213"/>
      <c r="I1784" s="214"/>
    </row>
    <row r="1785" spans="1:9" ht="14.4" x14ac:dyDescent="0.3">
      <c r="A1785" s="197"/>
      <c r="B1785" s="198"/>
      <c r="C1785" s="199"/>
      <c r="D1785" s="200"/>
      <c r="E1785" s="201"/>
      <c r="F1785" s="212"/>
      <c r="G1785" s="201"/>
      <c r="H1785" s="215"/>
      <c r="I1785" s="216"/>
    </row>
    <row r="1786" spans="1:9" ht="14.4" x14ac:dyDescent="0.3">
      <c r="A1786" s="197"/>
      <c r="B1786" s="198"/>
      <c r="C1786" s="199"/>
      <c r="D1786" s="200"/>
      <c r="E1786" s="201"/>
      <c r="F1786" s="212"/>
      <c r="G1786" s="201"/>
      <c r="H1786" s="215"/>
      <c r="I1786" s="216"/>
    </row>
    <row r="1787" spans="1:9" ht="14.4" x14ac:dyDescent="0.3">
      <c r="A1787" s="197"/>
      <c r="B1787" s="198"/>
      <c r="C1787" s="199"/>
      <c r="D1787" s="200"/>
      <c r="E1787" s="201"/>
      <c r="F1787" s="212"/>
      <c r="G1787" s="201"/>
      <c r="H1787" s="215"/>
      <c r="I1787" s="217"/>
    </row>
    <row r="1788" spans="1:9" ht="14.4" x14ac:dyDescent="0.3">
      <c r="A1788" s="197"/>
      <c r="B1788" s="198"/>
      <c r="C1788" s="199"/>
      <c r="D1788" s="200"/>
      <c r="E1788" s="196"/>
      <c r="F1788" s="212"/>
      <c r="G1788" s="196"/>
      <c r="H1788" s="215"/>
      <c r="I1788" s="217"/>
    </row>
    <row r="1789" spans="1:9" ht="14.4" x14ac:dyDescent="0.3">
      <c r="A1789" s="197"/>
      <c r="B1789" s="198"/>
      <c r="C1789" s="199"/>
      <c r="D1789" s="200"/>
      <c r="E1789" s="196"/>
      <c r="F1789" s="212"/>
      <c r="G1789" s="196"/>
      <c r="H1789" s="215"/>
      <c r="I1789" s="216"/>
    </row>
    <row r="1790" spans="1:9" ht="14.4" x14ac:dyDescent="0.3">
      <c r="A1790" s="197"/>
      <c r="B1790" s="198"/>
      <c r="C1790" s="199"/>
      <c r="D1790" s="200"/>
      <c r="E1790" s="201"/>
      <c r="F1790" s="212"/>
      <c r="G1790" s="201"/>
      <c r="H1790" s="215"/>
      <c r="I1790" s="216"/>
    </row>
    <row r="1791" spans="1:9" ht="14.4" x14ac:dyDescent="0.3">
      <c r="A1791" s="197"/>
      <c r="B1791" s="198"/>
      <c r="C1791" s="199"/>
      <c r="D1791" s="200"/>
      <c r="E1791" s="202"/>
      <c r="F1791" s="212"/>
      <c r="G1791" s="201"/>
      <c r="H1791" s="215"/>
      <c r="I1791" s="216"/>
    </row>
    <row r="1792" spans="1:9" ht="14.4" x14ac:dyDescent="0.3">
      <c r="A1792" s="197"/>
      <c r="B1792" s="198"/>
      <c r="C1792" s="199"/>
      <c r="D1792" s="200"/>
      <c r="E1792" s="201"/>
      <c r="F1792" s="212"/>
      <c r="G1792" s="201"/>
      <c r="H1792" s="215"/>
      <c r="I1792" s="216"/>
    </row>
    <row r="1793" spans="1:9" ht="14.4" x14ac:dyDescent="0.3">
      <c r="A1793" s="197"/>
      <c r="B1793" s="198"/>
      <c r="C1793" s="199"/>
      <c r="D1793" s="200"/>
      <c r="E1793" s="201"/>
      <c r="F1793" s="212"/>
      <c r="G1793" s="201"/>
      <c r="H1793" s="215"/>
      <c r="I1793" s="216"/>
    </row>
    <row r="1794" spans="1:9" ht="14.4" x14ac:dyDescent="0.3">
      <c r="A1794" s="197"/>
      <c r="B1794" s="203"/>
      <c r="C1794" s="204"/>
      <c r="D1794" s="205"/>
      <c r="E1794" s="206"/>
      <c r="F1794" s="218"/>
      <c r="G1794" s="206"/>
      <c r="H1794" s="219"/>
      <c r="I1794" s="220"/>
    </row>
    <row r="1795" spans="1:9" ht="15" thickBot="1" x14ac:dyDescent="0.35">
      <c r="A1795" s="207"/>
      <c r="B1795" s="208"/>
      <c r="C1795" s="209"/>
      <c r="D1795" s="210"/>
      <c r="E1795" s="211"/>
      <c r="F1795" s="221"/>
      <c r="G1795" s="211"/>
      <c r="H1795" s="222"/>
      <c r="I1795" s="223"/>
    </row>
    <row r="1796" spans="1:9" ht="14.4" thickBot="1" x14ac:dyDescent="0.35"/>
    <row r="1797" spans="1:9" ht="14.4" thickBot="1" x14ac:dyDescent="0.35">
      <c r="A1797" s="226" t="s">
        <v>1204</v>
      </c>
      <c r="B1797" s="224" t="s">
        <v>1434</v>
      </c>
      <c r="C1797" s="224" t="s">
        <v>1435</v>
      </c>
      <c r="D1797" s="224" t="s">
        <v>1207</v>
      </c>
      <c r="E1797" s="368" t="s">
        <v>1208</v>
      </c>
      <c r="F1797" s="368"/>
      <c r="G1797" s="368"/>
      <c r="H1797" s="224" t="s">
        <v>1209</v>
      </c>
      <c r="I1797" s="225" t="s">
        <v>1436</v>
      </c>
    </row>
    <row r="1798" spans="1:9" ht="14.4" x14ac:dyDescent="0.3">
      <c r="A1798" s="197"/>
      <c r="B1798" s="193"/>
      <c r="C1798" s="194"/>
      <c r="D1798" s="195"/>
      <c r="E1798" s="196"/>
      <c r="F1798" s="212"/>
      <c r="G1798" s="196"/>
      <c r="H1798" s="213"/>
      <c r="I1798" s="214"/>
    </row>
    <row r="1799" spans="1:9" ht="14.4" x14ac:dyDescent="0.3">
      <c r="A1799" s="197"/>
      <c r="B1799" s="198"/>
      <c r="C1799" s="199"/>
      <c r="D1799" s="200"/>
      <c r="E1799" s="201"/>
      <c r="F1799" s="212"/>
      <c r="G1799" s="201"/>
      <c r="H1799" s="215"/>
      <c r="I1799" s="216"/>
    </row>
    <row r="1800" spans="1:9" ht="14.4" x14ac:dyDescent="0.3">
      <c r="A1800" s="197"/>
      <c r="B1800" s="198"/>
      <c r="C1800" s="199"/>
      <c r="D1800" s="200"/>
      <c r="E1800" s="201"/>
      <c r="F1800" s="212"/>
      <c r="G1800" s="201"/>
      <c r="H1800" s="215"/>
      <c r="I1800" s="216"/>
    </row>
    <row r="1801" spans="1:9" ht="14.4" x14ac:dyDescent="0.3">
      <c r="A1801" s="197"/>
      <c r="B1801" s="198"/>
      <c r="C1801" s="199"/>
      <c r="D1801" s="200"/>
      <c r="E1801" s="201"/>
      <c r="F1801" s="212"/>
      <c r="G1801" s="201"/>
      <c r="H1801" s="215"/>
      <c r="I1801" s="217"/>
    </row>
    <row r="1802" spans="1:9" ht="14.4" x14ac:dyDescent="0.3">
      <c r="A1802" s="197"/>
      <c r="B1802" s="198"/>
      <c r="C1802" s="199"/>
      <c r="D1802" s="200"/>
      <c r="E1802" s="196"/>
      <c r="F1802" s="212"/>
      <c r="G1802" s="196"/>
      <c r="H1802" s="215"/>
      <c r="I1802" s="217"/>
    </row>
    <row r="1803" spans="1:9" ht="14.4" x14ac:dyDescent="0.3">
      <c r="A1803" s="197"/>
      <c r="B1803" s="198"/>
      <c r="C1803" s="199"/>
      <c r="D1803" s="200"/>
      <c r="E1803" s="196"/>
      <c r="F1803" s="212"/>
      <c r="G1803" s="196"/>
      <c r="H1803" s="215"/>
      <c r="I1803" s="216"/>
    </row>
    <row r="1804" spans="1:9" ht="14.4" x14ac:dyDescent="0.3">
      <c r="A1804" s="197"/>
      <c r="B1804" s="198"/>
      <c r="C1804" s="199"/>
      <c r="D1804" s="200"/>
      <c r="E1804" s="201"/>
      <c r="F1804" s="212"/>
      <c r="G1804" s="201"/>
      <c r="H1804" s="215"/>
      <c r="I1804" s="216"/>
    </row>
    <row r="1805" spans="1:9" ht="14.4" x14ac:dyDescent="0.3">
      <c r="A1805" s="197"/>
      <c r="B1805" s="198"/>
      <c r="C1805" s="199"/>
      <c r="D1805" s="200"/>
      <c r="E1805" s="202"/>
      <c r="F1805" s="212"/>
      <c r="G1805" s="201"/>
      <c r="H1805" s="215"/>
      <c r="I1805" s="216"/>
    </row>
    <row r="1806" spans="1:9" ht="14.4" x14ac:dyDescent="0.3">
      <c r="A1806" s="197"/>
      <c r="B1806" s="198"/>
      <c r="C1806" s="199"/>
      <c r="D1806" s="200"/>
      <c r="E1806" s="201"/>
      <c r="F1806" s="212"/>
      <c r="G1806" s="201"/>
      <c r="H1806" s="215"/>
      <c r="I1806" s="216"/>
    </row>
    <row r="1807" spans="1:9" ht="14.4" x14ac:dyDescent="0.3">
      <c r="A1807" s="197"/>
      <c r="B1807" s="198"/>
      <c r="C1807" s="199"/>
      <c r="D1807" s="200"/>
      <c r="E1807" s="201"/>
      <c r="F1807" s="212"/>
      <c r="G1807" s="201"/>
      <c r="H1807" s="215"/>
      <c r="I1807" s="216"/>
    </row>
    <row r="1808" spans="1:9" ht="14.4" x14ac:dyDescent="0.3">
      <c r="A1808" s="197"/>
      <c r="B1808" s="203"/>
      <c r="C1808" s="204"/>
      <c r="D1808" s="205"/>
      <c r="E1808" s="206"/>
      <c r="F1808" s="218"/>
      <c r="G1808" s="206"/>
      <c r="H1808" s="219"/>
      <c r="I1808" s="220"/>
    </row>
    <row r="1809" spans="1:9" ht="15" thickBot="1" x14ac:dyDescent="0.35">
      <c r="A1809" s="207"/>
      <c r="B1809" s="208"/>
      <c r="C1809" s="209"/>
      <c r="D1809" s="210"/>
      <c r="E1809" s="211"/>
      <c r="F1809" s="221"/>
      <c r="G1809" s="211"/>
      <c r="H1809" s="222"/>
      <c r="I1809" s="223"/>
    </row>
    <row r="1810" spans="1:9" ht="14.4" thickBot="1" x14ac:dyDescent="0.35"/>
    <row r="1811" spans="1:9" ht="14.4" thickBot="1" x14ac:dyDescent="0.35">
      <c r="A1811" s="226" t="s">
        <v>1204</v>
      </c>
      <c r="B1811" s="224" t="s">
        <v>1434</v>
      </c>
      <c r="C1811" s="224" t="s">
        <v>1435</v>
      </c>
      <c r="D1811" s="224" t="s">
        <v>1207</v>
      </c>
      <c r="E1811" s="368" t="s">
        <v>1208</v>
      </c>
      <c r="F1811" s="368"/>
      <c r="G1811" s="368"/>
      <c r="H1811" s="224" t="s">
        <v>1209</v>
      </c>
      <c r="I1811" s="225" t="s">
        <v>1436</v>
      </c>
    </row>
    <row r="1812" spans="1:9" ht="14.4" x14ac:dyDescent="0.3">
      <c r="A1812" s="197"/>
      <c r="B1812" s="193"/>
      <c r="C1812" s="194"/>
      <c r="D1812" s="195"/>
      <c r="E1812" s="196"/>
      <c r="F1812" s="212"/>
      <c r="G1812" s="196"/>
      <c r="H1812" s="213"/>
      <c r="I1812" s="214"/>
    </row>
    <row r="1813" spans="1:9" ht="14.4" x14ac:dyDescent="0.3">
      <c r="A1813" s="197"/>
      <c r="B1813" s="198"/>
      <c r="C1813" s="199"/>
      <c r="D1813" s="200"/>
      <c r="E1813" s="201"/>
      <c r="F1813" s="212"/>
      <c r="G1813" s="201"/>
      <c r="H1813" s="215"/>
      <c r="I1813" s="216"/>
    </row>
    <row r="1814" spans="1:9" ht="14.4" x14ac:dyDescent="0.3">
      <c r="A1814" s="197"/>
      <c r="B1814" s="198"/>
      <c r="C1814" s="199"/>
      <c r="D1814" s="200"/>
      <c r="E1814" s="201"/>
      <c r="F1814" s="212"/>
      <c r="G1814" s="201"/>
      <c r="H1814" s="215"/>
      <c r="I1814" s="216"/>
    </row>
    <row r="1815" spans="1:9" ht="14.4" x14ac:dyDescent="0.3">
      <c r="A1815" s="197"/>
      <c r="B1815" s="198"/>
      <c r="C1815" s="199"/>
      <c r="D1815" s="200"/>
      <c r="E1815" s="201"/>
      <c r="F1815" s="212"/>
      <c r="G1815" s="201"/>
      <c r="H1815" s="215"/>
      <c r="I1815" s="217"/>
    </row>
    <row r="1816" spans="1:9" ht="14.4" x14ac:dyDescent="0.3">
      <c r="A1816" s="197"/>
      <c r="B1816" s="198"/>
      <c r="C1816" s="199"/>
      <c r="D1816" s="200"/>
      <c r="E1816" s="196"/>
      <c r="F1816" s="212"/>
      <c r="G1816" s="196"/>
      <c r="H1816" s="215"/>
      <c r="I1816" s="217"/>
    </row>
    <row r="1817" spans="1:9" ht="14.4" x14ac:dyDescent="0.3">
      <c r="A1817" s="197"/>
      <c r="B1817" s="198"/>
      <c r="C1817" s="199"/>
      <c r="D1817" s="200"/>
      <c r="E1817" s="196"/>
      <c r="F1817" s="212"/>
      <c r="G1817" s="196"/>
      <c r="H1817" s="215"/>
      <c r="I1817" s="216"/>
    </row>
    <row r="1818" spans="1:9" ht="14.4" x14ac:dyDescent="0.3">
      <c r="A1818" s="197"/>
      <c r="B1818" s="198"/>
      <c r="C1818" s="199"/>
      <c r="D1818" s="200"/>
      <c r="E1818" s="201"/>
      <c r="F1818" s="212"/>
      <c r="G1818" s="201"/>
      <c r="H1818" s="215"/>
      <c r="I1818" s="216"/>
    </row>
    <row r="1819" spans="1:9" ht="14.4" x14ac:dyDescent="0.3">
      <c r="A1819" s="197"/>
      <c r="B1819" s="198"/>
      <c r="C1819" s="199"/>
      <c r="D1819" s="200"/>
      <c r="E1819" s="202"/>
      <c r="F1819" s="212"/>
      <c r="G1819" s="201"/>
      <c r="H1819" s="215"/>
      <c r="I1819" s="216"/>
    </row>
    <row r="1820" spans="1:9" ht="14.4" x14ac:dyDescent="0.3">
      <c r="A1820" s="197"/>
      <c r="B1820" s="198"/>
      <c r="C1820" s="199"/>
      <c r="D1820" s="200"/>
      <c r="E1820" s="201"/>
      <c r="F1820" s="212"/>
      <c r="G1820" s="201"/>
      <c r="H1820" s="215"/>
      <c r="I1820" s="216"/>
    </row>
    <row r="1821" spans="1:9" ht="14.4" x14ac:dyDescent="0.3">
      <c r="A1821" s="197"/>
      <c r="B1821" s="198"/>
      <c r="C1821" s="199"/>
      <c r="D1821" s="200"/>
      <c r="E1821" s="201"/>
      <c r="F1821" s="212"/>
      <c r="G1821" s="201"/>
      <c r="H1821" s="215"/>
      <c r="I1821" s="216"/>
    </row>
    <row r="1822" spans="1:9" ht="14.4" x14ac:dyDescent="0.3">
      <c r="A1822" s="197"/>
      <c r="B1822" s="203"/>
      <c r="C1822" s="204"/>
      <c r="D1822" s="205"/>
      <c r="E1822" s="206"/>
      <c r="F1822" s="218"/>
      <c r="G1822" s="206"/>
      <c r="H1822" s="219"/>
      <c r="I1822" s="220"/>
    </row>
    <row r="1823" spans="1:9" ht="15" thickBot="1" x14ac:dyDescent="0.35">
      <c r="A1823" s="207"/>
      <c r="B1823" s="208"/>
      <c r="C1823" s="209"/>
      <c r="D1823" s="210"/>
      <c r="E1823" s="211"/>
      <c r="F1823" s="221"/>
      <c r="G1823" s="211"/>
      <c r="H1823" s="222"/>
      <c r="I1823" s="223"/>
    </row>
    <row r="1824" spans="1:9" ht="14.4" thickBot="1" x14ac:dyDescent="0.35"/>
    <row r="1825" spans="1:9" ht="14.4" thickBot="1" x14ac:dyDescent="0.35">
      <c r="A1825" s="226" t="s">
        <v>1204</v>
      </c>
      <c r="B1825" s="224" t="s">
        <v>1434</v>
      </c>
      <c r="C1825" s="224" t="s">
        <v>1435</v>
      </c>
      <c r="D1825" s="224" t="s">
        <v>1207</v>
      </c>
      <c r="E1825" s="368" t="s">
        <v>1208</v>
      </c>
      <c r="F1825" s="368"/>
      <c r="G1825" s="368"/>
      <c r="H1825" s="224" t="s">
        <v>1209</v>
      </c>
      <c r="I1825" s="225" t="s">
        <v>1436</v>
      </c>
    </row>
    <row r="1826" spans="1:9" ht="14.4" x14ac:dyDescent="0.3">
      <c r="A1826" s="197"/>
      <c r="B1826" s="193"/>
      <c r="C1826" s="194"/>
      <c r="D1826" s="195"/>
      <c r="E1826" s="196"/>
      <c r="F1826" s="212"/>
      <c r="G1826" s="196"/>
      <c r="H1826" s="213"/>
      <c r="I1826" s="214"/>
    </row>
    <row r="1827" spans="1:9" ht="14.4" x14ac:dyDescent="0.3">
      <c r="A1827" s="197"/>
      <c r="B1827" s="198"/>
      <c r="C1827" s="199"/>
      <c r="D1827" s="200"/>
      <c r="E1827" s="201"/>
      <c r="F1827" s="212"/>
      <c r="G1827" s="201"/>
      <c r="H1827" s="215"/>
      <c r="I1827" s="216"/>
    </row>
    <row r="1828" spans="1:9" ht="14.4" x14ac:dyDescent="0.3">
      <c r="A1828" s="197"/>
      <c r="B1828" s="198"/>
      <c r="C1828" s="199"/>
      <c r="D1828" s="200"/>
      <c r="E1828" s="201"/>
      <c r="F1828" s="212"/>
      <c r="G1828" s="201"/>
      <c r="H1828" s="215"/>
      <c r="I1828" s="216"/>
    </row>
    <row r="1829" spans="1:9" ht="14.4" x14ac:dyDescent="0.3">
      <c r="A1829" s="197"/>
      <c r="B1829" s="198"/>
      <c r="C1829" s="199"/>
      <c r="D1829" s="200"/>
      <c r="E1829" s="201"/>
      <c r="F1829" s="212"/>
      <c r="G1829" s="201"/>
      <c r="H1829" s="215"/>
      <c r="I1829" s="217"/>
    </row>
    <row r="1830" spans="1:9" ht="14.4" x14ac:dyDescent="0.3">
      <c r="A1830" s="197"/>
      <c r="B1830" s="198"/>
      <c r="C1830" s="199"/>
      <c r="D1830" s="200"/>
      <c r="E1830" s="196"/>
      <c r="F1830" s="212"/>
      <c r="G1830" s="196"/>
      <c r="H1830" s="215"/>
      <c r="I1830" s="217"/>
    </row>
    <row r="1831" spans="1:9" ht="14.4" x14ac:dyDescent="0.3">
      <c r="A1831" s="197"/>
      <c r="B1831" s="198"/>
      <c r="C1831" s="199"/>
      <c r="D1831" s="200"/>
      <c r="E1831" s="196"/>
      <c r="F1831" s="212"/>
      <c r="G1831" s="196"/>
      <c r="H1831" s="215"/>
      <c r="I1831" s="216"/>
    </row>
    <row r="1832" spans="1:9" ht="14.4" x14ac:dyDescent="0.3">
      <c r="A1832" s="197"/>
      <c r="B1832" s="198"/>
      <c r="C1832" s="199"/>
      <c r="D1832" s="200"/>
      <c r="E1832" s="201"/>
      <c r="F1832" s="212"/>
      <c r="G1832" s="201"/>
      <c r="H1832" s="215"/>
      <c r="I1832" s="216"/>
    </row>
    <row r="1833" spans="1:9" ht="14.4" x14ac:dyDescent="0.3">
      <c r="A1833" s="197"/>
      <c r="B1833" s="198"/>
      <c r="C1833" s="199"/>
      <c r="D1833" s="200"/>
      <c r="E1833" s="202"/>
      <c r="F1833" s="212"/>
      <c r="G1833" s="201"/>
      <c r="H1833" s="215"/>
      <c r="I1833" s="216"/>
    </row>
    <row r="1834" spans="1:9" ht="14.4" x14ac:dyDescent="0.3">
      <c r="A1834" s="197"/>
      <c r="B1834" s="198"/>
      <c r="C1834" s="199"/>
      <c r="D1834" s="200"/>
      <c r="E1834" s="201"/>
      <c r="F1834" s="212"/>
      <c r="G1834" s="201"/>
      <c r="H1834" s="215"/>
      <c r="I1834" s="216"/>
    </row>
    <row r="1835" spans="1:9" ht="14.4" x14ac:dyDescent="0.3">
      <c r="A1835" s="197"/>
      <c r="B1835" s="198"/>
      <c r="C1835" s="199"/>
      <c r="D1835" s="200"/>
      <c r="E1835" s="201"/>
      <c r="F1835" s="212"/>
      <c r="G1835" s="201"/>
      <c r="H1835" s="215"/>
      <c r="I1835" s="216"/>
    </row>
    <row r="1836" spans="1:9" ht="14.4" x14ac:dyDescent="0.3">
      <c r="A1836" s="197"/>
      <c r="B1836" s="203"/>
      <c r="C1836" s="204"/>
      <c r="D1836" s="205"/>
      <c r="E1836" s="206"/>
      <c r="F1836" s="218"/>
      <c r="G1836" s="206"/>
      <c r="H1836" s="219"/>
      <c r="I1836" s="220"/>
    </row>
    <row r="1837" spans="1:9" ht="15" thickBot="1" x14ac:dyDescent="0.35">
      <c r="A1837" s="207"/>
      <c r="B1837" s="208"/>
      <c r="C1837" s="209"/>
      <c r="D1837" s="210"/>
      <c r="E1837" s="211"/>
      <c r="F1837" s="221"/>
      <c r="G1837" s="211"/>
      <c r="H1837" s="222"/>
      <c r="I1837" s="223"/>
    </row>
    <row r="1838" spans="1:9" ht="14.4" thickBot="1" x14ac:dyDescent="0.35"/>
    <row r="1839" spans="1:9" ht="14.4" thickBot="1" x14ac:dyDescent="0.35">
      <c r="A1839" s="226" t="s">
        <v>1204</v>
      </c>
      <c r="B1839" s="224" t="s">
        <v>1434</v>
      </c>
      <c r="C1839" s="224" t="s">
        <v>1435</v>
      </c>
      <c r="D1839" s="224" t="s">
        <v>1207</v>
      </c>
      <c r="E1839" s="368" t="s">
        <v>1208</v>
      </c>
      <c r="F1839" s="368"/>
      <c r="G1839" s="368"/>
      <c r="H1839" s="224" t="s">
        <v>1209</v>
      </c>
      <c r="I1839" s="225" t="s">
        <v>1436</v>
      </c>
    </row>
    <row r="1840" spans="1:9" ht="14.4" x14ac:dyDescent="0.3">
      <c r="A1840" s="197"/>
      <c r="B1840" s="193"/>
      <c r="C1840" s="194"/>
      <c r="D1840" s="195"/>
      <c r="E1840" s="196"/>
      <c r="F1840" s="212"/>
      <c r="G1840" s="196"/>
      <c r="H1840" s="213"/>
      <c r="I1840" s="214"/>
    </row>
    <row r="1841" spans="1:9" ht="14.4" x14ac:dyDescent="0.3">
      <c r="A1841" s="197"/>
      <c r="B1841" s="198"/>
      <c r="C1841" s="199"/>
      <c r="D1841" s="200"/>
      <c r="E1841" s="201"/>
      <c r="F1841" s="212"/>
      <c r="G1841" s="201"/>
      <c r="H1841" s="215"/>
      <c r="I1841" s="216"/>
    </row>
    <row r="1842" spans="1:9" ht="14.4" x14ac:dyDescent="0.3">
      <c r="A1842" s="197"/>
      <c r="B1842" s="198"/>
      <c r="C1842" s="199"/>
      <c r="D1842" s="200"/>
      <c r="E1842" s="201"/>
      <c r="F1842" s="212"/>
      <c r="G1842" s="201"/>
      <c r="H1842" s="215"/>
      <c r="I1842" s="216"/>
    </row>
    <row r="1843" spans="1:9" ht="14.4" x14ac:dyDescent="0.3">
      <c r="A1843" s="197"/>
      <c r="B1843" s="198"/>
      <c r="C1843" s="199"/>
      <c r="D1843" s="200"/>
      <c r="E1843" s="201"/>
      <c r="F1843" s="212"/>
      <c r="G1843" s="201"/>
      <c r="H1843" s="215"/>
      <c r="I1843" s="217"/>
    </row>
    <row r="1844" spans="1:9" ht="14.4" x14ac:dyDescent="0.3">
      <c r="A1844" s="197"/>
      <c r="B1844" s="198"/>
      <c r="C1844" s="199"/>
      <c r="D1844" s="200"/>
      <c r="E1844" s="196"/>
      <c r="F1844" s="212"/>
      <c r="G1844" s="196"/>
      <c r="H1844" s="215"/>
      <c r="I1844" s="217"/>
    </row>
    <row r="1845" spans="1:9" ht="14.4" x14ac:dyDescent="0.3">
      <c r="A1845" s="197"/>
      <c r="B1845" s="198"/>
      <c r="C1845" s="199"/>
      <c r="D1845" s="200"/>
      <c r="E1845" s="196"/>
      <c r="F1845" s="212"/>
      <c r="G1845" s="196"/>
      <c r="H1845" s="215"/>
      <c r="I1845" s="216"/>
    </row>
    <row r="1846" spans="1:9" ht="14.4" x14ac:dyDescent="0.3">
      <c r="A1846" s="197"/>
      <c r="B1846" s="198"/>
      <c r="C1846" s="199"/>
      <c r="D1846" s="200"/>
      <c r="E1846" s="201"/>
      <c r="F1846" s="212"/>
      <c r="G1846" s="201"/>
      <c r="H1846" s="215"/>
      <c r="I1846" s="216"/>
    </row>
    <row r="1847" spans="1:9" ht="14.4" x14ac:dyDescent="0.3">
      <c r="A1847" s="197"/>
      <c r="B1847" s="198"/>
      <c r="C1847" s="199"/>
      <c r="D1847" s="200"/>
      <c r="E1847" s="202"/>
      <c r="F1847" s="212"/>
      <c r="G1847" s="201"/>
      <c r="H1847" s="215"/>
      <c r="I1847" s="216"/>
    </row>
    <row r="1848" spans="1:9" ht="14.4" x14ac:dyDescent="0.3">
      <c r="A1848" s="197"/>
      <c r="B1848" s="198"/>
      <c r="C1848" s="199"/>
      <c r="D1848" s="200"/>
      <c r="E1848" s="201"/>
      <c r="F1848" s="212"/>
      <c r="G1848" s="201"/>
      <c r="H1848" s="215"/>
      <c r="I1848" s="216"/>
    </row>
    <row r="1849" spans="1:9" ht="14.4" x14ac:dyDescent="0.3">
      <c r="A1849" s="197"/>
      <c r="B1849" s="198"/>
      <c r="C1849" s="199"/>
      <c r="D1849" s="200"/>
      <c r="E1849" s="201"/>
      <c r="F1849" s="212"/>
      <c r="G1849" s="201"/>
      <c r="H1849" s="215"/>
      <c r="I1849" s="216"/>
    </row>
    <row r="1850" spans="1:9" ht="14.4" x14ac:dyDescent="0.3">
      <c r="A1850" s="197"/>
      <c r="B1850" s="203"/>
      <c r="C1850" s="204"/>
      <c r="D1850" s="205"/>
      <c r="E1850" s="206"/>
      <c r="F1850" s="218"/>
      <c r="G1850" s="206"/>
      <c r="H1850" s="219"/>
      <c r="I1850" s="220"/>
    </row>
    <row r="1851" spans="1:9" ht="15" thickBot="1" x14ac:dyDescent="0.35">
      <c r="A1851" s="207"/>
      <c r="B1851" s="208"/>
      <c r="C1851" s="209"/>
      <c r="D1851" s="210"/>
      <c r="E1851" s="211"/>
      <c r="F1851" s="221"/>
      <c r="G1851" s="211"/>
      <c r="H1851" s="222"/>
      <c r="I1851" s="223"/>
    </row>
    <row r="1852" spans="1:9" ht="14.4" thickBot="1" x14ac:dyDescent="0.35"/>
    <row r="1853" spans="1:9" ht="14.4" thickBot="1" x14ac:dyDescent="0.35">
      <c r="A1853" s="226" t="s">
        <v>1204</v>
      </c>
      <c r="B1853" s="224" t="s">
        <v>1434</v>
      </c>
      <c r="C1853" s="224" t="s">
        <v>1435</v>
      </c>
      <c r="D1853" s="224" t="s">
        <v>1207</v>
      </c>
      <c r="E1853" s="368" t="s">
        <v>1208</v>
      </c>
      <c r="F1853" s="368"/>
      <c r="G1853" s="368"/>
      <c r="H1853" s="224" t="s">
        <v>1209</v>
      </c>
      <c r="I1853" s="225" t="s">
        <v>1436</v>
      </c>
    </row>
    <row r="1854" spans="1:9" ht="14.4" x14ac:dyDescent="0.3">
      <c r="A1854" s="197"/>
      <c r="B1854" s="193"/>
      <c r="C1854" s="194"/>
      <c r="D1854" s="195"/>
      <c r="E1854" s="196"/>
      <c r="F1854" s="212"/>
      <c r="G1854" s="196"/>
      <c r="H1854" s="213"/>
      <c r="I1854" s="214"/>
    </row>
    <row r="1855" spans="1:9" ht="14.4" x14ac:dyDescent="0.3">
      <c r="A1855" s="197"/>
      <c r="B1855" s="198"/>
      <c r="C1855" s="199"/>
      <c r="D1855" s="200"/>
      <c r="E1855" s="201"/>
      <c r="F1855" s="212"/>
      <c r="G1855" s="201"/>
      <c r="H1855" s="215"/>
      <c r="I1855" s="216"/>
    </row>
    <row r="1856" spans="1:9" ht="14.4" x14ac:dyDescent="0.3">
      <c r="A1856" s="197"/>
      <c r="B1856" s="198"/>
      <c r="C1856" s="199"/>
      <c r="D1856" s="200"/>
      <c r="E1856" s="201"/>
      <c r="F1856" s="212"/>
      <c r="G1856" s="201"/>
      <c r="H1856" s="215"/>
      <c r="I1856" s="216"/>
    </row>
    <row r="1857" spans="1:9" ht="14.4" x14ac:dyDescent="0.3">
      <c r="A1857" s="197"/>
      <c r="B1857" s="198"/>
      <c r="C1857" s="199"/>
      <c r="D1857" s="200"/>
      <c r="E1857" s="201"/>
      <c r="F1857" s="212"/>
      <c r="G1857" s="201"/>
      <c r="H1857" s="215"/>
      <c r="I1857" s="217"/>
    </row>
    <row r="1858" spans="1:9" ht="14.4" x14ac:dyDescent="0.3">
      <c r="A1858" s="197"/>
      <c r="B1858" s="198"/>
      <c r="C1858" s="199"/>
      <c r="D1858" s="200"/>
      <c r="E1858" s="196"/>
      <c r="F1858" s="212"/>
      <c r="G1858" s="196"/>
      <c r="H1858" s="215"/>
      <c r="I1858" s="217"/>
    </row>
    <row r="1859" spans="1:9" ht="14.4" x14ac:dyDescent="0.3">
      <c r="A1859" s="197"/>
      <c r="B1859" s="198"/>
      <c r="C1859" s="199"/>
      <c r="D1859" s="200"/>
      <c r="E1859" s="196"/>
      <c r="F1859" s="212"/>
      <c r="G1859" s="196"/>
      <c r="H1859" s="215"/>
      <c r="I1859" s="216"/>
    </row>
    <row r="1860" spans="1:9" ht="14.4" x14ac:dyDescent="0.3">
      <c r="A1860" s="197"/>
      <c r="B1860" s="198"/>
      <c r="C1860" s="199"/>
      <c r="D1860" s="200"/>
      <c r="E1860" s="201"/>
      <c r="F1860" s="212"/>
      <c r="G1860" s="201"/>
      <c r="H1860" s="215"/>
      <c r="I1860" s="216"/>
    </row>
    <row r="1861" spans="1:9" ht="14.4" x14ac:dyDescent="0.3">
      <c r="A1861" s="197"/>
      <c r="B1861" s="198"/>
      <c r="C1861" s="199"/>
      <c r="D1861" s="200"/>
      <c r="E1861" s="202"/>
      <c r="F1861" s="212"/>
      <c r="G1861" s="201"/>
      <c r="H1861" s="215"/>
      <c r="I1861" s="216"/>
    </row>
    <row r="1862" spans="1:9" ht="14.4" x14ac:dyDescent="0.3">
      <c r="A1862" s="197"/>
      <c r="B1862" s="198"/>
      <c r="C1862" s="199"/>
      <c r="D1862" s="200"/>
      <c r="E1862" s="201"/>
      <c r="F1862" s="212"/>
      <c r="G1862" s="201"/>
      <c r="H1862" s="215"/>
      <c r="I1862" s="216"/>
    </row>
    <row r="1863" spans="1:9" ht="14.4" x14ac:dyDescent="0.3">
      <c r="A1863" s="197"/>
      <c r="B1863" s="198"/>
      <c r="C1863" s="199"/>
      <c r="D1863" s="200"/>
      <c r="E1863" s="201"/>
      <c r="F1863" s="212"/>
      <c r="G1863" s="201"/>
      <c r="H1863" s="215"/>
      <c r="I1863" s="216"/>
    </row>
    <row r="1864" spans="1:9" ht="14.4" x14ac:dyDescent="0.3">
      <c r="A1864" s="197"/>
      <c r="B1864" s="203"/>
      <c r="C1864" s="204"/>
      <c r="D1864" s="205"/>
      <c r="E1864" s="206"/>
      <c r="F1864" s="218"/>
      <c r="G1864" s="206"/>
      <c r="H1864" s="219"/>
      <c r="I1864" s="220"/>
    </row>
    <row r="1865" spans="1:9" ht="15" thickBot="1" x14ac:dyDescent="0.35">
      <c r="A1865" s="207"/>
      <c r="B1865" s="208"/>
      <c r="C1865" s="209"/>
      <c r="D1865" s="210"/>
      <c r="E1865" s="211"/>
      <c r="F1865" s="221"/>
      <c r="G1865" s="211"/>
      <c r="H1865" s="222"/>
      <c r="I1865" s="223"/>
    </row>
    <row r="1866" spans="1:9" ht="14.4" thickBot="1" x14ac:dyDescent="0.35"/>
    <row r="1867" spans="1:9" ht="14.4" thickBot="1" x14ac:dyDescent="0.35">
      <c r="A1867" s="226" t="s">
        <v>1204</v>
      </c>
      <c r="B1867" s="224" t="s">
        <v>1434</v>
      </c>
      <c r="C1867" s="224" t="s">
        <v>1435</v>
      </c>
      <c r="D1867" s="224" t="s">
        <v>1207</v>
      </c>
      <c r="E1867" s="368" t="s">
        <v>1208</v>
      </c>
      <c r="F1867" s="368"/>
      <c r="G1867" s="368"/>
      <c r="H1867" s="224" t="s">
        <v>1209</v>
      </c>
      <c r="I1867" s="225" t="s">
        <v>1436</v>
      </c>
    </row>
    <row r="1868" spans="1:9" ht="14.4" x14ac:dyDescent="0.3">
      <c r="A1868" s="197"/>
      <c r="B1868" s="193"/>
      <c r="C1868" s="194"/>
      <c r="D1868" s="195"/>
      <c r="E1868" s="196"/>
      <c r="F1868" s="212"/>
      <c r="G1868" s="196"/>
      <c r="H1868" s="213"/>
      <c r="I1868" s="214"/>
    </row>
    <row r="1869" spans="1:9" ht="14.4" x14ac:dyDescent="0.3">
      <c r="A1869" s="197"/>
      <c r="B1869" s="198"/>
      <c r="C1869" s="199"/>
      <c r="D1869" s="200"/>
      <c r="E1869" s="201"/>
      <c r="F1869" s="212"/>
      <c r="G1869" s="201"/>
      <c r="H1869" s="215"/>
      <c r="I1869" s="216"/>
    </row>
    <row r="1870" spans="1:9" ht="14.4" x14ac:dyDescent="0.3">
      <c r="A1870" s="197"/>
      <c r="B1870" s="198"/>
      <c r="C1870" s="199"/>
      <c r="D1870" s="200"/>
      <c r="E1870" s="201"/>
      <c r="F1870" s="212"/>
      <c r="G1870" s="201"/>
      <c r="H1870" s="215"/>
      <c r="I1870" s="216"/>
    </row>
    <row r="1871" spans="1:9" ht="14.4" x14ac:dyDescent="0.3">
      <c r="A1871" s="197"/>
      <c r="B1871" s="198"/>
      <c r="C1871" s="199"/>
      <c r="D1871" s="200"/>
      <c r="E1871" s="201"/>
      <c r="F1871" s="212"/>
      <c r="G1871" s="201"/>
      <c r="H1871" s="215"/>
      <c r="I1871" s="217"/>
    </row>
    <row r="1872" spans="1:9" ht="14.4" x14ac:dyDescent="0.3">
      <c r="A1872" s="197"/>
      <c r="B1872" s="198"/>
      <c r="C1872" s="199"/>
      <c r="D1872" s="200"/>
      <c r="E1872" s="196"/>
      <c r="F1872" s="212"/>
      <c r="G1872" s="196"/>
      <c r="H1872" s="215"/>
      <c r="I1872" s="217"/>
    </row>
    <row r="1873" spans="1:9" ht="14.4" x14ac:dyDescent="0.3">
      <c r="A1873" s="197"/>
      <c r="B1873" s="198"/>
      <c r="C1873" s="199"/>
      <c r="D1873" s="200"/>
      <c r="E1873" s="196"/>
      <c r="F1873" s="212"/>
      <c r="G1873" s="196"/>
      <c r="H1873" s="215"/>
      <c r="I1873" s="216"/>
    </row>
    <row r="1874" spans="1:9" ht="14.4" x14ac:dyDescent="0.3">
      <c r="A1874" s="197"/>
      <c r="B1874" s="198"/>
      <c r="C1874" s="199"/>
      <c r="D1874" s="200"/>
      <c r="E1874" s="201"/>
      <c r="F1874" s="212"/>
      <c r="G1874" s="201"/>
      <c r="H1874" s="215"/>
      <c r="I1874" s="216"/>
    </row>
    <row r="1875" spans="1:9" ht="14.4" x14ac:dyDescent="0.3">
      <c r="A1875" s="197"/>
      <c r="B1875" s="198"/>
      <c r="C1875" s="199"/>
      <c r="D1875" s="200"/>
      <c r="E1875" s="202"/>
      <c r="F1875" s="212"/>
      <c r="G1875" s="201"/>
      <c r="H1875" s="215"/>
      <c r="I1875" s="216"/>
    </row>
    <row r="1876" spans="1:9" ht="14.4" x14ac:dyDescent="0.3">
      <c r="A1876" s="197"/>
      <c r="B1876" s="198"/>
      <c r="C1876" s="199"/>
      <c r="D1876" s="200"/>
      <c r="E1876" s="201"/>
      <c r="F1876" s="212"/>
      <c r="G1876" s="201"/>
      <c r="H1876" s="215"/>
      <c r="I1876" s="216"/>
    </row>
    <row r="1877" spans="1:9" ht="14.4" x14ac:dyDescent="0.3">
      <c r="A1877" s="197"/>
      <c r="B1877" s="198"/>
      <c r="C1877" s="199"/>
      <c r="D1877" s="200"/>
      <c r="E1877" s="201"/>
      <c r="F1877" s="212"/>
      <c r="G1877" s="201"/>
      <c r="H1877" s="215"/>
      <c r="I1877" s="216"/>
    </row>
    <row r="1878" spans="1:9" ht="14.4" x14ac:dyDescent="0.3">
      <c r="A1878" s="197"/>
      <c r="B1878" s="203"/>
      <c r="C1878" s="204"/>
      <c r="D1878" s="205"/>
      <c r="E1878" s="206"/>
      <c r="F1878" s="218"/>
      <c r="G1878" s="206"/>
      <c r="H1878" s="219"/>
      <c r="I1878" s="220"/>
    </row>
    <row r="1879" spans="1:9" ht="15" thickBot="1" x14ac:dyDescent="0.35">
      <c r="A1879" s="207"/>
      <c r="B1879" s="208"/>
      <c r="C1879" s="209"/>
      <c r="D1879" s="210"/>
      <c r="E1879" s="211"/>
      <c r="F1879" s="221"/>
      <c r="G1879" s="211"/>
      <c r="H1879" s="222"/>
      <c r="I1879" s="223"/>
    </row>
    <row r="1880" spans="1:9" ht="14.4" thickBot="1" x14ac:dyDescent="0.35"/>
    <row r="1881" spans="1:9" ht="14.4" thickBot="1" x14ac:dyDescent="0.35">
      <c r="A1881" s="226" t="s">
        <v>1204</v>
      </c>
      <c r="B1881" s="224" t="s">
        <v>1434</v>
      </c>
      <c r="C1881" s="224" t="s">
        <v>1435</v>
      </c>
      <c r="D1881" s="224" t="s">
        <v>1207</v>
      </c>
      <c r="E1881" s="368" t="s">
        <v>1208</v>
      </c>
      <c r="F1881" s="368"/>
      <c r="G1881" s="368"/>
      <c r="H1881" s="224" t="s">
        <v>1209</v>
      </c>
      <c r="I1881" s="225" t="s">
        <v>1436</v>
      </c>
    </row>
    <row r="1882" spans="1:9" ht="14.4" x14ac:dyDescent="0.3">
      <c r="A1882" s="197"/>
      <c r="B1882" s="193"/>
      <c r="C1882" s="194"/>
      <c r="D1882" s="195"/>
      <c r="E1882" s="196"/>
      <c r="F1882" s="212"/>
      <c r="G1882" s="196"/>
      <c r="H1882" s="213"/>
      <c r="I1882" s="214"/>
    </row>
    <row r="1883" spans="1:9" ht="14.4" x14ac:dyDescent="0.3">
      <c r="A1883" s="197"/>
      <c r="B1883" s="198"/>
      <c r="C1883" s="199"/>
      <c r="D1883" s="200"/>
      <c r="E1883" s="201"/>
      <c r="F1883" s="212"/>
      <c r="G1883" s="201"/>
      <c r="H1883" s="215"/>
      <c r="I1883" s="216"/>
    </row>
    <row r="1884" spans="1:9" ht="14.4" x14ac:dyDescent="0.3">
      <c r="A1884" s="197"/>
      <c r="B1884" s="198"/>
      <c r="C1884" s="199"/>
      <c r="D1884" s="200"/>
      <c r="E1884" s="201"/>
      <c r="F1884" s="212"/>
      <c r="G1884" s="201"/>
      <c r="H1884" s="215"/>
      <c r="I1884" s="216"/>
    </row>
    <row r="1885" spans="1:9" ht="14.4" x14ac:dyDescent="0.3">
      <c r="A1885" s="197"/>
      <c r="B1885" s="198"/>
      <c r="C1885" s="199"/>
      <c r="D1885" s="200"/>
      <c r="E1885" s="201"/>
      <c r="F1885" s="212"/>
      <c r="G1885" s="201"/>
      <c r="H1885" s="215"/>
      <c r="I1885" s="217"/>
    </row>
    <row r="1886" spans="1:9" ht="14.4" x14ac:dyDescent="0.3">
      <c r="A1886" s="197"/>
      <c r="B1886" s="198"/>
      <c r="C1886" s="199"/>
      <c r="D1886" s="200"/>
      <c r="E1886" s="196"/>
      <c r="F1886" s="212"/>
      <c r="G1886" s="196"/>
      <c r="H1886" s="215"/>
      <c r="I1886" s="217"/>
    </row>
    <row r="1887" spans="1:9" ht="14.4" x14ac:dyDescent="0.3">
      <c r="A1887" s="197"/>
      <c r="B1887" s="198"/>
      <c r="C1887" s="199"/>
      <c r="D1887" s="200"/>
      <c r="E1887" s="196"/>
      <c r="F1887" s="212"/>
      <c r="G1887" s="196"/>
      <c r="H1887" s="215"/>
      <c r="I1887" s="216"/>
    </row>
    <row r="1888" spans="1:9" ht="14.4" x14ac:dyDescent="0.3">
      <c r="A1888" s="197"/>
      <c r="B1888" s="198"/>
      <c r="C1888" s="199"/>
      <c r="D1888" s="200"/>
      <c r="E1888" s="201"/>
      <c r="F1888" s="212"/>
      <c r="G1888" s="201"/>
      <c r="H1888" s="215"/>
      <c r="I1888" s="216"/>
    </row>
    <row r="1889" spans="1:9" ht="14.4" x14ac:dyDescent="0.3">
      <c r="A1889" s="197"/>
      <c r="B1889" s="198"/>
      <c r="C1889" s="199"/>
      <c r="D1889" s="200"/>
      <c r="E1889" s="202"/>
      <c r="F1889" s="212"/>
      <c r="G1889" s="201"/>
      <c r="H1889" s="215"/>
      <c r="I1889" s="216"/>
    </row>
    <row r="1890" spans="1:9" ht="14.4" x14ac:dyDescent="0.3">
      <c r="A1890" s="197"/>
      <c r="B1890" s="198"/>
      <c r="C1890" s="199"/>
      <c r="D1890" s="200"/>
      <c r="E1890" s="201"/>
      <c r="F1890" s="212"/>
      <c r="G1890" s="201"/>
      <c r="H1890" s="215"/>
      <c r="I1890" s="216"/>
    </row>
    <row r="1891" spans="1:9" ht="14.4" x14ac:dyDescent="0.3">
      <c r="A1891" s="197"/>
      <c r="B1891" s="198"/>
      <c r="C1891" s="199"/>
      <c r="D1891" s="200"/>
      <c r="E1891" s="201"/>
      <c r="F1891" s="212"/>
      <c r="G1891" s="201"/>
      <c r="H1891" s="215"/>
      <c r="I1891" s="216"/>
    </row>
    <row r="1892" spans="1:9" ht="14.4" x14ac:dyDescent="0.3">
      <c r="A1892" s="197"/>
      <c r="B1892" s="203"/>
      <c r="C1892" s="204"/>
      <c r="D1892" s="205"/>
      <c r="E1892" s="206"/>
      <c r="F1892" s="218"/>
      <c r="G1892" s="206"/>
      <c r="H1892" s="219"/>
      <c r="I1892" s="220"/>
    </row>
    <row r="1893" spans="1:9" ht="15" thickBot="1" x14ac:dyDescent="0.35">
      <c r="A1893" s="207"/>
      <c r="B1893" s="208"/>
      <c r="C1893" s="209"/>
      <c r="D1893" s="210"/>
      <c r="E1893" s="211"/>
      <c r="F1893" s="221"/>
      <c r="G1893" s="211"/>
      <c r="H1893" s="222"/>
      <c r="I1893" s="223"/>
    </row>
    <row r="1894" spans="1:9" ht="14.4" thickBot="1" x14ac:dyDescent="0.35"/>
    <row r="1895" spans="1:9" ht="14.4" thickBot="1" x14ac:dyDescent="0.35">
      <c r="A1895" s="226" t="s">
        <v>1204</v>
      </c>
      <c r="B1895" s="224" t="s">
        <v>1434</v>
      </c>
      <c r="C1895" s="224" t="s">
        <v>1435</v>
      </c>
      <c r="D1895" s="224" t="s">
        <v>1207</v>
      </c>
      <c r="E1895" s="368" t="s">
        <v>1208</v>
      </c>
      <c r="F1895" s="368"/>
      <c r="G1895" s="368"/>
      <c r="H1895" s="224" t="s">
        <v>1209</v>
      </c>
      <c r="I1895" s="225" t="s">
        <v>1436</v>
      </c>
    </row>
    <row r="1896" spans="1:9" ht="14.4" x14ac:dyDescent="0.3">
      <c r="A1896" s="197"/>
      <c r="B1896" s="193"/>
      <c r="C1896" s="194"/>
      <c r="D1896" s="195"/>
      <c r="E1896" s="196"/>
      <c r="F1896" s="212"/>
      <c r="G1896" s="196"/>
      <c r="H1896" s="213"/>
      <c r="I1896" s="214"/>
    </row>
    <row r="1897" spans="1:9" ht="14.4" x14ac:dyDescent="0.3">
      <c r="A1897" s="197"/>
      <c r="B1897" s="198"/>
      <c r="C1897" s="199"/>
      <c r="D1897" s="200"/>
      <c r="E1897" s="201"/>
      <c r="F1897" s="212"/>
      <c r="G1897" s="201"/>
      <c r="H1897" s="215"/>
      <c r="I1897" s="216"/>
    </row>
    <row r="1898" spans="1:9" ht="14.4" x14ac:dyDescent="0.3">
      <c r="A1898" s="197"/>
      <c r="B1898" s="198"/>
      <c r="C1898" s="199"/>
      <c r="D1898" s="200"/>
      <c r="E1898" s="201"/>
      <c r="F1898" s="212"/>
      <c r="G1898" s="201"/>
      <c r="H1898" s="215"/>
      <c r="I1898" s="216"/>
    </row>
    <row r="1899" spans="1:9" ht="14.4" x14ac:dyDescent="0.3">
      <c r="A1899" s="197"/>
      <c r="B1899" s="198"/>
      <c r="C1899" s="199"/>
      <c r="D1899" s="200"/>
      <c r="E1899" s="201"/>
      <c r="F1899" s="212"/>
      <c r="G1899" s="201"/>
      <c r="H1899" s="215"/>
      <c r="I1899" s="217"/>
    </row>
    <row r="1900" spans="1:9" ht="14.4" x14ac:dyDescent="0.3">
      <c r="A1900" s="197"/>
      <c r="B1900" s="198"/>
      <c r="C1900" s="199"/>
      <c r="D1900" s="200"/>
      <c r="E1900" s="196"/>
      <c r="F1900" s="212"/>
      <c r="G1900" s="196"/>
      <c r="H1900" s="215"/>
      <c r="I1900" s="217"/>
    </row>
    <row r="1901" spans="1:9" ht="14.4" x14ac:dyDescent="0.3">
      <c r="A1901" s="197"/>
      <c r="B1901" s="198"/>
      <c r="C1901" s="199"/>
      <c r="D1901" s="200"/>
      <c r="E1901" s="196"/>
      <c r="F1901" s="212"/>
      <c r="G1901" s="196"/>
      <c r="H1901" s="215"/>
      <c r="I1901" s="216"/>
    </row>
    <row r="1902" spans="1:9" ht="14.4" x14ac:dyDescent="0.3">
      <c r="A1902" s="197"/>
      <c r="B1902" s="198"/>
      <c r="C1902" s="199"/>
      <c r="D1902" s="200"/>
      <c r="E1902" s="201"/>
      <c r="F1902" s="212"/>
      <c r="G1902" s="201"/>
      <c r="H1902" s="215"/>
      <c r="I1902" s="216"/>
    </row>
    <row r="1903" spans="1:9" ht="14.4" x14ac:dyDescent="0.3">
      <c r="A1903" s="197"/>
      <c r="B1903" s="198"/>
      <c r="C1903" s="199"/>
      <c r="D1903" s="200"/>
      <c r="E1903" s="202"/>
      <c r="F1903" s="212"/>
      <c r="G1903" s="201"/>
      <c r="H1903" s="215"/>
      <c r="I1903" s="216"/>
    </row>
    <row r="1904" spans="1:9" ht="14.4" x14ac:dyDescent="0.3">
      <c r="A1904" s="197"/>
      <c r="B1904" s="198"/>
      <c r="C1904" s="199"/>
      <c r="D1904" s="200"/>
      <c r="E1904" s="201"/>
      <c r="F1904" s="212"/>
      <c r="G1904" s="201"/>
      <c r="H1904" s="215"/>
      <c r="I1904" s="216"/>
    </row>
    <row r="1905" spans="1:9" ht="14.4" x14ac:dyDescent="0.3">
      <c r="A1905" s="197"/>
      <c r="B1905" s="198"/>
      <c r="C1905" s="199"/>
      <c r="D1905" s="200"/>
      <c r="E1905" s="201"/>
      <c r="F1905" s="212"/>
      <c r="G1905" s="201"/>
      <c r="H1905" s="215"/>
      <c r="I1905" s="216"/>
    </row>
    <row r="1906" spans="1:9" ht="14.4" x14ac:dyDescent="0.3">
      <c r="A1906" s="197"/>
      <c r="B1906" s="203"/>
      <c r="C1906" s="204"/>
      <c r="D1906" s="205"/>
      <c r="E1906" s="206"/>
      <c r="F1906" s="218"/>
      <c r="G1906" s="206"/>
      <c r="H1906" s="219"/>
      <c r="I1906" s="220"/>
    </row>
    <row r="1907" spans="1:9" ht="15" thickBot="1" x14ac:dyDescent="0.35">
      <c r="A1907" s="207"/>
      <c r="B1907" s="208"/>
      <c r="C1907" s="209"/>
      <c r="D1907" s="210"/>
      <c r="E1907" s="211"/>
      <c r="F1907" s="221"/>
      <c r="G1907" s="211"/>
      <c r="H1907" s="222"/>
      <c r="I1907" s="223"/>
    </row>
    <row r="1908" spans="1:9" ht="14.4" thickBot="1" x14ac:dyDescent="0.35"/>
    <row r="1909" spans="1:9" ht="14.4" thickBot="1" x14ac:dyDescent="0.35">
      <c r="A1909" s="226" t="s">
        <v>1204</v>
      </c>
      <c r="B1909" s="224" t="s">
        <v>1434</v>
      </c>
      <c r="C1909" s="224" t="s">
        <v>1435</v>
      </c>
      <c r="D1909" s="224" t="s">
        <v>1207</v>
      </c>
      <c r="E1909" s="368" t="s">
        <v>1208</v>
      </c>
      <c r="F1909" s="368"/>
      <c r="G1909" s="368"/>
      <c r="H1909" s="224" t="s">
        <v>1209</v>
      </c>
      <c r="I1909" s="225" t="s">
        <v>1436</v>
      </c>
    </row>
    <row r="1910" spans="1:9" ht="14.4" x14ac:dyDescent="0.3">
      <c r="A1910" s="197"/>
      <c r="B1910" s="193"/>
      <c r="C1910" s="194"/>
      <c r="D1910" s="195"/>
      <c r="E1910" s="196"/>
      <c r="F1910" s="212"/>
      <c r="G1910" s="196"/>
      <c r="H1910" s="213"/>
      <c r="I1910" s="214"/>
    </row>
    <row r="1911" spans="1:9" ht="14.4" x14ac:dyDescent="0.3">
      <c r="A1911" s="197"/>
      <c r="B1911" s="198"/>
      <c r="C1911" s="199"/>
      <c r="D1911" s="200"/>
      <c r="E1911" s="201"/>
      <c r="F1911" s="212"/>
      <c r="G1911" s="201"/>
      <c r="H1911" s="215"/>
      <c r="I1911" s="216"/>
    </row>
    <row r="1912" spans="1:9" ht="14.4" x14ac:dyDescent="0.3">
      <c r="A1912" s="197"/>
      <c r="B1912" s="198"/>
      <c r="C1912" s="199"/>
      <c r="D1912" s="200"/>
      <c r="E1912" s="201"/>
      <c r="F1912" s="212"/>
      <c r="G1912" s="201"/>
      <c r="H1912" s="215"/>
      <c r="I1912" s="216"/>
    </row>
    <row r="1913" spans="1:9" ht="14.4" x14ac:dyDescent="0.3">
      <c r="A1913" s="197"/>
      <c r="B1913" s="198"/>
      <c r="C1913" s="199"/>
      <c r="D1913" s="200"/>
      <c r="E1913" s="201"/>
      <c r="F1913" s="212"/>
      <c r="G1913" s="201"/>
      <c r="H1913" s="215"/>
      <c r="I1913" s="217"/>
    </row>
    <row r="1914" spans="1:9" ht="14.4" x14ac:dyDescent="0.3">
      <c r="A1914" s="197"/>
      <c r="B1914" s="198"/>
      <c r="C1914" s="199"/>
      <c r="D1914" s="200"/>
      <c r="E1914" s="196"/>
      <c r="F1914" s="212"/>
      <c r="G1914" s="196"/>
      <c r="H1914" s="215"/>
      <c r="I1914" s="217"/>
    </row>
    <row r="1915" spans="1:9" ht="14.4" x14ac:dyDescent="0.3">
      <c r="A1915" s="197"/>
      <c r="B1915" s="198"/>
      <c r="C1915" s="199"/>
      <c r="D1915" s="200"/>
      <c r="E1915" s="196"/>
      <c r="F1915" s="212"/>
      <c r="G1915" s="196"/>
      <c r="H1915" s="215"/>
      <c r="I1915" s="216"/>
    </row>
    <row r="1916" spans="1:9" ht="14.4" x14ac:dyDescent="0.3">
      <c r="A1916" s="197"/>
      <c r="B1916" s="198"/>
      <c r="C1916" s="199"/>
      <c r="D1916" s="200"/>
      <c r="E1916" s="201"/>
      <c r="F1916" s="212"/>
      <c r="G1916" s="201"/>
      <c r="H1916" s="215"/>
      <c r="I1916" s="216"/>
    </row>
    <row r="1917" spans="1:9" ht="14.4" x14ac:dyDescent="0.3">
      <c r="A1917" s="197"/>
      <c r="B1917" s="198"/>
      <c r="C1917" s="199"/>
      <c r="D1917" s="200"/>
      <c r="E1917" s="202"/>
      <c r="F1917" s="212"/>
      <c r="G1917" s="201"/>
      <c r="H1917" s="215"/>
      <c r="I1917" s="216"/>
    </row>
    <row r="1918" spans="1:9" ht="14.4" x14ac:dyDescent="0.3">
      <c r="A1918" s="197"/>
      <c r="B1918" s="198"/>
      <c r="C1918" s="199"/>
      <c r="D1918" s="200"/>
      <c r="E1918" s="201"/>
      <c r="F1918" s="212"/>
      <c r="G1918" s="201"/>
      <c r="H1918" s="215"/>
      <c r="I1918" s="216"/>
    </row>
    <row r="1919" spans="1:9" ht="14.4" x14ac:dyDescent="0.3">
      <c r="A1919" s="197"/>
      <c r="B1919" s="198"/>
      <c r="C1919" s="199"/>
      <c r="D1919" s="200"/>
      <c r="E1919" s="201"/>
      <c r="F1919" s="212"/>
      <c r="G1919" s="201"/>
      <c r="H1919" s="215"/>
      <c r="I1919" s="216"/>
    </row>
    <row r="1920" spans="1:9" ht="14.4" x14ac:dyDescent="0.3">
      <c r="A1920" s="197"/>
      <c r="B1920" s="203"/>
      <c r="C1920" s="204"/>
      <c r="D1920" s="205"/>
      <c r="E1920" s="206"/>
      <c r="F1920" s="218"/>
      <c r="G1920" s="206"/>
      <c r="H1920" s="219"/>
      <c r="I1920" s="220"/>
    </row>
    <row r="1921" spans="1:9" ht="15" thickBot="1" x14ac:dyDescent="0.35">
      <c r="A1921" s="207"/>
      <c r="B1921" s="208"/>
      <c r="C1921" s="209"/>
      <c r="D1921" s="210"/>
      <c r="E1921" s="211"/>
      <c r="F1921" s="221"/>
      <c r="G1921" s="211"/>
      <c r="H1921" s="222"/>
      <c r="I1921" s="223"/>
    </row>
    <row r="1922" spans="1:9" ht="14.4" thickBot="1" x14ac:dyDescent="0.35"/>
    <row r="1923" spans="1:9" ht="14.4" thickBot="1" x14ac:dyDescent="0.35">
      <c r="A1923" s="226" t="s">
        <v>1204</v>
      </c>
      <c r="B1923" s="224" t="s">
        <v>1434</v>
      </c>
      <c r="C1923" s="224" t="s">
        <v>1435</v>
      </c>
      <c r="D1923" s="224" t="s">
        <v>1207</v>
      </c>
      <c r="E1923" s="368" t="s">
        <v>1208</v>
      </c>
      <c r="F1923" s="368"/>
      <c r="G1923" s="368"/>
      <c r="H1923" s="224" t="s">
        <v>1209</v>
      </c>
      <c r="I1923" s="225" t="s">
        <v>1436</v>
      </c>
    </row>
    <row r="1924" spans="1:9" ht="14.4" x14ac:dyDescent="0.3">
      <c r="A1924" s="197"/>
      <c r="B1924" s="193"/>
      <c r="C1924" s="194"/>
      <c r="D1924" s="195"/>
      <c r="E1924" s="196"/>
      <c r="F1924" s="212"/>
      <c r="G1924" s="196"/>
      <c r="H1924" s="213"/>
      <c r="I1924" s="214"/>
    </row>
    <row r="1925" spans="1:9" ht="14.4" x14ac:dyDescent="0.3">
      <c r="A1925" s="197"/>
      <c r="B1925" s="198"/>
      <c r="C1925" s="199"/>
      <c r="D1925" s="200"/>
      <c r="E1925" s="201"/>
      <c r="F1925" s="212"/>
      <c r="G1925" s="201"/>
      <c r="H1925" s="215"/>
      <c r="I1925" s="216"/>
    </row>
    <row r="1926" spans="1:9" ht="14.4" x14ac:dyDescent="0.3">
      <c r="A1926" s="197"/>
      <c r="B1926" s="198"/>
      <c r="C1926" s="199"/>
      <c r="D1926" s="200"/>
      <c r="E1926" s="201"/>
      <c r="F1926" s="212"/>
      <c r="G1926" s="201"/>
      <c r="H1926" s="215"/>
      <c r="I1926" s="216"/>
    </row>
    <row r="1927" spans="1:9" ht="14.4" x14ac:dyDescent="0.3">
      <c r="A1927" s="197"/>
      <c r="B1927" s="198"/>
      <c r="C1927" s="199"/>
      <c r="D1927" s="200"/>
      <c r="E1927" s="201"/>
      <c r="F1927" s="212"/>
      <c r="G1927" s="201"/>
      <c r="H1927" s="215"/>
      <c r="I1927" s="217"/>
    </row>
    <row r="1928" spans="1:9" ht="14.4" x14ac:dyDescent="0.3">
      <c r="A1928" s="197"/>
      <c r="B1928" s="198"/>
      <c r="C1928" s="199"/>
      <c r="D1928" s="200"/>
      <c r="E1928" s="196"/>
      <c r="F1928" s="212"/>
      <c r="G1928" s="196"/>
      <c r="H1928" s="215"/>
      <c r="I1928" s="217"/>
    </row>
    <row r="1929" spans="1:9" ht="14.4" x14ac:dyDescent="0.3">
      <c r="A1929" s="197"/>
      <c r="B1929" s="198"/>
      <c r="C1929" s="199"/>
      <c r="D1929" s="200"/>
      <c r="E1929" s="196"/>
      <c r="F1929" s="212"/>
      <c r="G1929" s="196"/>
      <c r="H1929" s="215"/>
      <c r="I1929" s="216"/>
    </row>
    <row r="1930" spans="1:9" ht="14.4" x14ac:dyDescent="0.3">
      <c r="A1930" s="197"/>
      <c r="B1930" s="198"/>
      <c r="C1930" s="199"/>
      <c r="D1930" s="200"/>
      <c r="E1930" s="201"/>
      <c r="F1930" s="212"/>
      <c r="G1930" s="201"/>
      <c r="H1930" s="215"/>
      <c r="I1930" s="216"/>
    </row>
    <row r="1931" spans="1:9" ht="14.4" x14ac:dyDescent="0.3">
      <c r="A1931" s="197"/>
      <c r="B1931" s="198"/>
      <c r="C1931" s="199"/>
      <c r="D1931" s="200"/>
      <c r="E1931" s="202"/>
      <c r="F1931" s="212"/>
      <c r="G1931" s="201"/>
      <c r="H1931" s="215"/>
      <c r="I1931" s="216"/>
    </row>
    <row r="1932" spans="1:9" ht="14.4" x14ac:dyDescent="0.3">
      <c r="A1932" s="197"/>
      <c r="B1932" s="198"/>
      <c r="C1932" s="199"/>
      <c r="D1932" s="200"/>
      <c r="E1932" s="201"/>
      <c r="F1932" s="212"/>
      <c r="G1932" s="201"/>
      <c r="H1932" s="215"/>
      <c r="I1932" s="216"/>
    </row>
    <row r="1933" spans="1:9" ht="14.4" x14ac:dyDescent="0.3">
      <c r="A1933" s="197"/>
      <c r="B1933" s="198"/>
      <c r="C1933" s="199"/>
      <c r="D1933" s="200"/>
      <c r="E1933" s="201"/>
      <c r="F1933" s="212"/>
      <c r="G1933" s="201"/>
      <c r="H1933" s="215"/>
      <c r="I1933" s="216"/>
    </row>
    <row r="1934" spans="1:9" ht="14.4" x14ac:dyDescent="0.3">
      <c r="A1934" s="197"/>
      <c r="B1934" s="203"/>
      <c r="C1934" s="204"/>
      <c r="D1934" s="205"/>
      <c r="E1934" s="206"/>
      <c r="F1934" s="218"/>
      <c r="G1934" s="206"/>
      <c r="H1934" s="219"/>
      <c r="I1934" s="220"/>
    </row>
    <row r="1935" spans="1:9" ht="15" thickBot="1" x14ac:dyDescent="0.35">
      <c r="A1935" s="207"/>
      <c r="B1935" s="208"/>
      <c r="C1935" s="209"/>
      <c r="D1935" s="210"/>
      <c r="E1935" s="211"/>
      <c r="F1935" s="221"/>
      <c r="G1935" s="211"/>
      <c r="H1935" s="222"/>
      <c r="I1935" s="223"/>
    </row>
    <row r="1936" spans="1:9" ht="14.4" thickBot="1" x14ac:dyDescent="0.35"/>
    <row r="1937" spans="1:9" ht="14.4" thickBot="1" x14ac:dyDescent="0.35">
      <c r="A1937" s="226" t="s">
        <v>1204</v>
      </c>
      <c r="B1937" s="224" t="s">
        <v>1434</v>
      </c>
      <c r="C1937" s="224" t="s">
        <v>1435</v>
      </c>
      <c r="D1937" s="224" t="s">
        <v>1207</v>
      </c>
      <c r="E1937" s="368" t="s">
        <v>1208</v>
      </c>
      <c r="F1937" s="368"/>
      <c r="G1937" s="368"/>
      <c r="H1937" s="224" t="s">
        <v>1209</v>
      </c>
      <c r="I1937" s="225" t="s">
        <v>1436</v>
      </c>
    </row>
    <row r="1938" spans="1:9" ht="14.4" x14ac:dyDescent="0.3">
      <c r="A1938" s="197"/>
      <c r="B1938" s="193"/>
      <c r="C1938" s="194"/>
      <c r="D1938" s="195"/>
      <c r="E1938" s="196"/>
      <c r="F1938" s="212"/>
      <c r="G1938" s="196"/>
      <c r="H1938" s="213"/>
      <c r="I1938" s="214"/>
    </row>
    <row r="1939" spans="1:9" ht="14.4" x14ac:dyDescent="0.3">
      <c r="A1939" s="197"/>
      <c r="B1939" s="198"/>
      <c r="C1939" s="199"/>
      <c r="D1939" s="200"/>
      <c r="E1939" s="201"/>
      <c r="F1939" s="212"/>
      <c r="G1939" s="201"/>
      <c r="H1939" s="215"/>
      <c r="I1939" s="216"/>
    </row>
    <row r="1940" spans="1:9" ht="14.4" x14ac:dyDescent="0.3">
      <c r="A1940" s="197"/>
      <c r="B1940" s="198"/>
      <c r="C1940" s="199"/>
      <c r="D1940" s="200"/>
      <c r="E1940" s="201"/>
      <c r="F1940" s="212"/>
      <c r="G1940" s="201"/>
      <c r="H1940" s="215"/>
      <c r="I1940" s="216"/>
    </row>
    <row r="1941" spans="1:9" ht="14.4" x14ac:dyDescent="0.3">
      <c r="A1941" s="197"/>
      <c r="B1941" s="198"/>
      <c r="C1941" s="199"/>
      <c r="D1941" s="200"/>
      <c r="E1941" s="201"/>
      <c r="F1941" s="212"/>
      <c r="G1941" s="201"/>
      <c r="H1941" s="215"/>
      <c r="I1941" s="217"/>
    </row>
    <row r="1942" spans="1:9" ht="14.4" x14ac:dyDescent="0.3">
      <c r="A1942" s="197"/>
      <c r="B1942" s="198"/>
      <c r="C1942" s="199"/>
      <c r="D1942" s="200"/>
      <c r="E1942" s="196"/>
      <c r="F1942" s="212"/>
      <c r="G1942" s="196"/>
      <c r="H1942" s="215"/>
      <c r="I1942" s="217"/>
    </row>
    <row r="1943" spans="1:9" ht="14.4" x14ac:dyDescent="0.3">
      <c r="A1943" s="197"/>
      <c r="B1943" s="198"/>
      <c r="C1943" s="199"/>
      <c r="D1943" s="200"/>
      <c r="E1943" s="196"/>
      <c r="F1943" s="212"/>
      <c r="G1943" s="196"/>
      <c r="H1943" s="215"/>
      <c r="I1943" s="216"/>
    </row>
    <row r="1944" spans="1:9" ht="14.4" x14ac:dyDescent="0.3">
      <c r="A1944" s="197"/>
      <c r="B1944" s="198"/>
      <c r="C1944" s="199"/>
      <c r="D1944" s="200"/>
      <c r="E1944" s="201"/>
      <c r="F1944" s="212"/>
      <c r="G1944" s="201"/>
      <c r="H1944" s="215"/>
      <c r="I1944" s="216"/>
    </row>
    <row r="1945" spans="1:9" ht="14.4" x14ac:dyDescent="0.3">
      <c r="A1945" s="197"/>
      <c r="B1945" s="198"/>
      <c r="C1945" s="199"/>
      <c r="D1945" s="200"/>
      <c r="E1945" s="202"/>
      <c r="F1945" s="212"/>
      <c r="G1945" s="201"/>
      <c r="H1945" s="215"/>
      <c r="I1945" s="216"/>
    </row>
    <row r="1946" spans="1:9" ht="14.4" x14ac:dyDescent="0.3">
      <c r="A1946" s="197"/>
      <c r="B1946" s="198"/>
      <c r="C1946" s="199"/>
      <c r="D1946" s="200"/>
      <c r="E1946" s="201"/>
      <c r="F1946" s="212"/>
      <c r="G1946" s="201"/>
      <c r="H1946" s="215"/>
      <c r="I1946" s="216"/>
    </row>
    <row r="1947" spans="1:9" ht="14.4" x14ac:dyDescent="0.3">
      <c r="A1947" s="197"/>
      <c r="B1947" s="198"/>
      <c r="C1947" s="199"/>
      <c r="D1947" s="200"/>
      <c r="E1947" s="201"/>
      <c r="F1947" s="212"/>
      <c r="G1947" s="201"/>
      <c r="H1947" s="215"/>
      <c r="I1947" s="216"/>
    </row>
    <row r="1948" spans="1:9" ht="14.4" x14ac:dyDescent="0.3">
      <c r="A1948" s="197"/>
      <c r="B1948" s="203"/>
      <c r="C1948" s="204"/>
      <c r="D1948" s="205"/>
      <c r="E1948" s="206"/>
      <c r="F1948" s="218"/>
      <c r="G1948" s="206"/>
      <c r="H1948" s="219"/>
      <c r="I1948" s="220"/>
    </row>
    <row r="1949" spans="1:9" ht="15" thickBot="1" x14ac:dyDescent="0.35">
      <c r="A1949" s="207"/>
      <c r="B1949" s="208"/>
      <c r="C1949" s="209"/>
      <c r="D1949" s="210"/>
      <c r="E1949" s="211"/>
      <c r="F1949" s="221"/>
      <c r="G1949" s="211"/>
      <c r="H1949" s="222"/>
      <c r="I1949" s="223"/>
    </row>
    <row r="1950" spans="1:9" ht="14.4" thickBot="1" x14ac:dyDescent="0.35"/>
    <row r="1951" spans="1:9" ht="14.4" thickBot="1" x14ac:dyDescent="0.35">
      <c r="A1951" s="226" t="s">
        <v>1204</v>
      </c>
      <c r="B1951" s="224" t="s">
        <v>1434</v>
      </c>
      <c r="C1951" s="224" t="s">
        <v>1435</v>
      </c>
      <c r="D1951" s="224" t="s">
        <v>1207</v>
      </c>
      <c r="E1951" s="368" t="s">
        <v>1208</v>
      </c>
      <c r="F1951" s="368"/>
      <c r="G1951" s="368"/>
      <c r="H1951" s="224" t="s">
        <v>1209</v>
      </c>
      <c r="I1951" s="225" t="s">
        <v>1436</v>
      </c>
    </row>
    <row r="1952" spans="1:9" ht="14.4" x14ac:dyDescent="0.3">
      <c r="A1952" s="197"/>
      <c r="B1952" s="193"/>
      <c r="C1952" s="194"/>
      <c r="D1952" s="195"/>
      <c r="E1952" s="196"/>
      <c r="F1952" s="212"/>
      <c r="G1952" s="196"/>
      <c r="H1952" s="213"/>
      <c r="I1952" s="214"/>
    </row>
    <row r="1953" spans="1:9" ht="14.4" x14ac:dyDescent="0.3">
      <c r="A1953" s="197"/>
      <c r="B1953" s="198"/>
      <c r="C1953" s="199"/>
      <c r="D1953" s="200"/>
      <c r="E1953" s="201"/>
      <c r="F1953" s="212"/>
      <c r="G1953" s="201"/>
      <c r="H1953" s="215"/>
      <c r="I1953" s="216"/>
    </row>
    <row r="1954" spans="1:9" ht="14.4" x14ac:dyDescent="0.3">
      <c r="A1954" s="197"/>
      <c r="B1954" s="198"/>
      <c r="C1954" s="199"/>
      <c r="D1954" s="200"/>
      <c r="E1954" s="201"/>
      <c r="F1954" s="212"/>
      <c r="G1954" s="201"/>
      <c r="H1954" s="215"/>
      <c r="I1954" s="216"/>
    </row>
    <row r="1955" spans="1:9" ht="14.4" x14ac:dyDescent="0.3">
      <c r="A1955" s="197"/>
      <c r="B1955" s="198"/>
      <c r="C1955" s="199"/>
      <c r="D1955" s="200"/>
      <c r="E1955" s="201"/>
      <c r="F1955" s="212"/>
      <c r="G1955" s="201"/>
      <c r="H1955" s="215"/>
      <c r="I1955" s="217"/>
    </row>
    <row r="1956" spans="1:9" ht="14.4" x14ac:dyDescent="0.3">
      <c r="A1956" s="197"/>
      <c r="B1956" s="198"/>
      <c r="C1956" s="199"/>
      <c r="D1956" s="200"/>
      <c r="E1956" s="196"/>
      <c r="F1956" s="212"/>
      <c r="G1956" s="196"/>
      <c r="H1956" s="215"/>
      <c r="I1956" s="217"/>
    </row>
    <row r="1957" spans="1:9" ht="14.4" x14ac:dyDescent="0.3">
      <c r="A1957" s="197"/>
      <c r="B1957" s="198"/>
      <c r="C1957" s="199"/>
      <c r="D1957" s="200"/>
      <c r="E1957" s="196"/>
      <c r="F1957" s="212"/>
      <c r="G1957" s="196"/>
      <c r="H1957" s="215"/>
      <c r="I1957" s="216"/>
    </row>
    <row r="1958" spans="1:9" ht="14.4" x14ac:dyDescent="0.3">
      <c r="A1958" s="197"/>
      <c r="B1958" s="198"/>
      <c r="C1958" s="199"/>
      <c r="D1958" s="200"/>
      <c r="E1958" s="201"/>
      <c r="F1958" s="212"/>
      <c r="G1958" s="201"/>
      <c r="H1958" s="215"/>
      <c r="I1958" s="216"/>
    </row>
    <row r="1959" spans="1:9" ht="14.4" x14ac:dyDescent="0.3">
      <c r="A1959" s="197"/>
      <c r="B1959" s="198"/>
      <c r="C1959" s="199"/>
      <c r="D1959" s="200"/>
      <c r="E1959" s="202"/>
      <c r="F1959" s="212"/>
      <c r="G1959" s="201"/>
      <c r="H1959" s="215"/>
      <c r="I1959" s="216"/>
    </row>
    <row r="1960" spans="1:9" ht="14.4" x14ac:dyDescent="0.3">
      <c r="A1960" s="197"/>
      <c r="B1960" s="198"/>
      <c r="C1960" s="199"/>
      <c r="D1960" s="200"/>
      <c r="E1960" s="201"/>
      <c r="F1960" s="212"/>
      <c r="G1960" s="201"/>
      <c r="H1960" s="215"/>
      <c r="I1960" s="216"/>
    </row>
    <row r="1961" spans="1:9" ht="14.4" x14ac:dyDescent="0.3">
      <c r="A1961" s="197"/>
      <c r="B1961" s="198"/>
      <c r="C1961" s="199"/>
      <c r="D1961" s="200"/>
      <c r="E1961" s="201"/>
      <c r="F1961" s="212"/>
      <c r="G1961" s="201"/>
      <c r="H1961" s="215"/>
      <c r="I1961" s="216"/>
    </row>
    <row r="1962" spans="1:9" ht="14.4" x14ac:dyDescent="0.3">
      <c r="A1962" s="197"/>
      <c r="B1962" s="203"/>
      <c r="C1962" s="204"/>
      <c r="D1962" s="205"/>
      <c r="E1962" s="206"/>
      <c r="F1962" s="218"/>
      <c r="G1962" s="206"/>
      <c r="H1962" s="219"/>
      <c r="I1962" s="220"/>
    </row>
    <row r="1963" spans="1:9" ht="15" thickBot="1" x14ac:dyDescent="0.35">
      <c r="A1963" s="207"/>
      <c r="B1963" s="208"/>
      <c r="C1963" s="209"/>
      <c r="D1963" s="210"/>
      <c r="E1963" s="211"/>
      <c r="F1963" s="221"/>
      <c r="G1963" s="211"/>
      <c r="H1963" s="222"/>
      <c r="I1963" s="223"/>
    </row>
    <row r="1964" spans="1:9" ht="14.4" thickBot="1" x14ac:dyDescent="0.35"/>
    <row r="1965" spans="1:9" ht="14.4" thickBot="1" x14ac:dyDescent="0.35">
      <c r="A1965" s="226" t="s">
        <v>1204</v>
      </c>
      <c r="B1965" s="224" t="s">
        <v>1434</v>
      </c>
      <c r="C1965" s="224" t="s">
        <v>1435</v>
      </c>
      <c r="D1965" s="224" t="s">
        <v>1207</v>
      </c>
      <c r="E1965" s="368" t="s">
        <v>1208</v>
      </c>
      <c r="F1965" s="368"/>
      <c r="G1965" s="368"/>
      <c r="H1965" s="224" t="s">
        <v>1209</v>
      </c>
      <c r="I1965" s="225" t="s">
        <v>1436</v>
      </c>
    </row>
    <row r="1966" spans="1:9" ht="14.4" x14ac:dyDescent="0.3">
      <c r="A1966" s="197"/>
      <c r="B1966" s="193"/>
      <c r="C1966" s="194"/>
      <c r="D1966" s="195"/>
      <c r="E1966" s="196"/>
      <c r="F1966" s="212"/>
      <c r="G1966" s="196"/>
      <c r="H1966" s="213"/>
      <c r="I1966" s="214"/>
    </row>
    <row r="1967" spans="1:9" ht="14.4" x14ac:dyDescent="0.3">
      <c r="A1967" s="197"/>
      <c r="B1967" s="198"/>
      <c r="C1967" s="199"/>
      <c r="D1967" s="200"/>
      <c r="E1967" s="201"/>
      <c r="F1967" s="212"/>
      <c r="G1967" s="201"/>
      <c r="H1967" s="215"/>
      <c r="I1967" s="216"/>
    </row>
    <row r="1968" spans="1:9" ht="14.4" x14ac:dyDescent="0.3">
      <c r="A1968" s="197"/>
      <c r="B1968" s="198"/>
      <c r="C1968" s="199"/>
      <c r="D1968" s="200"/>
      <c r="E1968" s="201"/>
      <c r="F1968" s="212"/>
      <c r="G1968" s="201"/>
      <c r="H1968" s="215"/>
      <c r="I1968" s="216"/>
    </row>
    <row r="1969" spans="1:9" ht="14.4" x14ac:dyDescent="0.3">
      <c r="A1969" s="197"/>
      <c r="B1969" s="198"/>
      <c r="C1969" s="199"/>
      <c r="D1969" s="200"/>
      <c r="E1969" s="201"/>
      <c r="F1969" s="212"/>
      <c r="G1969" s="201"/>
      <c r="H1969" s="215"/>
      <c r="I1969" s="217"/>
    </row>
    <row r="1970" spans="1:9" ht="14.4" x14ac:dyDescent="0.3">
      <c r="A1970" s="197"/>
      <c r="B1970" s="198"/>
      <c r="C1970" s="199"/>
      <c r="D1970" s="200"/>
      <c r="E1970" s="196"/>
      <c r="F1970" s="212"/>
      <c r="G1970" s="196"/>
      <c r="H1970" s="215"/>
      <c r="I1970" s="217"/>
    </row>
    <row r="1971" spans="1:9" ht="14.4" x14ac:dyDescent="0.3">
      <c r="A1971" s="197"/>
      <c r="B1971" s="198"/>
      <c r="C1971" s="199"/>
      <c r="D1971" s="200"/>
      <c r="E1971" s="196"/>
      <c r="F1971" s="212"/>
      <c r="G1971" s="196"/>
      <c r="H1971" s="215"/>
      <c r="I1971" s="216"/>
    </row>
    <row r="1972" spans="1:9" ht="14.4" x14ac:dyDescent="0.3">
      <c r="A1972" s="197"/>
      <c r="B1972" s="198"/>
      <c r="C1972" s="199"/>
      <c r="D1972" s="200"/>
      <c r="E1972" s="201"/>
      <c r="F1972" s="212"/>
      <c r="G1972" s="201"/>
      <c r="H1972" s="215"/>
      <c r="I1972" s="216"/>
    </row>
    <row r="1973" spans="1:9" ht="14.4" x14ac:dyDescent="0.3">
      <c r="A1973" s="197"/>
      <c r="B1973" s="198"/>
      <c r="C1973" s="199"/>
      <c r="D1973" s="200"/>
      <c r="E1973" s="202"/>
      <c r="F1973" s="212"/>
      <c r="G1973" s="201"/>
      <c r="H1973" s="215"/>
      <c r="I1973" s="216"/>
    </row>
    <row r="1974" spans="1:9" ht="14.4" x14ac:dyDescent="0.3">
      <c r="A1974" s="197"/>
      <c r="B1974" s="198"/>
      <c r="C1974" s="199"/>
      <c r="D1974" s="200"/>
      <c r="E1974" s="201"/>
      <c r="F1974" s="212"/>
      <c r="G1974" s="201"/>
      <c r="H1974" s="215"/>
      <c r="I1974" s="216"/>
    </row>
    <row r="1975" spans="1:9" ht="14.4" x14ac:dyDescent="0.3">
      <c r="A1975" s="197"/>
      <c r="B1975" s="198"/>
      <c r="C1975" s="199"/>
      <c r="D1975" s="200"/>
      <c r="E1975" s="201"/>
      <c r="F1975" s="212"/>
      <c r="G1975" s="201"/>
      <c r="H1975" s="215"/>
      <c r="I1975" s="216"/>
    </row>
    <row r="1976" spans="1:9" ht="14.4" x14ac:dyDescent="0.3">
      <c r="A1976" s="197"/>
      <c r="B1976" s="203"/>
      <c r="C1976" s="204"/>
      <c r="D1976" s="205"/>
      <c r="E1976" s="206"/>
      <c r="F1976" s="218"/>
      <c r="G1976" s="206"/>
      <c r="H1976" s="219"/>
      <c r="I1976" s="220"/>
    </row>
    <row r="1977" spans="1:9" ht="15" thickBot="1" x14ac:dyDescent="0.35">
      <c r="A1977" s="207"/>
      <c r="B1977" s="208"/>
      <c r="C1977" s="209"/>
      <c r="D1977" s="210"/>
      <c r="E1977" s="211"/>
      <c r="F1977" s="221"/>
      <c r="G1977" s="211"/>
      <c r="H1977" s="222"/>
      <c r="I1977" s="223"/>
    </row>
    <row r="1978" spans="1:9" ht="14.4" thickBot="1" x14ac:dyDescent="0.35"/>
    <row r="1979" spans="1:9" ht="14.4" thickBot="1" x14ac:dyDescent="0.35">
      <c r="A1979" s="226" t="s">
        <v>1204</v>
      </c>
      <c r="B1979" s="224" t="s">
        <v>1434</v>
      </c>
      <c r="C1979" s="224" t="s">
        <v>1435</v>
      </c>
      <c r="D1979" s="224" t="s">
        <v>1207</v>
      </c>
      <c r="E1979" s="368" t="s">
        <v>1208</v>
      </c>
      <c r="F1979" s="368"/>
      <c r="G1979" s="368"/>
      <c r="H1979" s="224" t="s">
        <v>1209</v>
      </c>
      <c r="I1979" s="225" t="s">
        <v>1436</v>
      </c>
    </row>
    <row r="1980" spans="1:9" ht="14.4" x14ac:dyDescent="0.3">
      <c r="A1980" s="197"/>
      <c r="B1980" s="193"/>
      <c r="C1980" s="194"/>
      <c r="D1980" s="195"/>
      <c r="E1980" s="196"/>
      <c r="F1980" s="212"/>
      <c r="G1980" s="196"/>
      <c r="H1980" s="213"/>
      <c r="I1980" s="214"/>
    </row>
    <row r="1981" spans="1:9" ht="14.4" x14ac:dyDescent="0.3">
      <c r="A1981" s="197"/>
      <c r="B1981" s="198"/>
      <c r="C1981" s="199"/>
      <c r="D1981" s="200"/>
      <c r="E1981" s="201"/>
      <c r="F1981" s="212"/>
      <c r="G1981" s="201"/>
      <c r="H1981" s="215"/>
      <c r="I1981" s="216"/>
    </row>
    <row r="1982" spans="1:9" ht="14.4" x14ac:dyDescent="0.3">
      <c r="A1982" s="197"/>
      <c r="B1982" s="198"/>
      <c r="C1982" s="199"/>
      <c r="D1982" s="200"/>
      <c r="E1982" s="201"/>
      <c r="F1982" s="212"/>
      <c r="G1982" s="201"/>
      <c r="H1982" s="215"/>
      <c r="I1982" s="216"/>
    </row>
    <row r="1983" spans="1:9" ht="14.4" x14ac:dyDescent="0.3">
      <c r="A1983" s="197"/>
      <c r="B1983" s="198"/>
      <c r="C1983" s="199"/>
      <c r="D1983" s="200"/>
      <c r="E1983" s="201"/>
      <c r="F1983" s="212"/>
      <c r="G1983" s="201"/>
      <c r="H1983" s="215"/>
      <c r="I1983" s="217"/>
    </row>
    <row r="1984" spans="1:9" ht="14.4" x14ac:dyDescent="0.3">
      <c r="A1984" s="197"/>
      <c r="B1984" s="198"/>
      <c r="C1984" s="199"/>
      <c r="D1984" s="200"/>
      <c r="E1984" s="196"/>
      <c r="F1984" s="212"/>
      <c r="G1984" s="196"/>
      <c r="H1984" s="215"/>
      <c r="I1984" s="217"/>
    </row>
    <row r="1985" spans="1:9" ht="14.4" x14ac:dyDescent="0.3">
      <c r="A1985" s="197"/>
      <c r="B1985" s="198"/>
      <c r="C1985" s="199"/>
      <c r="D1985" s="200"/>
      <c r="E1985" s="196"/>
      <c r="F1985" s="212"/>
      <c r="G1985" s="196"/>
      <c r="H1985" s="215"/>
      <c r="I1985" s="216"/>
    </row>
    <row r="1986" spans="1:9" ht="14.4" x14ac:dyDescent="0.3">
      <c r="A1986" s="197"/>
      <c r="B1986" s="198"/>
      <c r="C1986" s="199"/>
      <c r="D1986" s="200"/>
      <c r="E1986" s="201"/>
      <c r="F1986" s="212"/>
      <c r="G1986" s="201"/>
      <c r="H1986" s="215"/>
      <c r="I1986" s="216"/>
    </row>
    <row r="1987" spans="1:9" ht="14.4" x14ac:dyDescent="0.3">
      <c r="A1987" s="197"/>
      <c r="B1987" s="198"/>
      <c r="C1987" s="199"/>
      <c r="D1987" s="200"/>
      <c r="E1987" s="202"/>
      <c r="F1987" s="212"/>
      <c r="G1987" s="201"/>
      <c r="H1987" s="215"/>
      <c r="I1987" s="216"/>
    </row>
    <row r="1988" spans="1:9" ht="14.4" x14ac:dyDescent="0.3">
      <c r="A1988" s="197"/>
      <c r="B1988" s="198"/>
      <c r="C1988" s="199"/>
      <c r="D1988" s="200"/>
      <c r="E1988" s="201"/>
      <c r="F1988" s="212"/>
      <c r="G1988" s="201"/>
      <c r="H1988" s="215"/>
      <c r="I1988" s="216"/>
    </row>
    <row r="1989" spans="1:9" ht="14.4" x14ac:dyDescent="0.3">
      <c r="A1989" s="197"/>
      <c r="B1989" s="198"/>
      <c r="C1989" s="199"/>
      <c r="D1989" s="200"/>
      <c r="E1989" s="201"/>
      <c r="F1989" s="212"/>
      <c r="G1989" s="201"/>
      <c r="H1989" s="215"/>
      <c r="I1989" s="216"/>
    </row>
    <row r="1990" spans="1:9" ht="14.4" x14ac:dyDescent="0.3">
      <c r="A1990" s="197"/>
      <c r="B1990" s="203"/>
      <c r="C1990" s="204"/>
      <c r="D1990" s="205"/>
      <c r="E1990" s="206"/>
      <c r="F1990" s="218"/>
      <c r="G1990" s="206"/>
      <c r="H1990" s="219"/>
      <c r="I1990" s="220"/>
    </row>
    <row r="1991" spans="1:9" ht="15" thickBot="1" x14ac:dyDescent="0.35">
      <c r="A1991" s="207"/>
      <c r="B1991" s="208"/>
      <c r="C1991" s="209"/>
      <c r="D1991" s="210"/>
      <c r="E1991" s="211"/>
      <c r="F1991" s="221"/>
      <c r="G1991" s="211"/>
      <c r="H1991" s="222"/>
      <c r="I1991" s="223"/>
    </row>
    <row r="1992" spans="1:9" ht="14.4" thickBot="1" x14ac:dyDescent="0.35"/>
    <row r="1993" spans="1:9" ht="14.4" thickBot="1" x14ac:dyDescent="0.35">
      <c r="A1993" s="226" t="s">
        <v>1204</v>
      </c>
      <c r="B1993" s="224" t="s">
        <v>1434</v>
      </c>
      <c r="C1993" s="224" t="s">
        <v>1435</v>
      </c>
      <c r="D1993" s="224" t="s">
        <v>1207</v>
      </c>
      <c r="E1993" s="368" t="s">
        <v>1208</v>
      </c>
      <c r="F1993" s="368"/>
      <c r="G1993" s="368"/>
      <c r="H1993" s="224" t="s">
        <v>1209</v>
      </c>
      <c r="I1993" s="225" t="s">
        <v>1436</v>
      </c>
    </row>
    <row r="1994" spans="1:9" ht="14.4" x14ac:dyDescent="0.3">
      <c r="A1994" s="197"/>
      <c r="B1994" s="193"/>
      <c r="C1994" s="194"/>
      <c r="D1994" s="195"/>
      <c r="E1994" s="196"/>
      <c r="F1994" s="212"/>
      <c r="G1994" s="196"/>
      <c r="H1994" s="213"/>
      <c r="I1994" s="214"/>
    </row>
    <row r="1995" spans="1:9" ht="14.4" x14ac:dyDescent="0.3">
      <c r="A1995" s="197"/>
      <c r="B1995" s="198"/>
      <c r="C1995" s="199"/>
      <c r="D1995" s="200"/>
      <c r="E1995" s="201"/>
      <c r="F1995" s="212"/>
      <c r="G1995" s="201"/>
      <c r="H1995" s="215"/>
      <c r="I1995" s="216"/>
    </row>
    <row r="1996" spans="1:9" ht="14.4" x14ac:dyDescent="0.3">
      <c r="A1996" s="197"/>
      <c r="B1996" s="198"/>
      <c r="C1996" s="199"/>
      <c r="D1996" s="200"/>
      <c r="E1996" s="201"/>
      <c r="F1996" s="212"/>
      <c r="G1996" s="201"/>
      <c r="H1996" s="215"/>
      <c r="I1996" s="216"/>
    </row>
    <row r="1997" spans="1:9" ht="14.4" x14ac:dyDescent="0.3">
      <c r="A1997" s="197"/>
      <c r="B1997" s="198"/>
      <c r="C1997" s="199"/>
      <c r="D1997" s="200"/>
      <c r="E1997" s="201"/>
      <c r="F1997" s="212"/>
      <c r="G1997" s="201"/>
      <c r="H1997" s="215"/>
      <c r="I1997" s="217"/>
    </row>
    <row r="1998" spans="1:9" ht="14.4" x14ac:dyDescent="0.3">
      <c r="A1998" s="197"/>
      <c r="B1998" s="198"/>
      <c r="C1998" s="199"/>
      <c r="D1998" s="200"/>
      <c r="E1998" s="196"/>
      <c r="F1998" s="212"/>
      <c r="G1998" s="196"/>
      <c r="H1998" s="215"/>
      <c r="I1998" s="217"/>
    </row>
    <row r="1999" spans="1:9" ht="14.4" x14ac:dyDescent="0.3">
      <c r="A1999" s="197"/>
      <c r="B1999" s="198"/>
      <c r="C1999" s="199"/>
      <c r="D1999" s="200"/>
      <c r="E1999" s="196"/>
      <c r="F1999" s="212"/>
      <c r="G1999" s="196"/>
      <c r="H1999" s="215"/>
      <c r="I1999" s="216"/>
    </row>
    <row r="2000" spans="1:9" ht="14.4" x14ac:dyDescent="0.3">
      <c r="A2000" s="197"/>
      <c r="B2000" s="198"/>
      <c r="C2000" s="199"/>
      <c r="D2000" s="200"/>
      <c r="E2000" s="201"/>
      <c r="F2000" s="212"/>
      <c r="G2000" s="201"/>
      <c r="H2000" s="215"/>
      <c r="I2000" s="216"/>
    </row>
    <row r="2001" spans="1:9" ht="14.4" x14ac:dyDescent="0.3">
      <c r="A2001" s="197"/>
      <c r="B2001" s="198"/>
      <c r="C2001" s="199"/>
      <c r="D2001" s="200"/>
      <c r="E2001" s="202"/>
      <c r="F2001" s="212"/>
      <c r="G2001" s="201"/>
      <c r="H2001" s="215"/>
      <c r="I2001" s="216"/>
    </row>
    <row r="2002" spans="1:9" ht="14.4" x14ac:dyDescent="0.3">
      <c r="A2002" s="197"/>
      <c r="B2002" s="198"/>
      <c r="C2002" s="199"/>
      <c r="D2002" s="200"/>
      <c r="E2002" s="201"/>
      <c r="F2002" s="212"/>
      <c r="G2002" s="201"/>
      <c r="H2002" s="215"/>
      <c r="I2002" s="216"/>
    </row>
    <row r="2003" spans="1:9" ht="14.4" x14ac:dyDescent="0.3">
      <c r="A2003" s="197"/>
      <c r="B2003" s="198"/>
      <c r="C2003" s="199"/>
      <c r="D2003" s="200"/>
      <c r="E2003" s="201"/>
      <c r="F2003" s="212"/>
      <c r="G2003" s="201"/>
      <c r="H2003" s="215"/>
      <c r="I2003" s="216"/>
    </row>
    <row r="2004" spans="1:9" ht="14.4" x14ac:dyDescent="0.3">
      <c r="A2004" s="197"/>
      <c r="B2004" s="203"/>
      <c r="C2004" s="204"/>
      <c r="D2004" s="205"/>
      <c r="E2004" s="206"/>
      <c r="F2004" s="218"/>
      <c r="G2004" s="206"/>
      <c r="H2004" s="219"/>
      <c r="I2004" s="220"/>
    </row>
    <row r="2005" spans="1:9" ht="15" thickBot="1" x14ac:dyDescent="0.35">
      <c r="A2005" s="207"/>
      <c r="B2005" s="208"/>
      <c r="C2005" s="209"/>
      <c r="D2005" s="210"/>
      <c r="E2005" s="211"/>
      <c r="F2005" s="221"/>
      <c r="G2005" s="211"/>
      <c r="H2005" s="222"/>
      <c r="I2005" s="223"/>
    </row>
    <row r="2006" spans="1:9" ht="14.4" thickBot="1" x14ac:dyDescent="0.35"/>
    <row r="2007" spans="1:9" ht="14.4" thickBot="1" x14ac:dyDescent="0.35">
      <c r="A2007" s="226" t="s">
        <v>1204</v>
      </c>
      <c r="B2007" s="224" t="s">
        <v>1434</v>
      </c>
      <c r="C2007" s="224" t="s">
        <v>1435</v>
      </c>
      <c r="D2007" s="224" t="s">
        <v>1207</v>
      </c>
      <c r="E2007" s="368" t="s">
        <v>1208</v>
      </c>
      <c r="F2007" s="368"/>
      <c r="G2007" s="368"/>
      <c r="H2007" s="224" t="s">
        <v>1209</v>
      </c>
      <c r="I2007" s="225" t="s">
        <v>1436</v>
      </c>
    </row>
    <row r="2008" spans="1:9" ht="14.4" x14ac:dyDescent="0.3">
      <c r="A2008" s="197"/>
      <c r="B2008" s="193"/>
      <c r="C2008" s="194"/>
      <c r="D2008" s="195"/>
      <c r="E2008" s="196"/>
      <c r="F2008" s="212"/>
      <c r="G2008" s="196"/>
      <c r="H2008" s="213"/>
      <c r="I2008" s="214"/>
    </row>
    <row r="2009" spans="1:9" ht="14.4" x14ac:dyDescent="0.3">
      <c r="A2009" s="197"/>
      <c r="B2009" s="198"/>
      <c r="C2009" s="199"/>
      <c r="D2009" s="200"/>
      <c r="E2009" s="201"/>
      <c r="F2009" s="212"/>
      <c r="G2009" s="201"/>
      <c r="H2009" s="215"/>
      <c r="I2009" s="216"/>
    </row>
    <row r="2010" spans="1:9" ht="14.4" x14ac:dyDescent="0.3">
      <c r="A2010" s="197"/>
      <c r="B2010" s="198"/>
      <c r="C2010" s="199"/>
      <c r="D2010" s="200"/>
      <c r="E2010" s="201"/>
      <c r="F2010" s="212"/>
      <c r="G2010" s="201"/>
      <c r="H2010" s="215"/>
      <c r="I2010" s="216"/>
    </row>
    <row r="2011" spans="1:9" ht="14.4" x14ac:dyDescent="0.3">
      <c r="A2011" s="197"/>
      <c r="B2011" s="198"/>
      <c r="C2011" s="199"/>
      <c r="D2011" s="200"/>
      <c r="E2011" s="201"/>
      <c r="F2011" s="212"/>
      <c r="G2011" s="201"/>
      <c r="H2011" s="215"/>
      <c r="I2011" s="217"/>
    </row>
    <row r="2012" spans="1:9" ht="14.4" x14ac:dyDescent="0.3">
      <c r="A2012" s="197"/>
      <c r="B2012" s="198"/>
      <c r="C2012" s="199"/>
      <c r="D2012" s="200"/>
      <c r="E2012" s="196"/>
      <c r="F2012" s="212"/>
      <c r="G2012" s="196"/>
      <c r="H2012" s="215"/>
      <c r="I2012" s="217"/>
    </row>
    <row r="2013" spans="1:9" ht="14.4" x14ac:dyDescent="0.3">
      <c r="A2013" s="197"/>
      <c r="B2013" s="198"/>
      <c r="C2013" s="199"/>
      <c r="D2013" s="200"/>
      <c r="E2013" s="196"/>
      <c r="F2013" s="212"/>
      <c r="G2013" s="196"/>
      <c r="H2013" s="215"/>
      <c r="I2013" s="216"/>
    </row>
    <row r="2014" spans="1:9" ht="14.4" x14ac:dyDescent="0.3">
      <c r="A2014" s="197"/>
      <c r="B2014" s="198"/>
      <c r="C2014" s="199"/>
      <c r="D2014" s="200"/>
      <c r="E2014" s="201"/>
      <c r="F2014" s="212"/>
      <c r="G2014" s="201"/>
      <c r="H2014" s="215"/>
      <c r="I2014" s="216"/>
    </row>
    <row r="2015" spans="1:9" ht="14.4" x14ac:dyDescent="0.3">
      <c r="A2015" s="197"/>
      <c r="B2015" s="198"/>
      <c r="C2015" s="199"/>
      <c r="D2015" s="200"/>
      <c r="E2015" s="202"/>
      <c r="F2015" s="212"/>
      <c r="G2015" s="201"/>
      <c r="H2015" s="215"/>
      <c r="I2015" s="216"/>
    </row>
    <row r="2016" spans="1:9" ht="14.4" x14ac:dyDescent="0.3">
      <c r="A2016" s="197"/>
      <c r="B2016" s="198"/>
      <c r="C2016" s="199"/>
      <c r="D2016" s="200"/>
      <c r="E2016" s="201"/>
      <c r="F2016" s="212"/>
      <c r="G2016" s="201"/>
      <c r="H2016" s="215"/>
      <c r="I2016" s="216"/>
    </row>
    <row r="2017" spans="1:9" ht="14.4" x14ac:dyDescent="0.3">
      <c r="A2017" s="197"/>
      <c r="B2017" s="198"/>
      <c r="C2017" s="199"/>
      <c r="D2017" s="200"/>
      <c r="E2017" s="201"/>
      <c r="F2017" s="212"/>
      <c r="G2017" s="201"/>
      <c r="H2017" s="215"/>
      <c r="I2017" s="216"/>
    </row>
    <row r="2018" spans="1:9" ht="14.4" x14ac:dyDescent="0.3">
      <c r="A2018" s="197"/>
      <c r="B2018" s="203"/>
      <c r="C2018" s="204"/>
      <c r="D2018" s="205"/>
      <c r="E2018" s="206"/>
      <c r="F2018" s="218"/>
      <c r="G2018" s="206"/>
      <c r="H2018" s="219"/>
      <c r="I2018" s="220"/>
    </row>
    <row r="2019" spans="1:9" ht="15" thickBot="1" x14ac:dyDescent="0.35">
      <c r="A2019" s="207"/>
      <c r="B2019" s="208"/>
      <c r="C2019" s="209"/>
      <c r="D2019" s="210"/>
      <c r="E2019" s="211"/>
      <c r="F2019" s="221"/>
      <c r="G2019" s="211"/>
      <c r="H2019" s="222"/>
      <c r="I2019" s="223"/>
    </row>
  </sheetData>
  <sheetProtection algorithmName="SHA-512" hashValue="9IIoCOuP3cC0azFViqfpy9nAyvLBbFMqHfPIXTcGvXJ3Qkx3ECeg9ZwoMGo9tjTA9mZSuf4mHoD4dTOKiXwm3A==" saltValue="hh8SeJL1Gtwl48lHf6+wJg==" spinCount="100000" sheet="1" objects="1" scenarios="1"/>
  <mergeCells count="147">
    <mergeCell ref="A1:I1"/>
    <mergeCell ref="A2:I2"/>
    <mergeCell ref="A3:I3"/>
    <mergeCell ref="E5:G5"/>
    <mergeCell ref="E19:G19"/>
    <mergeCell ref="E89:G89"/>
    <mergeCell ref="E103:G103"/>
    <mergeCell ref="E117:G117"/>
    <mergeCell ref="E131:G131"/>
    <mergeCell ref="E145:G145"/>
    <mergeCell ref="E75:G75"/>
    <mergeCell ref="E33:G33"/>
    <mergeCell ref="E47:G47"/>
    <mergeCell ref="E61:G61"/>
    <mergeCell ref="E229:G229"/>
    <mergeCell ref="E243:G243"/>
    <mergeCell ref="E257:G257"/>
    <mergeCell ref="E271:G271"/>
    <mergeCell ref="E285:G285"/>
    <mergeCell ref="E159:G159"/>
    <mergeCell ref="E173:G173"/>
    <mergeCell ref="E187:G187"/>
    <mergeCell ref="E201:G201"/>
    <mergeCell ref="E215:G215"/>
    <mergeCell ref="E369:G369"/>
    <mergeCell ref="E383:G383"/>
    <mergeCell ref="E397:G397"/>
    <mergeCell ref="E411:G411"/>
    <mergeCell ref="E425:G425"/>
    <mergeCell ref="E299:G299"/>
    <mergeCell ref="E313:G313"/>
    <mergeCell ref="E327:G327"/>
    <mergeCell ref="E341:G341"/>
    <mergeCell ref="E355:G355"/>
    <mergeCell ref="E509:G509"/>
    <mergeCell ref="E523:G523"/>
    <mergeCell ref="E537:G537"/>
    <mergeCell ref="E551:G551"/>
    <mergeCell ref="E565:G565"/>
    <mergeCell ref="E439:G439"/>
    <mergeCell ref="E453:G453"/>
    <mergeCell ref="E467:G467"/>
    <mergeCell ref="E481:G481"/>
    <mergeCell ref="E495:G495"/>
    <mergeCell ref="E649:G649"/>
    <mergeCell ref="E663:G663"/>
    <mergeCell ref="E677:G677"/>
    <mergeCell ref="E691:G691"/>
    <mergeCell ref="E705:G705"/>
    <mergeCell ref="E579:G579"/>
    <mergeCell ref="E593:G593"/>
    <mergeCell ref="E607:G607"/>
    <mergeCell ref="E621:G621"/>
    <mergeCell ref="E635:G635"/>
    <mergeCell ref="E789:G789"/>
    <mergeCell ref="E803:G803"/>
    <mergeCell ref="E817:G817"/>
    <mergeCell ref="E831:G831"/>
    <mergeCell ref="E845:G845"/>
    <mergeCell ref="E719:G719"/>
    <mergeCell ref="E733:G733"/>
    <mergeCell ref="E747:G747"/>
    <mergeCell ref="E761:G761"/>
    <mergeCell ref="E775:G775"/>
    <mergeCell ref="E929:G929"/>
    <mergeCell ref="E943:G943"/>
    <mergeCell ref="E957:G957"/>
    <mergeCell ref="E971:G971"/>
    <mergeCell ref="E985:G985"/>
    <mergeCell ref="E859:G859"/>
    <mergeCell ref="E873:G873"/>
    <mergeCell ref="E887:G887"/>
    <mergeCell ref="E901:G901"/>
    <mergeCell ref="E915:G915"/>
    <mergeCell ref="E1069:G1069"/>
    <mergeCell ref="E1083:G1083"/>
    <mergeCell ref="E1097:G1097"/>
    <mergeCell ref="E1111:G1111"/>
    <mergeCell ref="E1125:G1125"/>
    <mergeCell ref="E999:G999"/>
    <mergeCell ref="E1013:G1013"/>
    <mergeCell ref="E1027:G1027"/>
    <mergeCell ref="E1041:G1041"/>
    <mergeCell ref="E1055:G1055"/>
    <mergeCell ref="E1209:G1209"/>
    <mergeCell ref="E1223:G1223"/>
    <mergeCell ref="E1237:G1237"/>
    <mergeCell ref="E1251:G1251"/>
    <mergeCell ref="E1265:G1265"/>
    <mergeCell ref="E1139:G1139"/>
    <mergeCell ref="E1153:G1153"/>
    <mergeCell ref="E1167:G1167"/>
    <mergeCell ref="E1181:G1181"/>
    <mergeCell ref="E1195:G1195"/>
    <mergeCell ref="E1349:G1349"/>
    <mergeCell ref="E1363:G1363"/>
    <mergeCell ref="E1377:G1377"/>
    <mergeCell ref="E1391:G1391"/>
    <mergeCell ref="E1405:G1405"/>
    <mergeCell ref="E1279:G1279"/>
    <mergeCell ref="E1293:G1293"/>
    <mergeCell ref="E1307:G1307"/>
    <mergeCell ref="E1321:G1321"/>
    <mergeCell ref="E1335:G1335"/>
    <mergeCell ref="E1489:G1489"/>
    <mergeCell ref="E1503:G1503"/>
    <mergeCell ref="E1517:G1517"/>
    <mergeCell ref="E1531:G1531"/>
    <mergeCell ref="E1545:G1545"/>
    <mergeCell ref="E1419:G1419"/>
    <mergeCell ref="E1433:G1433"/>
    <mergeCell ref="E1447:G1447"/>
    <mergeCell ref="E1461:G1461"/>
    <mergeCell ref="E1475:G1475"/>
    <mergeCell ref="E1629:G1629"/>
    <mergeCell ref="E1643:G1643"/>
    <mergeCell ref="E1657:G1657"/>
    <mergeCell ref="E1671:G1671"/>
    <mergeCell ref="E1685:G1685"/>
    <mergeCell ref="E1559:G1559"/>
    <mergeCell ref="E1573:G1573"/>
    <mergeCell ref="E1587:G1587"/>
    <mergeCell ref="E1601:G1601"/>
    <mergeCell ref="E1615:G1615"/>
    <mergeCell ref="E1769:G1769"/>
    <mergeCell ref="E1783:G1783"/>
    <mergeCell ref="E1797:G1797"/>
    <mergeCell ref="E1811:G1811"/>
    <mergeCell ref="E1825:G1825"/>
    <mergeCell ref="E1699:G1699"/>
    <mergeCell ref="E1713:G1713"/>
    <mergeCell ref="E1727:G1727"/>
    <mergeCell ref="E1741:G1741"/>
    <mergeCell ref="E1755:G1755"/>
    <mergeCell ref="E1979:G1979"/>
    <mergeCell ref="E1993:G1993"/>
    <mergeCell ref="E2007:G2007"/>
    <mergeCell ref="E1909:G1909"/>
    <mergeCell ref="E1923:G1923"/>
    <mergeCell ref="E1937:G1937"/>
    <mergeCell ref="E1951:G1951"/>
    <mergeCell ref="E1965:G1965"/>
    <mergeCell ref="E1839:G1839"/>
    <mergeCell ref="E1853:G1853"/>
    <mergeCell ref="E1867:G1867"/>
    <mergeCell ref="E1881:G1881"/>
    <mergeCell ref="E1895:G1895"/>
  </mergeCells>
  <pageMargins left="0.7" right="0.7" top="0.75" bottom="0.75" header="0.3" footer="0.3"/>
  <pageSetup paperSize="9"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BK60"/>
  <sheetViews>
    <sheetView zoomScale="70" zoomScaleNormal="70" workbookViewId="0">
      <pane xSplit="1" ySplit="3" topLeftCell="BA7" activePane="bottomRight" state="frozen"/>
      <selection pane="topRight" activeCell="F14" sqref="F14"/>
      <selection pane="bottomLeft" activeCell="F14" sqref="F14"/>
      <selection pane="bottomRight" activeCell="BA7" sqref="BA7"/>
    </sheetView>
  </sheetViews>
  <sheetFormatPr defaultColWidth="9.109375" defaultRowHeight="14.4" x14ac:dyDescent="0.3"/>
  <cols>
    <col min="1" max="1" width="19.44140625" style="117" customWidth="1"/>
    <col min="2" max="63" width="20.5546875" style="129" customWidth="1"/>
    <col min="64" max="16384" width="9.109375" style="117"/>
  </cols>
  <sheetData>
    <row r="1" spans="1:63" ht="52.5" customHeight="1" x14ac:dyDescent="0.3"/>
    <row r="2" spans="1:63" ht="37.5" customHeight="1" x14ac:dyDescent="0.5">
      <c r="A2" s="120" t="s">
        <v>1706</v>
      </c>
      <c r="B2" s="115"/>
      <c r="C2" s="116"/>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row>
    <row r="3" spans="1:63" s="121" customFormat="1" ht="31.5" customHeight="1" x14ac:dyDescent="0.3">
      <c r="A3" s="118" t="s">
        <v>1208</v>
      </c>
      <c r="B3" s="119" t="s">
        <v>1707</v>
      </c>
      <c r="C3" s="120">
        <v>201</v>
      </c>
      <c r="D3" s="120">
        <v>202</v>
      </c>
      <c r="E3" s="120">
        <v>203</v>
      </c>
      <c r="F3" s="120">
        <v>204</v>
      </c>
      <c r="G3" s="120">
        <v>205</v>
      </c>
      <c r="H3" s="120">
        <v>206</v>
      </c>
      <c r="I3" s="120">
        <v>207</v>
      </c>
      <c r="J3" s="120">
        <v>212</v>
      </c>
      <c r="K3" s="120">
        <v>301</v>
      </c>
      <c r="L3" s="120">
        <v>302</v>
      </c>
      <c r="M3" s="120">
        <v>303</v>
      </c>
      <c r="N3" s="120">
        <v>304</v>
      </c>
      <c r="O3" s="120">
        <v>305</v>
      </c>
      <c r="P3" s="120">
        <v>306</v>
      </c>
      <c r="Q3" s="120">
        <v>307</v>
      </c>
      <c r="R3" s="120">
        <v>308</v>
      </c>
      <c r="S3" s="120">
        <v>402</v>
      </c>
      <c r="T3" s="120">
        <v>407</v>
      </c>
      <c r="U3" s="120">
        <v>410</v>
      </c>
      <c r="V3" s="120">
        <v>501</v>
      </c>
      <c r="W3" s="120">
        <v>502</v>
      </c>
      <c r="X3" s="120">
        <v>503</v>
      </c>
      <c r="Y3" s="120">
        <v>504</v>
      </c>
      <c r="Z3" s="120">
        <v>505</v>
      </c>
      <c r="AA3" s="120">
        <v>506</v>
      </c>
      <c r="AB3" s="120">
        <v>507</v>
      </c>
      <c r="AC3" s="120">
        <v>508</v>
      </c>
      <c r="AD3" s="120">
        <v>509</v>
      </c>
      <c r="AE3" s="120">
        <v>510</v>
      </c>
      <c r="AF3" s="120">
        <v>511</v>
      </c>
      <c r="AG3" s="120">
        <v>512</v>
      </c>
      <c r="AH3" s="120">
        <v>601</v>
      </c>
      <c r="AI3" s="120">
        <v>602</v>
      </c>
      <c r="AJ3" s="120">
        <v>603</v>
      </c>
      <c r="AK3" s="120">
        <v>604</v>
      </c>
      <c r="AL3" s="120">
        <v>605</v>
      </c>
      <c r="AM3" s="120">
        <v>606</v>
      </c>
      <c r="AN3" s="120">
        <v>607</v>
      </c>
      <c r="AO3" s="120">
        <v>608</v>
      </c>
      <c r="AP3" s="120"/>
      <c r="AQ3" s="120"/>
      <c r="AR3" s="120"/>
      <c r="AS3" s="120" t="s">
        <v>1708</v>
      </c>
      <c r="AT3" s="120" t="s">
        <v>1708</v>
      </c>
      <c r="AU3" s="120" t="s">
        <v>1481</v>
      </c>
      <c r="AV3" s="120" t="s">
        <v>1491</v>
      </c>
      <c r="AW3" s="120">
        <v>101</v>
      </c>
      <c r="AX3" s="120">
        <v>208</v>
      </c>
      <c r="AY3" s="120">
        <v>209</v>
      </c>
      <c r="AZ3" s="120">
        <v>210</v>
      </c>
      <c r="BA3" s="120">
        <v>211</v>
      </c>
      <c r="BB3" s="120">
        <v>401</v>
      </c>
      <c r="BC3" s="120">
        <v>408</v>
      </c>
      <c r="BD3" s="120">
        <v>409</v>
      </c>
      <c r="BE3" s="120" t="s">
        <v>1709</v>
      </c>
      <c r="BF3" s="120" t="s">
        <v>1710</v>
      </c>
      <c r="BG3" s="120" t="s">
        <v>1711</v>
      </c>
      <c r="BH3" s="120" t="s">
        <v>1592</v>
      </c>
      <c r="BI3" s="120" t="s">
        <v>1712</v>
      </c>
      <c r="BJ3" s="120" t="s">
        <v>1712</v>
      </c>
      <c r="BK3" s="120" t="s">
        <v>1712</v>
      </c>
    </row>
    <row r="4" spans="1:63" ht="15.6" x14ac:dyDescent="0.3">
      <c r="A4" s="122" t="s">
        <v>1713</v>
      </c>
      <c r="B4" s="371" t="s">
        <v>1714</v>
      </c>
      <c r="C4" s="378" t="s">
        <v>1715</v>
      </c>
      <c r="D4" s="282" t="s">
        <v>1716</v>
      </c>
      <c r="E4" s="377" t="s">
        <v>1717</v>
      </c>
      <c r="F4" s="263" t="s">
        <v>1716</v>
      </c>
      <c r="G4" s="374" t="s">
        <v>1718</v>
      </c>
      <c r="H4" s="263" t="s">
        <v>1716</v>
      </c>
      <c r="I4" s="263" t="s">
        <v>1716</v>
      </c>
      <c r="J4" s="263" t="s">
        <v>1716</v>
      </c>
      <c r="K4" s="374" t="s">
        <v>1719</v>
      </c>
      <c r="L4" s="374" t="s">
        <v>1720</v>
      </c>
      <c r="M4" s="374" t="s">
        <v>1721</v>
      </c>
      <c r="N4" s="374" t="s">
        <v>1722</v>
      </c>
      <c r="O4" s="374" t="s">
        <v>1723</v>
      </c>
      <c r="P4" s="374" t="s">
        <v>1724</v>
      </c>
      <c r="Q4" s="374" t="s">
        <v>1725</v>
      </c>
      <c r="R4" s="263" t="s">
        <v>1716</v>
      </c>
      <c r="S4" s="263" t="s">
        <v>1716</v>
      </c>
      <c r="T4" s="263" t="s">
        <v>1716</v>
      </c>
      <c r="U4" s="374" t="s">
        <v>1726</v>
      </c>
      <c r="V4" s="371" t="s">
        <v>1727</v>
      </c>
      <c r="W4" s="263"/>
      <c r="X4" s="371" t="s">
        <v>1728</v>
      </c>
      <c r="Y4" s="263"/>
      <c r="Z4" s="263"/>
      <c r="AA4" s="371" t="s">
        <v>1729</v>
      </c>
      <c r="AB4" s="263"/>
      <c r="AC4" s="263"/>
      <c r="AD4" s="371" t="s">
        <v>1730</v>
      </c>
      <c r="AE4" s="263"/>
      <c r="AF4" s="263"/>
      <c r="AG4" s="263"/>
      <c r="AH4" s="371" t="s">
        <v>1731</v>
      </c>
      <c r="AI4" s="371" t="s">
        <v>1732</v>
      </c>
      <c r="AJ4" s="263"/>
      <c r="AK4" s="263"/>
      <c r="AL4" s="263"/>
      <c r="AM4" s="371" t="s">
        <v>1733</v>
      </c>
      <c r="AN4" s="263"/>
      <c r="AO4" s="263"/>
      <c r="AP4" s="263"/>
      <c r="AQ4" s="263"/>
      <c r="AR4" s="263"/>
      <c r="AS4" s="263"/>
      <c r="AT4" s="263"/>
      <c r="AU4" s="263" t="s">
        <v>1716</v>
      </c>
      <c r="AV4" s="263" t="s">
        <v>1734</v>
      </c>
      <c r="AW4" s="379" t="s">
        <v>1735</v>
      </c>
      <c r="AX4" s="379" t="s">
        <v>1736</v>
      </c>
      <c r="AY4" s="374" t="s">
        <v>1737</v>
      </c>
      <c r="AZ4" s="379" t="s">
        <v>1738</v>
      </c>
      <c r="BA4" s="263" t="s">
        <v>1716</v>
      </c>
      <c r="BB4" s="374" t="s">
        <v>1739</v>
      </c>
      <c r="BC4" s="374" t="s">
        <v>1740</v>
      </c>
      <c r="BD4" s="374" t="s">
        <v>1741</v>
      </c>
      <c r="BE4" s="263" t="s">
        <v>1716</v>
      </c>
      <c r="BF4" s="263" t="s">
        <v>1716</v>
      </c>
      <c r="BG4" s="263" t="s">
        <v>1734</v>
      </c>
      <c r="BH4" s="377" t="s">
        <v>1742</v>
      </c>
      <c r="BI4" s="263"/>
      <c r="BJ4" s="263"/>
      <c r="BK4" s="263"/>
    </row>
    <row r="5" spans="1:63" ht="15.6" x14ac:dyDescent="0.3">
      <c r="A5" s="124" t="s">
        <v>1743</v>
      </c>
      <c r="B5" s="372"/>
      <c r="C5" s="378"/>
      <c r="D5" s="283" t="s">
        <v>1716</v>
      </c>
      <c r="E5" s="377"/>
      <c r="F5" s="262" t="s">
        <v>1716</v>
      </c>
      <c r="G5" s="375"/>
      <c r="H5" s="262" t="s">
        <v>1716</v>
      </c>
      <c r="I5" s="262" t="s">
        <v>1716</v>
      </c>
      <c r="J5" s="262" t="s">
        <v>1716</v>
      </c>
      <c r="K5" s="375"/>
      <c r="L5" s="375"/>
      <c r="M5" s="375"/>
      <c r="N5" s="375"/>
      <c r="O5" s="375"/>
      <c r="P5" s="375"/>
      <c r="Q5" s="375"/>
      <c r="R5" s="262" t="s">
        <v>1716</v>
      </c>
      <c r="S5" s="262" t="s">
        <v>1716</v>
      </c>
      <c r="T5" s="262" t="s">
        <v>1716</v>
      </c>
      <c r="U5" s="375"/>
      <c r="V5" s="372"/>
      <c r="W5" s="262"/>
      <c r="X5" s="372"/>
      <c r="Y5" s="262"/>
      <c r="Z5" s="262"/>
      <c r="AA5" s="372"/>
      <c r="AB5" s="262"/>
      <c r="AC5" s="262"/>
      <c r="AD5" s="372"/>
      <c r="AE5" s="262"/>
      <c r="AF5" s="262"/>
      <c r="AG5" s="262"/>
      <c r="AH5" s="372"/>
      <c r="AI5" s="372"/>
      <c r="AJ5" s="262"/>
      <c r="AK5" s="262"/>
      <c r="AL5" s="262"/>
      <c r="AM5" s="372"/>
      <c r="AN5" s="262"/>
      <c r="AO5" s="262"/>
      <c r="AP5" s="262"/>
      <c r="AQ5" s="262"/>
      <c r="AR5" s="262"/>
      <c r="AS5" s="262"/>
      <c r="AT5" s="262"/>
      <c r="AU5" s="262" t="s">
        <v>1716</v>
      </c>
      <c r="AV5" s="262"/>
      <c r="AW5" s="380"/>
      <c r="AX5" s="380"/>
      <c r="AY5" s="375"/>
      <c r="AZ5" s="380"/>
      <c r="BA5" s="262" t="s">
        <v>1716</v>
      </c>
      <c r="BB5" s="375"/>
      <c r="BC5" s="375"/>
      <c r="BD5" s="375"/>
      <c r="BE5" s="262" t="s">
        <v>1716</v>
      </c>
      <c r="BF5" s="262" t="s">
        <v>1716</v>
      </c>
      <c r="BG5" s="262"/>
      <c r="BH5" s="377"/>
      <c r="BI5" s="262"/>
      <c r="BJ5" s="262"/>
      <c r="BK5" s="262"/>
    </row>
    <row r="6" spans="1:63" ht="15.6" customHeight="1" x14ac:dyDescent="0.3">
      <c r="A6" s="124" t="s">
        <v>1744</v>
      </c>
      <c r="B6" s="373"/>
      <c r="C6" s="377" t="s">
        <v>1745</v>
      </c>
      <c r="D6" s="377" t="s">
        <v>1746</v>
      </c>
      <c r="E6" s="377"/>
      <c r="F6" s="262" t="s">
        <v>1716</v>
      </c>
      <c r="G6" s="376"/>
      <c r="H6" s="262" t="s">
        <v>1716</v>
      </c>
      <c r="I6" s="262" t="s">
        <v>1716</v>
      </c>
      <c r="J6" s="262" t="s">
        <v>1716</v>
      </c>
      <c r="K6" s="376"/>
      <c r="L6" s="376"/>
      <c r="M6" s="376"/>
      <c r="N6" s="376"/>
      <c r="O6" s="376"/>
      <c r="P6" s="376"/>
      <c r="Q6" s="376"/>
      <c r="R6" s="262" t="s">
        <v>1716</v>
      </c>
      <c r="S6" s="262" t="s">
        <v>1716</v>
      </c>
      <c r="T6" s="262" t="s">
        <v>1716</v>
      </c>
      <c r="U6" s="376"/>
      <c r="V6" s="373"/>
      <c r="W6" s="262"/>
      <c r="X6" s="373"/>
      <c r="Y6" s="262"/>
      <c r="Z6" s="262"/>
      <c r="AA6" s="373"/>
      <c r="AB6" s="262"/>
      <c r="AC6" s="262"/>
      <c r="AD6" s="373"/>
      <c r="AE6" s="262"/>
      <c r="AF6" s="262"/>
      <c r="AG6" s="262"/>
      <c r="AH6" s="373"/>
      <c r="AI6" s="373"/>
      <c r="AJ6" s="262"/>
      <c r="AK6" s="262"/>
      <c r="AL6" s="262"/>
      <c r="AM6" s="373"/>
      <c r="AN6" s="262"/>
      <c r="AO6" s="262"/>
      <c r="AP6" s="262"/>
      <c r="AQ6" s="262"/>
      <c r="AR6" s="262"/>
      <c r="AS6" s="262"/>
      <c r="AT6" s="262"/>
      <c r="AU6" s="262" t="s">
        <v>1716</v>
      </c>
      <c r="AV6" s="262"/>
      <c r="AW6" s="380"/>
      <c r="AX6" s="380"/>
      <c r="AY6" s="376"/>
      <c r="AZ6" s="380"/>
      <c r="BA6" s="262" t="s">
        <v>1716</v>
      </c>
      <c r="BB6" s="376"/>
      <c r="BC6" s="376"/>
      <c r="BD6" s="376"/>
      <c r="BE6" s="378" t="s">
        <v>1747</v>
      </c>
      <c r="BF6" s="262" t="s">
        <v>1716</v>
      </c>
      <c r="BG6" s="262"/>
      <c r="BH6" s="377"/>
      <c r="BI6" s="262"/>
      <c r="BJ6" s="262"/>
      <c r="BK6" s="262"/>
    </row>
    <row r="7" spans="1:63" ht="15.6" x14ac:dyDescent="0.3">
      <c r="A7" s="124" t="s">
        <v>1748</v>
      </c>
      <c r="B7" s="371" t="s">
        <v>1714</v>
      </c>
      <c r="C7" s="377"/>
      <c r="D7" s="377"/>
      <c r="E7" s="377"/>
      <c r="F7" s="374" t="s">
        <v>1749</v>
      </c>
      <c r="G7" s="374" t="s">
        <v>1750</v>
      </c>
      <c r="H7" s="374" t="s">
        <v>1751</v>
      </c>
      <c r="I7" s="374" t="s">
        <v>1752</v>
      </c>
      <c r="J7" s="374" t="s">
        <v>1753</v>
      </c>
      <c r="K7" s="374" t="s">
        <v>1754</v>
      </c>
      <c r="L7" s="374" t="s">
        <v>1755</v>
      </c>
      <c r="M7" s="374" t="s">
        <v>1756</v>
      </c>
      <c r="N7" s="374" t="s">
        <v>1757</v>
      </c>
      <c r="O7" s="374" t="s">
        <v>1758</v>
      </c>
      <c r="P7" s="374" t="s">
        <v>1759</v>
      </c>
      <c r="Q7" s="374" t="s">
        <v>1760</v>
      </c>
      <c r="R7" s="374" t="s">
        <v>1761</v>
      </c>
      <c r="S7" s="374" t="s">
        <v>1762</v>
      </c>
      <c r="T7" s="374" t="s">
        <v>1763</v>
      </c>
      <c r="U7" s="374" t="s">
        <v>1764</v>
      </c>
      <c r="V7" s="371" t="s">
        <v>1765</v>
      </c>
      <c r="W7" s="371" t="s">
        <v>1766</v>
      </c>
      <c r="X7" s="371" t="s">
        <v>1767</v>
      </c>
      <c r="Y7" s="371" t="s">
        <v>1768</v>
      </c>
      <c r="Z7" s="371" t="s">
        <v>1769</v>
      </c>
      <c r="AA7" s="371" t="s">
        <v>1770</v>
      </c>
      <c r="AB7" s="371" t="s">
        <v>1771</v>
      </c>
      <c r="AC7" s="371" t="s">
        <v>1772</v>
      </c>
      <c r="AD7" s="371" t="s">
        <v>1773</v>
      </c>
      <c r="AE7" s="371" t="s">
        <v>1774</v>
      </c>
      <c r="AF7" s="371" t="s">
        <v>1775</v>
      </c>
      <c r="AG7" s="371" t="s">
        <v>1776</v>
      </c>
      <c r="AH7" s="262"/>
      <c r="AI7" s="371" t="s">
        <v>1777</v>
      </c>
      <c r="AJ7" s="371" t="s">
        <v>1778</v>
      </c>
      <c r="AK7" s="371" t="s">
        <v>1779</v>
      </c>
      <c r="AL7" s="371" t="s">
        <v>1780</v>
      </c>
      <c r="AM7" s="262"/>
      <c r="AN7" s="371" t="s">
        <v>1781</v>
      </c>
      <c r="AO7" s="371" t="s">
        <v>1782</v>
      </c>
      <c r="AP7" s="262"/>
      <c r="AQ7" s="262"/>
      <c r="AR7" s="262"/>
      <c r="AS7" s="262"/>
      <c r="AT7" s="262"/>
      <c r="AU7" s="262" t="s">
        <v>1716</v>
      </c>
      <c r="AV7" s="262"/>
      <c r="AW7" s="380"/>
      <c r="AX7" s="380"/>
      <c r="AY7" s="385" t="s">
        <v>1783</v>
      </c>
      <c r="AZ7" s="380"/>
      <c r="BA7" s="262" t="s">
        <v>1716</v>
      </c>
      <c r="BB7" s="385" t="s">
        <v>1784</v>
      </c>
      <c r="BC7" s="385" t="s">
        <v>1785</v>
      </c>
      <c r="BD7" s="385" t="s">
        <v>1786</v>
      </c>
      <c r="BE7" s="378"/>
      <c r="BF7" s="262" t="s">
        <v>1716</v>
      </c>
      <c r="BG7" s="262"/>
      <c r="BH7" s="377"/>
      <c r="BI7" s="262"/>
      <c r="BJ7" s="262"/>
      <c r="BK7" s="262"/>
    </row>
    <row r="8" spans="1:63" ht="15.6" x14ac:dyDescent="0.3">
      <c r="A8" s="124" t="s">
        <v>1787</v>
      </c>
      <c r="B8" s="372"/>
      <c r="C8" s="377"/>
      <c r="D8" s="377"/>
      <c r="E8" s="378" t="s">
        <v>1788</v>
      </c>
      <c r="F8" s="375"/>
      <c r="G8" s="375"/>
      <c r="H8" s="375"/>
      <c r="I8" s="375"/>
      <c r="J8" s="375"/>
      <c r="K8" s="375"/>
      <c r="L8" s="375"/>
      <c r="M8" s="375"/>
      <c r="N8" s="375"/>
      <c r="O8" s="375"/>
      <c r="P8" s="375"/>
      <c r="Q8" s="375"/>
      <c r="R8" s="375"/>
      <c r="S8" s="375"/>
      <c r="T8" s="375"/>
      <c r="U8" s="375"/>
      <c r="V8" s="372"/>
      <c r="W8" s="372"/>
      <c r="X8" s="372"/>
      <c r="Y8" s="372"/>
      <c r="Z8" s="372"/>
      <c r="AA8" s="372"/>
      <c r="AB8" s="372"/>
      <c r="AC8" s="372"/>
      <c r="AD8" s="372"/>
      <c r="AE8" s="372"/>
      <c r="AF8" s="372"/>
      <c r="AG8" s="372"/>
      <c r="AH8" s="262"/>
      <c r="AI8" s="372"/>
      <c r="AJ8" s="372"/>
      <c r="AK8" s="372"/>
      <c r="AL8" s="372"/>
      <c r="AM8" s="262"/>
      <c r="AN8" s="372"/>
      <c r="AO8" s="372"/>
      <c r="AP8" s="262"/>
      <c r="AQ8" s="262"/>
      <c r="AR8" s="262"/>
      <c r="AS8" s="262"/>
      <c r="AT8" s="262"/>
      <c r="AU8" s="262" t="s">
        <v>1716</v>
      </c>
      <c r="AV8" s="262"/>
      <c r="AW8" s="380"/>
      <c r="AX8" s="380"/>
      <c r="AY8" s="386"/>
      <c r="AZ8" s="380"/>
      <c r="BA8" s="262" t="s">
        <v>1716</v>
      </c>
      <c r="BB8" s="386"/>
      <c r="BC8" s="386"/>
      <c r="BD8" s="386"/>
      <c r="BE8" s="379" t="s">
        <v>1789</v>
      </c>
      <c r="BF8" s="262" t="s">
        <v>1716</v>
      </c>
      <c r="BG8" s="262"/>
      <c r="BH8" s="379" t="s">
        <v>1790</v>
      </c>
      <c r="BI8" s="262"/>
      <c r="BJ8" s="262"/>
      <c r="BK8" s="262"/>
    </row>
    <row r="9" spans="1:63" ht="16.350000000000001" customHeight="1" x14ac:dyDescent="0.3">
      <c r="A9" s="124" t="s">
        <v>1791</v>
      </c>
      <c r="B9" s="373"/>
      <c r="C9" s="377"/>
      <c r="D9" s="377"/>
      <c r="E9" s="378"/>
      <c r="F9" s="376"/>
      <c r="G9" s="376"/>
      <c r="H9" s="376"/>
      <c r="I9" s="376"/>
      <c r="J9" s="376"/>
      <c r="K9" s="376"/>
      <c r="L9" s="376"/>
      <c r="M9" s="376"/>
      <c r="N9" s="376"/>
      <c r="O9" s="376"/>
      <c r="P9" s="376"/>
      <c r="Q9" s="376"/>
      <c r="R9" s="376"/>
      <c r="S9" s="376"/>
      <c r="T9" s="376"/>
      <c r="U9" s="376"/>
      <c r="V9" s="373"/>
      <c r="W9" s="373"/>
      <c r="X9" s="373"/>
      <c r="Y9" s="373"/>
      <c r="Z9" s="373"/>
      <c r="AA9" s="373"/>
      <c r="AB9" s="373"/>
      <c r="AC9" s="373"/>
      <c r="AD9" s="373"/>
      <c r="AE9" s="373"/>
      <c r="AF9" s="373"/>
      <c r="AG9" s="373"/>
      <c r="AH9" s="262"/>
      <c r="AI9" s="373"/>
      <c r="AJ9" s="373"/>
      <c r="AK9" s="373"/>
      <c r="AL9" s="373"/>
      <c r="AM9" s="262"/>
      <c r="AN9" s="373"/>
      <c r="AO9" s="373"/>
      <c r="AP9" s="262"/>
      <c r="AQ9" s="262"/>
      <c r="AR9" s="262"/>
      <c r="AS9" s="262"/>
      <c r="AT9" s="262"/>
      <c r="AU9" s="262" t="s">
        <v>1716</v>
      </c>
      <c r="AV9" s="262"/>
      <c r="AW9" s="381"/>
      <c r="AX9" s="381"/>
      <c r="AY9" s="387"/>
      <c r="AZ9" s="381"/>
      <c r="BA9" s="262" t="s">
        <v>1716</v>
      </c>
      <c r="BB9" s="387"/>
      <c r="BC9" s="387"/>
      <c r="BD9" s="387"/>
      <c r="BE9" s="380"/>
      <c r="BF9" s="262" t="s">
        <v>1716</v>
      </c>
      <c r="BG9" s="262"/>
      <c r="BH9" s="380"/>
      <c r="BI9" s="262"/>
      <c r="BJ9" s="262"/>
      <c r="BK9" s="262"/>
    </row>
    <row r="10" spans="1:63" ht="15.75" customHeight="1" x14ac:dyDescent="0.3">
      <c r="A10" s="124" t="s">
        <v>1792</v>
      </c>
      <c r="B10" s="371" t="s">
        <v>1714</v>
      </c>
      <c r="C10" s="377" t="s">
        <v>1793</v>
      </c>
      <c r="D10" s="377" t="s">
        <v>1794</v>
      </c>
      <c r="E10" s="377" t="s">
        <v>1795</v>
      </c>
      <c r="F10" s="377" t="s">
        <v>1796</v>
      </c>
      <c r="G10" s="377" t="s">
        <v>1797</v>
      </c>
      <c r="H10" s="374" t="s">
        <v>1798</v>
      </c>
      <c r="I10" s="374" t="s">
        <v>1799</v>
      </c>
      <c r="J10" s="374" t="s">
        <v>1800</v>
      </c>
      <c r="K10" s="374" t="s">
        <v>1801</v>
      </c>
      <c r="L10" s="374" t="s">
        <v>1802</v>
      </c>
      <c r="M10" s="374" t="s">
        <v>1803</v>
      </c>
      <c r="N10" s="374" t="s">
        <v>1804</v>
      </c>
      <c r="O10" s="374" t="s">
        <v>1805</v>
      </c>
      <c r="P10" s="374" t="s">
        <v>1806</v>
      </c>
      <c r="Q10" s="374" t="s">
        <v>1807</v>
      </c>
      <c r="R10" s="374" t="s">
        <v>1808</v>
      </c>
      <c r="S10" s="374" t="s">
        <v>1809</v>
      </c>
      <c r="T10" s="374" t="s">
        <v>1810</v>
      </c>
      <c r="U10" s="377" t="s">
        <v>1811</v>
      </c>
      <c r="V10" s="371" t="s">
        <v>1812</v>
      </c>
      <c r="W10" s="371" t="s">
        <v>1813</v>
      </c>
      <c r="X10" s="371" t="s">
        <v>1814</v>
      </c>
      <c r="Y10" s="371" t="s">
        <v>1815</v>
      </c>
      <c r="Z10" s="371" t="s">
        <v>1816</v>
      </c>
      <c r="AA10" s="371" t="s">
        <v>1817</v>
      </c>
      <c r="AB10" s="371" t="s">
        <v>1818</v>
      </c>
      <c r="AC10" s="262"/>
      <c r="AD10" s="262"/>
      <c r="AE10" s="371" t="s">
        <v>1819</v>
      </c>
      <c r="AF10" s="371" t="s">
        <v>1820</v>
      </c>
      <c r="AG10" s="262"/>
      <c r="AH10" s="371" t="s">
        <v>1821</v>
      </c>
      <c r="AI10" s="371" t="s">
        <v>1822</v>
      </c>
      <c r="AJ10" s="371" t="s">
        <v>1823</v>
      </c>
      <c r="AK10" s="262"/>
      <c r="AL10" s="262"/>
      <c r="AM10" s="262"/>
      <c r="AN10" s="262"/>
      <c r="AO10" s="371" t="s">
        <v>1824</v>
      </c>
      <c r="AP10" s="262"/>
      <c r="AQ10" s="262"/>
      <c r="AR10" s="262"/>
      <c r="AS10" s="262"/>
      <c r="AT10" s="262"/>
      <c r="AU10" s="374" t="s">
        <v>1825</v>
      </c>
      <c r="AV10" s="262"/>
      <c r="AW10" s="379" t="s">
        <v>1826</v>
      </c>
      <c r="AX10" s="379" t="s">
        <v>1827</v>
      </c>
      <c r="AY10" s="374" t="s">
        <v>1828</v>
      </c>
      <c r="AZ10" s="379" t="s">
        <v>1829</v>
      </c>
      <c r="BA10" s="374" t="s">
        <v>1830</v>
      </c>
      <c r="BB10" s="385" t="s">
        <v>1831</v>
      </c>
      <c r="BC10" s="385" t="s">
        <v>1832</v>
      </c>
      <c r="BD10" s="385" t="s">
        <v>1833</v>
      </c>
      <c r="BE10" s="380"/>
      <c r="BF10" s="262" t="s">
        <v>1716</v>
      </c>
      <c r="BG10" s="262"/>
      <c r="BH10" s="380"/>
      <c r="BI10" s="262"/>
      <c r="BJ10" s="262"/>
      <c r="BK10" s="262"/>
    </row>
    <row r="11" spans="1:63" ht="15.6" customHeight="1" x14ac:dyDescent="0.3">
      <c r="A11" s="124" t="s">
        <v>1834</v>
      </c>
      <c r="B11" s="372"/>
      <c r="C11" s="377"/>
      <c r="D11" s="377"/>
      <c r="E11" s="377"/>
      <c r="F11" s="377"/>
      <c r="G11" s="377"/>
      <c r="H11" s="375"/>
      <c r="I11" s="375"/>
      <c r="J11" s="375"/>
      <c r="K11" s="375"/>
      <c r="L11" s="375"/>
      <c r="M11" s="375"/>
      <c r="N11" s="375"/>
      <c r="O11" s="375"/>
      <c r="P11" s="375"/>
      <c r="Q11" s="375"/>
      <c r="R11" s="375"/>
      <c r="S11" s="375"/>
      <c r="T11" s="375"/>
      <c r="U11" s="377"/>
      <c r="V11" s="372"/>
      <c r="W11" s="372"/>
      <c r="X11" s="372"/>
      <c r="Y11" s="372"/>
      <c r="Z11" s="372"/>
      <c r="AA11" s="372"/>
      <c r="AB11" s="372"/>
      <c r="AC11" s="262"/>
      <c r="AD11" s="262"/>
      <c r="AE11" s="372"/>
      <c r="AF11" s="372"/>
      <c r="AG11" s="262"/>
      <c r="AH11" s="372"/>
      <c r="AI11" s="372"/>
      <c r="AJ11" s="372"/>
      <c r="AK11" s="262"/>
      <c r="AL11" s="262"/>
      <c r="AM11" s="262"/>
      <c r="AN11" s="262"/>
      <c r="AO11" s="372"/>
      <c r="AP11" s="262"/>
      <c r="AQ11" s="262"/>
      <c r="AR11" s="262"/>
      <c r="AS11" s="262"/>
      <c r="AT11" s="262"/>
      <c r="AU11" s="375"/>
      <c r="AV11" s="262"/>
      <c r="AW11" s="380"/>
      <c r="AX11" s="380"/>
      <c r="AY11" s="375"/>
      <c r="AZ11" s="380"/>
      <c r="BA11" s="375"/>
      <c r="BB11" s="386"/>
      <c r="BC11" s="386"/>
      <c r="BD11" s="386"/>
      <c r="BE11" s="380"/>
      <c r="BF11" s="262" t="s">
        <v>1716</v>
      </c>
      <c r="BG11" s="262"/>
      <c r="BH11" s="380"/>
      <c r="BI11" s="262"/>
      <c r="BJ11" s="262"/>
      <c r="BK11" s="262"/>
    </row>
    <row r="12" spans="1:63" ht="15.6" x14ac:dyDescent="0.3">
      <c r="A12" s="124" t="s">
        <v>1835</v>
      </c>
      <c r="B12" s="373"/>
      <c r="C12" s="377"/>
      <c r="D12" s="377"/>
      <c r="E12" s="377"/>
      <c r="F12" s="377"/>
      <c r="G12" s="377"/>
      <c r="H12" s="376"/>
      <c r="I12" s="376"/>
      <c r="J12" s="376"/>
      <c r="K12" s="376"/>
      <c r="L12" s="376"/>
      <c r="M12" s="376"/>
      <c r="N12" s="376"/>
      <c r="O12" s="376"/>
      <c r="P12" s="376"/>
      <c r="Q12" s="376"/>
      <c r="R12" s="376"/>
      <c r="S12" s="376"/>
      <c r="T12" s="376"/>
      <c r="U12" s="377"/>
      <c r="V12" s="373"/>
      <c r="W12" s="373"/>
      <c r="X12" s="373"/>
      <c r="Y12" s="373"/>
      <c r="Z12" s="373"/>
      <c r="AA12" s="373"/>
      <c r="AB12" s="373"/>
      <c r="AC12" s="262"/>
      <c r="AD12" s="262"/>
      <c r="AE12" s="373"/>
      <c r="AF12" s="373"/>
      <c r="AG12" s="262"/>
      <c r="AH12" s="373"/>
      <c r="AI12" s="373"/>
      <c r="AJ12" s="373"/>
      <c r="AK12" s="262"/>
      <c r="AL12" s="262"/>
      <c r="AM12" s="262"/>
      <c r="AN12" s="262"/>
      <c r="AO12" s="373"/>
      <c r="AP12" s="262"/>
      <c r="AQ12" s="262"/>
      <c r="AR12" s="262"/>
      <c r="AS12" s="262"/>
      <c r="AT12" s="262"/>
      <c r="AU12" s="376"/>
      <c r="AV12" s="262"/>
      <c r="AW12" s="380"/>
      <c r="AX12" s="380"/>
      <c r="AY12" s="376"/>
      <c r="AZ12" s="380"/>
      <c r="BA12" s="376"/>
      <c r="BB12" s="387"/>
      <c r="BC12" s="387"/>
      <c r="BD12" s="387"/>
      <c r="BE12" s="380"/>
      <c r="BF12" s="262" t="s">
        <v>1716</v>
      </c>
      <c r="BG12" s="262"/>
      <c r="BH12" s="380"/>
      <c r="BI12" s="262"/>
      <c r="BJ12" s="262"/>
      <c r="BK12" s="262"/>
    </row>
    <row r="13" spans="1:63" ht="15.6" x14ac:dyDescent="0.3">
      <c r="A13" s="124" t="s">
        <v>1836</v>
      </c>
      <c r="B13" s="371" t="s">
        <v>1714</v>
      </c>
      <c r="C13" s="377"/>
      <c r="D13" s="377"/>
      <c r="E13" s="377"/>
      <c r="F13" s="377"/>
      <c r="G13" s="377"/>
      <c r="H13" s="374" t="s">
        <v>1837</v>
      </c>
      <c r="I13" s="374" t="s">
        <v>1838</v>
      </c>
      <c r="J13" s="374" t="s">
        <v>1839</v>
      </c>
      <c r="K13" s="374" t="s">
        <v>1840</v>
      </c>
      <c r="L13" s="374" t="s">
        <v>1841</v>
      </c>
      <c r="M13" s="374" t="s">
        <v>1842</v>
      </c>
      <c r="N13" s="374" t="s">
        <v>1843</v>
      </c>
      <c r="O13" s="374" t="s">
        <v>1844</v>
      </c>
      <c r="P13" s="374" t="s">
        <v>1845</v>
      </c>
      <c r="Q13" s="374" t="s">
        <v>1846</v>
      </c>
      <c r="R13" s="374" t="s">
        <v>1847</v>
      </c>
      <c r="S13" s="374" t="s">
        <v>1848</v>
      </c>
      <c r="T13" s="374" t="s">
        <v>1849</v>
      </c>
      <c r="U13" s="377"/>
      <c r="V13" s="371" t="s">
        <v>1850</v>
      </c>
      <c r="W13" s="371" t="s">
        <v>1851</v>
      </c>
      <c r="X13" s="371" t="s">
        <v>1852</v>
      </c>
      <c r="Y13" s="371" t="s">
        <v>1853</v>
      </c>
      <c r="Z13" s="371" t="s">
        <v>1854</v>
      </c>
      <c r="AA13" s="371" t="s">
        <v>1855</v>
      </c>
      <c r="AB13" s="371" t="s">
        <v>1856</v>
      </c>
      <c r="AC13" s="371" t="s">
        <v>1857</v>
      </c>
      <c r="AD13" s="371" t="s">
        <v>1858</v>
      </c>
      <c r="AE13" s="371" t="s">
        <v>1859</v>
      </c>
      <c r="AF13" s="371" t="s">
        <v>1860</v>
      </c>
      <c r="AG13" s="262"/>
      <c r="AH13" s="371" t="s">
        <v>1861</v>
      </c>
      <c r="AI13" s="371" t="s">
        <v>1862</v>
      </c>
      <c r="AJ13" s="371" t="s">
        <v>1863</v>
      </c>
      <c r="AK13" s="371" t="s">
        <v>1864</v>
      </c>
      <c r="AL13" s="371" t="s">
        <v>1865</v>
      </c>
      <c r="AM13" s="371" t="s">
        <v>1866</v>
      </c>
      <c r="AN13" s="371" t="s">
        <v>1867</v>
      </c>
      <c r="AO13" s="371" t="s">
        <v>1868</v>
      </c>
      <c r="AP13" s="262"/>
      <c r="AQ13" s="262"/>
      <c r="AR13" s="262"/>
      <c r="AS13" s="262"/>
      <c r="AT13" s="262"/>
      <c r="AU13" s="374" t="s">
        <v>1869</v>
      </c>
      <c r="AV13" s="262"/>
      <c r="AW13" s="380"/>
      <c r="AX13" s="380"/>
      <c r="AY13" s="385" t="s">
        <v>1870</v>
      </c>
      <c r="AZ13" s="380"/>
      <c r="BA13" s="385" t="s">
        <v>1871</v>
      </c>
      <c r="BB13" s="385" t="s">
        <v>1872</v>
      </c>
      <c r="BC13" s="385" t="s">
        <v>1873</v>
      </c>
      <c r="BD13" s="385" t="s">
        <v>1874</v>
      </c>
      <c r="BE13" s="381"/>
      <c r="BF13" s="262" t="s">
        <v>1716</v>
      </c>
      <c r="BG13" s="262"/>
      <c r="BH13" s="381"/>
      <c r="BI13" s="262"/>
      <c r="BJ13" s="262"/>
      <c r="BK13" s="262"/>
    </row>
    <row r="14" spans="1:63" ht="15.6" customHeight="1" x14ac:dyDescent="0.3">
      <c r="A14" s="124" t="s">
        <v>1875</v>
      </c>
      <c r="B14" s="372"/>
      <c r="C14" s="262" t="s">
        <v>1716</v>
      </c>
      <c r="D14" s="283" t="s">
        <v>1716</v>
      </c>
      <c r="E14" s="283" t="s">
        <v>1716</v>
      </c>
      <c r="F14" s="262" t="s">
        <v>1716</v>
      </c>
      <c r="G14" s="262" t="s">
        <v>1716</v>
      </c>
      <c r="H14" s="375"/>
      <c r="I14" s="375"/>
      <c r="J14" s="375"/>
      <c r="K14" s="375"/>
      <c r="L14" s="375"/>
      <c r="M14" s="375"/>
      <c r="N14" s="375"/>
      <c r="O14" s="375"/>
      <c r="P14" s="375"/>
      <c r="Q14" s="375"/>
      <c r="R14" s="375"/>
      <c r="S14" s="375"/>
      <c r="T14" s="375"/>
      <c r="U14" s="262" t="s">
        <v>1716</v>
      </c>
      <c r="V14" s="372"/>
      <c r="W14" s="372"/>
      <c r="X14" s="372"/>
      <c r="Y14" s="372"/>
      <c r="Z14" s="372"/>
      <c r="AA14" s="372"/>
      <c r="AB14" s="372"/>
      <c r="AC14" s="372"/>
      <c r="AD14" s="372"/>
      <c r="AE14" s="372"/>
      <c r="AF14" s="372"/>
      <c r="AG14" s="262"/>
      <c r="AH14" s="372"/>
      <c r="AI14" s="372"/>
      <c r="AJ14" s="372"/>
      <c r="AK14" s="372"/>
      <c r="AL14" s="372"/>
      <c r="AM14" s="372"/>
      <c r="AN14" s="372"/>
      <c r="AO14" s="372"/>
      <c r="AP14" s="262"/>
      <c r="AQ14" s="262"/>
      <c r="AR14" s="262"/>
      <c r="AS14" s="262"/>
      <c r="AT14" s="262"/>
      <c r="AU14" s="375"/>
      <c r="AV14" s="262"/>
      <c r="AW14" s="380"/>
      <c r="AX14" s="380"/>
      <c r="AY14" s="386"/>
      <c r="AZ14" s="380"/>
      <c r="BA14" s="386"/>
      <c r="BB14" s="386"/>
      <c r="BC14" s="386"/>
      <c r="BD14" s="386"/>
      <c r="BE14" s="262" t="s">
        <v>1734</v>
      </c>
      <c r="BF14" s="262" t="s">
        <v>1716</v>
      </c>
      <c r="BG14" s="262"/>
      <c r="BH14" s="262" t="s">
        <v>1716</v>
      </c>
      <c r="BI14" s="262"/>
      <c r="BJ14" s="262"/>
      <c r="BK14" s="262"/>
    </row>
    <row r="15" spans="1:63" ht="15.6" customHeight="1" x14ac:dyDescent="0.3">
      <c r="A15" s="124" t="s">
        <v>1876</v>
      </c>
      <c r="B15" s="373"/>
      <c r="C15" s="262" t="s">
        <v>1716</v>
      </c>
      <c r="D15" s="283" t="s">
        <v>1716</v>
      </c>
      <c r="E15" s="283" t="s">
        <v>1716</v>
      </c>
      <c r="F15" s="262" t="s">
        <v>1716</v>
      </c>
      <c r="G15" s="262" t="s">
        <v>1716</v>
      </c>
      <c r="H15" s="376"/>
      <c r="I15" s="376"/>
      <c r="J15" s="376"/>
      <c r="K15" s="376"/>
      <c r="L15" s="376"/>
      <c r="M15" s="376"/>
      <c r="N15" s="376"/>
      <c r="O15" s="376"/>
      <c r="P15" s="376"/>
      <c r="Q15" s="376"/>
      <c r="R15" s="376"/>
      <c r="S15" s="376"/>
      <c r="T15" s="376"/>
      <c r="U15" s="262" t="s">
        <v>1716</v>
      </c>
      <c r="V15" s="373"/>
      <c r="W15" s="373"/>
      <c r="X15" s="373"/>
      <c r="Y15" s="373"/>
      <c r="Z15" s="373"/>
      <c r="AA15" s="373"/>
      <c r="AB15" s="373"/>
      <c r="AC15" s="373"/>
      <c r="AD15" s="373"/>
      <c r="AE15" s="373"/>
      <c r="AF15" s="373"/>
      <c r="AG15" s="262"/>
      <c r="AH15" s="373"/>
      <c r="AI15" s="373"/>
      <c r="AJ15" s="373"/>
      <c r="AK15" s="373"/>
      <c r="AL15" s="373"/>
      <c r="AM15" s="373"/>
      <c r="AN15" s="373"/>
      <c r="AO15" s="373"/>
      <c r="AP15" s="262"/>
      <c r="AQ15" s="262"/>
      <c r="AR15" s="262"/>
      <c r="AS15" s="262"/>
      <c r="AT15" s="262"/>
      <c r="AU15" s="376"/>
      <c r="AV15" s="262"/>
      <c r="AW15" s="381"/>
      <c r="AX15" s="381"/>
      <c r="AY15" s="387"/>
      <c r="AZ15" s="381"/>
      <c r="BA15" s="387"/>
      <c r="BB15" s="387"/>
      <c r="BC15" s="387"/>
      <c r="BD15" s="387"/>
      <c r="BE15" s="262"/>
      <c r="BF15" s="262" t="s">
        <v>1716</v>
      </c>
      <c r="BG15" s="262"/>
      <c r="BH15" s="262" t="s">
        <v>1716</v>
      </c>
      <c r="BI15" s="262"/>
      <c r="BJ15" s="262"/>
      <c r="BK15" s="262"/>
    </row>
    <row r="16" spans="1:63" ht="15.75" customHeight="1" x14ac:dyDescent="0.3">
      <c r="A16" s="124" t="s">
        <v>1877</v>
      </c>
      <c r="B16" s="262" t="s">
        <v>1716</v>
      </c>
      <c r="C16" s="374" t="s">
        <v>1878</v>
      </c>
      <c r="D16" s="283" t="s">
        <v>1716</v>
      </c>
      <c r="E16" s="374" t="s">
        <v>1879</v>
      </c>
      <c r="F16" s="378" t="s">
        <v>1880</v>
      </c>
      <c r="G16" s="374" t="s">
        <v>1881</v>
      </c>
      <c r="H16" s="374" t="s">
        <v>1882</v>
      </c>
      <c r="I16" s="374" t="s">
        <v>1883</v>
      </c>
      <c r="J16" s="374" t="s">
        <v>1884</v>
      </c>
      <c r="K16" s="374" t="s">
        <v>1885</v>
      </c>
      <c r="L16" s="374" t="s">
        <v>1886</v>
      </c>
      <c r="M16" s="374" t="s">
        <v>1887</v>
      </c>
      <c r="N16" s="374" t="s">
        <v>1888</v>
      </c>
      <c r="O16" s="374" t="s">
        <v>1889</v>
      </c>
      <c r="P16" s="374" t="s">
        <v>1890</v>
      </c>
      <c r="Q16" s="374" t="s">
        <v>1891</v>
      </c>
      <c r="R16" s="378" t="s">
        <v>1892</v>
      </c>
      <c r="S16" s="382" t="s">
        <v>1893</v>
      </c>
      <c r="T16" s="374" t="s">
        <v>1894</v>
      </c>
      <c r="U16" s="374" t="s">
        <v>1895</v>
      </c>
      <c r="V16" s="371" t="s">
        <v>1896</v>
      </c>
      <c r="W16" s="371" t="s">
        <v>1897</v>
      </c>
      <c r="X16" s="371" t="s">
        <v>1898</v>
      </c>
      <c r="Y16" s="371" t="s">
        <v>1899</v>
      </c>
      <c r="Z16" s="371" t="s">
        <v>1900</v>
      </c>
      <c r="AA16" s="371" t="s">
        <v>1901</v>
      </c>
      <c r="AB16" s="371" t="s">
        <v>1902</v>
      </c>
      <c r="AC16" s="371" t="s">
        <v>1903</v>
      </c>
      <c r="AD16" s="371" t="s">
        <v>1904</v>
      </c>
      <c r="AE16" s="371" t="s">
        <v>1905</v>
      </c>
      <c r="AF16" s="371" t="s">
        <v>1906</v>
      </c>
      <c r="AG16" s="262"/>
      <c r="AH16" s="371" t="s">
        <v>1907</v>
      </c>
      <c r="AI16" s="371" t="s">
        <v>1908</v>
      </c>
      <c r="AJ16" s="371" t="s">
        <v>1909</v>
      </c>
      <c r="AK16" s="262"/>
      <c r="AL16" s="371" t="s">
        <v>1910</v>
      </c>
      <c r="AM16" s="262"/>
      <c r="AN16" s="262"/>
      <c r="AO16" s="371" t="s">
        <v>1911</v>
      </c>
      <c r="AP16" s="262"/>
      <c r="AQ16" s="262"/>
      <c r="AR16" s="262"/>
      <c r="AS16" s="262"/>
      <c r="AT16" s="262"/>
      <c r="AU16" s="262" t="s">
        <v>1734</v>
      </c>
      <c r="AV16" s="262"/>
      <c r="AW16" s="379" t="s">
        <v>1912</v>
      </c>
      <c r="AX16" s="379" t="s">
        <v>1913</v>
      </c>
      <c r="AY16" s="385" t="s">
        <v>1870</v>
      </c>
      <c r="AZ16" s="379" t="s">
        <v>1914</v>
      </c>
      <c r="BA16" s="379" t="s">
        <v>1915</v>
      </c>
      <c r="BB16" s="385" t="s">
        <v>1916</v>
      </c>
      <c r="BC16" s="385" t="s">
        <v>1917</v>
      </c>
      <c r="BD16" s="385" t="s">
        <v>1918</v>
      </c>
      <c r="BE16" s="262"/>
      <c r="BF16" s="379" t="s">
        <v>1919</v>
      </c>
      <c r="BG16" s="262"/>
      <c r="BH16" s="377" t="s">
        <v>1920</v>
      </c>
      <c r="BI16" s="262"/>
      <c r="BJ16" s="262"/>
      <c r="BK16" s="262"/>
    </row>
    <row r="17" spans="1:63" ht="15.6" x14ac:dyDescent="0.3">
      <c r="A17" s="124" t="s">
        <v>1921</v>
      </c>
      <c r="B17" s="125"/>
      <c r="C17" s="375"/>
      <c r="D17" s="283" t="s">
        <v>1716</v>
      </c>
      <c r="E17" s="375"/>
      <c r="F17" s="378"/>
      <c r="G17" s="375"/>
      <c r="H17" s="375"/>
      <c r="I17" s="375"/>
      <c r="J17" s="375"/>
      <c r="K17" s="375"/>
      <c r="L17" s="375"/>
      <c r="M17" s="375"/>
      <c r="N17" s="375"/>
      <c r="O17" s="375"/>
      <c r="P17" s="375"/>
      <c r="Q17" s="375"/>
      <c r="R17" s="378"/>
      <c r="S17" s="383"/>
      <c r="T17" s="375"/>
      <c r="U17" s="375"/>
      <c r="V17" s="372"/>
      <c r="W17" s="372"/>
      <c r="X17" s="372"/>
      <c r="Y17" s="372"/>
      <c r="Z17" s="372"/>
      <c r="AA17" s="372"/>
      <c r="AB17" s="372"/>
      <c r="AC17" s="372"/>
      <c r="AD17" s="372"/>
      <c r="AE17" s="372"/>
      <c r="AF17" s="372"/>
      <c r="AG17" s="262"/>
      <c r="AH17" s="372"/>
      <c r="AI17" s="372"/>
      <c r="AJ17" s="372"/>
      <c r="AK17" s="262"/>
      <c r="AL17" s="372"/>
      <c r="AM17" s="262"/>
      <c r="AN17" s="262"/>
      <c r="AO17" s="372"/>
      <c r="AP17" s="262"/>
      <c r="AQ17" s="262"/>
      <c r="AR17" s="262"/>
      <c r="AS17" s="262"/>
      <c r="AT17" s="262"/>
      <c r="AU17" s="262"/>
      <c r="AV17" s="262"/>
      <c r="AW17" s="380"/>
      <c r="AX17" s="380"/>
      <c r="AY17" s="386"/>
      <c r="AZ17" s="380"/>
      <c r="BA17" s="380"/>
      <c r="BB17" s="386"/>
      <c r="BC17" s="386"/>
      <c r="BD17" s="386"/>
      <c r="BE17" s="262"/>
      <c r="BF17" s="380"/>
      <c r="BG17" s="262"/>
      <c r="BH17" s="377"/>
      <c r="BI17" s="262"/>
      <c r="BJ17" s="262"/>
      <c r="BK17" s="262"/>
    </row>
    <row r="18" spans="1:63" ht="15.6" x14ac:dyDescent="0.3">
      <c r="A18" s="124" t="s">
        <v>1922</v>
      </c>
      <c r="B18" s="125"/>
      <c r="C18" s="376"/>
      <c r="D18" s="377" t="s">
        <v>1923</v>
      </c>
      <c r="E18" s="376"/>
      <c r="F18" s="377" t="s">
        <v>1924</v>
      </c>
      <c r="G18" s="376"/>
      <c r="H18" s="376"/>
      <c r="I18" s="376"/>
      <c r="J18" s="376"/>
      <c r="K18" s="376"/>
      <c r="L18" s="376"/>
      <c r="M18" s="376"/>
      <c r="N18" s="376"/>
      <c r="O18" s="376"/>
      <c r="P18" s="376"/>
      <c r="Q18" s="376"/>
      <c r="R18" s="377" t="s">
        <v>1925</v>
      </c>
      <c r="S18" s="383"/>
      <c r="T18" s="376"/>
      <c r="U18" s="376"/>
      <c r="V18" s="373"/>
      <c r="W18" s="373"/>
      <c r="X18" s="373"/>
      <c r="Y18" s="373"/>
      <c r="Z18" s="373"/>
      <c r="AA18" s="373"/>
      <c r="AB18" s="373"/>
      <c r="AC18" s="373"/>
      <c r="AD18" s="373"/>
      <c r="AE18" s="373"/>
      <c r="AF18" s="373"/>
      <c r="AG18" s="262"/>
      <c r="AH18" s="373"/>
      <c r="AI18" s="373"/>
      <c r="AJ18" s="373"/>
      <c r="AK18" s="262"/>
      <c r="AL18" s="373"/>
      <c r="AM18" s="262"/>
      <c r="AN18" s="262"/>
      <c r="AO18" s="373"/>
      <c r="AP18" s="262"/>
      <c r="AQ18" s="262"/>
      <c r="AR18" s="262"/>
      <c r="AS18" s="262"/>
      <c r="AT18" s="262"/>
      <c r="AU18" s="262"/>
      <c r="AV18" s="262"/>
      <c r="AW18" s="380"/>
      <c r="AX18" s="380"/>
      <c r="AY18" s="387"/>
      <c r="AZ18" s="380"/>
      <c r="BA18" s="380"/>
      <c r="BB18" s="387"/>
      <c r="BC18" s="387"/>
      <c r="BD18" s="387"/>
      <c r="BE18" s="262"/>
      <c r="BF18" s="380"/>
      <c r="BG18" s="262"/>
      <c r="BH18" s="377"/>
      <c r="BI18" s="262"/>
      <c r="BJ18" s="262"/>
      <c r="BK18" s="262"/>
    </row>
    <row r="19" spans="1:63" ht="15.6" x14ac:dyDescent="0.3">
      <c r="A19" s="124" t="s">
        <v>1926</v>
      </c>
      <c r="B19" s="371" t="s">
        <v>1714</v>
      </c>
      <c r="C19" s="374" t="s">
        <v>1927</v>
      </c>
      <c r="D19" s="377"/>
      <c r="E19" s="374" t="s">
        <v>1928</v>
      </c>
      <c r="F19" s="377"/>
      <c r="G19" s="377" t="s">
        <v>1929</v>
      </c>
      <c r="H19" s="374" t="s">
        <v>1930</v>
      </c>
      <c r="I19" s="379" t="s">
        <v>1931</v>
      </c>
      <c r="J19" s="374" t="s">
        <v>1932</v>
      </c>
      <c r="K19" s="374" t="s">
        <v>1933</v>
      </c>
      <c r="L19" s="382" t="s">
        <v>1934</v>
      </c>
      <c r="M19" s="374" t="s">
        <v>1935</v>
      </c>
      <c r="N19" s="374" t="s">
        <v>1936</v>
      </c>
      <c r="O19" s="374" t="s">
        <v>1937</v>
      </c>
      <c r="P19" s="374" t="s">
        <v>1938</v>
      </c>
      <c r="Q19" s="374" t="s">
        <v>1939</v>
      </c>
      <c r="R19" s="377"/>
      <c r="S19" s="383"/>
      <c r="T19" s="374" t="s">
        <v>1940</v>
      </c>
      <c r="U19" s="374" t="s">
        <v>1941</v>
      </c>
      <c r="V19" s="371" t="s">
        <v>1942</v>
      </c>
      <c r="W19" s="371" t="s">
        <v>1943</v>
      </c>
      <c r="X19" s="371" t="s">
        <v>1944</v>
      </c>
      <c r="Y19" s="371" t="s">
        <v>1945</v>
      </c>
      <c r="Z19" s="262"/>
      <c r="AA19" s="371" t="s">
        <v>1946</v>
      </c>
      <c r="AB19" s="262"/>
      <c r="AC19" s="262"/>
      <c r="AD19" s="262"/>
      <c r="AE19" s="262"/>
      <c r="AF19" s="371" t="s">
        <v>1947</v>
      </c>
      <c r="AG19" s="262"/>
      <c r="AH19" s="371" t="s">
        <v>1948</v>
      </c>
      <c r="AI19" s="371" t="s">
        <v>1949</v>
      </c>
      <c r="AJ19" s="371" t="s">
        <v>1950</v>
      </c>
      <c r="AK19" s="262"/>
      <c r="AL19" s="262"/>
      <c r="AM19" s="262"/>
      <c r="AN19" s="262"/>
      <c r="AO19" s="371" t="s">
        <v>1951</v>
      </c>
      <c r="AP19" s="262"/>
      <c r="AQ19" s="262"/>
      <c r="AR19" s="262"/>
      <c r="AS19" s="262"/>
      <c r="AT19" s="262"/>
      <c r="AU19" s="262"/>
      <c r="AV19" s="262"/>
      <c r="AW19" s="380"/>
      <c r="AX19" s="380"/>
      <c r="AY19" s="385" t="s">
        <v>1952</v>
      </c>
      <c r="AZ19" s="380"/>
      <c r="BA19" s="380"/>
      <c r="BB19" s="385" t="s">
        <v>1953</v>
      </c>
      <c r="BC19" s="385" t="s">
        <v>1954</v>
      </c>
      <c r="BD19" s="385" t="s">
        <v>1955</v>
      </c>
      <c r="BE19" s="262"/>
      <c r="BF19" s="380"/>
      <c r="BG19" s="262"/>
      <c r="BH19" s="377"/>
      <c r="BI19" s="262"/>
      <c r="BJ19" s="262"/>
      <c r="BK19" s="262"/>
    </row>
    <row r="20" spans="1:63" ht="15.6" x14ac:dyDescent="0.3">
      <c r="A20" s="124" t="s">
        <v>1956</v>
      </c>
      <c r="B20" s="372"/>
      <c r="C20" s="375"/>
      <c r="D20" s="377"/>
      <c r="E20" s="375"/>
      <c r="F20" s="377"/>
      <c r="G20" s="377"/>
      <c r="H20" s="375"/>
      <c r="I20" s="380"/>
      <c r="J20" s="375"/>
      <c r="K20" s="375"/>
      <c r="L20" s="383"/>
      <c r="M20" s="375"/>
      <c r="N20" s="375"/>
      <c r="O20" s="375"/>
      <c r="P20" s="375"/>
      <c r="Q20" s="375"/>
      <c r="R20" s="377"/>
      <c r="S20" s="383"/>
      <c r="T20" s="375"/>
      <c r="U20" s="375"/>
      <c r="V20" s="372"/>
      <c r="W20" s="372"/>
      <c r="X20" s="372"/>
      <c r="Y20" s="372"/>
      <c r="Z20" s="262"/>
      <c r="AA20" s="372"/>
      <c r="AB20" s="262"/>
      <c r="AC20" s="262"/>
      <c r="AD20" s="262"/>
      <c r="AE20" s="262"/>
      <c r="AF20" s="372"/>
      <c r="AG20" s="262"/>
      <c r="AH20" s="372"/>
      <c r="AI20" s="372"/>
      <c r="AJ20" s="372"/>
      <c r="AK20" s="262"/>
      <c r="AL20" s="262"/>
      <c r="AM20" s="262"/>
      <c r="AN20" s="262"/>
      <c r="AO20" s="372"/>
      <c r="AP20" s="262"/>
      <c r="AQ20" s="262"/>
      <c r="AR20" s="262"/>
      <c r="AS20" s="262"/>
      <c r="AT20" s="262"/>
      <c r="AU20" s="262"/>
      <c r="AV20" s="262"/>
      <c r="AW20" s="380"/>
      <c r="AX20" s="380"/>
      <c r="AY20" s="386"/>
      <c r="AZ20" s="380"/>
      <c r="BA20" s="380"/>
      <c r="BB20" s="386"/>
      <c r="BC20" s="386"/>
      <c r="BD20" s="386"/>
      <c r="BE20" s="262"/>
      <c r="BF20" s="380"/>
      <c r="BG20" s="262"/>
      <c r="BH20" s="379" t="s">
        <v>1957</v>
      </c>
      <c r="BI20" s="262"/>
      <c r="BJ20" s="262"/>
      <c r="BK20" s="262"/>
    </row>
    <row r="21" spans="1:63" ht="15.6" x14ac:dyDescent="0.3">
      <c r="A21" s="124" t="s">
        <v>1958</v>
      </c>
      <c r="B21" s="373"/>
      <c r="C21" s="376"/>
      <c r="D21" s="377"/>
      <c r="E21" s="376"/>
      <c r="F21" s="377"/>
      <c r="G21" s="377"/>
      <c r="H21" s="376"/>
      <c r="I21" s="380"/>
      <c r="J21" s="376"/>
      <c r="K21" s="376"/>
      <c r="L21" s="383"/>
      <c r="M21" s="376"/>
      <c r="N21" s="376"/>
      <c r="O21" s="376"/>
      <c r="P21" s="376"/>
      <c r="Q21" s="376"/>
      <c r="R21" s="377"/>
      <c r="S21" s="384"/>
      <c r="T21" s="376"/>
      <c r="U21" s="376"/>
      <c r="V21" s="373"/>
      <c r="W21" s="373"/>
      <c r="X21" s="373"/>
      <c r="Y21" s="373"/>
      <c r="Z21" s="262"/>
      <c r="AA21" s="373"/>
      <c r="AB21" s="262"/>
      <c r="AC21" s="262"/>
      <c r="AD21" s="262"/>
      <c r="AE21" s="262"/>
      <c r="AF21" s="373"/>
      <c r="AG21" s="262"/>
      <c r="AH21" s="373"/>
      <c r="AI21" s="373"/>
      <c r="AJ21" s="373"/>
      <c r="AK21" s="262"/>
      <c r="AL21" s="262"/>
      <c r="AM21" s="262"/>
      <c r="AN21" s="262"/>
      <c r="AO21" s="373"/>
      <c r="AP21" s="262"/>
      <c r="AQ21" s="262"/>
      <c r="AR21" s="262"/>
      <c r="AS21" s="262"/>
      <c r="AT21" s="262"/>
      <c r="AU21" s="262"/>
      <c r="AV21" s="262"/>
      <c r="AW21" s="381"/>
      <c r="AX21" s="381"/>
      <c r="AY21" s="387"/>
      <c r="AZ21" s="381"/>
      <c r="BA21" s="381"/>
      <c r="BB21" s="387"/>
      <c r="BC21" s="387"/>
      <c r="BD21" s="387"/>
      <c r="BE21" s="262"/>
      <c r="BF21" s="381"/>
      <c r="BG21" s="262"/>
      <c r="BH21" s="380"/>
      <c r="BI21" s="262"/>
      <c r="BJ21" s="262"/>
      <c r="BK21" s="262"/>
    </row>
    <row r="22" spans="1:63" ht="15.75" customHeight="1" x14ac:dyDescent="0.3">
      <c r="A22" s="124" t="s">
        <v>1959</v>
      </c>
      <c r="B22" s="263" t="s">
        <v>1734</v>
      </c>
      <c r="C22" s="377" t="s">
        <v>1960</v>
      </c>
      <c r="D22" s="377" t="s">
        <v>1961</v>
      </c>
      <c r="E22" s="374" t="s">
        <v>1962</v>
      </c>
      <c r="F22" s="378" t="s">
        <v>1963</v>
      </c>
      <c r="G22" s="377"/>
      <c r="H22" s="377" t="s">
        <v>1964</v>
      </c>
      <c r="I22" s="380"/>
      <c r="J22" s="374" t="s">
        <v>1965</v>
      </c>
      <c r="K22" s="382" t="s">
        <v>1934</v>
      </c>
      <c r="L22" s="383"/>
      <c r="M22" s="262" t="s">
        <v>1734</v>
      </c>
      <c r="N22" s="262" t="s">
        <v>1734</v>
      </c>
      <c r="O22" s="374" t="s">
        <v>1966</v>
      </c>
      <c r="P22" s="262" t="s">
        <v>1734</v>
      </c>
      <c r="Q22" s="262" t="s">
        <v>1734</v>
      </c>
      <c r="R22" s="262" t="s">
        <v>1734</v>
      </c>
      <c r="S22" s="374" t="s">
        <v>1967</v>
      </c>
      <c r="T22" s="374" t="s">
        <v>1968</v>
      </c>
      <c r="U22" s="374" t="s">
        <v>1969</v>
      </c>
      <c r="V22" s="262"/>
      <c r="W22" s="371" t="s">
        <v>1970</v>
      </c>
      <c r="X22" s="262"/>
      <c r="Y22" s="371" t="s">
        <v>1971</v>
      </c>
      <c r="Z22" s="262"/>
      <c r="AA22" s="262"/>
      <c r="AB22" s="262"/>
      <c r="AC22" s="262"/>
      <c r="AD22" s="262"/>
      <c r="AE22" s="262"/>
      <c r="AF22" s="371" t="s">
        <v>1972</v>
      </c>
      <c r="AG22" s="262"/>
      <c r="AH22" s="262"/>
      <c r="AI22" s="371" t="s">
        <v>1973</v>
      </c>
      <c r="AJ22" s="262"/>
      <c r="AK22" s="262"/>
      <c r="AL22" s="262"/>
      <c r="AM22" s="262"/>
      <c r="AN22" s="262"/>
      <c r="AO22" s="262"/>
      <c r="AP22" s="262"/>
      <c r="AQ22" s="262"/>
      <c r="AR22" s="262"/>
      <c r="AS22" s="262"/>
      <c r="AT22" s="262"/>
      <c r="AU22" s="262"/>
      <c r="AV22" s="262"/>
      <c r="AW22" s="379" t="s">
        <v>1974</v>
      </c>
      <c r="AX22" s="379" t="s">
        <v>1975</v>
      </c>
      <c r="AY22" s="379" t="s">
        <v>1976</v>
      </c>
      <c r="AZ22" s="379" t="s">
        <v>1977</v>
      </c>
      <c r="BA22" s="379" t="s">
        <v>1978</v>
      </c>
      <c r="BB22" s="262" t="s">
        <v>1734</v>
      </c>
      <c r="BC22" s="385" t="s">
        <v>1979</v>
      </c>
      <c r="BD22" s="262" t="s">
        <v>1734</v>
      </c>
      <c r="BE22" s="262"/>
      <c r="BF22" s="262" t="s">
        <v>1734</v>
      </c>
      <c r="BG22" s="262"/>
      <c r="BH22" s="380"/>
      <c r="BI22" s="262"/>
      <c r="BJ22" s="262"/>
      <c r="BK22" s="262"/>
    </row>
    <row r="23" spans="1:63" ht="15.6" x14ac:dyDescent="0.3">
      <c r="A23" s="124" t="s">
        <v>1980</v>
      </c>
      <c r="B23" s="262"/>
      <c r="C23" s="377"/>
      <c r="D23" s="377"/>
      <c r="E23" s="375"/>
      <c r="F23" s="378"/>
      <c r="G23" s="262" t="s">
        <v>1734</v>
      </c>
      <c r="H23" s="377"/>
      <c r="I23" s="380"/>
      <c r="J23" s="375"/>
      <c r="K23" s="383"/>
      <c r="L23" s="383"/>
      <c r="M23" s="262"/>
      <c r="N23" s="262"/>
      <c r="O23" s="375"/>
      <c r="P23" s="262"/>
      <c r="Q23" s="262"/>
      <c r="R23" s="262"/>
      <c r="S23" s="375"/>
      <c r="T23" s="375"/>
      <c r="U23" s="375"/>
      <c r="V23" s="262"/>
      <c r="W23" s="372"/>
      <c r="X23" s="262"/>
      <c r="Y23" s="372"/>
      <c r="Z23" s="262"/>
      <c r="AA23" s="262"/>
      <c r="AB23" s="262"/>
      <c r="AC23" s="262"/>
      <c r="AD23" s="262"/>
      <c r="AE23" s="262"/>
      <c r="AF23" s="372"/>
      <c r="AG23" s="262"/>
      <c r="AH23" s="262"/>
      <c r="AI23" s="372"/>
      <c r="AJ23" s="262"/>
      <c r="AK23" s="262"/>
      <c r="AL23" s="262"/>
      <c r="AM23" s="262"/>
      <c r="AN23" s="262"/>
      <c r="AO23" s="262"/>
      <c r="AP23" s="262"/>
      <c r="AQ23" s="262"/>
      <c r="AR23" s="262"/>
      <c r="AS23" s="262"/>
      <c r="AT23" s="262"/>
      <c r="AU23" s="262"/>
      <c r="AV23" s="262"/>
      <c r="AW23" s="380"/>
      <c r="AX23" s="380"/>
      <c r="AY23" s="380"/>
      <c r="AZ23" s="380"/>
      <c r="BA23" s="380"/>
      <c r="BB23" s="262"/>
      <c r="BC23" s="386"/>
      <c r="BD23" s="262"/>
      <c r="BE23" s="262"/>
      <c r="BF23" s="262"/>
      <c r="BG23" s="262"/>
      <c r="BH23" s="380"/>
      <c r="BI23" s="262"/>
      <c r="BJ23" s="262"/>
      <c r="BK23" s="262"/>
    </row>
    <row r="24" spans="1:63" ht="15.6" x14ac:dyDescent="0.3">
      <c r="A24" s="124" t="s">
        <v>1981</v>
      </c>
      <c r="B24" s="262"/>
      <c r="C24" s="377"/>
      <c r="D24" s="377"/>
      <c r="E24" s="376"/>
      <c r="F24" s="262" t="s">
        <v>1734</v>
      </c>
      <c r="G24" s="262"/>
      <c r="H24" s="377"/>
      <c r="I24" s="381"/>
      <c r="J24" s="376"/>
      <c r="K24" s="383"/>
      <c r="L24" s="384"/>
      <c r="M24" s="262"/>
      <c r="N24" s="262"/>
      <c r="O24" s="376"/>
      <c r="P24" s="262"/>
      <c r="Q24" s="262"/>
      <c r="R24" s="262"/>
      <c r="S24" s="376"/>
      <c r="T24" s="376"/>
      <c r="U24" s="376"/>
      <c r="V24" s="262"/>
      <c r="W24" s="373"/>
      <c r="X24" s="262"/>
      <c r="Y24" s="373"/>
      <c r="Z24" s="262"/>
      <c r="AA24" s="262"/>
      <c r="AB24" s="262"/>
      <c r="AC24" s="262"/>
      <c r="AD24" s="262"/>
      <c r="AE24" s="262"/>
      <c r="AF24" s="373"/>
      <c r="AG24" s="262"/>
      <c r="AH24" s="262"/>
      <c r="AI24" s="373"/>
      <c r="AJ24" s="262"/>
      <c r="AK24" s="262"/>
      <c r="AL24" s="262"/>
      <c r="AM24" s="262"/>
      <c r="AN24" s="262"/>
      <c r="AO24" s="262"/>
      <c r="AP24" s="262"/>
      <c r="AQ24" s="262"/>
      <c r="AR24" s="262"/>
      <c r="AS24" s="262"/>
      <c r="AT24" s="262"/>
      <c r="AU24" s="262"/>
      <c r="AV24" s="262"/>
      <c r="AW24" s="380"/>
      <c r="AX24" s="380"/>
      <c r="AY24" s="380"/>
      <c r="AZ24" s="380"/>
      <c r="BA24" s="380"/>
      <c r="BB24" s="262"/>
      <c r="BC24" s="387"/>
      <c r="BD24" s="262"/>
      <c r="BE24" s="262"/>
      <c r="BF24" s="262"/>
      <c r="BG24" s="262"/>
      <c r="BH24" s="380"/>
      <c r="BI24" s="262"/>
      <c r="BJ24" s="262"/>
      <c r="BK24" s="262"/>
    </row>
    <row r="25" spans="1:63" ht="15.75" customHeight="1" x14ac:dyDescent="0.3">
      <c r="A25" s="124" t="s">
        <v>1982</v>
      </c>
      <c r="B25" s="125"/>
      <c r="C25" s="377"/>
      <c r="D25" s="377"/>
      <c r="E25" s="283" t="s">
        <v>1734</v>
      </c>
      <c r="F25" s="262"/>
      <c r="G25" s="262"/>
      <c r="H25" s="377"/>
      <c r="I25" s="262" t="s">
        <v>1734</v>
      </c>
      <c r="J25" s="262" t="s">
        <v>1734</v>
      </c>
      <c r="K25" s="383"/>
      <c r="L25" s="262" t="s">
        <v>1734</v>
      </c>
      <c r="M25" s="262"/>
      <c r="N25" s="262"/>
      <c r="O25" s="262" t="s">
        <v>1734</v>
      </c>
      <c r="P25" s="262"/>
      <c r="Q25" s="262"/>
      <c r="R25" s="262"/>
      <c r="S25" s="262" t="s">
        <v>1734</v>
      </c>
      <c r="T25" s="262" t="s">
        <v>1734</v>
      </c>
      <c r="U25" s="262" t="s">
        <v>1734</v>
      </c>
      <c r="V25" s="262"/>
      <c r="W25" s="262" t="s">
        <v>1734</v>
      </c>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2"/>
      <c r="AU25" s="262"/>
      <c r="AV25" s="262"/>
      <c r="AW25" s="380"/>
      <c r="AX25" s="380"/>
      <c r="AY25" s="380"/>
      <c r="AZ25" s="380"/>
      <c r="BA25" s="380"/>
      <c r="BB25" s="262"/>
      <c r="BC25" s="262" t="s">
        <v>1734</v>
      </c>
      <c r="BD25" s="262"/>
      <c r="BE25" s="262"/>
      <c r="BF25" s="262"/>
      <c r="BG25" s="262"/>
      <c r="BH25" s="381"/>
      <c r="BI25" s="262"/>
      <c r="BJ25" s="262"/>
      <c r="BK25" s="262"/>
    </row>
    <row r="26" spans="1:63" ht="15.6" x14ac:dyDescent="0.3">
      <c r="A26" s="124" t="s">
        <v>1983</v>
      </c>
      <c r="B26" s="125"/>
      <c r="C26" s="262" t="s">
        <v>1734</v>
      </c>
      <c r="D26" s="283" t="s">
        <v>1734</v>
      </c>
      <c r="E26" s="283"/>
      <c r="F26" s="262"/>
      <c r="G26" s="262"/>
      <c r="H26" s="262" t="s">
        <v>1734</v>
      </c>
      <c r="I26" s="262"/>
      <c r="J26" s="262"/>
      <c r="K26" s="383"/>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380"/>
      <c r="AX26" s="380"/>
      <c r="AY26" s="380"/>
      <c r="AZ26" s="380"/>
      <c r="BA26" s="380"/>
      <c r="BB26" s="262"/>
      <c r="BC26" s="262"/>
      <c r="BD26" s="262"/>
      <c r="BE26" s="262"/>
      <c r="BF26" s="262"/>
      <c r="BG26" s="262"/>
      <c r="BH26" s="262" t="s">
        <v>1734</v>
      </c>
      <c r="BI26" s="262"/>
      <c r="BJ26" s="262"/>
      <c r="BK26" s="262"/>
    </row>
    <row r="27" spans="1:63" ht="15.6" x14ac:dyDescent="0.3">
      <c r="A27" s="124" t="s">
        <v>1984</v>
      </c>
      <c r="B27" s="125"/>
      <c r="C27" s="262"/>
      <c r="D27" s="283"/>
      <c r="E27" s="283"/>
      <c r="F27" s="262"/>
      <c r="G27" s="262"/>
      <c r="H27" s="262"/>
      <c r="I27" s="262"/>
      <c r="J27" s="262"/>
      <c r="K27" s="384"/>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381"/>
      <c r="AX27" s="381"/>
      <c r="AY27" s="381"/>
      <c r="AZ27" s="381"/>
      <c r="BA27" s="381"/>
      <c r="BB27" s="262"/>
      <c r="BC27" s="262"/>
      <c r="BD27" s="262"/>
      <c r="BE27" s="262"/>
      <c r="BF27" s="262"/>
      <c r="BG27" s="262"/>
      <c r="BH27" s="262"/>
      <c r="BI27" s="262"/>
      <c r="BJ27" s="262"/>
      <c r="BK27" s="262"/>
    </row>
    <row r="28" spans="1:63" ht="15.6" x14ac:dyDescent="0.3">
      <c r="A28" s="124" t="s">
        <v>1985</v>
      </c>
      <c r="B28" s="125"/>
      <c r="C28" s="262"/>
      <c r="D28" s="283"/>
      <c r="E28" s="283"/>
      <c r="F28" s="262"/>
      <c r="G28" s="262"/>
      <c r="H28" s="262"/>
      <c r="I28" s="262"/>
      <c r="J28" s="262"/>
      <c r="K28" s="262" t="s">
        <v>1734</v>
      </c>
      <c r="L28" s="262"/>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t="s">
        <v>1734</v>
      </c>
      <c r="AX28" s="262" t="s">
        <v>1734</v>
      </c>
      <c r="AY28" s="262" t="s">
        <v>1734</v>
      </c>
      <c r="AZ28" s="262" t="s">
        <v>1734</v>
      </c>
      <c r="BA28" s="262" t="s">
        <v>1734</v>
      </c>
      <c r="BB28" s="262"/>
      <c r="BC28" s="262"/>
      <c r="BD28" s="262"/>
      <c r="BE28" s="262"/>
      <c r="BF28" s="262"/>
      <c r="BG28" s="262"/>
      <c r="BH28" s="262"/>
      <c r="BI28" s="262"/>
      <c r="BJ28" s="262"/>
      <c r="BK28" s="262"/>
    </row>
    <row r="29" spans="1:63" ht="15.6" x14ac:dyDescent="0.3">
      <c r="A29" s="124" t="s">
        <v>1986</v>
      </c>
      <c r="B29" s="125"/>
      <c r="C29" s="262"/>
      <c r="D29" s="283"/>
      <c r="E29" s="283"/>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2"/>
      <c r="BD29" s="262"/>
      <c r="BE29" s="262"/>
      <c r="BF29" s="262"/>
      <c r="BG29" s="262"/>
      <c r="BH29" s="262"/>
      <c r="BI29" s="262"/>
      <c r="BJ29" s="262"/>
      <c r="BK29" s="262"/>
    </row>
    <row r="30" spans="1:63" ht="15.6" x14ac:dyDescent="0.3">
      <c r="A30" s="124" t="s">
        <v>1987</v>
      </c>
      <c r="B30" s="125"/>
      <c r="C30" s="262"/>
      <c r="D30" s="283"/>
      <c r="E30" s="283"/>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row>
    <row r="31" spans="1:63" ht="15.6" x14ac:dyDescent="0.3">
      <c r="A31" s="126" t="s">
        <v>1988</v>
      </c>
      <c r="B31" s="125"/>
      <c r="C31" s="264"/>
      <c r="D31" s="284"/>
      <c r="E31" s="284"/>
      <c r="F31" s="264"/>
      <c r="G31" s="264"/>
      <c r="H31" s="264"/>
      <c r="I31" s="264"/>
      <c r="J31" s="264"/>
      <c r="K31" s="264"/>
      <c r="L31" s="264"/>
      <c r="M31" s="264"/>
      <c r="N31" s="264"/>
      <c r="O31" s="264"/>
      <c r="P31" s="264"/>
      <c r="Q31" s="264"/>
      <c r="R31" s="264"/>
      <c r="S31" s="264"/>
      <c r="T31" s="264"/>
      <c r="U31" s="264"/>
      <c r="V31" s="264"/>
      <c r="W31" s="262"/>
      <c r="X31" s="264"/>
      <c r="Y31" s="264"/>
      <c r="Z31" s="264"/>
      <c r="AA31" s="264"/>
      <c r="AB31" s="264"/>
      <c r="AC31" s="264"/>
      <c r="AD31" s="264"/>
      <c r="AE31" s="264"/>
      <c r="AF31" s="264"/>
      <c r="AG31" s="264"/>
      <c r="AH31" s="264"/>
      <c r="AI31" s="264"/>
      <c r="AJ31" s="264"/>
      <c r="AK31" s="264"/>
      <c r="AL31" s="264"/>
      <c r="AM31" s="264"/>
      <c r="AN31" s="264"/>
      <c r="AO31" s="264"/>
      <c r="AP31" s="264"/>
      <c r="AQ31" s="264"/>
      <c r="AR31" s="264"/>
      <c r="AS31" s="264"/>
      <c r="AT31" s="264"/>
      <c r="AU31" s="264"/>
      <c r="AV31" s="264"/>
      <c r="AW31" s="264"/>
      <c r="AX31" s="264"/>
      <c r="AY31" s="264"/>
      <c r="AZ31" s="264"/>
      <c r="BA31" s="264"/>
      <c r="BB31" s="264"/>
      <c r="BC31" s="264"/>
      <c r="BD31" s="264"/>
      <c r="BE31" s="264"/>
      <c r="BF31" s="264"/>
      <c r="BG31" s="264"/>
      <c r="BH31" s="264"/>
      <c r="BI31" s="264"/>
      <c r="BJ31" s="264"/>
      <c r="BK31" s="264"/>
    </row>
    <row r="32" spans="1:63" s="131" customFormat="1" ht="24" customHeight="1" x14ac:dyDescent="0.3">
      <c r="A32" s="130" t="s">
        <v>1989</v>
      </c>
      <c r="B32" s="51">
        <f ca="1">IF(COUNTA(B$4:B$31)=0,"",(COUNTA(TIME)-COUNTIF(B$33:B$60,TRUE))/COUNTA(TIME))</f>
        <v>1</v>
      </c>
      <c r="C32" s="285">
        <f ca="1">IF(COUNTA(C$4:C$31)=0,"",(COUNTA(TIME)-COUNTIF(C$33:C$60,TRUE))/COUNTA(TIME))</f>
        <v>1</v>
      </c>
      <c r="D32" s="51">
        <f ca="1">IF(COUNTA(D$4:D$31)=0,"",(COUNTA(TIME)-COUNTIF(D$33:D$60,TRUE))/COUNTA(TIME))</f>
        <v>1</v>
      </c>
      <c r="E32" s="286">
        <f t="shared" ref="E32:AG32" ca="1" si="0">IF(COUNTA(E$4:E$31)=0,"",(COUNTA(TIME)-COUNTIF(E$33:E$60,TRUE))/COUNTA(TIME))</f>
        <v>1</v>
      </c>
      <c r="F32" s="51">
        <f t="shared" ca="1" si="0"/>
        <v>1</v>
      </c>
      <c r="G32" s="51">
        <f t="shared" ca="1" si="0"/>
        <v>1</v>
      </c>
      <c r="H32" s="51">
        <f t="shared" ca="1" si="0"/>
        <v>1</v>
      </c>
      <c r="I32" s="51">
        <f t="shared" ca="1" si="0"/>
        <v>1</v>
      </c>
      <c r="J32" s="51">
        <f t="shared" ca="1" si="0"/>
        <v>1</v>
      </c>
      <c r="K32" s="51">
        <f t="shared" ca="1" si="0"/>
        <v>1</v>
      </c>
      <c r="L32" s="51">
        <f t="shared" ca="1" si="0"/>
        <v>1</v>
      </c>
      <c r="M32" s="51">
        <f t="shared" ca="1" si="0"/>
        <v>1</v>
      </c>
      <c r="N32" s="51">
        <f t="shared" ca="1" si="0"/>
        <v>1</v>
      </c>
      <c r="O32" s="51">
        <f t="shared" ca="1" si="0"/>
        <v>1</v>
      </c>
      <c r="P32" s="51">
        <f t="shared" ca="1" si="0"/>
        <v>1</v>
      </c>
      <c r="Q32" s="51">
        <f t="shared" ca="1" si="0"/>
        <v>1</v>
      </c>
      <c r="R32" s="51">
        <f t="shared" ca="1" si="0"/>
        <v>1</v>
      </c>
      <c r="S32" s="51">
        <f t="shared" ca="1" si="0"/>
        <v>1</v>
      </c>
      <c r="T32" s="51">
        <f t="shared" ca="1" si="0"/>
        <v>1</v>
      </c>
      <c r="U32" s="51">
        <f t="shared" ca="1" si="0"/>
        <v>1</v>
      </c>
      <c r="V32" s="51">
        <f t="shared" ca="1" si="0"/>
        <v>1</v>
      </c>
      <c r="W32" s="51">
        <f t="shared" ca="1" si="0"/>
        <v>1</v>
      </c>
      <c r="X32" s="51">
        <f t="shared" ca="1" si="0"/>
        <v>1</v>
      </c>
      <c r="Y32" s="51">
        <f t="shared" ca="1" si="0"/>
        <v>1</v>
      </c>
      <c r="Z32" s="51">
        <f t="shared" ca="1" si="0"/>
        <v>1</v>
      </c>
      <c r="AA32" s="51">
        <f t="shared" ca="1" si="0"/>
        <v>1</v>
      </c>
      <c r="AB32" s="51">
        <f t="shared" ca="1" si="0"/>
        <v>1</v>
      </c>
      <c r="AC32" s="51">
        <f t="shared" ca="1" si="0"/>
        <v>1</v>
      </c>
      <c r="AD32" s="51">
        <f t="shared" ca="1" si="0"/>
        <v>1</v>
      </c>
      <c r="AE32" s="51">
        <f t="shared" ca="1" si="0"/>
        <v>1</v>
      </c>
      <c r="AF32" s="51">
        <f t="shared" ca="1" si="0"/>
        <v>1</v>
      </c>
      <c r="AG32" s="51">
        <f t="shared" ca="1" si="0"/>
        <v>1</v>
      </c>
      <c r="AH32" s="51">
        <f t="shared" ref="AH32:BK32" ca="1" si="1">IF(COUNTA(AH$4:AH$31)=0,"",(COUNTA(TIME)-COUNTIF(AH$33:AH$60,TRUE))/COUNTA(TIME))</f>
        <v>1</v>
      </c>
      <c r="AI32" s="51">
        <f t="shared" ca="1" si="1"/>
        <v>1</v>
      </c>
      <c r="AJ32" s="51">
        <f t="shared" ca="1" si="1"/>
        <v>1</v>
      </c>
      <c r="AK32" s="51">
        <f t="shared" ca="1" si="1"/>
        <v>1</v>
      </c>
      <c r="AL32" s="51">
        <f t="shared" ca="1" si="1"/>
        <v>1</v>
      </c>
      <c r="AM32" s="51">
        <f t="shared" ca="1" si="1"/>
        <v>1</v>
      </c>
      <c r="AN32" s="51">
        <f t="shared" ca="1" si="1"/>
        <v>1</v>
      </c>
      <c r="AO32" s="51">
        <f t="shared" ca="1" si="1"/>
        <v>1</v>
      </c>
      <c r="AP32" s="51" t="str">
        <f t="shared" si="1"/>
        <v/>
      </c>
      <c r="AQ32" s="51" t="str">
        <f t="shared" si="1"/>
        <v/>
      </c>
      <c r="AR32" s="51" t="str">
        <f t="shared" si="1"/>
        <v/>
      </c>
      <c r="AS32" s="51" t="str">
        <f t="shared" si="1"/>
        <v/>
      </c>
      <c r="AT32" s="51" t="str">
        <f t="shared" si="1"/>
        <v/>
      </c>
      <c r="AU32" s="51">
        <f t="shared" ca="1" si="1"/>
        <v>1</v>
      </c>
      <c r="AV32" s="51">
        <f t="shared" ca="1" si="1"/>
        <v>1</v>
      </c>
      <c r="AW32" s="51">
        <f t="shared" ca="1" si="1"/>
        <v>1</v>
      </c>
      <c r="AX32" s="51">
        <f t="shared" ca="1" si="1"/>
        <v>1</v>
      </c>
      <c r="AY32" s="51">
        <f t="shared" ca="1" si="1"/>
        <v>1</v>
      </c>
      <c r="AZ32" s="51">
        <f t="shared" ca="1" si="1"/>
        <v>1</v>
      </c>
      <c r="BA32" s="51">
        <f t="shared" ca="1" si="1"/>
        <v>1</v>
      </c>
      <c r="BB32" s="51">
        <f t="shared" ca="1" si="1"/>
        <v>1</v>
      </c>
      <c r="BC32" s="51">
        <f t="shared" ca="1" si="1"/>
        <v>1</v>
      </c>
      <c r="BD32" s="51">
        <f t="shared" ca="1" si="1"/>
        <v>1</v>
      </c>
      <c r="BE32" s="51">
        <f t="shared" ca="1" si="1"/>
        <v>1</v>
      </c>
      <c r="BF32" s="51">
        <f t="shared" ca="1" si="1"/>
        <v>1</v>
      </c>
      <c r="BG32" s="51">
        <f t="shared" ca="1" si="1"/>
        <v>1</v>
      </c>
      <c r="BH32" s="51">
        <f t="shared" ca="1" si="1"/>
        <v>1</v>
      </c>
      <c r="BI32" s="51" t="str">
        <f t="shared" si="1"/>
        <v/>
      </c>
      <c r="BJ32" s="51" t="str">
        <f t="shared" si="1"/>
        <v/>
      </c>
      <c r="BK32" s="51" t="str">
        <f t="shared" si="1"/>
        <v/>
      </c>
    </row>
    <row r="33" spans="2:63" x14ac:dyDescent="0.3">
      <c r="B33" s="128" t="e" cm="1">
        <f t="array" aca="1" ref="B33" ca="1">Notmerged(B4)</f>
        <v>#NAME?</v>
      </c>
      <c r="C33" s="128" t="e" cm="1">
        <f t="array" aca="1" ref="C33" ca="1">Notmerged(C4)</f>
        <v>#NAME?</v>
      </c>
      <c r="D33" s="128" t="e" cm="1">
        <f t="array" aca="1" ref="D33" ca="1">Notmerged(D4)</f>
        <v>#NAME?</v>
      </c>
      <c r="E33" s="128" t="e" cm="1">
        <f t="array" aca="1" ref="E33" ca="1">Notmerged(E4)</f>
        <v>#NAME?</v>
      </c>
      <c r="F33" s="128" t="e" cm="1">
        <f t="array" aca="1" ref="F33" ca="1">Notmerged(F4)</f>
        <v>#NAME?</v>
      </c>
      <c r="G33" s="128" t="e" cm="1">
        <f t="array" aca="1" ref="G33" ca="1">Notmerged(G4)</f>
        <v>#NAME?</v>
      </c>
      <c r="H33" s="128" t="e" cm="1">
        <f t="array" aca="1" ref="H33" ca="1">Notmerged(H4)</f>
        <v>#NAME?</v>
      </c>
      <c r="I33" s="128" t="e" cm="1">
        <f t="array" aca="1" ref="I33" ca="1">Notmerged(I4)</f>
        <v>#NAME?</v>
      </c>
      <c r="J33" s="128" t="e" cm="1">
        <f t="array" aca="1" ref="J33" ca="1">Notmerged(J4)</f>
        <v>#NAME?</v>
      </c>
      <c r="K33" s="128" t="e" cm="1">
        <f t="array" aca="1" ref="K33" ca="1">Notmerged(K4)</f>
        <v>#NAME?</v>
      </c>
      <c r="L33" s="128" t="e" cm="1">
        <f t="array" aca="1" ref="L33" ca="1">Notmerged(L4)</f>
        <v>#NAME?</v>
      </c>
      <c r="M33" s="128" t="e" cm="1">
        <f t="array" aca="1" ref="M33" ca="1">Notmerged(M4)</f>
        <v>#NAME?</v>
      </c>
      <c r="N33" s="128" t="e" cm="1">
        <f t="array" aca="1" ref="N33" ca="1">Notmerged(N4)</f>
        <v>#NAME?</v>
      </c>
      <c r="O33" s="128" t="e" cm="1">
        <f t="array" aca="1" ref="O33" ca="1">Notmerged(O4)</f>
        <v>#NAME?</v>
      </c>
      <c r="P33" s="128" t="e" cm="1">
        <f t="array" aca="1" ref="P33" ca="1">Notmerged(P4)</f>
        <v>#NAME?</v>
      </c>
      <c r="Q33" s="128" t="e" cm="1">
        <f t="array" aca="1" ref="Q33" ca="1">Notmerged(Q4)</f>
        <v>#NAME?</v>
      </c>
      <c r="R33" s="128" t="e" cm="1">
        <f t="array" aca="1" ref="R33" ca="1">Notmerged(R4)</f>
        <v>#NAME?</v>
      </c>
      <c r="S33" s="128" t="e" cm="1">
        <f t="array" aca="1" ref="S33" ca="1">Notmerged(S4)</f>
        <v>#NAME?</v>
      </c>
      <c r="T33" s="128" t="e" cm="1">
        <f t="array" aca="1" ref="T33" ca="1">Notmerged(T4)</f>
        <v>#NAME?</v>
      </c>
      <c r="U33" s="128" t="e" cm="1">
        <f t="array" aca="1" ref="U33" ca="1">Notmerged(U4)</f>
        <v>#NAME?</v>
      </c>
      <c r="V33" s="128" t="e" cm="1">
        <f t="array" aca="1" ref="V33" ca="1">Notmerged(V4)</f>
        <v>#NAME?</v>
      </c>
      <c r="W33" s="128" t="e" cm="1">
        <f t="array" aca="1" ref="W33" ca="1">Notmerged(W4)</f>
        <v>#NAME?</v>
      </c>
      <c r="X33" s="128" t="e" cm="1">
        <f t="array" aca="1" ref="X33" ca="1">Notmerged(X4)</f>
        <v>#NAME?</v>
      </c>
      <c r="Y33" s="128" t="e" cm="1">
        <f t="array" aca="1" ref="Y33" ca="1">Notmerged(Y4)</f>
        <v>#NAME?</v>
      </c>
      <c r="Z33" s="128" t="e" cm="1">
        <f t="array" aca="1" ref="Z33" ca="1">Notmerged(Z4)</f>
        <v>#NAME?</v>
      </c>
      <c r="AA33" s="128" t="e" cm="1">
        <f t="array" aca="1" ref="AA33" ca="1">Notmerged(AA4)</f>
        <v>#NAME?</v>
      </c>
      <c r="AB33" s="128" t="e" cm="1">
        <f t="array" aca="1" ref="AB33" ca="1">Notmerged(AB4)</f>
        <v>#NAME?</v>
      </c>
      <c r="AC33" s="128" t="e" cm="1">
        <f t="array" aca="1" ref="AC33" ca="1">Notmerged(AC4)</f>
        <v>#NAME?</v>
      </c>
      <c r="AD33" s="128" t="e" cm="1">
        <f t="array" aca="1" ref="AD33" ca="1">Notmerged(AD4)</f>
        <v>#NAME?</v>
      </c>
      <c r="AE33" s="128" t="e" cm="1">
        <f t="array" aca="1" ref="AE33" ca="1">Notmerged(AE4)</f>
        <v>#NAME?</v>
      </c>
      <c r="AF33" s="128" t="e" cm="1">
        <f t="array" aca="1" ref="AF33" ca="1">Notmerged(AF4)</f>
        <v>#NAME?</v>
      </c>
      <c r="AG33" s="128" t="e" cm="1">
        <f t="array" aca="1" ref="AG33" ca="1">Notmerged(AG4)</f>
        <v>#NAME?</v>
      </c>
      <c r="AH33" s="128" t="e" cm="1">
        <f t="array" aca="1" ref="AH33" ca="1">Notmerged(AH4)</f>
        <v>#NAME?</v>
      </c>
      <c r="AI33" s="128" t="e" cm="1">
        <f t="array" aca="1" ref="AI33" ca="1">Notmerged(AI4)</f>
        <v>#NAME?</v>
      </c>
      <c r="AJ33" s="128" t="e" cm="1">
        <f t="array" aca="1" ref="AJ33" ca="1">Notmerged(AJ4)</f>
        <v>#NAME?</v>
      </c>
      <c r="AK33" s="128" t="e" cm="1">
        <f t="array" aca="1" ref="AK33" ca="1">Notmerged(AK4)</f>
        <v>#NAME?</v>
      </c>
      <c r="AL33" s="128" t="e" cm="1">
        <f t="array" aca="1" ref="AL33" ca="1">Notmerged(AL4)</f>
        <v>#NAME?</v>
      </c>
      <c r="AM33" s="128" t="e" cm="1">
        <f t="array" aca="1" ref="AM33" ca="1">Notmerged(AM4)</f>
        <v>#NAME?</v>
      </c>
      <c r="AN33" s="128" t="e" cm="1">
        <f t="array" aca="1" ref="AN33" ca="1">Notmerged(AN4)</f>
        <v>#NAME?</v>
      </c>
      <c r="AO33" s="128" t="e" cm="1">
        <f t="array" aca="1" ref="AO33" ca="1">Notmerged(AO4)</f>
        <v>#NAME?</v>
      </c>
      <c r="AP33" s="128" t="e" cm="1">
        <f t="array" aca="1" ref="AP33" ca="1">Notmerged(AP4)</f>
        <v>#NAME?</v>
      </c>
      <c r="AQ33" s="128" t="e" cm="1">
        <f t="array" aca="1" ref="AQ33" ca="1">Notmerged(AQ4)</f>
        <v>#NAME?</v>
      </c>
      <c r="AR33" s="128" t="e" cm="1">
        <f t="array" aca="1" ref="AR33" ca="1">Notmerged(AR4)</f>
        <v>#NAME?</v>
      </c>
      <c r="AS33" s="128" t="e" cm="1">
        <f t="array" aca="1" ref="AS33" ca="1">Notmerged(AS4)</f>
        <v>#NAME?</v>
      </c>
      <c r="AT33" s="128" t="e" cm="1">
        <f t="array" aca="1" ref="AT33" ca="1">Notmerged(AT4)</f>
        <v>#NAME?</v>
      </c>
      <c r="AU33" s="128" t="e" cm="1">
        <f t="array" aca="1" ref="AU33" ca="1">Notmerged(AU4)</f>
        <v>#NAME?</v>
      </c>
      <c r="AV33" s="128" t="e" cm="1">
        <f t="array" aca="1" ref="AV33" ca="1">Notmerged(AV4)</f>
        <v>#NAME?</v>
      </c>
      <c r="AW33" s="128" t="e" cm="1">
        <f t="array" aca="1" ref="AW33" ca="1">Notmerged(AW4)</f>
        <v>#NAME?</v>
      </c>
      <c r="AX33" s="128" t="e" cm="1">
        <f t="array" aca="1" ref="AX33" ca="1">Notmerged(AX4)</f>
        <v>#NAME?</v>
      </c>
      <c r="AY33" s="128" t="e" cm="1">
        <f t="array" aca="1" ref="AY33" ca="1">Notmerged(AY4)</f>
        <v>#NAME?</v>
      </c>
      <c r="AZ33" s="128" t="e" cm="1">
        <f t="array" aca="1" ref="AZ33" ca="1">Notmerged(AZ4)</f>
        <v>#NAME?</v>
      </c>
      <c r="BA33" s="128" t="e" cm="1">
        <f t="array" aca="1" ref="BA33" ca="1">Notmerged(BA4)</f>
        <v>#NAME?</v>
      </c>
      <c r="BB33" s="128" t="e" cm="1">
        <f t="array" aca="1" ref="BB33" ca="1">Notmerged(BB4)</f>
        <v>#NAME?</v>
      </c>
      <c r="BC33" s="128" t="e" cm="1">
        <f t="array" aca="1" ref="BC33" ca="1">Notmerged(BC4)</f>
        <v>#NAME?</v>
      </c>
      <c r="BD33" s="128" t="e" cm="1">
        <f t="array" aca="1" ref="BD33" ca="1">Notmerged(BD4)</f>
        <v>#NAME?</v>
      </c>
      <c r="BE33" s="128" t="e" cm="1">
        <f t="array" aca="1" ref="BE33" ca="1">Notmerged(BE4)</f>
        <v>#NAME?</v>
      </c>
      <c r="BF33" s="128" t="e" cm="1">
        <f t="array" aca="1" ref="BF33" ca="1">Notmerged(BF4)</f>
        <v>#NAME?</v>
      </c>
      <c r="BG33" s="128" t="e" cm="1">
        <f t="array" aca="1" ref="BG33" ca="1">Notmerged(BG4)</f>
        <v>#NAME?</v>
      </c>
      <c r="BH33" s="128" t="e" cm="1">
        <f t="array" aca="1" ref="BH33" ca="1">Notmerged(BH4)</f>
        <v>#NAME?</v>
      </c>
      <c r="BI33" s="128" t="e" cm="1">
        <f t="array" aca="1" ref="BI33" ca="1">Notmerged(BI4)</f>
        <v>#NAME?</v>
      </c>
      <c r="BJ33" s="128" t="e" cm="1">
        <f t="array" aca="1" ref="BJ33" ca="1">Notmerged(BJ4)</f>
        <v>#NAME?</v>
      </c>
      <c r="BK33" s="128" t="e" cm="1">
        <f t="array" aca="1" ref="BK33" ca="1">Notmerged(BK4)</f>
        <v>#NAME?</v>
      </c>
    </row>
    <row r="34" spans="2:63" x14ac:dyDescent="0.3">
      <c r="B34" s="128" t="e" cm="1">
        <f t="array" aca="1" ref="B34" ca="1">Notmerged(B5)</f>
        <v>#NAME?</v>
      </c>
      <c r="C34" s="128" t="e" cm="1">
        <f t="array" aca="1" ref="C34" ca="1">Notmerged(C5)</f>
        <v>#NAME?</v>
      </c>
      <c r="D34" s="128" t="e" cm="1">
        <f t="array" aca="1" ref="D34" ca="1">Notmerged(D5)</f>
        <v>#NAME?</v>
      </c>
      <c r="E34" s="128" t="e" cm="1">
        <f t="array" aca="1" ref="E34" ca="1">Notmerged(E5)</f>
        <v>#NAME?</v>
      </c>
      <c r="F34" s="128" t="e" cm="1">
        <f t="array" aca="1" ref="F34" ca="1">Notmerged(F5)</f>
        <v>#NAME?</v>
      </c>
      <c r="G34" s="128" t="e" cm="1">
        <f t="array" aca="1" ref="G34" ca="1">Notmerged(G5)</f>
        <v>#NAME?</v>
      </c>
      <c r="H34" s="128" t="e" cm="1">
        <f t="array" aca="1" ref="H34" ca="1">Notmerged(H5)</f>
        <v>#NAME?</v>
      </c>
      <c r="I34" s="128" t="e" cm="1">
        <f t="array" aca="1" ref="I34" ca="1">Notmerged(I5)</f>
        <v>#NAME?</v>
      </c>
      <c r="J34" s="128" t="e" cm="1">
        <f t="array" aca="1" ref="J34" ca="1">Notmerged(J5)</f>
        <v>#NAME?</v>
      </c>
      <c r="K34" s="128" t="e" cm="1">
        <f t="array" aca="1" ref="K34" ca="1">Notmerged(K5)</f>
        <v>#NAME?</v>
      </c>
      <c r="L34" s="128" t="e" cm="1">
        <f t="array" aca="1" ref="L34" ca="1">Notmerged(L5)</f>
        <v>#NAME?</v>
      </c>
      <c r="M34" s="128" t="e" cm="1">
        <f t="array" aca="1" ref="M34" ca="1">Notmerged(M5)</f>
        <v>#NAME?</v>
      </c>
      <c r="N34" s="128" t="e" cm="1">
        <f t="array" aca="1" ref="N34" ca="1">Notmerged(N5)</f>
        <v>#NAME?</v>
      </c>
      <c r="O34" s="128" t="e" cm="1">
        <f t="array" aca="1" ref="O34" ca="1">Notmerged(O5)</f>
        <v>#NAME?</v>
      </c>
      <c r="P34" s="128" t="e" cm="1">
        <f t="array" aca="1" ref="P34" ca="1">Notmerged(P5)</f>
        <v>#NAME?</v>
      </c>
      <c r="Q34" s="128" t="e" cm="1">
        <f t="array" aca="1" ref="Q34" ca="1">Notmerged(Q5)</f>
        <v>#NAME?</v>
      </c>
      <c r="R34" s="128" t="e" cm="1">
        <f t="array" aca="1" ref="R34" ca="1">Notmerged(R5)</f>
        <v>#NAME?</v>
      </c>
      <c r="S34" s="128" t="e" cm="1">
        <f t="array" aca="1" ref="S34" ca="1">Notmerged(S5)</f>
        <v>#NAME?</v>
      </c>
      <c r="T34" s="128" t="e" cm="1">
        <f t="array" aca="1" ref="T34" ca="1">Notmerged(T5)</f>
        <v>#NAME?</v>
      </c>
      <c r="U34" s="128" t="e" cm="1">
        <f t="array" aca="1" ref="U34" ca="1">Notmerged(U5)</f>
        <v>#NAME?</v>
      </c>
      <c r="V34" s="128" t="e" cm="1">
        <f t="array" aca="1" ref="V34" ca="1">Notmerged(V5)</f>
        <v>#NAME?</v>
      </c>
      <c r="W34" s="128" t="e" cm="1">
        <f t="array" aca="1" ref="W34" ca="1">Notmerged(W5)</f>
        <v>#NAME?</v>
      </c>
      <c r="X34" s="128" t="e" cm="1">
        <f t="array" aca="1" ref="X34" ca="1">Notmerged(X5)</f>
        <v>#NAME?</v>
      </c>
      <c r="Y34" s="128" t="e" cm="1">
        <f t="array" aca="1" ref="Y34" ca="1">Notmerged(Y5)</f>
        <v>#NAME?</v>
      </c>
      <c r="Z34" s="128" t="e" cm="1">
        <f t="array" aca="1" ref="Z34" ca="1">Notmerged(Z5)</f>
        <v>#NAME?</v>
      </c>
      <c r="AA34" s="128" t="e" cm="1">
        <f t="array" aca="1" ref="AA34" ca="1">Notmerged(AA5)</f>
        <v>#NAME?</v>
      </c>
      <c r="AB34" s="128" t="e" cm="1">
        <f t="array" aca="1" ref="AB34" ca="1">Notmerged(AB5)</f>
        <v>#NAME?</v>
      </c>
      <c r="AC34" s="128" t="e" cm="1">
        <f t="array" aca="1" ref="AC34" ca="1">Notmerged(AC5)</f>
        <v>#NAME?</v>
      </c>
      <c r="AD34" s="128" t="e" cm="1">
        <f t="array" aca="1" ref="AD34" ca="1">Notmerged(AD5)</f>
        <v>#NAME?</v>
      </c>
      <c r="AE34" s="128" t="e" cm="1">
        <f t="array" aca="1" ref="AE34" ca="1">Notmerged(AE5)</f>
        <v>#NAME?</v>
      </c>
      <c r="AF34" s="128" t="e" cm="1">
        <f t="array" aca="1" ref="AF34" ca="1">Notmerged(AF5)</f>
        <v>#NAME?</v>
      </c>
      <c r="AG34" s="128" t="e" cm="1">
        <f t="array" aca="1" ref="AG34" ca="1">Notmerged(AG5)</f>
        <v>#NAME?</v>
      </c>
      <c r="AH34" s="128" t="e" cm="1">
        <f t="array" aca="1" ref="AH34" ca="1">Notmerged(AH5)</f>
        <v>#NAME?</v>
      </c>
      <c r="AI34" s="128" t="e" cm="1">
        <f t="array" aca="1" ref="AI34" ca="1">Notmerged(AI5)</f>
        <v>#NAME?</v>
      </c>
      <c r="AJ34" s="128" t="e" cm="1">
        <f t="array" aca="1" ref="AJ34" ca="1">Notmerged(AJ5)</f>
        <v>#NAME?</v>
      </c>
      <c r="AK34" s="128" t="e" cm="1">
        <f t="array" aca="1" ref="AK34" ca="1">Notmerged(AK5)</f>
        <v>#NAME?</v>
      </c>
      <c r="AL34" s="128" t="e" cm="1">
        <f t="array" aca="1" ref="AL34" ca="1">Notmerged(AL5)</f>
        <v>#NAME?</v>
      </c>
      <c r="AM34" s="128" t="e" cm="1">
        <f t="array" aca="1" ref="AM34" ca="1">Notmerged(AM5)</f>
        <v>#NAME?</v>
      </c>
      <c r="AN34" s="128" t="e" cm="1">
        <f t="array" aca="1" ref="AN34" ca="1">Notmerged(AN5)</f>
        <v>#NAME?</v>
      </c>
      <c r="AO34" s="128" t="e" cm="1">
        <f t="array" aca="1" ref="AO34" ca="1">Notmerged(AO5)</f>
        <v>#NAME?</v>
      </c>
      <c r="AP34" s="128" t="e" cm="1">
        <f t="array" aca="1" ref="AP34" ca="1">Notmerged(AP5)</f>
        <v>#NAME?</v>
      </c>
      <c r="AQ34" s="128" t="e" cm="1">
        <f t="array" aca="1" ref="AQ34" ca="1">Notmerged(AQ5)</f>
        <v>#NAME?</v>
      </c>
      <c r="AR34" s="128" t="e" cm="1">
        <f t="array" aca="1" ref="AR34" ca="1">Notmerged(AR5)</f>
        <v>#NAME?</v>
      </c>
      <c r="AS34" s="128" t="e" cm="1">
        <f t="array" aca="1" ref="AS34" ca="1">Notmerged(AS5)</f>
        <v>#NAME?</v>
      </c>
      <c r="AT34" s="128" t="e" cm="1">
        <f t="array" aca="1" ref="AT34" ca="1">Notmerged(AT5)</f>
        <v>#NAME?</v>
      </c>
      <c r="AU34" s="128" t="e" cm="1">
        <f t="array" aca="1" ref="AU34" ca="1">Notmerged(AU5)</f>
        <v>#NAME?</v>
      </c>
      <c r="AV34" s="128" t="e" cm="1">
        <f t="array" aca="1" ref="AV34" ca="1">Notmerged(AV5)</f>
        <v>#NAME?</v>
      </c>
      <c r="AW34" s="128" t="e" cm="1">
        <f t="array" aca="1" ref="AW34" ca="1">Notmerged(AW5)</f>
        <v>#NAME?</v>
      </c>
      <c r="AX34" s="128" t="e" cm="1">
        <f t="array" aca="1" ref="AX34" ca="1">Notmerged(AX5)</f>
        <v>#NAME?</v>
      </c>
      <c r="AY34" s="128" t="e" cm="1">
        <f t="array" aca="1" ref="AY34" ca="1">Notmerged(AY5)</f>
        <v>#NAME?</v>
      </c>
      <c r="AZ34" s="128" t="e" cm="1">
        <f t="array" aca="1" ref="AZ34" ca="1">Notmerged(AZ5)</f>
        <v>#NAME?</v>
      </c>
      <c r="BA34" s="128" t="e" cm="1">
        <f t="array" aca="1" ref="BA34" ca="1">Notmerged(BA5)</f>
        <v>#NAME?</v>
      </c>
      <c r="BB34" s="128" t="e" cm="1">
        <f t="array" aca="1" ref="BB34" ca="1">Notmerged(BB5)</f>
        <v>#NAME?</v>
      </c>
      <c r="BC34" s="128" t="e" cm="1">
        <f t="array" aca="1" ref="BC34" ca="1">Notmerged(BC5)</f>
        <v>#NAME?</v>
      </c>
      <c r="BD34" s="128" t="e" cm="1">
        <f t="array" aca="1" ref="BD34" ca="1">Notmerged(BD5)</f>
        <v>#NAME?</v>
      </c>
      <c r="BE34" s="128" t="e" cm="1">
        <f t="array" aca="1" ref="BE34" ca="1">Notmerged(BE5)</f>
        <v>#NAME?</v>
      </c>
      <c r="BF34" s="128" t="e" cm="1">
        <f t="array" aca="1" ref="BF34" ca="1">Notmerged(BF5)</f>
        <v>#NAME?</v>
      </c>
      <c r="BG34" s="128" t="e" cm="1">
        <f t="array" aca="1" ref="BG34" ca="1">Notmerged(BG5)</f>
        <v>#NAME?</v>
      </c>
      <c r="BH34" s="128" t="e" cm="1">
        <f t="array" aca="1" ref="BH34" ca="1">Notmerged(BH5)</f>
        <v>#NAME?</v>
      </c>
      <c r="BI34" s="128" t="e" cm="1">
        <f t="array" aca="1" ref="BI34" ca="1">Notmerged(BI5)</f>
        <v>#NAME?</v>
      </c>
      <c r="BJ34" s="128" t="e" cm="1">
        <f t="array" aca="1" ref="BJ34" ca="1">Notmerged(BJ5)</f>
        <v>#NAME?</v>
      </c>
      <c r="BK34" s="128" t="e" cm="1">
        <f t="array" aca="1" ref="BK34" ca="1">Notmerged(BK5)</f>
        <v>#NAME?</v>
      </c>
    </row>
    <row r="35" spans="2:63" x14ac:dyDescent="0.3">
      <c r="B35" s="128" t="e" cm="1">
        <f t="array" aca="1" ref="B35" ca="1">Notmerged(B6)</f>
        <v>#NAME?</v>
      </c>
      <c r="C35" s="128" t="e" cm="1">
        <f t="array" aca="1" ref="C35" ca="1">Notmerged(C6)</f>
        <v>#NAME?</v>
      </c>
      <c r="D35" s="128" t="e" cm="1">
        <f t="array" aca="1" ref="D35" ca="1">Notmerged(D6)</f>
        <v>#NAME?</v>
      </c>
      <c r="E35" s="128" t="e" cm="1">
        <f t="array" aca="1" ref="E35" ca="1">Notmerged(E6)</f>
        <v>#NAME?</v>
      </c>
      <c r="F35" s="128" t="e" cm="1">
        <f t="array" aca="1" ref="F35" ca="1">Notmerged(F6)</f>
        <v>#NAME?</v>
      </c>
      <c r="G35" s="128" t="e" cm="1">
        <f t="array" aca="1" ref="G35" ca="1">Notmerged(G6)</f>
        <v>#NAME?</v>
      </c>
      <c r="H35" s="128" t="e" cm="1">
        <f t="array" aca="1" ref="H35" ca="1">Notmerged(H6)</f>
        <v>#NAME?</v>
      </c>
      <c r="I35" s="128" t="e" cm="1">
        <f t="array" aca="1" ref="I35" ca="1">Notmerged(I6)</f>
        <v>#NAME?</v>
      </c>
      <c r="J35" s="128" t="e" cm="1">
        <f t="array" aca="1" ref="J35" ca="1">Notmerged(J6)</f>
        <v>#NAME?</v>
      </c>
      <c r="K35" s="128" t="e" cm="1">
        <f t="array" aca="1" ref="K35" ca="1">Notmerged(K6)</f>
        <v>#NAME?</v>
      </c>
      <c r="L35" s="128" t="e" cm="1">
        <f t="array" aca="1" ref="L35" ca="1">Notmerged(L6)</f>
        <v>#NAME?</v>
      </c>
      <c r="M35" s="128" t="e" cm="1">
        <f t="array" aca="1" ref="M35" ca="1">Notmerged(M6)</f>
        <v>#NAME?</v>
      </c>
      <c r="N35" s="128" t="e" cm="1">
        <f t="array" aca="1" ref="N35" ca="1">Notmerged(N6)</f>
        <v>#NAME?</v>
      </c>
      <c r="O35" s="128" t="e" cm="1">
        <f t="array" aca="1" ref="O35" ca="1">Notmerged(O6)</f>
        <v>#NAME?</v>
      </c>
      <c r="P35" s="128" t="e" cm="1">
        <f t="array" aca="1" ref="P35" ca="1">Notmerged(P6)</f>
        <v>#NAME?</v>
      </c>
      <c r="Q35" s="128" t="e" cm="1">
        <f t="array" aca="1" ref="Q35" ca="1">Notmerged(Q6)</f>
        <v>#NAME?</v>
      </c>
      <c r="R35" s="128" t="e" cm="1">
        <f t="array" aca="1" ref="R35" ca="1">Notmerged(R6)</f>
        <v>#NAME?</v>
      </c>
      <c r="S35" s="128" t="e" cm="1">
        <f t="array" aca="1" ref="S35" ca="1">Notmerged(S6)</f>
        <v>#NAME?</v>
      </c>
      <c r="T35" s="128" t="e" cm="1">
        <f t="array" aca="1" ref="T35" ca="1">Notmerged(T6)</f>
        <v>#NAME?</v>
      </c>
      <c r="U35" s="128" t="e" cm="1">
        <f t="array" aca="1" ref="U35" ca="1">Notmerged(U6)</f>
        <v>#NAME?</v>
      </c>
      <c r="V35" s="128" t="e" cm="1">
        <f t="array" aca="1" ref="V35" ca="1">Notmerged(V6)</f>
        <v>#NAME?</v>
      </c>
      <c r="W35" s="128" t="e" cm="1">
        <f t="array" aca="1" ref="W35" ca="1">Notmerged(W6)</f>
        <v>#NAME?</v>
      </c>
      <c r="X35" s="128" t="e" cm="1">
        <f t="array" aca="1" ref="X35" ca="1">Notmerged(X6)</f>
        <v>#NAME?</v>
      </c>
      <c r="Y35" s="128" t="e" cm="1">
        <f t="array" aca="1" ref="Y35" ca="1">Notmerged(Y6)</f>
        <v>#NAME?</v>
      </c>
      <c r="Z35" s="128" t="e" cm="1">
        <f t="array" aca="1" ref="Z35" ca="1">Notmerged(Z6)</f>
        <v>#NAME?</v>
      </c>
      <c r="AA35" s="128" t="e" cm="1">
        <f t="array" aca="1" ref="AA35" ca="1">Notmerged(AA6)</f>
        <v>#NAME?</v>
      </c>
      <c r="AB35" s="128" t="e" cm="1">
        <f t="array" aca="1" ref="AB35" ca="1">Notmerged(AB6)</f>
        <v>#NAME?</v>
      </c>
      <c r="AC35" s="128" t="e" cm="1">
        <f t="array" aca="1" ref="AC35" ca="1">Notmerged(AC6)</f>
        <v>#NAME?</v>
      </c>
      <c r="AD35" s="128" t="e" cm="1">
        <f t="array" aca="1" ref="AD35" ca="1">Notmerged(AD6)</f>
        <v>#NAME?</v>
      </c>
      <c r="AE35" s="128" t="e" cm="1">
        <f t="array" aca="1" ref="AE35" ca="1">Notmerged(AE6)</f>
        <v>#NAME?</v>
      </c>
      <c r="AF35" s="128" t="e" cm="1">
        <f t="array" aca="1" ref="AF35" ca="1">Notmerged(AF6)</f>
        <v>#NAME?</v>
      </c>
      <c r="AG35" s="128" t="e" cm="1">
        <f t="array" aca="1" ref="AG35" ca="1">Notmerged(AG6)</f>
        <v>#NAME?</v>
      </c>
      <c r="AH35" s="128" t="e" cm="1">
        <f t="array" aca="1" ref="AH35" ca="1">Notmerged(AH6)</f>
        <v>#NAME?</v>
      </c>
      <c r="AI35" s="128" t="e" cm="1">
        <f t="array" aca="1" ref="AI35" ca="1">Notmerged(AI6)</f>
        <v>#NAME?</v>
      </c>
      <c r="AJ35" s="128" t="e" cm="1">
        <f t="array" aca="1" ref="AJ35" ca="1">Notmerged(AJ6)</f>
        <v>#NAME?</v>
      </c>
      <c r="AK35" s="128" t="e" cm="1">
        <f t="array" aca="1" ref="AK35" ca="1">Notmerged(AK6)</f>
        <v>#NAME?</v>
      </c>
      <c r="AL35" s="128" t="e" cm="1">
        <f t="array" aca="1" ref="AL35" ca="1">Notmerged(AL6)</f>
        <v>#NAME?</v>
      </c>
      <c r="AM35" s="128" t="e" cm="1">
        <f t="array" aca="1" ref="AM35" ca="1">Notmerged(AM6)</f>
        <v>#NAME?</v>
      </c>
      <c r="AN35" s="128" t="e" cm="1">
        <f t="array" aca="1" ref="AN35" ca="1">Notmerged(AN6)</f>
        <v>#NAME?</v>
      </c>
      <c r="AO35" s="128" t="e" cm="1">
        <f t="array" aca="1" ref="AO35" ca="1">Notmerged(AO6)</f>
        <v>#NAME?</v>
      </c>
      <c r="AP35" s="128" t="e" cm="1">
        <f t="array" aca="1" ref="AP35" ca="1">Notmerged(AP6)</f>
        <v>#NAME?</v>
      </c>
      <c r="AQ35" s="128" t="e" cm="1">
        <f t="array" aca="1" ref="AQ35" ca="1">Notmerged(AQ6)</f>
        <v>#NAME?</v>
      </c>
      <c r="AR35" s="128" t="e" cm="1">
        <f t="array" aca="1" ref="AR35" ca="1">Notmerged(AR6)</f>
        <v>#NAME?</v>
      </c>
      <c r="AS35" s="128" t="e" cm="1">
        <f t="array" aca="1" ref="AS35" ca="1">Notmerged(AS6)</f>
        <v>#NAME?</v>
      </c>
      <c r="AT35" s="128" t="e" cm="1">
        <f t="array" aca="1" ref="AT35" ca="1">Notmerged(AT6)</f>
        <v>#NAME?</v>
      </c>
      <c r="AU35" s="128" t="e" cm="1">
        <f t="array" aca="1" ref="AU35" ca="1">Notmerged(AU6)</f>
        <v>#NAME?</v>
      </c>
      <c r="AV35" s="128" t="e" cm="1">
        <f t="array" aca="1" ref="AV35" ca="1">Notmerged(AV6)</f>
        <v>#NAME?</v>
      </c>
      <c r="AW35" s="128" t="e" cm="1">
        <f t="array" aca="1" ref="AW35" ca="1">Notmerged(AW6)</f>
        <v>#NAME?</v>
      </c>
      <c r="AX35" s="128" t="e" cm="1">
        <f t="array" aca="1" ref="AX35" ca="1">Notmerged(AX6)</f>
        <v>#NAME?</v>
      </c>
      <c r="AY35" s="128" t="e" cm="1">
        <f t="array" aca="1" ref="AY35" ca="1">Notmerged(AY6)</f>
        <v>#NAME?</v>
      </c>
      <c r="AZ35" s="128" t="e" cm="1">
        <f t="array" aca="1" ref="AZ35" ca="1">Notmerged(AZ6)</f>
        <v>#NAME?</v>
      </c>
      <c r="BA35" s="128" t="e" cm="1">
        <f t="array" aca="1" ref="BA35" ca="1">Notmerged(BA6)</f>
        <v>#NAME?</v>
      </c>
      <c r="BB35" s="128" t="e" cm="1">
        <f t="array" aca="1" ref="BB35" ca="1">Notmerged(BB6)</f>
        <v>#NAME?</v>
      </c>
      <c r="BC35" s="128" t="e" cm="1">
        <f t="array" aca="1" ref="BC35" ca="1">Notmerged(BC6)</f>
        <v>#NAME?</v>
      </c>
      <c r="BD35" s="128" t="e" cm="1">
        <f t="array" aca="1" ref="BD35" ca="1">Notmerged(BD6)</f>
        <v>#NAME?</v>
      </c>
      <c r="BE35" s="128" t="e" cm="1">
        <f t="array" aca="1" ref="BE35" ca="1">Notmerged(BE6)</f>
        <v>#NAME?</v>
      </c>
      <c r="BF35" s="128" t="e" cm="1">
        <f t="array" aca="1" ref="BF35" ca="1">Notmerged(BF6)</f>
        <v>#NAME?</v>
      </c>
      <c r="BG35" s="128" t="e" cm="1">
        <f t="array" aca="1" ref="BG35" ca="1">Notmerged(BG6)</f>
        <v>#NAME?</v>
      </c>
      <c r="BH35" s="128" t="e" cm="1">
        <f t="array" aca="1" ref="BH35" ca="1">Notmerged(BH6)</f>
        <v>#NAME?</v>
      </c>
      <c r="BI35" s="128" t="e" cm="1">
        <f t="array" aca="1" ref="BI35" ca="1">Notmerged(BI6)</f>
        <v>#NAME?</v>
      </c>
      <c r="BJ35" s="128" t="e" cm="1">
        <f t="array" aca="1" ref="BJ35" ca="1">Notmerged(BJ6)</f>
        <v>#NAME?</v>
      </c>
      <c r="BK35" s="128" t="e" cm="1">
        <f t="array" aca="1" ref="BK35" ca="1">Notmerged(BK6)</f>
        <v>#NAME?</v>
      </c>
    </row>
    <row r="36" spans="2:63" x14ac:dyDescent="0.3">
      <c r="B36" s="128" t="e" cm="1">
        <f t="array" aca="1" ref="B36" ca="1">Notmerged(B7)</f>
        <v>#NAME?</v>
      </c>
      <c r="C36" s="128" t="e" cm="1">
        <f t="array" aca="1" ref="C36" ca="1">Notmerged(C7)</f>
        <v>#NAME?</v>
      </c>
      <c r="D36" s="128" t="e" cm="1">
        <f t="array" aca="1" ref="D36" ca="1">Notmerged(D7)</f>
        <v>#NAME?</v>
      </c>
      <c r="E36" s="128" t="e" cm="1">
        <f t="array" aca="1" ref="E36" ca="1">Notmerged(E7)</f>
        <v>#NAME?</v>
      </c>
      <c r="F36" s="128" t="e" cm="1">
        <f t="array" aca="1" ref="F36" ca="1">Notmerged(F7)</f>
        <v>#NAME?</v>
      </c>
      <c r="G36" s="128" t="e" cm="1">
        <f t="array" aca="1" ref="G36" ca="1">Notmerged(G7)</f>
        <v>#NAME?</v>
      </c>
      <c r="H36" s="128" t="e" cm="1">
        <f t="array" aca="1" ref="H36" ca="1">Notmerged(H7)</f>
        <v>#NAME?</v>
      </c>
      <c r="I36" s="128" t="e" cm="1">
        <f t="array" aca="1" ref="I36" ca="1">Notmerged(I7)</f>
        <v>#NAME?</v>
      </c>
      <c r="J36" s="128" t="e" cm="1">
        <f t="array" aca="1" ref="J36" ca="1">Notmerged(J7)</f>
        <v>#NAME?</v>
      </c>
      <c r="K36" s="128" t="e" cm="1">
        <f t="array" aca="1" ref="K36" ca="1">Notmerged(K7)</f>
        <v>#NAME?</v>
      </c>
      <c r="L36" s="128" t="e" cm="1">
        <f t="array" aca="1" ref="L36" ca="1">Notmerged(L7)</f>
        <v>#NAME?</v>
      </c>
      <c r="M36" s="128" t="e" cm="1">
        <f t="array" aca="1" ref="M36" ca="1">Notmerged(M7)</f>
        <v>#NAME?</v>
      </c>
      <c r="N36" s="128" t="e" cm="1">
        <f t="array" aca="1" ref="N36" ca="1">Notmerged(N7)</f>
        <v>#NAME?</v>
      </c>
      <c r="O36" s="128" t="e" cm="1">
        <f t="array" aca="1" ref="O36" ca="1">Notmerged(O7)</f>
        <v>#NAME?</v>
      </c>
      <c r="P36" s="128" t="e" cm="1">
        <f t="array" aca="1" ref="P36" ca="1">Notmerged(P7)</f>
        <v>#NAME?</v>
      </c>
      <c r="Q36" s="128" t="e" cm="1">
        <f t="array" aca="1" ref="Q36" ca="1">Notmerged(Q7)</f>
        <v>#NAME?</v>
      </c>
      <c r="R36" s="128" t="e" cm="1">
        <f t="array" aca="1" ref="R36" ca="1">Notmerged(R7)</f>
        <v>#NAME?</v>
      </c>
      <c r="S36" s="128" t="e" cm="1">
        <f t="array" aca="1" ref="S36" ca="1">Notmerged(S7)</f>
        <v>#NAME?</v>
      </c>
      <c r="T36" s="128" t="e" cm="1">
        <f t="array" aca="1" ref="T36" ca="1">Notmerged(T7)</f>
        <v>#NAME?</v>
      </c>
      <c r="U36" s="128" t="e" cm="1">
        <f t="array" aca="1" ref="U36" ca="1">Notmerged(U7)</f>
        <v>#NAME?</v>
      </c>
      <c r="V36" s="128" t="e" cm="1">
        <f t="array" aca="1" ref="V36" ca="1">Notmerged(V7)</f>
        <v>#NAME?</v>
      </c>
      <c r="W36" s="128" t="e" cm="1">
        <f t="array" aca="1" ref="W36" ca="1">Notmerged(W7)</f>
        <v>#NAME?</v>
      </c>
      <c r="X36" s="128" t="e" cm="1">
        <f t="array" aca="1" ref="X36" ca="1">Notmerged(X7)</f>
        <v>#NAME?</v>
      </c>
      <c r="Y36" s="128" t="e" cm="1">
        <f t="array" aca="1" ref="Y36" ca="1">Notmerged(Y7)</f>
        <v>#NAME?</v>
      </c>
      <c r="Z36" s="128" t="e" cm="1">
        <f t="array" aca="1" ref="Z36" ca="1">Notmerged(Z7)</f>
        <v>#NAME?</v>
      </c>
      <c r="AA36" s="128" t="e" cm="1">
        <f t="array" aca="1" ref="AA36" ca="1">Notmerged(AA7)</f>
        <v>#NAME?</v>
      </c>
      <c r="AB36" s="128" t="e" cm="1">
        <f t="array" aca="1" ref="AB36" ca="1">Notmerged(AB7)</f>
        <v>#NAME?</v>
      </c>
      <c r="AC36" s="128" t="e" cm="1">
        <f t="array" aca="1" ref="AC36" ca="1">Notmerged(AC7)</f>
        <v>#NAME?</v>
      </c>
      <c r="AD36" s="128" t="e" cm="1">
        <f t="array" aca="1" ref="AD36" ca="1">Notmerged(AD7)</f>
        <v>#NAME?</v>
      </c>
      <c r="AE36" s="128" t="e" cm="1">
        <f t="array" aca="1" ref="AE36" ca="1">Notmerged(AE7)</f>
        <v>#NAME?</v>
      </c>
      <c r="AF36" s="128" t="e" cm="1">
        <f t="array" aca="1" ref="AF36" ca="1">Notmerged(AF7)</f>
        <v>#NAME?</v>
      </c>
      <c r="AG36" s="128" t="e" cm="1">
        <f t="array" aca="1" ref="AG36" ca="1">Notmerged(AG7)</f>
        <v>#NAME?</v>
      </c>
      <c r="AH36" s="128" t="e" cm="1">
        <f t="array" aca="1" ref="AH36" ca="1">Notmerged(AH7)</f>
        <v>#NAME?</v>
      </c>
      <c r="AI36" s="128" t="e" cm="1">
        <f t="array" aca="1" ref="AI36" ca="1">Notmerged(AI7)</f>
        <v>#NAME?</v>
      </c>
      <c r="AJ36" s="128" t="e" cm="1">
        <f t="array" aca="1" ref="AJ36" ca="1">Notmerged(AJ7)</f>
        <v>#NAME?</v>
      </c>
      <c r="AK36" s="128" t="e" cm="1">
        <f t="array" aca="1" ref="AK36" ca="1">Notmerged(AK7)</f>
        <v>#NAME?</v>
      </c>
      <c r="AL36" s="128" t="e" cm="1">
        <f t="array" aca="1" ref="AL36" ca="1">Notmerged(AL7)</f>
        <v>#NAME?</v>
      </c>
      <c r="AM36" s="128" t="e" cm="1">
        <f t="array" aca="1" ref="AM36" ca="1">Notmerged(AM7)</f>
        <v>#NAME?</v>
      </c>
      <c r="AN36" s="128" t="e" cm="1">
        <f t="array" aca="1" ref="AN36" ca="1">Notmerged(AN7)</f>
        <v>#NAME?</v>
      </c>
      <c r="AO36" s="128" t="e" cm="1">
        <f t="array" aca="1" ref="AO36" ca="1">Notmerged(AO7)</f>
        <v>#NAME?</v>
      </c>
      <c r="AP36" s="128" t="e" cm="1">
        <f t="array" aca="1" ref="AP36" ca="1">Notmerged(AP7)</f>
        <v>#NAME?</v>
      </c>
      <c r="AQ36" s="128" t="e" cm="1">
        <f t="array" aca="1" ref="AQ36" ca="1">Notmerged(AQ7)</f>
        <v>#NAME?</v>
      </c>
      <c r="AR36" s="128" t="e" cm="1">
        <f t="array" aca="1" ref="AR36" ca="1">Notmerged(AR7)</f>
        <v>#NAME?</v>
      </c>
      <c r="AS36" s="128" t="e" cm="1">
        <f t="array" aca="1" ref="AS36" ca="1">Notmerged(AS7)</f>
        <v>#NAME?</v>
      </c>
      <c r="AT36" s="128" t="e" cm="1">
        <f t="array" aca="1" ref="AT36" ca="1">Notmerged(AT7)</f>
        <v>#NAME?</v>
      </c>
      <c r="AU36" s="128" t="e" cm="1">
        <f t="array" aca="1" ref="AU36" ca="1">Notmerged(AU7)</f>
        <v>#NAME?</v>
      </c>
      <c r="AV36" s="128" t="e" cm="1">
        <f t="array" aca="1" ref="AV36" ca="1">Notmerged(AV7)</f>
        <v>#NAME?</v>
      </c>
      <c r="AW36" s="128" t="e" cm="1">
        <f t="array" aca="1" ref="AW36" ca="1">Notmerged(AW7)</f>
        <v>#NAME?</v>
      </c>
      <c r="AX36" s="128" t="e" cm="1">
        <f t="array" aca="1" ref="AX36" ca="1">Notmerged(AX7)</f>
        <v>#NAME?</v>
      </c>
      <c r="AY36" s="128" t="e" cm="1">
        <f t="array" aca="1" ref="AY36" ca="1">Notmerged(AY7)</f>
        <v>#NAME?</v>
      </c>
      <c r="AZ36" s="128" t="e" cm="1">
        <f t="array" aca="1" ref="AZ36" ca="1">Notmerged(AZ7)</f>
        <v>#NAME?</v>
      </c>
      <c r="BA36" s="128" t="e" cm="1">
        <f t="array" aca="1" ref="BA36" ca="1">Notmerged(BA7)</f>
        <v>#NAME?</v>
      </c>
      <c r="BB36" s="128" t="e" cm="1">
        <f t="array" aca="1" ref="BB36" ca="1">Notmerged(BB7)</f>
        <v>#NAME?</v>
      </c>
      <c r="BC36" s="128" t="e" cm="1">
        <f t="array" aca="1" ref="BC36" ca="1">Notmerged(BC7)</f>
        <v>#NAME?</v>
      </c>
      <c r="BD36" s="128" t="e" cm="1">
        <f t="array" aca="1" ref="BD36" ca="1">Notmerged(BD7)</f>
        <v>#NAME?</v>
      </c>
      <c r="BE36" s="128" t="e" cm="1">
        <f t="array" aca="1" ref="BE36" ca="1">Notmerged(BE7)</f>
        <v>#NAME?</v>
      </c>
      <c r="BF36" s="128" t="e" cm="1">
        <f t="array" aca="1" ref="BF36" ca="1">Notmerged(BF7)</f>
        <v>#NAME?</v>
      </c>
      <c r="BG36" s="128" t="e" cm="1">
        <f t="array" aca="1" ref="BG36" ca="1">Notmerged(BG7)</f>
        <v>#NAME?</v>
      </c>
      <c r="BH36" s="128" t="e" cm="1">
        <f t="array" aca="1" ref="BH36" ca="1">Notmerged(BH7)</f>
        <v>#NAME?</v>
      </c>
      <c r="BI36" s="128" t="e" cm="1">
        <f t="array" aca="1" ref="BI36" ca="1">Notmerged(BI7)</f>
        <v>#NAME?</v>
      </c>
      <c r="BJ36" s="128" t="e" cm="1">
        <f t="array" aca="1" ref="BJ36" ca="1">Notmerged(BJ7)</f>
        <v>#NAME?</v>
      </c>
      <c r="BK36" s="128" t="e" cm="1">
        <f t="array" aca="1" ref="BK36" ca="1">Notmerged(BK7)</f>
        <v>#NAME?</v>
      </c>
    </row>
    <row r="37" spans="2:63" x14ac:dyDescent="0.3">
      <c r="B37" s="128" t="e" cm="1">
        <f t="array" aca="1" ref="B37" ca="1">Notmerged(B8)</f>
        <v>#NAME?</v>
      </c>
      <c r="C37" s="128" t="e" cm="1">
        <f t="array" aca="1" ref="C37" ca="1">Notmerged(C8)</f>
        <v>#NAME?</v>
      </c>
      <c r="D37" s="128" t="e" cm="1">
        <f t="array" aca="1" ref="D37" ca="1">Notmerged(D8)</f>
        <v>#NAME?</v>
      </c>
      <c r="E37" s="128" t="e" cm="1">
        <f t="array" aca="1" ref="E37" ca="1">Notmerged(E8)</f>
        <v>#NAME?</v>
      </c>
      <c r="F37" s="128" t="e" cm="1">
        <f t="array" aca="1" ref="F37" ca="1">Notmerged(F8)</f>
        <v>#NAME?</v>
      </c>
      <c r="G37" s="128" t="e" cm="1">
        <f t="array" aca="1" ref="G37" ca="1">Notmerged(G8)</f>
        <v>#NAME?</v>
      </c>
      <c r="H37" s="128" t="e" cm="1">
        <f t="array" aca="1" ref="H37" ca="1">Notmerged(H8)</f>
        <v>#NAME?</v>
      </c>
      <c r="I37" s="128" t="e" cm="1">
        <f t="array" aca="1" ref="I37" ca="1">Notmerged(I8)</f>
        <v>#NAME?</v>
      </c>
      <c r="J37" s="128" t="e" cm="1">
        <f t="array" aca="1" ref="J37" ca="1">Notmerged(J8)</f>
        <v>#NAME?</v>
      </c>
      <c r="K37" s="128" t="e" cm="1">
        <f t="array" aca="1" ref="K37" ca="1">Notmerged(K8)</f>
        <v>#NAME?</v>
      </c>
      <c r="L37" s="128" t="e" cm="1">
        <f t="array" aca="1" ref="L37" ca="1">Notmerged(L8)</f>
        <v>#NAME?</v>
      </c>
      <c r="M37" s="128" t="e" cm="1">
        <f t="array" aca="1" ref="M37" ca="1">Notmerged(M8)</f>
        <v>#NAME?</v>
      </c>
      <c r="N37" s="128" t="e" cm="1">
        <f t="array" aca="1" ref="N37" ca="1">Notmerged(N8)</f>
        <v>#NAME?</v>
      </c>
      <c r="O37" s="128" t="e" cm="1">
        <f t="array" aca="1" ref="O37" ca="1">Notmerged(O8)</f>
        <v>#NAME?</v>
      </c>
      <c r="P37" s="128" t="e" cm="1">
        <f t="array" aca="1" ref="P37" ca="1">Notmerged(P8)</f>
        <v>#NAME?</v>
      </c>
      <c r="Q37" s="128" t="e" cm="1">
        <f t="array" aca="1" ref="Q37" ca="1">Notmerged(Q8)</f>
        <v>#NAME?</v>
      </c>
      <c r="R37" s="128" t="e" cm="1">
        <f t="array" aca="1" ref="R37" ca="1">Notmerged(R8)</f>
        <v>#NAME?</v>
      </c>
      <c r="S37" s="128" t="e" cm="1">
        <f t="array" aca="1" ref="S37" ca="1">Notmerged(S8)</f>
        <v>#NAME?</v>
      </c>
      <c r="T37" s="128" t="e" cm="1">
        <f t="array" aca="1" ref="T37" ca="1">Notmerged(T8)</f>
        <v>#NAME?</v>
      </c>
      <c r="U37" s="128" t="e" cm="1">
        <f t="array" aca="1" ref="U37" ca="1">Notmerged(U8)</f>
        <v>#NAME?</v>
      </c>
      <c r="V37" s="128" t="e" cm="1">
        <f t="array" aca="1" ref="V37" ca="1">Notmerged(V8)</f>
        <v>#NAME?</v>
      </c>
      <c r="W37" s="128" t="e" cm="1">
        <f t="array" aca="1" ref="W37" ca="1">Notmerged(W8)</f>
        <v>#NAME?</v>
      </c>
      <c r="X37" s="128" t="e" cm="1">
        <f t="array" aca="1" ref="X37" ca="1">Notmerged(X8)</f>
        <v>#NAME?</v>
      </c>
      <c r="Y37" s="128" t="e" cm="1">
        <f t="array" aca="1" ref="Y37" ca="1">Notmerged(Y8)</f>
        <v>#NAME?</v>
      </c>
      <c r="Z37" s="128" t="e" cm="1">
        <f t="array" aca="1" ref="Z37" ca="1">Notmerged(Z8)</f>
        <v>#NAME?</v>
      </c>
      <c r="AA37" s="128" t="e" cm="1">
        <f t="array" aca="1" ref="AA37" ca="1">Notmerged(AA8)</f>
        <v>#NAME?</v>
      </c>
      <c r="AB37" s="128" t="e" cm="1">
        <f t="array" aca="1" ref="AB37" ca="1">Notmerged(AB8)</f>
        <v>#NAME?</v>
      </c>
      <c r="AC37" s="128" t="e" cm="1">
        <f t="array" aca="1" ref="AC37" ca="1">Notmerged(AC8)</f>
        <v>#NAME?</v>
      </c>
      <c r="AD37" s="128" t="e" cm="1">
        <f t="array" aca="1" ref="AD37" ca="1">Notmerged(AD8)</f>
        <v>#NAME?</v>
      </c>
      <c r="AE37" s="128" t="e" cm="1">
        <f t="array" aca="1" ref="AE37" ca="1">Notmerged(AE8)</f>
        <v>#NAME?</v>
      </c>
      <c r="AF37" s="128" t="e" cm="1">
        <f t="array" aca="1" ref="AF37" ca="1">Notmerged(AF8)</f>
        <v>#NAME?</v>
      </c>
      <c r="AG37" s="128" t="e" cm="1">
        <f t="array" aca="1" ref="AG37" ca="1">Notmerged(AG8)</f>
        <v>#NAME?</v>
      </c>
      <c r="AH37" s="128" t="e" cm="1">
        <f t="array" aca="1" ref="AH37" ca="1">Notmerged(AH8)</f>
        <v>#NAME?</v>
      </c>
      <c r="AI37" s="128" t="e" cm="1">
        <f t="array" aca="1" ref="AI37" ca="1">Notmerged(AI8)</f>
        <v>#NAME?</v>
      </c>
      <c r="AJ37" s="128" t="e" cm="1">
        <f t="array" aca="1" ref="AJ37" ca="1">Notmerged(AJ8)</f>
        <v>#NAME?</v>
      </c>
      <c r="AK37" s="128" t="e" cm="1">
        <f t="array" aca="1" ref="AK37" ca="1">Notmerged(AK8)</f>
        <v>#NAME?</v>
      </c>
      <c r="AL37" s="128" t="e" cm="1">
        <f t="array" aca="1" ref="AL37" ca="1">Notmerged(AL8)</f>
        <v>#NAME?</v>
      </c>
      <c r="AM37" s="128" t="e" cm="1">
        <f t="array" aca="1" ref="AM37" ca="1">Notmerged(AM8)</f>
        <v>#NAME?</v>
      </c>
      <c r="AN37" s="128" t="e" cm="1">
        <f t="array" aca="1" ref="AN37" ca="1">Notmerged(AN8)</f>
        <v>#NAME?</v>
      </c>
      <c r="AO37" s="128" t="e" cm="1">
        <f t="array" aca="1" ref="AO37" ca="1">Notmerged(AO8)</f>
        <v>#NAME?</v>
      </c>
      <c r="AP37" s="128" t="e" cm="1">
        <f t="array" aca="1" ref="AP37" ca="1">Notmerged(AP8)</f>
        <v>#NAME?</v>
      </c>
      <c r="AQ37" s="128" t="e" cm="1">
        <f t="array" aca="1" ref="AQ37" ca="1">Notmerged(AQ8)</f>
        <v>#NAME?</v>
      </c>
      <c r="AR37" s="128" t="e" cm="1">
        <f t="array" aca="1" ref="AR37" ca="1">Notmerged(AR8)</f>
        <v>#NAME?</v>
      </c>
      <c r="AS37" s="128" t="e" cm="1">
        <f t="array" aca="1" ref="AS37" ca="1">Notmerged(AS8)</f>
        <v>#NAME?</v>
      </c>
      <c r="AT37" s="128" t="e" cm="1">
        <f t="array" aca="1" ref="AT37" ca="1">Notmerged(AT8)</f>
        <v>#NAME?</v>
      </c>
      <c r="AU37" s="128" t="e" cm="1">
        <f t="array" aca="1" ref="AU37" ca="1">Notmerged(AU8)</f>
        <v>#NAME?</v>
      </c>
      <c r="AV37" s="128" t="e" cm="1">
        <f t="array" aca="1" ref="AV37" ca="1">Notmerged(AV8)</f>
        <v>#NAME?</v>
      </c>
      <c r="AW37" s="128" t="e" cm="1">
        <f t="array" aca="1" ref="AW37" ca="1">Notmerged(AW8)</f>
        <v>#NAME?</v>
      </c>
      <c r="AX37" s="128" t="e" cm="1">
        <f t="array" aca="1" ref="AX37" ca="1">Notmerged(AX8)</f>
        <v>#NAME?</v>
      </c>
      <c r="AY37" s="128" t="e" cm="1">
        <f t="array" aca="1" ref="AY37" ca="1">Notmerged(AY8)</f>
        <v>#NAME?</v>
      </c>
      <c r="AZ37" s="128" t="e" cm="1">
        <f t="array" aca="1" ref="AZ37" ca="1">Notmerged(AZ8)</f>
        <v>#NAME?</v>
      </c>
      <c r="BA37" s="128" t="e" cm="1">
        <f t="array" aca="1" ref="BA37" ca="1">Notmerged(BA8)</f>
        <v>#NAME?</v>
      </c>
      <c r="BB37" s="128" t="e" cm="1">
        <f t="array" aca="1" ref="BB37" ca="1">Notmerged(BB8)</f>
        <v>#NAME?</v>
      </c>
      <c r="BC37" s="128" t="e" cm="1">
        <f t="array" aca="1" ref="BC37" ca="1">Notmerged(BC8)</f>
        <v>#NAME?</v>
      </c>
      <c r="BD37" s="128" t="e" cm="1">
        <f t="array" aca="1" ref="BD37" ca="1">Notmerged(BD8)</f>
        <v>#NAME?</v>
      </c>
      <c r="BE37" s="128" t="e" cm="1">
        <f t="array" aca="1" ref="BE37" ca="1">Notmerged(BE8)</f>
        <v>#NAME?</v>
      </c>
      <c r="BF37" s="128" t="e" cm="1">
        <f t="array" aca="1" ref="BF37" ca="1">Notmerged(BF8)</f>
        <v>#NAME?</v>
      </c>
      <c r="BG37" s="128" t="e" cm="1">
        <f t="array" aca="1" ref="BG37" ca="1">Notmerged(BG8)</f>
        <v>#NAME?</v>
      </c>
      <c r="BH37" s="128" t="e" cm="1">
        <f t="array" aca="1" ref="BH37" ca="1">Notmerged(BH8)</f>
        <v>#NAME?</v>
      </c>
      <c r="BI37" s="128" t="e" cm="1">
        <f t="array" aca="1" ref="BI37" ca="1">Notmerged(BI8)</f>
        <v>#NAME?</v>
      </c>
      <c r="BJ37" s="128" t="e" cm="1">
        <f t="array" aca="1" ref="BJ37" ca="1">Notmerged(BJ8)</f>
        <v>#NAME?</v>
      </c>
      <c r="BK37" s="128" t="e" cm="1">
        <f t="array" aca="1" ref="BK37" ca="1">Notmerged(BK8)</f>
        <v>#NAME?</v>
      </c>
    </row>
    <row r="38" spans="2:63" x14ac:dyDescent="0.3">
      <c r="B38" s="128" t="e" cm="1">
        <f t="array" aca="1" ref="B38" ca="1">Notmerged(B9)</f>
        <v>#NAME?</v>
      </c>
      <c r="C38" s="128" t="e" cm="1">
        <f t="array" aca="1" ref="C38" ca="1">Notmerged(C9)</f>
        <v>#NAME?</v>
      </c>
      <c r="D38" s="128" t="e" cm="1">
        <f t="array" aca="1" ref="D38" ca="1">Notmerged(D9)</f>
        <v>#NAME?</v>
      </c>
      <c r="E38" s="128" t="e" cm="1">
        <f t="array" aca="1" ref="E38" ca="1">Notmerged(E9)</f>
        <v>#NAME?</v>
      </c>
      <c r="F38" s="128" t="e" cm="1">
        <f t="array" aca="1" ref="F38" ca="1">Notmerged(F9)</f>
        <v>#NAME?</v>
      </c>
      <c r="G38" s="128" t="e" cm="1">
        <f t="array" aca="1" ref="G38" ca="1">Notmerged(G9)</f>
        <v>#NAME?</v>
      </c>
      <c r="H38" s="128" t="e" cm="1">
        <f t="array" aca="1" ref="H38" ca="1">Notmerged(H9)</f>
        <v>#NAME?</v>
      </c>
      <c r="I38" s="128" t="e" cm="1">
        <f t="array" aca="1" ref="I38" ca="1">Notmerged(I9)</f>
        <v>#NAME?</v>
      </c>
      <c r="J38" s="128" t="e" cm="1">
        <f t="array" aca="1" ref="J38" ca="1">Notmerged(J9)</f>
        <v>#NAME?</v>
      </c>
      <c r="K38" s="128" t="e" cm="1">
        <f t="array" aca="1" ref="K38" ca="1">Notmerged(K9)</f>
        <v>#NAME?</v>
      </c>
      <c r="L38" s="128" t="e" cm="1">
        <f t="array" aca="1" ref="L38" ca="1">Notmerged(L9)</f>
        <v>#NAME?</v>
      </c>
      <c r="M38" s="128" t="e" cm="1">
        <f t="array" aca="1" ref="M38" ca="1">Notmerged(M9)</f>
        <v>#NAME?</v>
      </c>
      <c r="N38" s="128" t="e" cm="1">
        <f t="array" aca="1" ref="N38" ca="1">Notmerged(N9)</f>
        <v>#NAME?</v>
      </c>
      <c r="O38" s="128" t="e" cm="1">
        <f t="array" aca="1" ref="O38" ca="1">Notmerged(O9)</f>
        <v>#NAME?</v>
      </c>
      <c r="P38" s="128" t="e" cm="1">
        <f t="array" aca="1" ref="P38" ca="1">Notmerged(P9)</f>
        <v>#NAME?</v>
      </c>
      <c r="Q38" s="128" t="e" cm="1">
        <f t="array" aca="1" ref="Q38" ca="1">Notmerged(Q9)</f>
        <v>#NAME?</v>
      </c>
      <c r="R38" s="128" t="e" cm="1">
        <f t="array" aca="1" ref="R38" ca="1">Notmerged(R9)</f>
        <v>#NAME?</v>
      </c>
      <c r="S38" s="128" t="e" cm="1">
        <f t="array" aca="1" ref="S38" ca="1">Notmerged(S9)</f>
        <v>#NAME?</v>
      </c>
      <c r="T38" s="128" t="e" cm="1">
        <f t="array" aca="1" ref="T38" ca="1">Notmerged(T9)</f>
        <v>#NAME?</v>
      </c>
      <c r="U38" s="128" t="e" cm="1">
        <f t="array" aca="1" ref="U38" ca="1">Notmerged(U9)</f>
        <v>#NAME?</v>
      </c>
      <c r="V38" s="128" t="e" cm="1">
        <f t="array" aca="1" ref="V38" ca="1">Notmerged(V9)</f>
        <v>#NAME?</v>
      </c>
      <c r="W38" s="128" t="e" cm="1">
        <f t="array" aca="1" ref="W38" ca="1">Notmerged(W9)</f>
        <v>#NAME?</v>
      </c>
      <c r="X38" s="128" t="e" cm="1">
        <f t="array" aca="1" ref="X38" ca="1">Notmerged(X9)</f>
        <v>#NAME?</v>
      </c>
      <c r="Y38" s="128" t="e" cm="1">
        <f t="array" aca="1" ref="Y38" ca="1">Notmerged(Y9)</f>
        <v>#NAME?</v>
      </c>
      <c r="Z38" s="128" t="e" cm="1">
        <f t="array" aca="1" ref="Z38" ca="1">Notmerged(Z9)</f>
        <v>#NAME?</v>
      </c>
      <c r="AA38" s="128" t="e" cm="1">
        <f t="array" aca="1" ref="AA38" ca="1">Notmerged(AA9)</f>
        <v>#NAME?</v>
      </c>
      <c r="AB38" s="128" t="e" cm="1">
        <f t="array" aca="1" ref="AB38" ca="1">Notmerged(AB9)</f>
        <v>#NAME?</v>
      </c>
      <c r="AC38" s="128" t="e" cm="1">
        <f t="array" aca="1" ref="AC38" ca="1">Notmerged(AC9)</f>
        <v>#NAME?</v>
      </c>
      <c r="AD38" s="128" t="e" cm="1">
        <f t="array" aca="1" ref="AD38" ca="1">Notmerged(AD9)</f>
        <v>#NAME?</v>
      </c>
      <c r="AE38" s="128" t="e" cm="1">
        <f t="array" aca="1" ref="AE38" ca="1">Notmerged(AE9)</f>
        <v>#NAME?</v>
      </c>
      <c r="AF38" s="128" t="e" cm="1">
        <f t="array" aca="1" ref="AF38" ca="1">Notmerged(AF9)</f>
        <v>#NAME?</v>
      </c>
      <c r="AG38" s="128" t="e" cm="1">
        <f t="array" aca="1" ref="AG38" ca="1">Notmerged(AG9)</f>
        <v>#NAME?</v>
      </c>
      <c r="AH38" s="128" t="e" cm="1">
        <f t="array" aca="1" ref="AH38" ca="1">Notmerged(AH9)</f>
        <v>#NAME?</v>
      </c>
      <c r="AI38" s="128" t="e" cm="1">
        <f t="array" aca="1" ref="AI38" ca="1">Notmerged(AI9)</f>
        <v>#NAME?</v>
      </c>
      <c r="AJ38" s="128" t="e" cm="1">
        <f t="array" aca="1" ref="AJ38" ca="1">Notmerged(AJ9)</f>
        <v>#NAME?</v>
      </c>
      <c r="AK38" s="128" t="e" cm="1">
        <f t="array" aca="1" ref="AK38" ca="1">Notmerged(AK9)</f>
        <v>#NAME?</v>
      </c>
      <c r="AL38" s="128" t="e" cm="1">
        <f t="array" aca="1" ref="AL38" ca="1">Notmerged(AL9)</f>
        <v>#NAME?</v>
      </c>
      <c r="AM38" s="128" t="e" cm="1">
        <f t="array" aca="1" ref="AM38" ca="1">Notmerged(AM9)</f>
        <v>#NAME?</v>
      </c>
      <c r="AN38" s="128" t="e" cm="1">
        <f t="array" aca="1" ref="AN38" ca="1">Notmerged(AN9)</f>
        <v>#NAME?</v>
      </c>
      <c r="AO38" s="128" t="e" cm="1">
        <f t="array" aca="1" ref="AO38" ca="1">Notmerged(AO9)</f>
        <v>#NAME?</v>
      </c>
      <c r="AP38" s="128" t="e" cm="1">
        <f t="array" aca="1" ref="AP38" ca="1">Notmerged(AP9)</f>
        <v>#NAME?</v>
      </c>
      <c r="AQ38" s="128" t="e" cm="1">
        <f t="array" aca="1" ref="AQ38" ca="1">Notmerged(AQ9)</f>
        <v>#NAME?</v>
      </c>
      <c r="AR38" s="128" t="e" cm="1">
        <f t="array" aca="1" ref="AR38" ca="1">Notmerged(AR9)</f>
        <v>#NAME?</v>
      </c>
      <c r="AS38" s="128" t="e" cm="1">
        <f t="array" aca="1" ref="AS38" ca="1">Notmerged(AS9)</f>
        <v>#NAME?</v>
      </c>
      <c r="AT38" s="128" t="e" cm="1">
        <f t="array" aca="1" ref="AT38" ca="1">Notmerged(AT9)</f>
        <v>#NAME?</v>
      </c>
      <c r="AU38" s="128" t="e" cm="1">
        <f t="array" aca="1" ref="AU38" ca="1">Notmerged(AU9)</f>
        <v>#NAME?</v>
      </c>
      <c r="AV38" s="128" t="e" cm="1">
        <f t="array" aca="1" ref="AV38" ca="1">Notmerged(AV9)</f>
        <v>#NAME?</v>
      </c>
      <c r="AW38" s="128" t="e" cm="1">
        <f t="array" aca="1" ref="AW38" ca="1">Notmerged(AW9)</f>
        <v>#NAME?</v>
      </c>
      <c r="AX38" s="128" t="e" cm="1">
        <f t="array" aca="1" ref="AX38" ca="1">Notmerged(AX9)</f>
        <v>#NAME?</v>
      </c>
      <c r="AY38" s="128" t="e" cm="1">
        <f t="array" aca="1" ref="AY38" ca="1">Notmerged(AY9)</f>
        <v>#NAME?</v>
      </c>
      <c r="AZ38" s="128" t="e" cm="1">
        <f t="array" aca="1" ref="AZ38" ca="1">Notmerged(AZ9)</f>
        <v>#NAME?</v>
      </c>
      <c r="BA38" s="128" t="e" cm="1">
        <f t="array" aca="1" ref="BA38" ca="1">Notmerged(BA9)</f>
        <v>#NAME?</v>
      </c>
      <c r="BB38" s="128" t="e" cm="1">
        <f t="array" aca="1" ref="BB38" ca="1">Notmerged(BB9)</f>
        <v>#NAME?</v>
      </c>
      <c r="BC38" s="128" t="e" cm="1">
        <f t="array" aca="1" ref="BC38" ca="1">Notmerged(BC9)</f>
        <v>#NAME?</v>
      </c>
      <c r="BD38" s="128" t="e" cm="1">
        <f t="array" aca="1" ref="BD38" ca="1">Notmerged(BD9)</f>
        <v>#NAME?</v>
      </c>
      <c r="BE38" s="128" t="e" cm="1">
        <f t="array" aca="1" ref="BE38" ca="1">Notmerged(BE9)</f>
        <v>#NAME?</v>
      </c>
      <c r="BF38" s="128" t="e" cm="1">
        <f t="array" aca="1" ref="BF38" ca="1">Notmerged(BF9)</f>
        <v>#NAME?</v>
      </c>
      <c r="BG38" s="128" t="e" cm="1">
        <f t="array" aca="1" ref="BG38" ca="1">Notmerged(BG9)</f>
        <v>#NAME?</v>
      </c>
      <c r="BH38" s="128" t="e" cm="1">
        <f t="array" aca="1" ref="BH38" ca="1">Notmerged(BH9)</f>
        <v>#NAME?</v>
      </c>
      <c r="BI38" s="128" t="e" cm="1">
        <f t="array" aca="1" ref="BI38" ca="1">Notmerged(BI9)</f>
        <v>#NAME?</v>
      </c>
      <c r="BJ38" s="128" t="e" cm="1">
        <f t="array" aca="1" ref="BJ38" ca="1">Notmerged(BJ9)</f>
        <v>#NAME?</v>
      </c>
      <c r="BK38" s="128" t="e" cm="1">
        <f t="array" aca="1" ref="BK38" ca="1">Notmerged(BK9)</f>
        <v>#NAME?</v>
      </c>
    </row>
    <row r="39" spans="2:63" x14ac:dyDescent="0.3">
      <c r="B39" s="128" t="e" cm="1">
        <f t="array" aca="1" ref="B39" ca="1">Notmerged(B10)</f>
        <v>#NAME?</v>
      </c>
      <c r="C39" s="128" t="e" cm="1">
        <f t="array" aca="1" ref="C39" ca="1">Notmerged(#REF!)</f>
        <v>#NAME?</v>
      </c>
      <c r="D39" s="128" t="e" cm="1">
        <f t="array" aca="1" ref="D39" ca="1">Notmerged(D10)</f>
        <v>#NAME?</v>
      </c>
      <c r="E39" s="128" t="e" cm="1">
        <f t="array" aca="1" ref="E39" ca="1">Notmerged(E10)</f>
        <v>#NAME?</v>
      </c>
      <c r="F39" s="128" t="e" cm="1">
        <f t="array" aca="1" ref="F39" ca="1">Notmerged(F10)</f>
        <v>#NAME?</v>
      </c>
      <c r="G39" s="128" t="e" cm="1">
        <f t="array" aca="1" ref="G39" ca="1">Notmerged(G10)</f>
        <v>#NAME?</v>
      </c>
      <c r="H39" s="128" t="e" cm="1">
        <f t="array" aca="1" ref="H39" ca="1">Notmerged(H10)</f>
        <v>#NAME?</v>
      </c>
      <c r="I39" s="128" t="e" cm="1">
        <f t="array" aca="1" ref="I39" ca="1">Notmerged(I10)</f>
        <v>#NAME?</v>
      </c>
      <c r="J39" s="128" t="e" cm="1">
        <f t="array" aca="1" ref="J39" ca="1">Notmerged(J10)</f>
        <v>#NAME?</v>
      </c>
      <c r="K39" s="128" t="e" cm="1">
        <f t="array" aca="1" ref="K39" ca="1">Notmerged(K10)</f>
        <v>#NAME?</v>
      </c>
      <c r="L39" s="128" t="e" cm="1">
        <f t="array" aca="1" ref="L39" ca="1">Notmerged(L10)</f>
        <v>#NAME?</v>
      </c>
      <c r="M39" s="128" t="e" cm="1">
        <f t="array" aca="1" ref="M39" ca="1">Notmerged(M10)</f>
        <v>#NAME?</v>
      </c>
      <c r="N39" s="128" t="e" cm="1">
        <f t="array" aca="1" ref="N39" ca="1">Notmerged(N10)</f>
        <v>#NAME?</v>
      </c>
      <c r="O39" s="128" t="e" cm="1">
        <f t="array" aca="1" ref="O39" ca="1">Notmerged(O10)</f>
        <v>#NAME?</v>
      </c>
      <c r="P39" s="128" t="e" cm="1">
        <f t="array" aca="1" ref="P39" ca="1">Notmerged(P10)</f>
        <v>#NAME?</v>
      </c>
      <c r="Q39" s="128" t="e" cm="1">
        <f t="array" aca="1" ref="Q39" ca="1">Notmerged(Q10)</f>
        <v>#NAME?</v>
      </c>
      <c r="R39" s="128" t="e" cm="1">
        <f t="array" aca="1" ref="R39" ca="1">Notmerged(R10)</f>
        <v>#NAME?</v>
      </c>
      <c r="S39" s="128" t="e" cm="1">
        <f t="array" aca="1" ref="S39" ca="1">Notmerged(S10)</f>
        <v>#NAME?</v>
      </c>
      <c r="T39" s="128" t="e" cm="1">
        <f t="array" aca="1" ref="T39" ca="1">Notmerged(T10)</f>
        <v>#NAME?</v>
      </c>
      <c r="U39" s="128" t="e" cm="1">
        <f t="array" aca="1" ref="U39" ca="1">Notmerged(U10)</f>
        <v>#NAME?</v>
      </c>
      <c r="V39" s="128" t="e" cm="1">
        <f t="array" aca="1" ref="V39" ca="1">Notmerged(V10)</f>
        <v>#NAME?</v>
      </c>
      <c r="W39" s="128" t="e" cm="1">
        <f t="array" aca="1" ref="W39" ca="1">Notmerged(W10)</f>
        <v>#NAME?</v>
      </c>
      <c r="X39" s="128" t="e" cm="1">
        <f t="array" aca="1" ref="X39" ca="1">Notmerged(X10)</f>
        <v>#NAME?</v>
      </c>
      <c r="Y39" s="128" t="e" cm="1">
        <f t="array" aca="1" ref="Y39" ca="1">Notmerged(Y10)</f>
        <v>#NAME?</v>
      </c>
      <c r="Z39" s="128" t="e" cm="1">
        <f t="array" aca="1" ref="Z39" ca="1">Notmerged(Z10)</f>
        <v>#NAME?</v>
      </c>
      <c r="AA39" s="128" t="e" cm="1">
        <f t="array" aca="1" ref="AA39" ca="1">Notmerged(AA10)</f>
        <v>#NAME?</v>
      </c>
      <c r="AB39" s="128" t="e" cm="1">
        <f t="array" aca="1" ref="AB39" ca="1">Notmerged(AB10)</f>
        <v>#NAME?</v>
      </c>
      <c r="AC39" s="128" t="e" cm="1">
        <f t="array" aca="1" ref="AC39" ca="1">Notmerged(AC10)</f>
        <v>#NAME?</v>
      </c>
      <c r="AD39" s="128" t="e" cm="1">
        <f t="array" aca="1" ref="AD39" ca="1">Notmerged(AD10)</f>
        <v>#NAME?</v>
      </c>
      <c r="AE39" s="128" t="e" cm="1">
        <f t="array" aca="1" ref="AE39" ca="1">Notmerged(AE10)</f>
        <v>#NAME?</v>
      </c>
      <c r="AF39" s="128" t="e" cm="1">
        <f t="array" aca="1" ref="AF39" ca="1">Notmerged(AF10)</f>
        <v>#NAME?</v>
      </c>
      <c r="AG39" s="128" t="e" cm="1">
        <f t="array" aca="1" ref="AG39" ca="1">Notmerged(AG10)</f>
        <v>#NAME?</v>
      </c>
      <c r="AH39" s="128" t="e" cm="1">
        <f t="array" aca="1" ref="AH39" ca="1">Notmerged(AH10)</f>
        <v>#NAME?</v>
      </c>
      <c r="AI39" s="128" t="e" cm="1">
        <f t="array" aca="1" ref="AI39" ca="1">Notmerged(AI10)</f>
        <v>#NAME?</v>
      </c>
      <c r="AJ39" s="128" t="e" cm="1">
        <f t="array" aca="1" ref="AJ39" ca="1">Notmerged(AJ10)</f>
        <v>#NAME?</v>
      </c>
      <c r="AK39" s="128" t="e" cm="1">
        <f t="array" aca="1" ref="AK39" ca="1">Notmerged(AK10)</f>
        <v>#NAME?</v>
      </c>
      <c r="AL39" s="128" t="e" cm="1">
        <f t="array" aca="1" ref="AL39" ca="1">Notmerged(AL10)</f>
        <v>#NAME?</v>
      </c>
      <c r="AM39" s="128" t="e" cm="1">
        <f t="array" aca="1" ref="AM39" ca="1">Notmerged(AM10)</f>
        <v>#NAME?</v>
      </c>
      <c r="AN39" s="128" t="e" cm="1">
        <f t="array" aca="1" ref="AN39" ca="1">Notmerged(AN10)</f>
        <v>#NAME?</v>
      </c>
      <c r="AO39" s="128" t="e" cm="1">
        <f t="array" aca="1" ref="AO39" ca="1">Notmerged(AO10)</f>
        <v>#NAME?</v>
      </c>
      <c r="AP39" s="128" t="e" cm="1">
        <f t="array" aca="1" ref="AP39" ca="1">Notmerged(AP10)</f>
        <v>#NAME?</v>
      </c>
      <c r="AQ39" s="128" t="e" cm="1">
        <f t="array" aca="1" ref="AQ39" ca="1">Notmerged(AQ10)</f>
        <v>#NAME?</v>
      </c>
      <c r="AR39" s="128" t="e" cm="1">
        <f t="array" aca="1" ref="AR39" ca="1">Notmerged(AR10)</f>
        <v>#NAME?</v>
      </c>
      <c r="AS39" s="128" t="e" cm="1">
        <f t="array" aca="1" ref="AS39" ca="1">Notmerged(AS10)</f>
        <v>#NAME?</v>
      </c>
      <c r="AT39" s="128" t="e" cm="1">
        <f t="array" aca="1" ref="AT39" ca="1">Notmerged(AT10)</f>
        <v>#NAME?</v>
      </c>
      <c r="AU39" s="128" t="e" cm="1">
        <f t="array" aca="1" ref="AU39" ca="1">Notmerged(AU10)</f>
        <v>#NAME?</v>
      </c>
      <c r="AV39" s="128" t="e" cm="1">
        <f t="array" aca="1" ref="AV39" ca="1">Notmerged(AV10)</f>
        <v>#NAME?</v>
      </c>
      <c r="AW39" s="128" t="e" cm="1">
        <f t="array" aca="1" ref="AW39" ca="1">Notmerged(AW10)</f>
        <v>#NAME?</v>
      </c>
      <c r="AX39" s="128" t="e" cm="1">
        <f t="array" aca="1" ref="AX39" ca="1">Notmerged(AX10)</f>
        <v>#NAME?</v>
      </c>
      <c r="AY39" s="128" t="e" cm="1">
        <f t="array" aca="1" ref="AY39" ca="1">Notmerged(AY10)</f>
        <v>#NAME?</v>
      </c>
      <c r="AZ39" s="128" t="e" cm="1">
        <f t="array" aca="1" ref="AZ39" ca="1">Notmerged(AZ10)</f>
        <v>#NAME?</v>
      </c>
      <c r="BA39" s="128" t="e" cm="1">
        <f t="array" aca="1" ref="BA39" ca="1">Notmerged(BA10)</f>
        <v>#NAME?</v>
      </c>
      <c r="BB39" s="128" t="e" cm="1">
        <f t="array" aca="1" ref="BB39" ca="1">Notmerged(BB10)</f>
        <v>#NAME?</v>
      </c>
      <c r="BC39" s="128" t="e" cm="1">
        <f t="array" aca="1" ref="BC39" ca="1">Notmerged(BC10)</f>
        <v>#NAME?</v>
      </c>
      <c r="BD39" s="128" t="e" cm="1">
        <f t="array" aca="1" ref="BD39" ca="1">Notmerged(BD10)</f>
        <v>#NAME?</v>
      </c>
      <c r="BE39" s="128" t="e" cm="1">
        <f t="array" aca="1" ref="BE39" ca="1">Notmerged(BE10)</f>
        <v>#NAME?</v>
      </c>
      <c r="BF39" s="128" t="e" cm="1">
        <f t="array" aca="1" ref="BF39" ca="1">Notmerged(BF10)</f>
        <v>#NAME?</v>
      </c>
      <c r="BG39" s="128" t="e" cm="1">
        <f t="array" aca="1" ref="BG39" ca="1">Notmerged(BG10)</f>
        <v>#NAME?</v>
      </c>
      <c r="BH39" s="128" t="e" cm="1">
        <f t="array" aca="1" ref="BH39" ca="1">Notmerged(BH10)</f>
        <v>#NAME?</v>
      </c>
      <c r="BI39" s="128" t="e" cm="1">
        <f t="array" aca="1" ref="BI39" ca="1">Notmerged(BI10)</f>
        <v>#NAME?</v>
      </c>
      <c r="BJ39" s="128" t="e" cm="1">
        <f t="array" aca="1" ref="BJ39" ca="1">Notmerged(BJ10)</f>
        <v>#NAME?</v>
      </c>
      <c r="BK39" s="128" t="e" cm="1">
        <f t="array" aca="1" ref="BK39" ca="1">Notmerged(BK10)</f>
        <v>#NAME?</v>
      </c>
    </row>
    <row r="40" spans="2:63" x14ac:dyDescent="0.3">
      <c r="B40" s="128" t="e" cm="1">
        <f t="array" aca="1" ref="B40" ca="1">Notmerged(B11)</f>
        <v>#NAME?</v>
      </c>
      <c r="C40" s="128" t="e" cm="1">
        <f t="array" aca="1" ref="C40" ca="1">Notmerged(C10)</f>
        <v>#NAME?</v>
      </c>
      <c r="D40" s="128" t="e" cm="1">
        <f t="array" aca="1" ref="D40" ca="1">Notmerged(D11)</f>
        <v>#NAME?</v>
      </c>
      <c r="E40" s="128" t="e" cm="1">
        <f t="array" aca="1" ref="E40" ca="1">Notmerged(E11)</f>
        <v>#NAME?</v>
      </c>
      <c r="F40" s="128" t="e" cm="1">
        <f t="array" aca="1" ref="F40" ca="1">Notmerged(F11)</f>
        <v>#NAME?</v>
      </c>
      <c r="G40" s="128" t="e" cm="1">
        <f t="array" aca="1" ref="G40" ca="1">Notmerged(G11)</f>
        <v>#NAME?</v>
      </c>
      <c r="H40" s="128" t="e" cm="1">
        <f t="array" aca="1" ref="H40" ca="1">Notmerged(H11)</f>
        <v>#NAME?</v>
      </c>
      <c r="I40" s="128" t="e" cm="1">
        <f t="array" aca="1" ref="I40" ca="1">Notmerged(I11)</f>
        <v>#NAME?</v>
      </c>
      <c r="J40" s="128" t="e" cm="1">
        <f t="array" aca="1" ref="J40" ca="1">Notmerged(J11)</f>
        <v>#NAME?</v>
      </c>
      <c r="K40" s="128" t="e" cm="1">
        <f t="array" aca="1" ref="K40" ca="1">Notmerged(K11)</f>
        <v>#NAME?</v>
      </c>
      <c r="L40" s="128" t="e" cm="1">
        <f t="array" aca="1" ref="L40" ca="1">Notmerged(L11)</f>
        <v>#NAME?</v>
      </c>
      <c r="M40" s="128" t="e" cm="1">
        <f t="array" aca="1" ref="M40" ca="1">Notmerged(M11)</f>
        <v>#NAME?</v>
      </c>
      <c r="N40" s="128" t="e" cm="1">
        <f t="array" aca="1" ref="N40" ca="1">Notmerged(N11)</f>
        <v>#NAME?</v>
      </c>
      <c r="O40" s="128" t="e" cm="1">
        <f t="array" aca="1" ref="O40" ca="1">Notmerged(O11)</f>
        <v>#NAME?</v>
      </c>
      <c r="P40" s="128" t="e" cm="1">
        <f t="array" aca="1" ref="P40" ca="1">Notmerged(P11)</f>
        <v>#NAME?</v>
      </c>
      <c r="Q40" s="128" t="e" cm="1">
        <f t="array" aca="1" ref="Q40" ca="1">Notmerged(Q11)</f>
        <v>#NAME?</v>
      </c>
      <c r="R40" s="128" t="e" cm="1">
        <f t="array" aca="1" ref="R40" ca="1">Notmerged(R11)</f>
        <v>#NAME?</v>
      </c>
      <c r="S40" s="128" t="e" cm="1">
        <f t="array" aca="1" ref="S40" ca="1">Notmerged(S11)</f>
        <v>#NAME?</v>
      </c>
      <c r="T40" s="128" t="e" cm="1">
        <f t="array" aca="1" ref="T40" ca="1">Notmerged(T11)</f>
        <v>#NAME?</v>
      </c>
      <c r="U40" s="128" t="e" cm="1">
        <f t="array" aca="1" ref="U40" ca="1">Notmerged(U11)</f>
        <v>#NAME?</v>
      </c>
      <c r="V40" s="128" t="e" cm="1">
        <f t="array" aca="1" ref="V40" ca="1">Notmerged(V11)</f>
        <v>#NAME?</v>
      </c>
      <c r="W40" s="128" t="e" cm="1">
        <f t="array" aca="1" ref="W40" ca="1">Notmerged(W11)</f>
        <v>#NAME?</v>
      </c>
      <c r="X40" s="128" t="e" cm="1">
        <f t="array" aca="1" ref="X40" ca="1">Notmerged(X11)</f>
        <v>#NAME?</v>
      </c>
      <c r="Y40" s="128" t="e" cm="1">
        <f t="array" aca="1" ref="Y40" ca="1">Notmerged(Y11)</f>
        <v>#NAME?</v>
      </c>
      <c r="Z40" s="128" t="e" cm="1">
        <f t="array" aca="1" ref="Z40" ca="1">Notmerged(Z11)</f>
        <v>#NAME?</v>
      </c>
      <c r="AA40" s="128" t="e" cm="1">
        <f t="array" aca="1" ref="AA40" ca="1">Notmerged(AA11)</f>
        <v>#NAME?</v>
      </c>
      <c r="AB40" s="128" t="e" cm="1">
        <f t="array" aca="1" ref="AB40" ca="1">Notmerged(AB11)</f>
        <v>#NAME?</v>
      </c>
      <c r="AC40" s="128" t="e" cm="1">
        <f t="array" aca="1" ref="AC40" ca="1">Notmerged(AC11)</f>
        <v>#NAME?</v>
      </c>
      <c r="AD40" s="128" t="e" cm="1">
        <f t="array" aca="1" ref="AD40" ca="1">Notmerged(AD11)</f>
        <v>#NAME?</v>
      </c>
      <c r="AE40" s="128" t="e" cm="1">
        <f t="array" aca="1" ref="AE40" ca="1">Notmerged(AE11)</f>
        <v>#NAME?</v>
      </c>
      <c r="AF40" s="128" t="e" cm="1">
        <f t="array" aca="1" ref="AF40" ca="1">Notmerged(AF11)</f>
        <v>#NAME?</v>
      </c>
      <c r="AG40" s="128" t="e" cm="1">
        <f t="array" aca="1" ref="AG40" ca="1">Notmerged(AG11)</f>
        <v>#NAME?</v>
      </c>
      <c r="AH40" s="128" t="e" cm="1">
        <f t="array" aca="1" ref="AH40" ca="1">Notmerged(AH11)</f>
        <v>#NAME?</v>
      </c>
      <c r="AI40" s="128" t="e" cm="1">
        <f t="array" aca="1" ref="AI40" ca="1">Notmerged(AI11)</f>
        <v>#NAME?</v>
      </c>
      <c r="AJ40" s="128" t="e" cm="1">
        <f t="array" aca="1" ref="AJ40" ca="1">Notmerged(AJ11)</f>
        <v>#NAME?</v>
      </c>
      <c r="AK40" s="128" t="e" cm="1">
        <f t="array" aca="1" ref="AK40" ca="1">Notmerged(AK11)</f>
        <v>#NAME?</v>
      </c>
      <c r="AL40" s="128" t="e" cm="1">
        <f t="array" aca="1" ref="AL40" ca="1">Notmerged(AL11)</f>
        <v>#NAME?</v>
      </c>
      <c r="AM40" s="128" t="e" cm="1">
        <f t="array" aca="1" ref="AM40" ca="1">Notmerged(AM11)</f>
        <v>#NAME?</v>
      </c>
      <c r="AN40" s="128" t="e" cm="1">
        <f t="array" aca="1" ref="AN40" ca="1">Notmerged(AN11)</f>
        <v>#NAME?</v>
      </c>
      <c r="AO40" s="128" t="e" cm="1">
        <f t="array" aca="1" ref="AO40" ca="1">Notmerged(AO11)</f>
        <v>#NAME?</v>
      </c>
      <c r="AP40" s="128" t="e" cm="1">
        <f t="array" aca="1" ref="AP40" ca="1">Notmerged(AP11)</f>
        <v>#NAME?</v>
      </c>
      <c r="AQ40" s="128" t="e" cm="1">
        <f t="array" aca="1" ref="AQ40" ca="1">Notmerged(AQ11)</f>
        <v>#NAME?</v>
      </c>
      <c r="AR40" s="128" t="e" cm="1">
        <f t="array" aca="1" ref="AR40" ca="1">Notmerged(AR11)</f>
        <v>#NAME?</v>
      </c>
      <c r="AS40" s="128" t="e" cm="1">
        <f t="array" aca="1" ref="AS40" ca="1">Notmerged(AS11)</f>
        <v>#NAME?</v>
      </c>
      <c r="AT40" s="128" t="e" cm="1">
        <f t="array" aca="1" ref="AT40" ca="1">Notmerged(AT11)</f>
        <v>#NAME?</v>
      </c>
      <c r="AU40" s="128" t="e" cm="1">
        <f t="array" aca="1" ref="AU40" ca="1">Notmerged(AU11)</f>
        <v>#NAME?</v>
      </c>
      <c r="AV40" s="128" t="e" cm="1">
        <f t="array" aca="1" ref="AV40" ca="1">Notmerged(AV11)</f>
        <v>#NAME?</v>
      </c>
      <c r="AW40" s="128" t="e" cm="1">
        <f t="array" aca="1" ref="AW40" ca="1">Notmerged(AW11)</f>
        <v>#NAME?</v>
      </c>
      <c r="AX40" s="128" t="e" cm="1">
        <f t="array" aca="1" ref="AX40" ca="1">Notmerged(AX11)</f>
        <v>#NAME?</v>
      </c>
      <c r="AY40" s="128" t="e" cm="1">
        <f t="array" aca="1" ref="AY40" ca="1">Notmerged(AY11)</f>
        <v>#NAME?</v>
      </c>
      <c r="AZ40" s="128" t="e" cm="1">
        <f t="array" aca="1" ref="AZ40" ca="1">Notmerged(AZ11)</f>
        <v>#NAME?</v>
      </c>
      <c r="BA40" s="128" t="e" cm="1">
        <f t="array" aca="1" ref="BA40" ca="1">Notmerged(BA11)</f>
        <v>#NAME?</v>
      </c>
      <c r="BB40" s="128" t="e" cm="1">
        <f t="array" aca="1" ref="BB40" ca="1">Notmerged(BB11)</f>
        <v>#NAME?</v>
      </c>
      <c r="BC40" s="128" t="e" cm="1">
        <f t="array" aca="1" ref="BC40" ca="1">Notmerged(BC11)</f>
        <v>#NAME?</v>
      </c>
      <c r="BD40" s="128" t="e" cm="1">
        <f t="array" aca="1" ref="BD40" ca="1">Notmerged(BD11)</f>
        <v>#NAME?</v>
      </c>
      <c r="BE40" s="128" t="e" cm="1">
        <f t="array" aca="1" ref="BE40" ca="1">Notmerged(BE11)</f>
        <v>#NAME?</v>
      </c>
      <c r="BF40" s="128" t="e" cm="1">
        <f t="array" aca="1" ref="BF40" ca="1">Notmerged(BF11)</f>
        <v>#NAME?</v>
      </c>
      <c r="BG40" s="128" t="e" cm="1">
        <f t="array" aca="1" ref="BG40" ca="1">Notmerged(BG11)</f>
        <v>#NAME?</v>
      </c>
      <c r="BH40" s="128" t="e" cm="1">
        <f t="array" aca="1" ref="BH40" ca="1">Notmerged(BH11)</f>
        <v>#NAME?</v>
      </c>
      <c r="BI40" s="128" t="e" cm="1">
        <f t="array" aca="1" ref="BI40" ca="1">Notmerged(BI11)</f>
        <v>#NAME?</v>
      </c>
      <c r="BJ40" s="128" t="e" cm="1">
        <f t="array" aca="1" ref="BJ40" ca="1">Notmerged(BJ11)</f>
        <v>#NAME?</v>
      </c>
      <c r="BK40" s="128" t="e" cm="1">
        <f t="array" aca="1" ref="BK40" ca="1">Notmerged(BK11)</f>
        <v>#NAME?</v>
      </c>
    </row>
    <row r="41" spans="2:63" x14ac:dyDescent="0.3">
      <c r="B41" s="128" t="e" cm="1">
        <f t="array" aca="1" ref="B41" ca="1">Notmerged(B12)</f>
        <v>#NAME?</v>
      </c>
      <c r="C41" s="128" t="e" cm="1">
        <f t="array" aca="1" ref="C41" ca="1">Notmerged(C12)</f>
        <v>#NAME?</v>
      </c>
      <c r="D41" s="128" t="e" cm="1">
        <f t="array" aca="1" ref="D41" ca="1">Notmerged(D12)</f>
        <v>#NAME?</v>
      </c>
      <c r="E41" s="128" t="e" cm="1">
        <f t="array" aca="1" ref="E41" ca="1">Notmerged(E12)</f>
        <v>#NAME?</v>
      </c>
      <c r="F41" s="128" t="e" cm="1">
        <f t="array" aca="1" ref="F41" ca="1">Notmerged(F12)</f>
        <v>#NAME?</v>
      </c>
      <c r="G41" s="128" t="e" cm="1">
        <f t="array" aca="1" ref="G41" ca="1">Notmerged(G12)</f>
        <v>#NAME?</v>
      </c>
      <c r="H41" s="128" t="e" cm="1">
        <f t="array" aca="1" ref="H41" ca="1">Notmerged(H12)</f>
        <v>#NAME?</v>
      </c>
      <c r="I41" s="128" t="e" cm="1">
        <f t="array" aca="1" ref="I41" ca="1">Notmerged(I12)</f>
        <v>#NAME?</v>
      </c>
      <c r="J41" s="128" t="e" cm="1">
        <f t="array" aca="1" ref="J41" ca="1">Notmerged(J12)</f>
        <v>#NAME?</v>
      </c>
      <c r="K41" s="128" t="e" cm="1">
        <f t="array" aca="1" ref="K41" ca="1">Notmerged(K12)</f>
        <v>#NAME?</v>
      </c>
      <c r="L41" s="128" t="e" cm="1">
        <f t="array" aca="1" ref="L41" ca="1">Notmerged(L12)</f>
        <v>#NAME?</v>
      </c>
      <c r="M41" s="128" t="e" cm="1">
        <f t="array" aca="1" ref="M41" ca="1">Notmerged(M12)</f>
        <v>#NAME?</v>
      </c>
      <c r="N41" s="128" t="e" cm="1">
        <f t="array" aca="1" ref="N41" ca="1">Notmerged(N12)</f>
        <v>#NAME?</v>
      </c>
      <c r="O41" s="128" t="e" cm="1">
        <f t="array" aca="1" ref="O41" ca="1">Notmerged(O12)</f>
        <v>#NAME?</v>
      </c>
      <c r="P41" s="128" t="e" cm="1">
        <f t="array" aca="1" ref="P41" ca="1">Notmerged(P12)</f>
        <v>#NAME?</v>
      </c>
      <c r="Q41" s="128" t="e" cm="1">
        <f t="array" aca="1" ref="Q41" ca="1">Notmerged(Q12)</f>
        <v>#NAME?</v>
      </c>
      <c r="R41" s="128" t="e" cm="1">
        <f t="array" aca="1" ref="R41" ca="1">Notmerged(R12)</f>
        <v>#NAME?</v>
      </c>
      <c r="S41" s="128" t="e" cm="1">
        <f t="array" aca="1" ref="S41" ca="1">Notmerged(S12)</f>
        <v>#NAME?</v>
      </c>
      <c r="T41" s="128" t="e" cm="1">
        <f t="array" aca="1" ref="T41" ca="1">Notmerged(T12)</f>
        <v>#NAME?</v>
      </c>
      <c r="U41" s="128" t="e" cm="1">
        <f t="array" aca="1" ref="U41" ca="1">Notmerged(U12)</f>
        <v>#NAME?</v>
      </c>
      <c r="V41" s="128" t="e" cm="1">
        <f t="array" aca="1" ref="V41" ca="1">Notmerged(V12)</f>
        <v>#NAME?</v>
      </c>
      <c r="W41" s="128" t="e" cm="1">
        <f t="array" aca="1" ref="W41" ca="1">Notmerged(W12)</f>
        <v>#NAME?</v>
      </c>
      <c r="X41" s="128" t="e" cm="1">
        <f t="array" aca="1" ref="X41" ca="1">Notmerged(X12)</f>
        <v>#NAME?</v>
      </c>
      <c r="Y41" s="128" t="e" cm="1">
        <f t="array" aca="1" ref="Y41" ca="1">Notmerged(Y12)</f>
        <v>#NAME?</v>
      </c>
      <c r="Z41" s="128" t="e" cm="1">
        <f t="array" aca="1" ref="Z41" ca="1">Notmerged(Z12)</f>
        <v>#NAME?</v>
      </c>
      <c r="AA41" s="128" t="e" cm="1">
        <f t="array" aca="1" ref="AA41" ca="1">Notmerged(AA12)</f>
        <v>#NAME?</v>
      </c>
      <c r="AB41" s="128" t="e" cm="1">
        <f t="array" aca="1" ref="AB41" ca="1">Notmerged(AB12)</f>
        <v>#NAME?</v>
      </c>
      <c r="AC41" s="128" t="e" cm="1">
        <f t="array" aca="1" ref="AC41" ca="1">Notmerged(AC12)</f>
        <v>#NAME?</v>
      </c>
      <c r="AD41" s="128" t="e" cm="1">
        <f t="array" aca="1" ref="AD41" ca="1">Notmerged(AD12)</f>
        <v>#NAME?</v>
      </c>
      <c r="AE41" s="128" t="e" cm="1">
        <f t="array" aca="1" ref="AE41" ca="1">Notmerged(AE12)</f>
        <v>#NAME?</v>
      </c>
      <c r="AF41" s="128" t="e" cm="1">
        <f t="array" aca="1" ref="AF41" ca="1">Notmerged(AF12)</f>
        <v>#NAME?</v>
      </c>
      <c r="AG41" s="128" t="e" cm="1">
        <f t="array" aca="1" ref="AG41" ca="1">Notmerged(AG12)</f>
        <v>#NAME?</v>
      </c>
      <c r="AH41" s="128" t="e" cm="1">
        <f t="array" aca="1" ref="AH41" ca="1">Notmerged(AH12)</f>
        <v>#NAME?</v>
      </c>
      <c r="AI41" s="128" t="e" cm="1">
        <f t="array" aca="1" ref="AI41" ca="1">Notmerged(AI12)</f>
        <v>#NAME?</v>
      </c>
      <c r="AJ41" s="128" t="e" cm="1">
        <f t="array" aca="1" ref="AJ41" ca="1">Notmerged(AJ12)</f>
        <v>#NAME?</v>
      </c>
      <c r="AK41" s="128" t="e" cm="1">
        <f t="array" aca="1" ref="AK41" ca="1">Notmerged(AK12)</f>
        <v>#NAME?</v>
      </c>
      <c r="AL41" s="128" t="e" cm="1">
        <f t="array" aca="1" ref="AL41" ca="1">Notmerged(AL12)</f>
        <v>#NAME?</v>
      </c>
      <c r="AM41" s="128" t="e" cm="1">
        <f t="array" aca="1" ref="AM41" ca="1">Notmerged(AM12)</f>
        <v>#NAME?</v>
      </c>
      <c r="AN41" s="128" t="e" cm="1">
        <f t="array" aca="1" ref="AN41" ca="1">Notmerged(AN12)</f>
        <v>#NAME?</v>
      </c>
      <c r="AO41" s="128" t="e" cm="1">
        <f t="array" aca="1" ref="AO41" ca="1">Notmerged(AO12)</f>
        <v>#NAME?</v>
      </c>
      <c r="AP41" s="128" t="e" cm="1">
        <f t="array" aca="1" ref="AP41" ca="1">Notmerged(AP12)</f>
        <v>#NAME?</v>
      </c>
      <c r="AQ41" s="128" t="e" cm="1">
        <f t="array" aca="1" ref="AQ41" ca="1">Notmerged(AQ12)</f>
        <v>#NAME?</v>
      </c>
      <c r="AR41" s="128" t="e" cm="1">
        <f t="array" aca="1" ref="AR41" ca="1">Notmerged(AR12)</f>
        <v>#NAME?</v>
      </c>
      <c r="AS41" s="128" t="e" cm="1">
        <f t="array" aca="1" ref="AS41" ca="1">Notmerged(AS12)</f>
        <v>#NAME?</v>
      </c>
      <c r="AT41" s="128" t="e" cm="1">
        <f t="array" aca="1" ref="AT41" ca="1">Notmerged(AT12)</f>
        <v>#NAME?</v>
      </c>
      <c r="AU41" s="128" t="e" cm="1">
        <f t="array" aca="1" ref="AU41" ca="1">Notmerged(AU12)</f>
        <v>#NAME?</v>
      </c>
      <c r="AV41" s="128" t="e" cm="1">
        <f t="array" aca="1" ref="AV41" ca="1">Notmerged(AV12)</f>
        <v>#NAME?</v>
      </c>
      <c r="AW41" s="128" t="e" cm="1">
        <f t="array" aca="1" ref="AW41" ca="1">Notmerged(AW12)</f>
        <v>#NAME?</v>
      </c>
      <c r="AX41" s="128" t="e" cm="1">
        <f t="array" aca="1" ref="AX41" ca="1">Notmerged(AX12)</f>
        <v>#NAME?</v>
      </c>
      <c r="AY41" s="128" t="e" cm="1">
        <f t="array" aca="1" ref="AY41" ca="1">Notmerged(AY12)</f>
        <v>#NAME?</v>
      </c>
      <c r="AZ41" s="128" t="e" cm="1">
        <f t="array" aca="1" ref="AZ41" ca="1">Notmerged(AZ12)</f>
        <v>#NAME?</v>
      </c>
      <c r="BA41" s="128" t="e" cm="1">
        <f t="array" aca="1" ref="BA41" ca="1">Notmerged(BA12)</f>
        <v>#NAME?</v>
      </c>
      <c r="BB41" s="128" t="e" cm="1">
        <f t="array" aca="1" ref="BB41" ca="1">Notmerged(BB12)</f>
        <v>#NAME?</v>
      </c>
      <c r="BC41" s="128" t="e" cm="1">
        <f t="array" aca="1" ref="BC41" ca="1">Notmerged(BC12)</f>
        <v>#NAME?</v>
      </c>
      <c r="BD41" s="128" t="e" cm="1">
        <f t="array" aca="1" ref="BD41" ca="1">Notmerged(BD12)</f>
        <v>#NAME?</v>
      </c>
      <c r="BE41" s="128" t="e" cm="1">
        <f t="array" aca="1" ref="BE41" ca="1">Notmerged(BE12)</f>
        <v>#NAME?</v>
      </c>
      <c r="BF41" s="128" t="e" cm="1">
        <f t="array" aca="1" ref="BF41" ca="1">Notmerged(BF12)</f>
        <v>#NAME?</v>
      </c>
      <c r="BG41" s="128" t="e" cm="1">
        <f t="array" aca="1" ref="BG41" ca="1">Notmerged(BG12)</f>
        <v>#NAME?</v>
      </c>
      <c r="BH41" s="128" t="e" cm="1">
        <f t="array" aca="1" ref="BH41" ca="1">Notmerged(BH12)</f>
        <v>#NAME?</v>
      </c>
      <c r="BI41" s="128" t="e" cm="1">
        <f t="array" aca="1" ref="BI41" ca="1">Notmerged(BI12)</f>
        <v>#NAME?</v>
      </c>
      <c r="BJ41" s="128" t="e" cm="1">
        <f t="array" aca="1" ref="BJ41" ca="1">Notmerged(BJ12)</f>
        <v>#NAME?</v>
      </c>
      <c r="BK41" s="128" t="e" cm="1">
        <f t="array" aca="1" ref="BK41" ca="1">Notmerged(BK12)</f>
        <v>#NAME?</v>
      </c>
    </row>
    <row r="42" spans="2:63" x14ac:dyDescent="0.3">
      <c r="B42" s="128" t="e" cm="1">
        <f t="array" aca="1" ref="B42" ca="1">Notmerged(B13)</f>
        <v>#NAME?</v>
      </c>
      <c r="C42" s="128" t="e" cm="1">
        <f t="array" aca="1" ref="C42" ca="1">Notmerged(C13)</f>
        <v>#NAME?</v>
      </c>
      <c r="D42" s="128" t="e" cm="1">
        <f t="array" aca="1" ref="D42" ca="1">Notmerged(D13)</f>
        <v>#NAME?</v>
      </c>
      <c r="E42" s="128" t="e" cm="1">
        <f t="array" aca="1" ref="E42" ca="1">Notmerged(E13)</f>
        <v>#NAME?</v>
      </c>
      <c r="F42" s="128" t="e" cm="1">
        <f t="array" aca="1" ref="F42" ca="1">Notmerged(F13)</f>
        <v>#NAME?</v>
      </c>
      <c r="G42" s="128" t="e" cm="1">
        <f t="array" aca="1" ref="G42" ca="1">Notmerged(G13)</f>
        <v>#NAME?</v>
      </c>
      <c r="H42" s="128" t="e" cm="1">
        <f t="array" aca="1" ref="H42" ca="1">Notmerged(H13)</f>
        <v>#NAME?</v>
      </c>
      <c r="I42" s="128" t="e" cm="1">
        <f t="array" aca="1" ref="I42" ca="1">Notmerged(I13)</f>
        <v>#NAME?</v>
      </c>
      <c r="J42" s="128" t="e" cm="1">
        <f t="array" aca="1" ref="J42" ca="1">Notmerged(J13)</f>
        <v>#NAME?</v>
      </c>
      <c r="K42" s="128" t="e" cm="1">
        <f t="array" aca="1" ref="K42" ca="1">Notmerged(K13)</f>
        <v>#NAME?</v>
      </c>
      <c r="L42" s="128" t="e" cm="1">
        <f t="array" aca="1" ref="L42" ca="1">Notmerged(L13)</f>
        <v>#NAME?</v>
      </c>
      <c r="M42" s="128" t="e" cm="1">
        <f t="array" aca="1" ref="M42" ca="1">Notmerged(M13)</f>
        <v>#NAME?</v>
      </c>
      <c r="N42" s="128" t="e" cm="1">
        <f t="array" aca="1" ref="N42" ca="1">Notmerged(N13)</f>
        <v>#NAME?</v>
      </c>
      <c r="O42" s="128" t="e" cm="1">
        <f t="array" aca="1" ref="O42" ca="1">Notmerged(O13)</f>
        <v>#NAME?</v>
      </c>
      <c r="P42" s="128" t="e" cm="1">
        <f t="array" aca="1" ref="P42" ca="1">Notmerged(P13)</f>
        <v>#NAME?</v>
      </c>
      <c r="Q42" s="128" t="e" cm="1">
        <f t="array" aca="1" ref="Q42" ca="1">Notmerged(Q13)</f>
        <v>#NAME?</v>
      </c>
      <c r="R42" s="128" t="e" cm="1">
        <f t="array" aca="1" ref="R42" ca="1">Notmerged(R13)</f>
        <v>#NAME?</v>
      </c>
      <c r="S42" s="128" t="e" cm="1">
        <f t="array" aca="1" ref="S42" ca="1">Notmerged(S13)</f>
        <v>#NAME?</v>
      </c>
      <c r="T42" s="128" t="e" cm="1">
        <f t="array" aca="1" ref="T42" ca="1">Notmerged(T13)</f>
        <v>#NAME?</v>
      </c>
      <c r="U42" s="128" t="e" cm="1">
        <f t="array" aca="1" ref="U42" ca="1">Notmerged(U13)</f>
        <v>#NAME?</v>
      </c>
      <c r="V42" s="128" t="e" cm="1">
        <f t="array" aca="1" ref="V42" ca="1">Notmerged(V13)</f>
        <v>#NAME?</v>
      </c>
      <c r="W42" s="128" t="e" cm="1">
        <f t="array" aca="1" ref="W42" ca="1">Notmerged(W13)</f>
        <v>#NAME?</v>
      </c>
      <c r="X42" s="128" t="e" cm="1">
        <f t="array" aca="1" ref="X42" ca="1">Notmerged(X13)</f>
        <v>#NAME?</v>
      </c>
      <c r="Y42" s="128" t="e" cm="1">
        <f t="array" aca="1" ref="Y42" ca="1">Notmerged(Y13)</f>
        <v>#NAME?</v>
      </c>
      <c r="Z42" s="128" t="e" cm="1">
        <f t="array" aca="1" ref="Z42" ca="1">Notmerged(Z13)</f>
        <v>#NAME?</v>
      </c>
      <c r="AA42" s="128" t="e" cm="1">
        <f t="array" aca="1" ref="AA42" ca="1">Notmerged(AA13)</f>
        <v>#NAME?</v>
      </c>
      <c r="AB42" s="128" t="e" cm="1">
        <f t="array" aca="1" ref="AB42" ca="1">Notmerged(AB13)</f>
        <v>#NAME?</v>
      </c>
      <c r="AC42" s="128" t="e" cm="1">
        <f t="array" aca="1" ref="AC42" ca="1">Notmerged(AC13)</f>
        <v>#NAME?</v>
      </c>
      <c r="AD42" s="128" t="e" cm="1">
        <f t="array" aca="1" ref="AD42" ca="1">Notmerged(AD13)</f>
        <v>#NAME?</v>
      </c>
      <c r="AE42" s="128" t="e" cm="1">
        <f t="array" aca="1" ref="AE42" ca="1">Notmerged(AE13)</f>
        <v>#NAME?</v>
      </c>
      <c r="AF42" s="128" t="e" cm="1">
        <f t="array" aca="1" ref="AF42" ca="1">Notmerged(AF13)</f>
        <v>#NAME?</v>
      </c>
      <c r="AG42" s="128" t="e" cm="1">
        <f t="array" aca="1" ref="AG42" ca="1">Notmerged(AG13)</f>
        <v>#NAME?</v>
      </c>
      <c r="AH42" s="128" t="e" cm="1">
        <f t="array" aca="1" ref="AH42" ca="1">Notmerged(AH13)</f>
        <v>#NAME?</v>
      </c>
      <c r="AI42" s="128" t="e" cm="1">
        <f t="array" aca="1" ref="AI42" ca="1">Notmerged(AI13)</f>
        <v>#NAME?</v>
      </c>
      <c r="AJ42" s="128" t="e" cm="1">
        <f t="array" aca="1" ref="AJ42" ca="1">Notmerged(AJ13)</f>
        <v>#NAME?</v>
      </c>
      <c r="AK42" s="128" t="e" cm="1">
        <f t="array" aca="1" ref="AK42" ca="1">Notmerged(AK13)</f>
        <v>#NAME?</v>
      </c>
      <c r="AL42" s="128" t="e" cm="1">
        <f t="array" aca="1" ref="AL42" ca="1">Notmerged(AL13)</f>
        <v>#NAME?</v>
      </c>
      <c r="AM42" s="128" t="e" cm="1">
        <f t="array" aca="1" ref="AM42" ca="1">Notmerged(AM13)</f>
        <v>#NAME?</v>
      </c>
      <c r="AN42" s="128" t="e" cm="1">
        <f t="array" aca="1" ref="AN42" ca="1">Notmerged(AN13)</f>
        <v>#NAME?</v>
      </c>
      <c r="AO42" s="128" t="e" cm="1">
        <f t="array" aca="1" ref="AO42" ca="1">Notmerged(AO13)</f>
        <v>#NAME?</v>
      </c>
      <c r="AP42" s="128" t="e" cm="1">
        <f t="array" aca="1" ref="AP42" ca="1">Notmerged(AP13)</f>
        <v>#NAME?</v>
      </c>
      <c r="AQ42" s="128" t="e" cm="1">
        <f t="array" aca="1" ref="AQ42" ca="1">Notmerged(AQ13)</f>
        <v>#NAME?</v>
      </c>
      <c r="AR42" s="128" t="e" cm="1">
        <f t="array" aca="1" ref="AR42" ca="1">Notmerged(AR13)</f>
        <v>#NAME?</v>
      </c>
      <c r="AS42" s="128" t="e" cm="1">
        <f t="array" aca="1" ref="AS42" ca="1">Notmerged(AS13)</f>
        <v>#NAME?</v>
      </c>
      <c r="AT42" s="128" t="e" cm="1">
        <f t="array" aca="1" ref="AT42" ca="1">Notmerged(AT13)</f>
        <v>#NAME?</v>
      </c>
      <c r="AU42" s="128" t="e" cm="1">
        <f t="array" aca="1" ref="AU42" ca="1">Notmerged(AU13)</f>
        <v>#NAME?</v>
      </c>
      <c r="AV42" s="128" t="e" cm="1">
        <f t="array" aca="1" ref="AV42" ca="1">Notmerged(AV13)</f>
        <v>#NAME?</v>
      </c>
      <c r="AW42" s="128" t="e" cm="1">
        <f t="array" aca="1" ref="AW42" ca="1">Notmerged(AW13)</f>
        <v>#NAME?</v>
      </c>
      <c r="AX42" s="128" t="e" cm="1">
        <f t="array" aca="1" ref="AX42" ca="1">Notmerged(AX13)</f>
        <v>#NAME?</v>
      </c>
      <c r="AY42" s="128" t="e" cm="1">
        <f t="array" aca="1" ref="AY42" ca="1">Notmerged(AY13)</f>
        <v>#NAME?</v>
      </c>
      <c r="AZ42" s="128" t="e" cm="1">
        <f t="array" aca="1" ref="AZ42" ca="1">Notmerged(AZ13)</f>
        <v>#NAME?</v>
      </c>
      <c r="BA42" s="128" t="e" cm="1">
        <f t="array" aca="1" ref="BA42" ca="1">Notmerged(BA13)</f>
        <v>#NAME?</v>
      </c>
      <c r="BB42" s="128" t="e" cm="1">
        <f t="array" aca="1" ref="BB42" ca="1">Notmerged(BB13)</f>
        <v>#NAME?</v>
      </c>
      <c r="BC42" s="128" t="e" cm="1">
        <f t="array" aca="1" ref="BC42" ca="1">Notmerged(BC13)</f>
        <v>#NAME?</v>
      </c>
      <c r="BD42" s="128" t="e" cm="1">
        <f t="array" aca="1" ref="BD42" ca="1">Notmerged(BD13)</f>
        <v>#NAME?</v>
      </c>
      <c r="BE42" s="128" t="e" cm="1">
        <f t="array" aca="1" ref="BE42" ca="1">Notmerged(BE13)</f>
        <v>#NAME?</v>
      </c>
      <c r="BF42" s="128" t="e" cm="1">
        <f t="array" aca="1" ref="BF42" ca="1">Notmerged(BF13)</f>
        <v>#NAME?</v>
      </c>
      <c r="BG42" s="128" t="e" cm="1">
        <f t="array" aca="1" ref="BG42" ca="1">Notmerged(BG13)</f>
        <v>#NAME?</v>
      </c>
      <c r="BH42" s="128" t="e" cm="1">
        <f t="array" aca="1" ref="BH42" ca="1">Notmerged(BH13)</f>
        <v>#NAME?</v>
      </c>
      <c r="BI42" s="128" t="e" cm="1">
        <f t="array" aca="1" ref="BI42" ca="1">Notmerged(BI13)</f>
        <v>#NAME?</v>
      </c>
      <c r="BJ42" s="128" t="e" cm="1">
        <f t="array" aca="1" ref="BJ42" ca="1">Notmerged(BJ13)</f>
        <v>#NAME?</v>
      </c>
      <c r="BK42" s="128" t="e" cm="1">
        <f t="array" aca="1" ref="BK42" ca="1">Notmerged(BK13)</f>
        <v>#NAME?</v>
      </c>
    </row>
    <row r="43" spans="2:63" x14ac:dyDescent="0.3">
      <c r="B43" s="128" t="e" cm="1">
        <f t="array" aca="1" ref="B43" ca="1">Notmerged(B14)</f>
        <v>#NAME?</v>
      </c>
      <c r="C43" s="128" t="e" cm="1">
        <f t="array" aca="1" ref="C43" ca="1">Notmerged(C14)</f>
        <v>#NAME?</v>
      </c>
      <c r="D43" s="128" t="e" cm="1">
        <f t="array" aca="1" ref="D43" ca="1">Notmerged(D14)</f>
        <v>#NAME?</v>
      </c>
      <c r="E43" s="128" t="e" cm="1">
        <f t="array" aca="1" ref="E43" ca="1">Notmerged(E14)</f>
        <v>#NAME?</v>
      </c>
      <c r="F43" s="128" t="e" cm="1">
        <f t="array" aca="1" ref="F43" ca="1">Notmerged(F14)</f>
        <v>#NAME?</v>
      </c>
      <c r="G43" s="128" t="e" cm="1">
        <f t="array" aca="1" ref="G43" ca="1">Notmerged(G14)</f>
        <v>#NAME?</v>
      </c>
      <c r="H43" s="128" t="e" cm="1">
        <f t="array" aca="1" ref="H43" ca="1">Notmerged(H14)</f>
        <v>#NAME?</v>
      </c>
      <c r="I43" s="128" t="e" cm="1">
        <f t="array" aca="1" ref="I43" ca="1">Notmerged(I14)</f>
        <v>#NAME?</v>
      </c>
      <c r="J43" s="128" t="e" cm="1">
        <f t="array" aca="1" ref="J43" ca="1">Notmerged(J14)</f>
        <v>#NAME?</v>
      </c>
      <c r="K43" s="128" t="e" cm="1">
        <f t="array" aca="1" ref="K43" ca="1">Notmerged(K14)</f>
        <v>#NAME?</v>
      </c>
      <c r="L43" s="128" t="e" cm="1">
        <f t="array" aca="1" ref="L43" ca="1">Notmerged(L14)</f>
        <v>#NAME?</v>
      </c>
      <c r="M43" s="128" t="e" cm="1">
        <f t="array" aca="1" ref="M43" ca="1">Notmerged(M14)</f>
        <v>#NAME?</v>
      </c>
      <c r="N43" s="128" t="e" cm="1">
        <f t="array" aca="1" ref="N43" ca="1">Notmerged(N14)</f>
        <v>#NAME?</v>
      </c>
      <c r="O43" s="128" t="e" cm="1">
        <f t="array" aca="1" ref="O43" ca="1">Notmerged(O14)</f>
        <v>#NAME?</v>
      </c>
      <c r="P43" s="128" t="e" cm="1">
        <f t="array" aca="1" ref="P43" ca="1">Notmerged(P14)</f>
        <v>#NAME?</v>
      </c>
      <c r="Q43" s="128" t="e" cm="1">
        <f t="array" aca="1" ref="Q43" ca="1">Notmerged(Q14)</f>
        <v>#NAME?</v>
      </c>
      <c r="R43" s="128" t="e" cm="1">
        <f t="array" aca="1" ref="R43" ca="1">Notmerged(R14)</f>
        <v>#NAME?</v>
      </c>
      <c r="S43" s="128" t="e" cm="1">
        <f t="array" aca="1" ref="S43" ca="1">Notmerged(S14)</f>
        <v>#NAME?</v>
      </c>
      <c r="T43" s="128" t="e" cm="1">
        <f t="array" aca="1" ref="T43" ca="1">Notmerged(T14)</f>
        <v>#NAME?</v>
      </c>
      <c r="U43" s="128" t="e" cm="1">
        <f t="array" aca="1" ref="U43" ca="1">Notmerged(U14)</f>
        <v>#NAME?</v>
      </c>
      <c r="V43" s="128" t="e" cm="1">
        <f t="array" aca="1" ref="V43" ca="1">Notmerged(V14)</f>
        <v>#NAME?</v>
      </c>
      <c r="W43" s="128" t="e" cm="1">
        <f t="array" aca="1" ref="W43" ca="1">Notmerged(W14)</f>
        <v>#NAME?</v>
      </c>
      <c r="X43" s="128" t="e" cm="1">
        <f t="array" aca="1" ref="X43" ca="1">Notmerged(X14)</f>
        <v>#NAME?</v>
      </c>
      <c r="Y43" s="128" t="e" cm="1">
        <f t="array" aca="1" ref="Y43" ca="1">Notmerged(Y14)</f>
        <v>#NAME?</v>
      </c>
      <c r="Z43" s="128" t="e" cm="1">
        <f t="array" aca="1" ref="Z43" ca="1">Notmerged(Z14)</f>
        <v>#NAME?</v>
      </c>
      <c r="AA43" s="128" t="e" cm="1">
        <f t="array" aca="1" ref="AA43" ca="1">Notmerged(AA14)</f>
        <v>#NAME?</v>
      </c>
      <c r="AB43" s="128" t="e" cm="1">
        <f t="array" aca="1" ref="AB43" ca="1">Notmerged(AB14)</f>
        <v>#NAME?</v>
      </c>
      <c r="AC43" s="128" t="e" cm="1">
        <f t="array" aca="1" ref="AC43" ca="1">Notmerged(AC14)</f>
        <v>#NAME?</v>
      </c>
      <c r="AD43" s="128" t="e" cm="1">
        <f t="array" aca="1" ref="AD43" ca="1">Notmerged(AD14)</f>
        <v>#NAME?</v>
      </c>
      <c r="AE43" s="128" t="e" cm="1">
        <f t="array" aca="1" ref="AE43" ca="1">Notmerged(AE14)</f>
        <v>#NAME?</v>
      </c>
      <c r="AF43" s="128" t="e" cm="1">
        <f t="array" aca="1" ref="AF43" ca="1">Notmerged(AF14)</f>
        <v>#NAME?</v>
      </c>
      <c r="AG43" s="128" t="e" cm="1">
        <f t="array" aca="1" ref="AG43" ca="1">Notmerged(AG14)</f>
        <v>#NAME?</v>
      </c>
      <c r="AH43" s="128" t="e" cm="1">
        <f t="array" aca="1" ref="AH43" ca="1">Notmerged(AH14)</f>
        <v>#NAME?</v>
      </c>
      <c r="AI43" s="128" t="e" cm="1">
        <f t="array" aca="1" ref="AI43" ca="1">Notmerged(AI14)</f>
        <v>#NAME?</v>
      </c>
      <c r="AJ43" s="128" t="e" cm="1">
        <f t="array" aca="1" ref="AJ43" ca="1">Notmerged(AJ14)</f>
        <v>#NAME?</v>
      </c>
      <c r="AK43" s="128" t="e" cm="1">
        <f t="array" aca="1" ref="AK43" ca="1">Notmerged(AK14)</f>
        <v>#NAME?</v>
      </c>
      <c r="AL43" s="128" t="e" cm="1">
        <f t="array" aca="1" ref="AL43" ca="1">Notmerged(AL14)</f>
        <v>#NAME?</v>
      </c>
      <c r="AM43" s="128" t="e" cm="1">
        <f t="array" aca="1" ref="AM43" ca="1">Notmerged(AM14)</f>
        <v>#NAME?</v>
      </c>
      <c r="AN43" s="128" t="e" cm="1">
        <f t="array" aca="1" ref="AN43" ca="1">Notmerged(AN14)</f>
        <v>#NAME?</v>
      </c>
      <c r="AO43" s="128" t="e" cm="1">
        <f t="array" aca="1" ref="AO43" ca="1">Notmerged(AO14)</f>
        <v>#NAME?</v>
      </c>
      <c r="AP43" s="128" t="e" cm="1">
        <f t="array" aca="1" ref="AP43" ca="1">Notmerged(AP14)</f>
        <v>#NAME?</v>
      </c>
      <c r="AQ43" s="128" t="e" cm="1">
        <f t="array" aca="1" ref="AQ43" ca="1">Notmerged(AQ14)</f>
        <v>#NAME?</v>
      </c>
      <c r="AR43" s="128" t="e" cm="1">
        <f t="array" aca="1" ref="AR43" ca="1">Notmerged(AR14)</f>
        <v>#NAME?</v>
      </c>
      <c r="AS43" s="128" t="e" cm="1">
        <f t="array" aca="1" ref="AS43" ca="1">Notmerged(AS14)</f>
        <v>#NAME?</v>
      </c>
      <c r="AT43" s="128" t="e" cm="1">
        <f t="array" aca="1" ref="AT43" ca="1">Notmerged(AT14)</f>
        <v>#NAME?</v>
      </c>
      <c r="AU43" s="128" t="e" cm="1">
        <f t="array" aca="1" ref="AU43" ca="1">Notmerged(AU14)</f>
        <v>#NAME?</v>
      </c>
      <c r="AV43" s="128" t="e" cm="1">
        <f t="array" aca="1" ref="AV43" ca="1">Notmerged(AV14)</f>
        <v>#NAME?</v>
      </c>
      <c r="AW43" s="128" t="e" cm="1">
        <f t="array" aca="1" ref="AW43" ca="1">Notmerged(AW14)</f>
        <v>#NAME?</v>
      </c>
      <c r="AX43" s="128" t="e" cm="1">
        <f t="array" aca="1" ref="AX43" ca="1">Notmerged(AX14)</f>
        <v>#NAME?</v>
      </c>
      <c r="AY43" s="128" t="e" cm="1">
        <f t="array" aca="1" ref="AY43" ca="1">Notmerged(AY14)</f>
        <v>#NAME?</v>
      </c>
      <c r="AZ43" s="128" t="e" cm="1">
        <f t="array" aca="1" ref="AZ43" ca="1">Notmerged(AZ14)</f>
        <v>#NAME?</v>
      </c>
      <c r="BA43" s="128" t="e" cm="1">
        <f t="array" aca="1" ref="BA43" ca="1">Notmerged(BA14)</f>
        <v>#NAME?</v>
      </c>
      <c r="BB43" s="128" t="e" cm="1">
        <f t="array" aca="1" ref="BB43" ca="1">Notmerged(BB14)</f>
        <v>#NAME?</v>
      </c>
      <c r="BC43" s="128" t="e" cm="1">
        <f t="array" aca="1" ref="BC43" ca="1">Notmerged(BC14)</f>
        <v>#NAME?</v>
      </c>
      <c r="BD43" s="128" t="e" cm="1">
        <f t="array" aca="1" ref="BD43" ca="1">Notmerged(BD14)</f>
        <v>#NAME?</v>
      </c>
      <c r="BE43" s="128" t="e" cm="1">
        <f t="array" aca="1" ref="BE43" ca="1">Notmerged(BE14)</f>
        <v>#NAME?</v>
      </c>
      <c r="BF43" s="128" t="e" cm="1">
        <f t="array" aca="1" ref="BF43" ca="1">Notmerged(BF14)</f>
        <v>#NAME?</v>
      </c>
      <c r="BG43" s="128" t="e" cm="1">
        <f t="array" aca="1" ref="BG43" ca="1">Notmerged(BG14)</f>
        <v>#NAME?</v>
      </c>
      <c r="BH43" s="128" t="e" cm="1">
        <f t="array" aca="1" ref="BH43" ca="1">Notmerged(BH14)</f>
        <v>#NAME?</v>
      </c>
      <c r="BI43" s="128" t="e" cm="1">
        <f t="array" aca="1" ref="BI43" ca="1">Notmerged(BI14)</f>
        <v>#NAME?</v>
      </c>
      <c r="BJ43" s="128" t="e" cm="1">
        <f t="array" aca="1" ref="BJ43" ca="1">Notmerged(BJ14)</f>
        <v>#NAME?</v>
      </c>
      <c r="BK43" s="128" t="e" cm="1">
        <f t="array" aca="1" ref="BK43" ca="1">Notmerged(BK14)</f>
        <v>#NAME?</v>
      </c>
    </row>
    <row r="44" spans="2:63" x14ac:dyDescent="0.3">
      <c r="B44" s="128" t="e" cm="1">
        <f t="array" aca="1" ref="B44" ca="1">Notmerged(B15)</f>
        <v>#NAME?</v>
      </c>
      <c r="C44" s="128" t="e" cm="1">
        <f t="array" aca="1" ref="C44" ca="1">Notmerged(C15)</f>
        <v>#NAME?</v>
      </c>
      <c r="D44" s="128" t="e" cm="1">
        <f t="array" aca="1" ref="D44" ca="1">Notmerged(D15)</f>
        <v>#NAME?</v>
      </c>
      <c r="E44" s="128" t="e" cm="1">
        <f t="array" aca="1" ref="E44" ca="1">Notmerged(E15)</f>
        <v>#NAME?</v>
      </c>
      <c r="F44" s="128" t="e" cm="1">
        <f t="array" aca="1" ref="F44" ca="1">Notmerged(F15)</f>
        <v>#NAME?</v>
      </c>
      <c r="G44" s="128" t="e" cm="1">
        <f t="array" aca="1" ref="G44" ca="1">Notmerged(G15)</f>
        <v>#NAME?</v>
      </c>
      <c r="H44" s="128" t="e" cm="1">
        <f t="array" aca="1" ref="H44" ca="1">Notmerged(H15)</f>
        <v>#NAME?</v>
      </c>
      <c r="I44" s="128" t="e" cm="1">
        <f t="array" aca="1" ref="I44" ca="1">Notmerged(I15)</f>
        <v>#NAME?</v>
      </c>
      <c r="J44" s="128" t="e" cm="1">
        <f t="array" aca="1" ref="J44" ca="1">Notmerged(J15)</f>
        <v>#NAME?</v>
      </c>
      <c r="K44" s="128" t="e" cm="1">
        <f t="array" aca="1" ref="K44" ca="1">Notmerged(K15)</f>
        <v>#NAME?</v>
      </c>
      <c r="L44" s="128" t="e" cm="1">
        <f t="array" aca="1" ref="L44" ca="1">Notmerged(L15)</f>
        <v>#NAME?</v>
      </c>
      <c r="M44" s="128" t="e" cm="1">
        <f t="array" aca="1" ref="M44" ca="1">Notmerged(M15)</f>
        <v>#NAME?</v>
      </c>
      <c r="N44" s="128" t="e" cm="1">
        <f t="array" aca="1" ref="N44" ca="1">Notmerged(N15)</f>
        <v>#NAME?</v>
      </c>
      <c r="O44" s="128" t="e" cm="1">
        <f t="array" aca="1" ref="O44" ca="1">Notmerged(O15)</f>
        <v>#NAME?</v>
      </c>
      <c r="P44" s="128" t="e" cm="1">
        <f t="array" aca="1" ref="P44" ca="1">Notmerged(P15)</f>
        <v>#NAME?</v>
      </c>
      <c r="Q44" s="128" t="e" cm="1">
        <f t="array" aca="1" ref="Q44" ca="1">Notmerged(Q15)</f>
        <v>#NAME?</v>
      </c>
      <c r="R44" s="128" t="e" cm="1">
        <f t="array" aca="1" ref="R44" ca="1">Notmerged(R15)</f>
        <v>#NAME?</v>
      </c>
      <c r="S44" s="128" t="e" cm="1">
        <f t="array" aca="1" ref="S44" ca="1">Notmerged(S15)</f>
        <v>#NAME?</v>
      </c>
      <c r="T44" s="128" t="e" cm="1">
        <f t="array" aca="1" ref="T44" ca="1">Notmerged(T15)</f>
        <v>#NAME?</v>
      </c>
      <c r="U44" s="128" t="e" cm="1">
        <f t="array" aca="1" ref="U44" ca="1">Notmerged(U15)</f>
        <v>#NAME?</v>
      </c>
      <c r="V44" s="128" t="e" cm="1">
        <f t="array" aca="1" ref="V44" ca="1">Notmerged(V15)</f>
        <v>#NAME?</v>
      </c>
      <c r="W44" s="128" t="e" cm="1">
        <f t="array" aca="1" ref="W44" ca="1">Notmerged(W15)</f>
        <v>#NAME?</v>
      </c>
      <c r="X44" s="128" t="e" cm="1">
        <f t="array" aca="1" ref="X44" ca="1">Notmerged(X15)</f>
        <v>#NAME?</v>
      </c>
      <c r="Y44" s="128" t="e" cm="1">
        <f t="array" aca="1" ref="Y44" ca="1">Notmerged(Y15)</f>
        <v>#NAME?</v>
      </c>
      <c r="Z44" s="128" t="e" cm="1">
        <f t="array" aca="1" ref="Z44" ca="1">Notmerged(Z15)</f>
        <v>#NAME?</v>
      </c>
      <c r="AA44" s="128" t="e" cm="1">
        <f t="array" aca="1" ref="AA44" ca="1">Notmerged(AA15)</f>
        <v>#NAME?</v>
      </c>
      <c r="AB44" s="128" t="e" cm="1">
        <f t="array" aca="1" ref="AB44" ca="1">Notmerged(AB15)</f>
        <v>#NAME?</v>
      </c>
      <c r="AC44" s="128" t="e" cm="1">
        <f t="array" aca="1" ref="AC44" ca="1">Notmerged(AC15)</f>
        <v>#NAME?</v>
      </c>
      <c r="AD44" s="128" t="e" cm="1">
        <f t="array" aca="1" ref="AD44" ca="1">Notmerged(AD15)</f>
        <v>#NAME?</v>
      </c>
      <c r="AE44" s="128" t="e" cm="1">
        <f t="array" aca="1" ref="AE44" ca="1">Notmerged(AE15)</f>
        <v>#NAME?</v>
      </c>
      <c r="AF44" s="128" t="e" cm="1">
        <f t="array" aca="1" ref="AF44" ca="1">Notmerged(AF15)</f>
        <v>#NAME?</v>
      </c>
      <c r="AG44" s="128" t="e" cm="1">
        <f t="array" aca="1" ref="AG44" ca="1">Notmerged(AG15)</f>
        <v>#NAME?</v>
      </c>
      <c r="AH44" s="128" t="e" cm="1">
        <f t="array" aca="1" ref="AH44" ca="1">Notmerged(AH15)</f>
        <v>#NAME?</v>
      </c>
      <c r="AI44" s="128" t="e" cm="1">
        <f t="array" aca="1" ref="AI44" ca="1">Notmerged(AI15)</f>
        <v>#NAME?</v>
      </c>
      <c r="AJ44" s="128" t="e" cm="1">
        <f t="array" aca="1" ref="AJ44" ca="1">Notmerged(AJ15)</f>
        <v>#NAME?</v>
      </c>
      <c r="AK44" s="128" t="e" cm="1">
        <f t="array" aca="1" ref="AK44" ca="1">Notmerged(AK15)</f>
        <v>#NAME?</v>
      </c>
      <c r="AL44" s="128" t="e" cm="1">
        <f t="array" aca="1" ref="AL44" ca="1">Notmerged(AL15)</f>
        <v>#NAME?</v>
      </c>
      <c r="AM44" s="128" t="e" cm="1">
        <f t="array" aca="1" ref="AM44" ca="1">Notmerged(AM15)</f>
        <v>#NAME?</v>
      </c>
      <c r="AN44" s="128" t="e" cm="1">
        <f t="array" aca="1" ref="AN44" ca="1">Notmerged(AN15)</f>
        <v>#NAME?</v>
      </c>
      <c r="AO44" s="128" t="e" cm="1">
        <f t="array" aca="1" ref="AO44" ca="1">Notmerged(AO15)</f>
        <v>#NAME?</v>
      </c>
      <c r="AP44" s="128" t="e" cm="1">
        <f t="array" aca="1" ref="AP44" ca="1">Notmerged(AP15)</f>
        <v>#NAME?</v>
      </c>
      <c r="AQ44" s="128" t="e" cm="1">
        <f t="array" aca="1" ref="AQ44" ca="1">Notmerged(AQ15)</f>
        <v>#NAME?</v>
      </c>
      <c r="AR44" s="128" t="e" cm="1">
        <f t="array" aca="1" ref="AR44" ca="1">Notmerged(AR15)</f>
        <v>#NAME?</v>
      </c>
      <c r="AS44" s="128" t="e" cm="1">
        <f t="array" aca="1" ref="AS44" ca="1">Notmerged(AS15)</f>
        <v>#NAME?</v>
      </c>
      <c r="AT44" s="128" t="e" cm="1">
        <f t="array" aca="1" ref="AT44" ca="1">Notmerged(AT15)</f>
        <v>#NAME?</v>
      </c>
      <c r="AU44" s="128" t="e" cm="1">
        <f t="array" aca="1" ref="AU44" ca="1">Notmerged(AU15)</f>
        <v>#NAME?</v>
      </c>
      <c r="AV44" s="128" t="e" cm="1">
        <f t="array" aca="1" ref="AV44" ca="1">Notmerged(AV15)</f>
        <v>#NAME?</v>
      </c>
      <c r="AW44" s="128" t="e" cm="1">
        <f t="array" aca="1" ref="AW44" ca="1">Notmerged(AW15)</f>
        <v>#NAME?</v>
      </c>
      <c r="AX44" s="128" t="e" cm="1">
        <f t="array" aca="1" ref="AX44" ca="1">Notmerged(AX15)</f>
        <v>#NAME?</v>
      </c>
      <c r="AY44" s="128" t="e" cm="1">
        <f t="array" aca="1" ref="AY44" ca="1">Notmerged(AY15)</f>
        <v>#NAME?</v>
      </c>
      <c r="AZ44" s="128" t="e" cm="1">
        <f t="array" aca="1" ref="AZ44" ca="1">Notmerged(AZ15)</f>
        <v>#NAME?</v>
      </c>
      <c r="BA44" s="128" t="e" cm="1">
        <f t="array" aca="1" ref="BA44" ca="1">Notmerged(BA15)</f>
        <v>#NAME?</v>
      </c>
      <c r="BB44" s="128" t="e" cm="1">
        <f t="array" aca="1" ref="BB44" ca="1">Notmerged(BB15)</f>
        <v>#NAME?</v>
      </c>
      <c r="BC44" s="128" t="e" cm="1">
        <f t="array" aca="1" ref="BC44" ca="1">Notmerged(BC15)</f>
        <v>#NAME?</v>
      </c>
      <c r="BD44" s="128" t="e" cm="1">
        <f t="array" aca="1" ref="BD44" ca="1">Notmerged(BD15)</f>
        <v>#NAME?</v>
      </c>
      <c r="BE44" s="128" t="e" cm="1">
        <f t="array" aca="1" ref="BE44" ca="1">Notmerged(BE15)</f>
        <v>#NAME?</v>
      </c>
      <c r="BF44" s="128" t="e" cm="1">
        <f t="array" aca="1" ref="BF44" ca="1">Notmerged(BF15)</f>
        <v>#NAME?</v>
      </c>
      <c r="BG44" s="128" t="e" cm="1">
        <f t="array" aca="1" ref="BG44" ca="1">Notmerged(BG15)</f>
        <v>#NAME?</v>
      </c>
      <c r="BH44" s="128" t="e" cm="1">
        <f t="array" aca="1" ref="BH44" ca="1">Notmerged(BH15)</f>
        <v>#NAME?</v>
      </c>
      <c r="BI44" s="128" t="e" cm="1">
        <f t="array" aca="1" ref="BI44" ca="1">Notmerged(BI15)</f>
        <v>#NAME?</v>
      </c>
      <c r="BJ44" s="128" t="e" cm="1">
        <f t="array" aca="1" ref="BJ44" ca="1">Notmerged(BJ15)</f>
        <v>#NAME?</v>
      </c>
      <c r="BK44" s="128" t="e" cm="1">
        <f t="array" aca="1" ref="BK44" ca="1">Notmerged(BK15)</f>
        <v>#NAME?</v>
      </c>
    </row>
    <row r="45" spans="2:63" x14ac:dyDescent="0.3">
      <c r="B45" s="128" t="e" cm="1">
        <f t="array" aca="1" ref="B45" ca="1">Notmerged(B16)</f>
        <v>#NAME?</v>
      </c>
      <c r="C45" s="128" t="e" cm="1">
        <f t="array" aca="1" ref="C45" ca="1">Notmerged(C16)</f>
        <v>#NAME?</v>
      </c>
      <c r="D45" s="128" t="e" cm="1">
        <f t="array" aca="1" ref="D45" ca="1">Notmerged(D16)</f>
        <v>#NAME?</v>
      </c>
      <c r="E45" s="128" t="e" cm="1">
        <f t="array" aca="1" ref="E45" ca="1">Notmerged(E16)</f>
        <v>#NAME?</v>
      </c>
      <c r="F45" s="128" t="e" cm="1">
        <f t="array" aca="1" ref="F45" ca="1">Notmerged(F16)</f>
        <v>#NAME?</v>
      </c>
      <c r="G45" s="128" t="e" cm="1">
        <f t="array" aca="1" ref="G45" ca="1">Notmerged(G16)</f>
        <v>#NAME?</v>
      </c>
      <c r="H45" s="128" t="e" cm="1">
        <f t="array" aca="1" ref="H45" ca="1">Notmerged(H16)</f>
        <v>#NAME?</v>
      </c>
      <c r="I45" s="128" t="e" cm="1">
        <f t="array" aca="1" ref="I45" ca="1">Notmerged(I16)</f>
        <v>#NAME?</v>
      </c>
      <c r="J45" s="128" t="e" cm="1">
        <f t="array" aca="1" ref="J45" ca="1">Notmerged(J16)</f>
        <v>#NAME?</v>
      </c>
      <c r="K45" s="128" t="e" cm="1">
        <f t="array" aca="1" ref="K45" ca="1">Notmerged(K16)</f>
        <v>#NAME?</v>
      </c>
      <c r="L45" s="128" t="e" cm="1">
        <f t="array" aca="1" ref="L45" ca="1">Notmerged(L16)</f>
        <v>#NAME?</v>
      </c>
      <c r="M45" s="128" t="e" cm="1">
        <f t="array" aca="1" ref="M45" ca="1">Notmerged(M16)</f>
        <v>#NAME?</v>
      </c>
      <c r="N45" s="128" t="e" cm="1">
        <f t="array" aca="1" ref="N45" ca="1">Notmerged(N16)</f>
        <v>#NAME?</v>
      </c>
      <c r="O45" s="128" t="e" cm="1">
        <f t="array" aca="1" ref="O45" ca="1">Notmerged(O16)</f>
        <v>#NAME?</v>
      </c>
      <c r="P45" s="128" t="e" cm="1">
        <f t="array" aca="1" ref="P45" ca="1">Notmerged(P16)</f>
        <v>#NAME?</v>
      </c>
      <c r="Q45" s="128" t="e" cm="1">
        <f t="array" aca="1" ref="Q45" ca="1">Notmerged(Q16)</f>
        <v>#NAME?</v>
      </c>
      <c r="R45" s="128" t="e" cm="1">
        <f t="array" aca="1" ref="R45" ca="1">Notmerged(R16)</f>
        <v>#NAME?</v>
      </c>
      <c r="S45" s="128" t="e" cm="1">
        <f t="array" aca="1" ref="S45" ca="1">Notmerged(S16)</f>
        <v>#NAME?</v>
      </c>
      <c r="T45" s="128" t="e" cm="1">
        <f t="array" aca="1" ref="T45" ca="1">Notmerged(T16)</f>
        <v>#NAME?</v>
      </c>
      <c r="U45" s="128" t="e" cm="1">
        <f t="array" aca="1" ref="U45" ca="1">Notmerged(U16)</f>
        <v>#NAME?</v>
      </c>
      <c r="V45" s="128" t="e" cm="1">
        <f t="array" aca="1" ref="V45" ca="1">Notmerged(V16)</f>
        <v>#NAME?</v>
      </c>
      <c r="W45" s="128" t="e" cm="1">
        <f t="array" aca="1" ref="W45" ca="1">Notmerged(W16)</f>
        <v>#NAME?</v>
      </c>
      <c r="X45" s="128" t="e" cm="1">
        <f t="array" aca="1" ref="X45" ca="1">Notmerged(X16)</f>
        <v>#NAME?</v>
      </c>
      <c r="Y45" s="128" t="e" cm="1">
        <f t="array" aca="1" ref="Y45" ca="1">Notmerged(Y16)</f>
        <v>#NAME?</v>
      </c>
      <c r="Z45" s="128" t="e" cm="1">
        <f t="array" aca="1" ref="Z45" ca="1">Notmerged(Z16)</f>
        <v>#NAME?</v>
      </c>
      <c r="AA45" s="128" t="e" cm="1">
        <f t="array" aca="1" ref="AA45" ca="1">Notmerged(AA16)</f>
        <v>#NAME?</v>
      </c>
      <c r="AB45" s="128" t="e" cm="1">
        <f t="array" aca="1" ref="AB45" ca="1">Notmerged(AB16)</f>
        <v>#NAME?</v>
      </c>
      <c r="AC45" s="128" t="e" cm="1">
        <f t="array" aca="1" ref="AC45" ca="1">Notmerged(AC16)</f>
        <v>#NAME?</v>
      </c>
      <c r="AD45" s="128" t="e" cm="1">
        <f t="array" aca="1" ref="AD45" ca="1">Notmerged(AD16)</f>
        <v>#NAME?</v>
      </c>
      <c r="AE45" s="128" t="e" cm="1">
        <f t="array" aca="1" ref="AE45" ca="1">Notmerged(AE16)</f>
        <v>#NAME?</v>
      </c>
      <c r="AF45" s="128" t="e" cm="1">
        <f t="array" aca="1" ref="AF45" ca="1">Notmerged(AF16)</f>
        <v>#NAME?</v>
      </c>
      <c r="AG45" s="128" t="e" cm="1">
        <f t="array" aca="1" ref="AG45" ca="1">Notmerged(AG16)</f>
        <v>#NAME?</v>
      </c>
      <c r="AH45" s="128" t="e" cm="1">
        <f t="array" aca="1" ref="AH45" ca="1">Notmerged(AH16)</f>
        <v>#NAME?</v>
      </c>
      <c r="AI45" s="128" t="e" cm="1">
        <f t="array" aca="1" ref="AI45" ca="1">Notmerged(AI16)</f>
        <v>#NAME?</v>
      </c>
      <c r="AJ45" s="128" t="e" cm="1">
        <f t="array" aca="1" ref="AJ45" ca="1">Notmerged(AJ16)</f>
        <v>#NAME?</v>
      </c>
      <c r="AK45" s="128" t="e" cm="1">
        <f t="array" aca="1" ref="AK45" ca="1">Notmerged(AK16)</f>
        <v>#NAME?</v>
      </c>
      <c r="AL45" s="128" t="e" cm="1">
        <f t="array" aca="1" ref="AL45" ca="1">Notmerged(AL16)</f>
        <v>#NAME?</v>
      </c>
      <c r="AM45" s="128" t="e" cm="1">
        <f t="array" aca="1" ref="AM45" ca="1">Notmerged(AM16)</f>
        <v>#NAME?</v>
      </c>
      <c r="AN45" s="128" t="e" cm="1">
        <f t="array" aca="1" ref="AN45" ca="1">Notmerged(AN16)</f>
        <v>#NAME?</v>
      </c>
      <c r="AO45" s="128" t="e" cm="1">
        <f t="array" aca="1" ref="AO45" ca="1">Notmerged(AO16)</f>
        <v>#NAME?</v>
      </c>
      <c r="AP45" s="128" t="e" cm="1">
        <f t="array" aca="1" ref="AP45" ca="1">Notmerged(AP16)</f>
        <v>#NAME?</v>
      </c>
      <c r="AQ45" s="128" t="e" cm="1">
        <f t="array" aca="1" ref="AQ45" ca="1">Notmerged(AQ16)</f>
        <v>#NAME?</v>
      </c>
      <c r="AR45" s="128" t="e" cm="1">
        <f t="array" aca="1" ref="AR45" ca="1">Notmerged(AR16)</f>
        <v>#NAME?</v>
      </c>
      <c r="AS45" s="128" t="e" cm="1">
        <f t="array" aca="1" ref="AS45" ca="1">Notmerged(AS16)</f>
        <v>#NAME?</v>
      </c>
      <c r="AT45" s="128" t="e" cm="1">
        <f t="array" aca="1" ref="AT45" ca="1">Notmerged(AT16)</f>
        <v>#NAME?</v>
      </c>
      <c r="AU45" s="128" t="e" cm="1">
        <f t="array" aca="1" ref="AU45" ca="1">Notmerged(AU16)</f>
        <v>#NAME?</v>
      </c>
      <c r="AV45" s="128" t="e" cm="1">
        <f t="array" aca="1" ref="AV45" ca="1">Notmerged(AV16)</f>
        <v>#NAME?</v>
      </c>
      <c r="AW45" s="128" t="e" cm="1">
        <f t="array" aca="1" ref="AW45" ca="1">Notmerged(AW16)</f>
        <v>#NAME?</v>
      </c>
      <c r="AX45" s="128" t="e" cm="1">
        <f t="array" aca="1" ref="AX45" ca="1">Notmerged(AX16)</f>
        <v>#NAME?</v>
      </c>
      <c r="AY45" s="128" t="e" cm="1">
        <f t="array" aca="1" ref="AY45" ca="1">Notmerged(AY16)</f>
        <v>#NAME?</v>
      </c>
      <c r="AZ45" s="128" t="e" cm="1">
        <f t="array" aca="1" ref="AZ45" ca="1">Notmerged(AZ16)</f>
        <v>#NAME?</v>
      </c>
      <c r="BA45" s="128" t="e" cm="1">
        <f t="array" aca="1" ref="BA45" ca="1">Notmerged(BA16)</f>
        <v>#NAME?</v>
      </c>
      <c r="BB45" s="128" t="e" cm="1">
        <f t="array" aca="1" ref="BB45" ca="1">Notmerged(BB16)</f>
        <v>#NAME?</v>
      </c>
      <c r="BC45" s="128" t="e" cm="1">
        <f t="array" aca="1" ref="BC45" ca="1">Notmerged(BC16)</f>
        <v>#NAME?</v>
      </c>
      <c r="BD45" s="128" t="e" cm="1">
        <f t="array" aca="1" ref="BD45" ca="1">Notmerged(BD16)</f>
        <v>#NAME?</v>
      </c>
      <c r="BE45" s="128" t="e" cm="1">
        <f t="array" aca="1" ref="BE45" ca="1">Notmerged(BE16)</f>
        <v>#NAME?</v>
      </c>
      <c r="BF45" s="128" t="e" cm="1">
        <f t="array" aca="1" ref="BF45" ca="1">Notmerged(BF16)</f>
        <v>#NAME?</v>
      </c>
      <c r="BG45" s="128" t="e" cm="1">
        <f t="array" aca="1" ref="BG45" ca="1">Notmerged(BG16)</f>
        <v>#NAME?</v>
      </c>
      <c r="BH45" s="128" t="e" cm="1">
        <f t="array" aca="1" ref="BH45" ca="1">Notmerged(BH16)</f>
        <v>#NAME?</v>
      </c>
      <c r="BI45" s="128" t="e" cm="1">
        <f t="array" aca="1" ref="BI45" ca="1">Notmerged(BI16)</f>
        <v>#NAME?</v>
      </c>
      <c r="BJ45" s="128" t="e" cm="1">
        <f t="array" aca="1" ref="BJ45" ca="1">Notmerged(BJ16)</f>
        <v>#NAME?</v>
      </c>
      <c r="BK45" s="128" t="e" cm="1">
        <f t="array" aca="1" ref="BK45" ca="1">Notmerged(BK16)</f>
        <v>#NAME?</v>
      </c>
    </row>
    <row r="46" spans="2:63" x14ac:dyDescent="0.3">
      <c r="B46" s="128" t="e" cm="1">
        <f t="array" aca="1" ref="B46" ca="1">Notmerged(B17)</f>
        <v>#NAME?</v>
      </c>
      <c r="C46" s="128" t="e" cm="1">
        <f t="array" aca="1" ref="C46" ca="1">Notmerged(C17)</f>
        <v>#NAME?</v>
      </c>
      <c r="D46" s="128" t="e" cm="1">
        <f t="array" aca="1" ref="D46" ca="1">Notmerged(D17)</f>
        <v>#NAME?</v>
      </c>
      <c r="E46" s="128" t="e" cm="1">
        <f t="array" aca="1" ref="E46" ca="1">Notmerged(E17)</f>
        <v>#NAME?</v>
      </c>
      <c r="F46" s="128" t="e" cm="1">
        <f t="array" aca="1" ref="F46" ca="1">Notmerged(F17)</f>
        <v>#NAME?</v>
      </c>
      <c r="G46" s="128" t="e" cm="1">
        <f t="array" aca="1" ref="G46" ca="1">Notmerged(G17)</f>
        <v>#NAME?</v>
      </c>
      <c r="H46" s="128" t="e" cm="1">
        <f t="array" aca="1" ref="H46" ca="1">Notmerged(H17)</f>
        <v>#NAME?</v>
      </c>
      <c r="I46" s="128" t="e" cm="1">
        <f t="array" aca="1" ref="I46" ca="1">Notmerged(I17)</f>
        <v>#NAME?</v>
      </c>
      <c r="J46" s="128" t="e" cm="1">
        <f t="array" aca="1" ref="J46" ca="1">Notmerged(J17)</f>
        <v>#NAME?</v>
      </c>
      <c r="K46" s="128" t="e" cm="1">
        <f t="array" aca="1" ref="K46" ca="1">Notmerged(K17)</f>
        <v>#NAME?</v>
      </c>
      <c r="L46" s="128" t="e" cm="1">
        <f t="array" aca="1" ref="L46" ca="1">Notmerged(L17)</f>
        <v>#NAME?</v>
      </c>
      <c r="M46" s="128" t="e" cm="1">
        <f t="array" aca="1" ref="M46" ca="1">Notmerged(M17)</f>
        <v>#NAME?</v>
      </c>
      <c r="N46" s="128" t="e" cm="1">
        <f t="array" aca="1" ref="N46" ca="1">Notmerged(N17)</f>
        <v>#NAME?</v>
      </c>
      <c r="O46" s="128" t="e" cm="1">
        <f t="array" aca="1" ref="O46" ca="1">Notmerged(O17)</f>
        <v>#NAME?</v>
      </c>
      <c r="P46" s="128" t="e" cm="1">
        <f t="array" aca="1" ref="P46" ca="1">Notmerged(P17)</f>
        <v>#NAME?</v>
      </c>
      <c r="Q46" s="128" t="e" cm="1">
        <f t="array" aca="1" ref="Q46" ca="1">Notmerged(Q17)</f>
        <v>#NAME?</v>
      </c>
      <c r="R46" s="128" t="e" cm="1">
        <f t="array" aca="1" ref="R46" ca="1">Notmerged(R17)</f>
        <v>#NAME?</v>
      </c>
      <c r="S46" s="128" t="e" cm="1">
        <f t="array" aca="1" ref="S46" ca="1">Notmerged(S17)</f>
        <v>#NAME?</v>
      </c>
      <c r="T46" s="128" t="e" cm="1">
        <f t="array" aca="1" ref="T46" ca="1">Notmerged(T17)</f>
        <v>#NAME?</v>
      </c>
      <c r="U46" s="128" t="e" cm="1">
        <f t="array" aca="1" ref="U46" ca="1">Notmerged(U17)</f>
        <v>#NAME?</v>
      </c>
      <c r="V46" s="128" t="e" cm="1">
        <f t="array" aca="1" ref="V46" ca="1">Notmerged(V17)</f>
        <v>#NAME?</v>
      </c>
      <c r="W46" s="128" t="e" cm="1">
        <f t="array" aca="1" ref="W46" ca="1">Notmerged(W17)</f>
        <v>#NAME?</v>
      </c>
      <c r="X46" s="128" t="e" cm="1">
        <f t="array" aca="1" ref="X46" ca="1">Notmerged(X17)</f>
        <v>#NAME?</v>
      </c>
      <c r="Y46" s="128" t="e" cm="1">
        <f t="array" aca="1" ref="Y46" ca="1">Notmerged(Y17)</f>
        <v>#NAME?</v>
      </c>
      <c r="Z46" s="128" t="e" cm="1">
        <f t="array" aca="1" ref="Z46" ca="1">Notmerged(Z17)</f>
        <v>#NAME?</v>
      </c>
      <c r="AA46" s="128" t="e" cm="1">
        <f t="array" aca="1" ref="AA46" ca="1">Notmerged(AA17)</f>
        <v>#NAME?</v>
      </c>
      <c r="AB46" s="128" t="e" cm="1">
        <f t="array" aca="1" ref="AB46" ca="1">Notmerged(AB17)</f>
        <v>#NAME?</v>
      </c>
      <c r="AC46" s="128" t="e" cm="1">
        <f t="array" aca="1" ref="AC46" ca="1">Notmerged(AC17)</f>
        <v>#NAME?</v>
      </c>
      <c r="AD46" s="128" t="e" cm="1">
        <f t="array" aca="1" ref="AD46" ca="1">Notmerged(AD17)</f>
        <v>#NAME?</v>
      </c>
      <c r="AE46" s="128" t="e" cm="1">
        <f t="array" aca="1" ref="AE46" ca="1">Notmerged(AE17)</f>
        <v>#NAME?</v>
      </c>
      <c r="AF46" s="128" t="e" cm="1">
        <f t="array" aca="1" ref="AF46" ca="1">Notmerged(AF17)</f>
        <v>#NAME?</v>
      </c>
      <c r="AG46" s="128" t="e" cm="1">
        <f t="array" aca="1" ref="AG46" ca="1">Notmerged(AG17)</f>
        <v>#NAME?</v>
      </c>
      <c r="AH46" s="128" t="e" cm="1">
        <f t="array" aca="1" ref="AH46" ca="1">Notmerged(AH17)</f>
        <v>#NAME?</v>
      </c>
      <c r="AI46" s="128" t="e" cm="1">
        <f t="array" aca="1" ref="AI46" ca="1">Notmerged(AI17)</f>
        <v>#NAME?</v>
      </c>
      <c r="AJ46" s="128" t="e" cm="1">
        <f t="array" aca="1" ref="AJ46" ca="1">Notmerged(AJ17)</f>
        <v>#NAME?</v>
      </c>
      <c r="AK46" s="128" t="e" cm="1">
        <f t="array" aca="1" ref="AK46" ca="1">Notmerged(AK17)</f>
        <v>#NAME?</v>
      </c>
      <c r="AL46" s="128" t="e" cm="1">
        <f t="array" aca="1" ref="AL46" ca="1">Notmerged(AL17)</f>
        <v>#NAME?</v>
      </c>
      <c r="AM46" s="128" t="e" cm="1">
        <f t="array" aca="1" ref="AM46" ca="1">Notmerged(AM17)</f>
        <v>#NAME?</v>
      </c>
      <c r="AN46" s="128" t="e" cm="1">
        <f t="array" aca="1" ref="AN46" ca="1">Notmerged(AN17)</f>
        <v>#NAME?</v>
      </c>
      <c r="AO46" s="128" t="e" cm="1">
        <f t="array" aca="1" ref="AO46" ca="1">Notmerged(AO17)</f>
        <v>#NAME?</v>
      </c>
      <c r="AP46" s="128" t="e" cm="1">
        <f t="array" aca="1" ref="AP46" ca="1">Notmerged(AP17)</f>
        <v>#NAME?</v>
      </c>
      <c r="AQ46" s="128" t="e" cm="1">
        <f t="array" aca="1" ref="AQ46" ca="1">Notmerged(AQ17)</f>
        <v>#NAME?</v>
      </c>
      <c r="AR46" s="128" t="e" cm="1">
        <f t="array" aca="1" ref="AR46" ca="1">Notmerged(AR17)</f>
        <v>#NAME?</v>
      </c>
      <c r="AS46" s="128" t="e" cm="1">
        <f t="array" aca="1" ref="AS46" ca="1">Notmerged(AS17)</f>
        <v>#NAME?</v>
      </c>
      <c r="AT46" s="128" t="e" cm="1">
        <f t="array" aca="1" ref="AT46" ca="1">Notmerged(AT17)</f>
        <v>#NAME?</v>
      </c>
      <c r="AU46" s="128" t="e" cm="1">
        <f t="array" aca="1" ref="AU46" ca="1">Notmerged(AU17)</f>
        <v>#NAME?</v>
      </c>
      <c r="AV46" s="128" t="e" cm="1">
        <f t="array" aca="1" ref="AV46" ca="1">Notmerged(AV17)</f>
        <v>#NAME?</v>
      </c>
      <c r="AW46" s="128" t="e" cm="1">
        <f t="array" aca="1" ref="AW46" ca="1">Notmerged(AW17)</f>
        <v>#NAME?</v>
      </c>
      <c r="AX46" s="128" t="e" cm="1">
        <f t="array" aca="1" ref="AX46" ca="1">Notmerged(AX17)</f>
        <v>#NAME?</v>
      </c>
      <c r="AY46" s="128" t="e" cm="1">
        <f t="array" aca="1" ref="AY46" ca="1">Notmerged(AY17)</f>
        <v>#NAME?</v>
      </c>
      <c r="AZ46" s="128" t="e" cm="1">
        <f t="array" aca="1" ref="AZ46" ca="1">Notmerged(AZ17)</f>
        <v>#NAME?</v>
      </c>
      <c r="BA46" s="128" t="e" cm="1">
        <f t="array" aca="1" ref="BA46" ca="1">Notmerged(BA17)</f>
        <v>#NAME?</v>
      </c>
      <c r="BB46" s="128" t="e" cm="1">
        <f t="array" aca="1" ref="BB46" ca="1">Notmerged(BB17)</f>
        <v>#NAME?</v>
      </c>
      <c r="BC46" s="128" t="e" cm="1">
        <f t="array" aca="1" ref="BC46" ca="1">Notmerged(BC17)</f>
        <v>#NAME?</v>
      </c>
      <c r="BD46" s="128" t="e" cm="1">
        <f t="array" aca="1" ref="BD46" ca="1">Notmerged(BD17)</f>
        <v>#NAME?</v>
      </c>
      <c r="BE46" s="128" t="e" cm="1">
        <f t="array" aca="1" ref="BE46" ca="1">Notmerged(BE17)</f>
        <v>#NAME?</v>
      </c>
      <c r="BF46" s="128" t="e" cm="1">
        <f t="array" aca="1" ref="BF46" ca="1">Notmerged(BF17)</f>
        <v>#NAME?</v>
      </c>
      <c r="BG46" s="128" t="e" cm="1">
        <f t="array" aca="1" ref="BG46" ca="1">Notmerged(BG17)</f>
        <v>#NAME?</v>
      </c>
      <c r="BH46" s="128" t="e" cm="1">
        <f t="array" aca="1" ref="BH46" ca="1">Notmerged(BH17)</f>
        <v>#NAME?</v>
      </c>
      <c r="BI46" s="128" t="e" cm="1">
        <f t="array" aca="1" ref="BI46" ca="1">Notmerged(BI17)</f>
        <v>#NAME?</v>
      </c>
      <c r="BJ46" s="128" t="e" cm="1">
        <f t="array" aca="1" ref="BJ46" ca="1">Notmerged(BJ17)</f>
        <v>#NAME?</v>
      </c>
      <c r="BK46" s="128" t="e" cm="1">
        <f t="array" aca="1" ref="BK46" ca="1">Notmerged(BK17)</f>
        <v>#NAME?</v>
      </c>
    </row>
    <row r="47" spans="2:63" x14ac:dyDescent="0.3">
      <c r="B47" s="128" t="e" cm="1">
        <f t="array" aca="1" ref="B47" ca="1">Notmerged(B18)</f>
        <v>#NAME?</v>
      </c>
      <c r="C47" s="128" t="e" cm="1">
        <f t="array" aca="1" ref="C47" ca="1">Notmerged(C18)</f>
        <v>#NAME?</v>
      </c>
      <c r="D47" s="128" t="e" cm="1">
        <f t="array" aca="1" ref="D47" ca="1">Notmerged(D18)</f>
        <v>#NAME?</v>
      </c>
      <c r="E47" s="128" t="e" cm="1">
        <f t="array" aca="1" ref="E47" ca="1">Notmerged(E18)</f>
        <v>#NAME?</v>
      </c>
      <c r="F47" s="128" t="e" cm="1">
        <f t="array" aca="1" ref="F47" ca="1">Notmerged(F18)</f>
        <v>#NAME?</v>
      </c>
      <c r="G47" s="128" t="e" cm="1">
        <f t="array" aca="1" ref="G47" ca="1">Notmerged(G18)</f>
        <v>#NAME?</v>
      </c>
      <c r="H47" s="128" t="e" cm="1">
        <f t="array" aca="1" ref="H47" ca="1">Notmerged(H18)</f>
        <v>#NAME?</v>
      </c>
      <c r="I47" s="128" t="e" cm="1">
        <f t="array" aca="1" ref="I47" ca="1">Notmerged(I18)</f>
        <v>#NAME?</v>
      </c>
      <c r="J47" s="128" t="e" cm="1">
        <f t="array" aca="1" ref="J47" ca="1">Notmerged(J18)</f>
        <v>#NAME?</v>
      </c>
      <c r="K47" s="128" t="e" cm="1">
        <f t="array" aca="1" ref="K47" ca="1">Notmerged(K18)</f>
        <v>#NAME?</v>
      </c>
      <c r="L47" s="128" t="e" cm="1">
        <f t="array" aca="1" ref="L47" ca="1">Notmerged(L18)</f>
        <v>#NAME?</v>
      </c>
      <c r="M47" s="128" t="e" cm="1">
        <f t="array" aca="1" ref="M47" ca="1">Notmerged(M18)</f>
        <v>#NAME?</v>
      </c>
      <c r="N47" s="128" t="e" cm="1">
        <f t="array" aca="1" ref="N47" ca="1">Notmerged(N18)</f>
        <v>#NAME?</v>
      </c>
      <c r="O47" s="128" t="e" cm="1">
        <f t="array" aca="1" ref="O47" ca="1">Notmerged(O18)</f>
        <v>#NAME?</v>
      </c>
      <c r="P47" s="128" t="e" cm="1">
        <f t="array" aca="1" ref="P47" ca="1">Notmerged(P18)</f>
        <v>#NAME?</v>
      </c>
      <c r="Q47" s="128" t="e" cm="1">
        <f t="array" aca="1" ref="Q47" ca="1">Notmerged(Q18)</f>
        <v>#NAME?</v>
      </c>
      <c r="R47" s="128" t="e" cm="1">
        <f t="array" aca="1" ref="R47" ca="1">Notmerged(R18)</f>
        <v>#NAME?</v>
      </c>
      <c r="S47" s="128" t="e" cm="1">
        <f t="array" aca="1" ref="S47" ca="1">Notmerged(S18)</f>
        <v>#NAME?</v>
      </c>
      <c r="T47" s="128" t="e" cm="1">
        <f t="array" aca="1" ref="T47" ca="1">Notmerged(T18)</f>
        <v>#NAME?</v>
      </c>
      <c r="U47" s="128" t="e" cm="1">
        <f t="array" aca="1" ref="U47" ca="1">Notmerged(U18)</f>
        <v>#NAME?</v>
      </c>
      <c r="V47" s="128" t="e" cm="1">
        <f t="array" aca="1" ref="V47" ca="1">Notmerged(V18)</f>
        <v>#NAME?</v>
      </c>
      <c r="W47" s="128" t="e" cm="1">
        <f t="array" aca="1" ref="W47" ca="1">Notmerged(W18)</f>
        <v>#NAME?</v>
      </c>
      <c r="X47" s="128" t="e" cm="1">
        <f t="array" aca="1" ref="X47" ca="1">Notmerged(X18)</f>
        <v>#NAME?</v>
      </c>
      <c r="Y47" s="128" t="e" cm="1">
        <f t="array" aca="1" ref="Y47" ca="1">Notmerged(Y18)</f>
        <v>#NAME?</v>
      </c>
      <c r="Z47" s="128" t="e" cm="1">
        <f t="array" aca="1" ref="Z47" ca="1">Notmerged(Z18)</f>
        <v>#NAME?</v>
      </c>
      <c r="AA47" s="128" t="e" cm="1">
        <f t="array" aca="1" ref="AA47" ca="1">Notmerged(AA18)</f>
        <v>#NAME?</v>
      </c>
      <c r="AB47" s="128" t="e" cm="1">
        <f t="array" aca="1" ref="AB47" ca="1">Notmerged(AB18)</f>
        <v>#NAME?</v>
      </c>
      <c r="AC47" s="128" t="e" cm="1">
        <f t="array" aca="1" ref="AC47" ca="1">Notmerged(AC18)</f>
        <v>#NAME?</v>
      </c>
      <c r="AD47" s="128" t="e" cm="1">
        <f t="array" aca="1" ref="AD47" ca="1">Notmerged(AD18)</f>
        <v>#NAME?</v>
      </c>
      <c r="AE47" s="128" t="e" cm="1">
        <f t="array" aca="1" ref="AE47" ca="1">Notmerged(AE18)</f>
        <v>#NAME?</v>
      </c>
      <c r="AF47" s="128" t="e" cm="1">
        <f t="array" aca="1" ref="AF47" ca="1">Notmerged(AF18)</f>
        <v>#NAME?</v>
      </c>
      <c r="AG47" s="128" t="e" cm="1">
        <f t="array" aca="1" ref="AG47" ca="1">Notmerged(AG18)</f>
        <v>#NAME?</v>
      </c>
      <c r="AH47" s="128" t="e" cm="1">
        <f t="array" aca="1" ref="AH47" ca="1">Notmerged(AH18)</f>
        <v>#NAME?</v>
      </c>
      <c r="AI47" s="128" t="e" cm="1">
        <f t="array" aca="1" ref="AI47" ca="1">Notmerged(AI18)</f>
        <v>#NAME?</v>
      </c>
      <c r="AJ47" s="128" t="e" cm="1">
        <f t="array" aca="1" ref="AJ47" ca="1">Notmerged(AJ18)</f>
        <v>#NAME?</v>
      </c>
      <c r="AK47" s="128" t="e" cm="1">
        <f t="array" aca="1" ref="AK47" ca="1">Notmerged(AK18)</f>
        <v>#NAME?</v>
      </c>
      <c r="AL47" s="128" t="e" cm="1">
        <f t="array" aca="1" ref="AL47" ca="1">Notmerged(AL18)</f>
        <v>#NAME?</v>
      </c>
      <c r="AM47" s="128" t="e" cm="1">
        <f t="array" aca="1" ref="AM47" ca="1">Notmerged(AM18)</f>
        <v>#NAME?</v>
      </c>
      <c r="AN47" s="128" t="e" cm="1">
        <f t="array" aca="1" ref="AN47" ca="1">Notmerged(AN18)</f>
        <v>#NAME?</v>
      </c>
      <c r="AO47" s="128" t="e" cm="1">
        <f t="array" aca="1" ref="AO47" ca="1">Notmerged(AO18)</f>
        <v>#NAME?</v>
      </c>
      <c r="AP47" s="128" t="e" cm="1">
        <f t="array" aca="1" ref="AP47" ca="1">Notmerged(AP18)</f>
        <v>#NAME?</v>
      </c>
      <c r="AQ47" s="128" t="e" cm="1">
        <f t="array" aca="1" ref="AQ47" ca="1">Notmerged(AQ18)</f>
        <v>#NAME?</v>
      </c>
      <c r="AR47" s="128" t="e" cm="1">
        <f t="array" aca="1" ref="AR47" ca="1">Notmerged(AR18)</f>
        <v>#NAME?</v>
      </c>
      <c r="AS47" s="128" t="e" cm="1">
        <f t="array" aca="1" ref="AS47" ca="1">Notmerged(AS18)</f>
        <v>#NAME?</v>
      </c>
      <c r="AT47" s="128" t="e" cm="1">
        <f t="array" aca="1" ref="AT47" ca="1">Notmerged(AT18)</f>
        <v>#NAME?</v>
      </c>
      <c r="AU47" s="128" t="e" cm="1">
        <f t="array" aca="1" ref="AU47" ca="1">Notmerged(AU18)</f>
        <v>#NAME?</v>
      </c>
      <c r="AV47" s="128" t="e" cm="1">
        <f t="array" aca="1" ref="AV47" ca="1">Notmerged(AV18)</f>
        <v>#NAME?</v>
      </c>
      <c r="AW47" s="128" t="e" cm="1">
        <f t="array" aca="1" ref="AW47" ca="1">Notmerged(AW18)</f>
        <v>#NAME?</v>
      </c>
      <c r="AX47" s="128" t="e" cm="1">
        <f t="array" aca="1" ref="AX47" ca="1">Notmerged(AX18)</f>
        <v>#NAME?</v>
      </c>
      <c r="AY47" s="128" t="e" cm="1">
        <f t="array" aca="1" ref="AY47" ca="1">Notmerged(AY18)</f>
        <v>#NAME?</v>
      </c>
      <c r="AZ47" s="128" t="e" cm="1">
        <f t="array" aca="1" ref="AZ47" ca="1">Notmerged(AZ18)</f>
        <v>#NAME?</v>
      </c>
      <c r="BA47" s="128" t="e" cm="1">
        <f t="array" aca="1" ref="BA47" ca="1">Notmerged(BA18)</f>
        <v>#NAME?</v>
      </c>
      <c r="BB47" s="128" t="e" cm="1">
        <f t="array" aca="1" ref="BB47" ca="1">Notmerged(BB18)</f>
        <v>#NAME?</v>
      </c>
      <c r="BC47" s="128" t="e" cm="1">
        <f t="array" aca="1" ref="BC47" ca="1">Notmerged(BC18)</f>
        <v>#NAME?</v>
      </c>
      <c r="BD47" s="128" t="e" cm="1">
        <f t="array" aca="1" ref="BD47" ca="1">Notmerged(BD18)</f>
        <v>#NAME?</v>
      </c>
      <c r="BE47" s="128" t="e" cm="1">
        <f t="array" aca="1" ref="BE47" ca="1">Notmerged(BE18)</f>
        <v>#NAME?</v>
      </c>
      <c r="BF47" s="128" t="e" cm="1">
        <f t="array" aca="1" ref="BF47" ca="1">Notmerged(BF18)</f>
        <v>#NAME?</v>
      </c>
      <c r="BG47" s="128" t="e" cm="1">
        <f t="array" aca="1" ref="BG47" ca="1">Notmerged(BG18)</f>
        <v>#NAME?</v>
      </c>
      <c r="BH47" s="128" t="e" cm="1">
        <f t="array" aca="1" ref="BH47" ca="1">Notmerged(BH18)</f>
        <v>#NAME?</v>
      </c>
      <c r="BI47" s="128" t="e" cm="1">
        <f t="array" aca="1" ref="BI47" ca="1">Notmerged(BI18)</f>
        <v>#NAME?</v>
      </c>
      <c r="BJ47" s="128" t="e" cm="1">
        <f t="array" aca="1" ref="BJ47" ca="1">Notmerged(BJ18)</f>
        <v>#NAME?</v>
      </c>
      <c r="BK47" s="128" t="e" cm="1">
        <f t="array" aca="1" ref="BK47" ca="1">Notmerged(BK18)</f>
        <v>#NAME?</v>
      </c>
    </row>
    <row r="48" spans="2:63" x14ac:dyDescent="0.3">
      <c r="B48" s="128" t="e" cm="1">
        <f t="array" aca="1" ref="B48" ca="1">Notmerged(B19)</f>
        <v>#NAME?</v>
      </c>
      <c r="C48" s="128" t="e" cm="1">
        <f t="array" aca="1" ref="C48" ca="1">Notmerged(#REF!)</f>
        <v>#NAME?</v>
      </c>
      <c r="D48" s="128" t="e" cm="1">
        <f t="array" aca="1" ref="D48" ca="1">Notmerged(D19)</f>
        <v>#NAME?</v>
      </c>
      <c r="E48" s="128" t="e" cm="1">
        <f t="array" aca="1" ref="E48" ca="1">Notmerged(E19)</f>
        <v>#NAME?</v>
      </c>
      <c r="F48" s="128" t="e" cm="1">
        <f t="array" aca="1" ref="F48" ca="1">Notmerged(F19)</f>
        <v>#NAME?</v>
      </c>
      <c r="G48" s="128" t="e" cm="1">
        <f t="array" aca="1" ref="G48" ca="1">Notmerged(G19)</f>
        <v>#NAME?</v>
      </c>
      <c r="H48" s="128" t="e" cm="1">
        <f t="array" aca="1" ref="H48" ca="1">Notmerged(H19)</f>
        <v>#NAME?</v>
      </c>
      <c r="I48" s="128" t="e" cm="1">
        <f t="array" aca="1" ref="I48" ca="1">Notmerged(I19)</f>
        <v>#NAME?</v>
      </c>
      <c r="J48" s="128" t="e" cm="1">
        <f t="array" aca="1" ref="J48" ca="1">Notmerged(J19)</f>
        <v>#NAME?</v>
      </c>
      <c r="K48" s="128" t="e" cm="1">
        <f t="array" aca="1" ref="K48" ca="1">Notmerged(K19)</f>
        <v>#NAME?</v>
      </c>
      <c r="L48" s="128" t="e" cm="1">
        <f t="array" aca="1" ref="L48" ca="1">Notmerged(L19)</f>
        <v>#NAME?</v>
      </c>
      <c r="M48" s="128" t="e" cm="1">
        <f t="array" aca="1" ref="M48" ca="1">Notmerged(M19)</f>
        <v>#NAME?</v>
      </c>
      <c r="N48" s="128" t="e" cm="1">
        <f t="array" aca="1" ref="N48" ca="1">Notmerged(N19)</f>
        <v>#NAME?</v>
      </c>
      <c r="O48" s="128" t="e" cm="1">
        <f t="array" aca="1" ref="O48" ca="1">Notmerged(O19)</f>
        <v>#NAME?</v>
      </c>
      <c r="P48" s="128" t="e" cm="1">
        <f t="array" aca="1" ref="P48" ca="1">Notmerged(P19)</f>
        <v>#NAME?</v>
      </c>
      <c r="Q48" s="128" t="e" cm="1">
        <f t="array" aca="1" ref="Q48" ca="1">Notmerged(Q19)</f>
        <v>#NAME?</v>
      </c>
      <c r="R48" s="128" t="e" cm="1">
        <f t="array" aca="1" ref="R48" ca="1">Notmerged(R19)</f>
        <v>#NAME?</v>
      </c>
      <c r="S48" s="128" t="e" cm="1">
        <f t="array" aca="1" ref="S48" ca="1">Notmerged(S19)</f>
        <v>#NAME?</v>
      </c>
      <c r="T48" s="128" t="e" cm="1">
        <f t="array" aca="1" ref="T48" ca="1">Notmerged(T19)</f>
        <v>#NAME?</v>
      </c>
      <c r="U48" s="128" t="e" cm="1">
        <f t="array" aca="1" ref="U48" ca="1">Notmerged(U19)</f>
        <v>#NAME?</v>
      </c>
      <c r="V48" s="128" t="e" cm="1">
        <f t="array" aca="1" ref="V48" ca="1">Notmerged(V19)</f>
        <v>#NAME?</v>
      </c>
      <c r="W48" s="128" t="e" cm="1">
        <f t="array" aca="1" ref="W48" ca="1">Notmerged(W19)</f>
        <v>#NAME?</v>
      </c>
      <c r="X48" s="128" t="e" cm="1">
        <f t="array" aca="1" ref="X48" ca="1">Notmerged(X19)</f>
        <v>#NAME?</v>
      </c>
      <c r="Y48" s="128" t="e" cm="1">
        <f t="array" aca="1" ref="Y48" ca="1">Notmerged(Y19)</f>
        <v>#NAME?</v>
      </c>
      <c r="Z48" s="128" t="e" cm="1">
        <f t="array" aca="1" ref="Z48" ca="1">Notmerged(Z19)</f>
        <v>#NAME?</v>
      </c>
      <c r="AA48" s="128" t="e" cm="1">
        <f t="array" aca="1" ref="AA48" ca="1">Notmerged(AA19)</f>
        <v>#NAME?</v>
      </c>
      <c r="AB48" s="128" t="e" cm="1">
        <f t="array" aca="1" ref="AB48" ca="1">Notmerged(AB19)</f>
        <v>#NAME?</v>
      </c>
      <c r="AC48" s="128" t="e" cm="1">
        <f t="array" aca="1" ref="AC48" ca="1">Notmerged(AC19)</f>
        <v>#NAME?</v>
      </c>
      <c r="AD48" s="128" t="e" cm="1">
        <f t="array" aca="1" ref="AD48" ca="1">Notmerged(AD19)</f>
        <v>#NAME?</v>
      </c>
      <c r="AE48" s="128" t="e" cm="1">
        <f t="array" aca="1" ref="AE48" ca="1">Notmerged(AE19)</f>
        <v>#NAME?</v>
      </c>
      <c r="AF48" s="128" t="e" cm="1">
        <f t="array" aca="1" ref="AF48" ca="1">Notmerged(AF19)</f>
        <v>#NAME?</v>
      </c>
      <c r="AG48" s="128" t="e" cm="1">
        <f t="array" aca="1" ref="AG48" ca="1">Notmerged(AG19)</f>
        <v>#NAME?</v>
      </c>
      <c r="AH48" s="128" t="e" cm="1">
        <f t="array" aca="1" ref="AH48" ca="1">Notmerged(AH19)</f>
        <v>#NAME?</v>
      </c>
      <c r="AI48" s="128" t="e" cm="1">
        <f t="array" aca="1" ref="AI48" ca="1">Notmerged(AI19)</f>
        <v>#NAME?</v>
      </c>
      <c r="AJ48" s="128" t="e" cm="1">
        <f t="array" aca="1" ref="AJ48" ca="1">Notmerged(AJ19)</f>
        <v>#NAME?</v>
      </c>
      <c r="AK48" s="128" t="e" cm="1">
        <f t="array" aca="1" ref="AK48" ca="1">Notmerged(AK19)</f>
        <v>#NAME?</v>
      </c>
      <c r="AL48" s="128" t="e" cm="1">
        <f t="array" aca="1" ref="AL48" ca="1">Notmerged(AL19)</f>
        <v>#NAME?</v>
      </c>
      <c r="AM48" s="128" t="e" cm="1">
        <f t="array" aca="1" ref="AM48" ca="1">Notmerged(AM19)</f>
        <v>#NAME?</v>
      </c>
      <c r="AN48" s="128" t="e" cm="1">
        <f t="array" aca="1" ref="AN48" ca="1">Notmerged(AN19)</f>
        <v>#NAME?</v>
      </c>
      <c r="AO48" s="128" t="e" cm="1">
        <f t="array" aca="1" ref="AO48" ca="1">Notmerged(AO19)</f>
        <v>#NAME?</v>
      </c>
      <c r="AP48" s="128" t="e" cm="1">
        <f t="array" aca="1" ref="AP48" ca="1">Notmerged(AP19)</f>
        <v>#NAME?</v>
      </c>
      <c r="AQ48" s="128" t="e" cm="1">
        <f t="array" aca="1" ref="AQ48" ca="1">Notmerged(AQ19)</f>
        <v>#NAME?</v>
      </c>
      <c r="AR48" s="128" t="e" cm="1">
        <f t="array" aca="1" ref="AR48" ca="1">Notmerged(AR19)</f>
        <v>#NAME?</v>
      </c>
      <c r="AS48" s="128" t="e" cm="1">
        <f t="array" aca="1" ref="AS48" ca="1">Notmerged(AS19)</f>
        <v>#NAME?</v>
      </c>
      <c r="AT48" s="128" t="e" cm="1">
        <f t="array" aca="1" ref="AT48" ca="1">Notmerged(AT19)</f>
        <v>#NAME?</v>
      </c>
      <c r="AU48" s="128" t="e" cm="1">
        <f t="array" aca="1" ref="AU48" ca="1">Notmerged(AU19)</f>
        <v>#NAME?</v>
      </c>
      <c r="AV48" s="128" t="e" cm="1">
        <f t="array" aca="1" ref="AV48" ca="1">Notmerged(AV19)</f>
        <v>#NAME?</v>
      </c>
      <c r="AW48" s="128" t="e" cm="1">
        <f t="array" aca="1" ref="AW48" ca="1">Notmerged(AW19)</f>
        <v>#NAME?</v>
      </c>
      <c r="AX48" s="128" t="e" cm="1">
        <f t="array" aca="1" ref="AX48" ca="1">Notmerged(AX19)</f>
        <v>#NAME?</v>
      </c>
      <c r="AY48" s="128" t="e" cm="1">
        <f t="array" aca="1" ref="AY48" ca="1">Notmerged(AY19)</f>
        <v>#NAME?</v>
      </c>
      <c r="AZ48" s="128" t="e" cm="1">
        <f t="array" aca="1" ref="AZ48" ca="1">Notmerged(AZ19)</f>
        <v>#NAME?</v>
      </c>
      <c r="BA48" s="128" t="e" cm="1">
        <f t="array" aca="1" ref="BA48" ca="1">Notmerged(BA19)</f>
        <v>#NAME?</v>
      </c>
      <c r="BB48" s="128" t="e" cm="1">
        <f t="array" aca="1" ref="BB48" ca="1">Notmerged(BB19)</f>
        <v>#NAME?</v>
      </c>
      <c r="BC48" s="128" t="e" cm="1">
        <f t="array" aca="1" ref="BC48" ca="1">Notmerged(BC19)</f>
        <v>#NAME?</v>
      </c>
      <c r="BD48" s="128" t="e" cm="1">
        <f t="array" aca="1" ref="BD48" ca="1">Notmerged(BD19)</f>
        <v>#NAME?</v>
      </c>
      <c r="BE48" s="128" t="e" cm="1">
        <f t="array" aca="1" ref="BE48" ca="1">Notmerged(BE19)</f>
        <v>#NAME?</v>
      </c>
      <c r="BF48" s="128" t="e" cm="1">
        <f t="array" aca="1" ref="BF48" ca="1">Notmerged(BF19)</f>
        <v>#NAME?</v>
      </c>
      <c r="BG48" s="128" t="e" cm="1">
        <f t="array" aca="1" ref="BG48" ca="1">Notmerged(BG19)</f>
        <v>#NAME?</v>
      </c>
      <c r="BH48" s="128" t="e" cm="1">
        <f t="array" aca="1" ref="BH48" ca="1">Notmerged(BH19)</f>
        <v>#NAME?</v>
      </c>
      <c r="BI48" s="128" t="e" cm="1">
        <f t="array" aca="1" ref="BI48" ca="1">Notmerged(BI19)</f>
        <v>#NAME?</v>
      </c>
      <c r="BJ48" s="128" t="e" cm="1">
        <f t="array" aca="1" ref="BJ48" ca="1">Notmerged(BJ19)</f>
        <v>#NAME?</v>
      </c>
      <c r="BK48" s="128" t="e" cm="1">
        <f t="array" aca="1" ref="BK48" ca="1">Notmerged(BK19)</f>
        <v>#NAME?</v>
      </c>
    </row>
    <row r="49" spans="2:63" x14ac:dyDescent="0.3">
      <c r="B49" s="128" t="e" cm="1">
        <f t="array" aca="1" ref="B49" ca="1">Notmerged(B20)</f>
        <v>#NAME?</v>
      </c>
      <c r="C49" s="128" t="e" cm="1">
        <f t="array" aca="1" ref="C49" ca="1">Notmerged(#REF!)</f>
        <v>#NAME?</v>
      </c>
      <c r="D49" s="128" t="e" cm="1">
        <f t="array" aca="1" ref="D49" ca="1">Notmerged(D20)</f>
        <v>#NAME?</v>
      </c>
      <c r="E49" s="128" t="e" cm="1">
        <f t="array" aca="1" ref="E49" ca="1">Notmerged(E20)</f>
        <v>#NAME?</v>
      </c>
      <c r="F49" s="128" t="e" cm="1">
        <f t="array" aca="1" ref="F49" ca="1">Notmerged(F20)</f>
        <v>#NAME?</v>
      </c>
      <c r="G49" s="128" t="e" cm="1">
        <f t="array" aca="1" ref="G49" ca="1">Notmerged(G20)</f>
        <v>#NAME?</v>
      </c>
      <c r="H49" s="128" t="e" cm="1">
        <f t="array" aca="1" ref="H49" ca="1">Notmerged(H20)</f>
        <v>#NAME?</v>
      </c>
      <c r="I49" s="128" t="e" cm="1">
        <f t="array" aca="1" ref="I49" ca="1">Notmerged(I20)</f>
        <v>#NAME?</v>
      </c>
      <c r="J49" s="128" t="e" cm="1">
        <f t="array" aca="1" ref="J49" ca="1">Notmerged(J20)</f>
        <v>#NAME?</v>
      </c>
      <c r="K49" s="128" t="e" cm="1">
        <f t="array" aca="1" ref="K49" ca="1">Notmerged(K20)</f>
        <v>#NAME?</v>
      </c>
      <c r="L49" s="128" t="e" cm="1">
        <f t="array" aca="1" ref="L49" ca="1">Notmerged(L20)</f>
        <v>#NAME?</v>
      </c>
      <c r="M49" s="128" t="e" cm="1">
        <f t="array" aca="1" ref="M49" ca="1">Notmerged(M20)</f>
        <v>#NAME?</v>
      </c>
      <c r="N49" s="128" t="e" cm="1">
        <f t="array" aca="1" ref="N49" ca="1">Notmerged(N20)</f>
        <v>#NAME?</v>
      </c>
      <c r="O49" s="128" t="e" cm="1">
        <f t="array" aca="1" ref="O49" ca="1">Notmerged(O20)</f>
        <v>#NAME?</v>
      </c>
      <c r="P49" s="128" t="e" cm="1">
        <f t="array" aca="1" ref="P49" ca="1">Notmerged(P20)</f>
        <v>#NAME?</v>
      </c>
      <c r="Q49" s="128" t="e" cm="1">
        <f t="array" aca="1" ref="Q49" ca="1">Notmerged(Q20)</f>
        <v>#NAME?</v>
      </c>
      <c r="R49" s="128" t="e" cm="1">
        <f t="array" aca="1" ref="R49" ca="1">Notmerged(R20)</f>
        <v>#NAME?</v>
      </c>
      <c r="S49" s="128" t="e" cm="1">
        <f t="array" aca="1" ref="S49" ca="1">Notmerged(S20)</f>
        <v>#NAME?</v>
      </c>
      <c r="T49" s="128" t="e" cm="1">
        <f t="array" aca="1" ref="T49" ca="1">Notmerged(T20)</f>
        <v>#NAME?</v>
      </c>
      <c r="U49" s="128" t="e" cm="1">
        <f t="array" aca="1" ref="U49" ca="1">Notmerged(U20)</f>
        <v>#NAME?</v>
      </c>
      <c r="V49" s="128" t="e" cm="1">
        <f t="array" aca="1" ref="V49" ca="1">Notmerged(V20)</f>
        <v>#NAME?</v>
      </c>
      <c r="W49" s="128" t="e" cm="1">
        <f t="array" aca="1" ref="W49" ca="1">Notmerged(W20)</f>
        <v>#NAME?</v>
      </c>
      <c r="X49" s="128" t="e" cm="1">
        <f t="array" aca="1" ref="X49" ca="1">Notmerged(X20)</f>
        <v>#NAME?</v>
      </c>
      <c r="Y49" s="128" t="e" cm="1">
        <f t="array" aca="1" ref="Y49" ca="1">Notmerged(Y20)</f>
        <v>#NAME?</v>
      </c>
      <c r="Z49" s="128" t="e" cm="1">
        <f t="array" aca="1" ref="Z49" ca="1">Notmerged(Z20)</f>
        <v>#NAME?</v>
      </c>
      <c r="AA49" s="128" t="e" cm="1">
        <f t="array" aca="1" ref="AA49" ca="1">Notmerged(AA20)</f>
        <v>#NAME?</v>
      </c>
      <c r="AB49" s="128" t="e" cm="1">
        <f t="array" aca="1" ref="AB49" ca="1">Notmerged(AB20)</f>
        <v>#NAME?</v>
      </c>
      <c r="AC49" s="128" t="e" cm="1">
        <f t="array" aca="1" ref="AC49" ca="1">Notmerged(AC20)</f>
        <v>#NAME?</v>
      </c>
      <c r="AD49" s="128" t="e" cm="1">
        <f t="array" aca="1" ref="AD49" ca="1">Notmerged(AD20)</f>
        <v>#NAME?</v>
      </c>
      <c r="AE49" s="128" t="e" cm="1">
        <f t="array" aca="1" ref="AE49" ca="1">Notmerged(AE20)</f>
        <v>#NAME?</v>
      </c>
      <c r="AF49" s="128" t="e" cm="1">
        <f t="array" aca="1" ref="AF49" ca="1">Notmerged(AF20)</f>
        <v>#NAME?</v>
      </c>
      <c r="AG49" s="128" t="e" cm="1">
        <f t="array" aca="1" ref="AG49" ca="1">Notmerged(AG20)</f>
        <v>#NAME?</v>
      </c>
      <c r="AH49" s="128" t="e" cm="1">
        <f t="array" aca="1" ref="AH49" ca="1">Notmerged(AH20)</f>
        <v>#NAME?</v>
      </c>
      <c r="AI49" s="128" t="e" cm="1">
        <f t="array" aca="1" ref="AI49" ca="1">Notmerged(AI20)</f>
        <v>#NAME?</v>
      </c>
      <c r="AJ49" s="128" t="e" cm="1">
        <f t="array" aca="1" ref="AJ49" ca="1">Notmerged(AJ20)</f>
        <v>#NAME?</v>
      </c>
      <c r="AK49" s="128" t="e" cm="1">
        <f t="array" aca="1" ref="AK49" ca="1">Notmerged(AK20)</f>
        <v>#NAME?</v>
      </c>
      <c r="AL49" s="128" t="e" cm="1">
        <f t="array" aca="1" ref="AL49" ca="1">Notmerged(AL20)</f>
        <v>#NAME?</v>
      </c>
      <c r="AM49" s="128" t="e" cm="1">
        <f t="array" aca="1" ref="AM49" ca="1">Notmerged(AM20)</f>
        <v>#NAME?</v>
      </c>
      <c r="AN49" s="128" t="e" cm="1">
        <f t="array" aca="1" ref="AN49" ca="1">Notmerged(AN20)</f>
        <v>#NAME?</v>
      </c>
      <c r="AO49" s="128" t="e" cm="1">
        <f t="array" aca="1" ref="AO49" ca="1">Notmerged(AO20)</f>
        <v>#NAME?</v>
      </c>
      <c r="AP49" s="128" t="e" cm="1">
        <f t="array" aca="1" ref="AP49" ca="1">Notmerged(AP20)</f>
        <v>#NAME?</v>
      </c>
      <c r="AQ49" s="128" t="e" cm="1">
        <f t="array" aca="1" ref="AQ49" ca="1">Notmerged(AQ20)</f>
        <v>#NAME?</v>
      </c>
      <c r="AR49" s="128" t="e" cm="1">
        <f t="array" aca="1" ref="AR49" ca="1">Notmerged(AR20)</f>
        <v>#NAME?</v>
      </c>
      <c r="AS49" s="128" t="e" cm="1">
        <f t="array" aca="1" ref="AS49" ca="1">Notmerged(AS20)</f>
        <v>#NAME?</v>
      </c>
      <c r="AT49" s="128" t="e" cm="1">
        <f t="array" aca="1" ref="AT49" ca="1">Notmerged(AT20)</f>
        <v>#NAME?</v>
      </c>
      <c r="AU49" s="128" t="e" cm="1">
        <f t="array" aca="1" ref="AU49" ca="1">Notmerged(AU20)</f>
        <v>#NAME?</v>
      </c>
      <c r="AV49" s="128" t="e" cm="1">
        <f t="array" aca="1" ref="AV49" ca="1">Notmerged(AV20)</f>
        <v>#NAME?</v>
      </c>
      <c r="AW49" s="128" t="e" cm="1">
        <f t="array" aca="1" ref="AW49" ca="1">Notmerged(AW20)</f>
        <v>#NAME?</v>
      </c>
      <c r="AX49" s="128" t="e" cm="1">
        <f t="array" aca="1" ref="AX49" ca="1">Notmerged(AX20)</f>
        <v>#NAME?</v>
      </c>
      <c r="AY49" s="128" t="e" cm="1">
        <f t="array" aca="1" ref="AY49" ca="1">Notmerged(AY20)</f>
        <v>#NAME?</v>
      </c>
      <c r="AZ49" s="128" t="e" cm="1">
        <f t="array" aca="1" ref="AZ49" ca="1">Notmerged(AZ20)</f>
        <v>#NAME?</v>
      </c>
      <c r="BA49" s="128" t="e" cm="1">
        <f t="array" aca="1" ref="BA49" ca="1">Notmerged(BA20)</f>
        <v>#NAME?</v>
      </c>
      <c r="BB49" s="128" t="e" cm="1">
        <f t="array" aca="1" ref="BB49" ca="1">Notmerged(BB20)</f>
        <v>#NAME?</v>
      </c>
      <c r="BC49" s="128" t="e" cm="1">
        <f t="array" aca="1" ref="BC49" ca="1">Notmerged(BC20)</f>
        <v>#NAME?</v>
      </c>
      <c r="BD49" s="128" t="e" cm="1">
        <f t="array" aca="1" ref="BD49" ca="1">Notmerged(BD20)</f>
        <v>#NAME?</v>
      </c>
      <c r="BE49" s="128" t="e" cm="1">
        <f t="array" aca="1" ref="BE49" ca="1">Notmerged(BE20)</f>
        <v>#NAME?</v>
      </c>
      <c r="BF49" s="128" t="e" cm="1">
        <f t="array" aca="1" ref="BF49" ca="1">Notmerged(BF20)</f>
        <v>#NAME?</v>
      </c>
      <c r="BG49" s="128" t="e" cm="1">
        <f t="array" aca="1" ref="BG49" ca="1">Notmerged(BG20)</f>
        <v>#NAME?</v>
      </c>
      <c r="BH49" s="128" t="e" cm="1">
        <f t="array" aca="1" ref="BH49" ca="1">Notmerged(BH20)</f>
        <v>#NAME?</v>
      </c>
      <c r="BI49" s="128" t="e" cm="1">
        <f t="array" aca="1" ref="BI49" ca="1">Notmerged(BI20)</f>
        <v>#NAME?</v>
      </c>
      <c r="BJ49" s="128" t="e" cm="1">
        <f t="array" aca="1" ref="BJ49" ca="1">Notmerged(BJ20)</f>
        <v>#NAME?</v>
      </c>
      <c r="BK49" s="128" t="e" cm="1">
        <f t="array" aca="1" ref="BK49" ca="1">Notmerged(BK20)</f>
        <v>#NAME?</v>
      </c>
    </row>
    <row r="50" spans="2:63" x14ac:dyDescent="0.3">
      <c r="B50" s="128" t="e" cm="1">
        <f t="array" aca="1" ref="B50" ca="1">Notmerged(B21)</f>
        <v>#NAME?</v>
      </c>
      <c r="C50" s="128" t="e" cm="1">
        <f t="array" aca="1" ref="C50" ca="1">Notmerged(C21)</f>
        <v>#NAME?</v>
      </c>
      <c r="D50" s="128" t="e" cm="1">
        <f t="array" aca="1" ref="D50" ca="1">Notmerged(D21)</f>
        <v>#NAME?</v>
      </c>
      <c r="E50" s="128" t="e" cm="1">
        <f t="array" aca="1" ref="E50" ca="1">Notmerged(E21)</f>
        <v>#NAME?</v>
      </c>
      <c r="F50" s="128" t="e" cm="1">
        <f t="array" aca="1" ref="F50" ca="1">Notmerged(F21)</f>
        <v>#NAME?</v>
      </c>
      <c r="G50" s="128" t="e" cm="1">
        <f t="array" aca="1" ref="G50" ca="1">Notmerged(G21)</f>
        <v>#NAME?</v>
      </c>
      <c r="H50" s="128" t="e" cm="1">
        <f t="array" aca="1" ref="H50" ca="1">Notmerged(H21)</f>
        <v>#NAME?</v>
      </c>
      <c r="I50" s="128" t="e" cm="1">
        <f t="array" aca="1" ref="I50" ca="1">Notmerged(I21)</f>
        <v>#NAME?</v>
      </c>
      <c r="J50" s="128" t="e" cm="1">
        <f t="array" aca="1" ref="J50" ca="1">Notmerged(J21)</f>
        <v>#NAME?</v>
      </c>
      <c r="K50" s="128" t="e" cm="1">
        <f t="array" aca="1" ref="K50" ca="1">Notmerged(K21)</f>
        <v>#NAME?</v>
      </c>
      <c r="L50" s="128" t="e" cm="1">
        <f t="array" aca="1" ref="L50" ca="1">Notmerged(L21)</f>
        <v>#NAME?</v>
      </c>
      <c r="M50" s="128" t="e" cm="1">
        <f t="array" aca="1" ref="M50" ca="1">Notmerged(M21)</f>
        <v>#NAME?</v>
      </c>
      <c r="N50" s="128" t="e" cm="1">
        <f t="array" aca="1" ref="N50" ca="1">Notmerged(N21)</f>
        <v>#NAME?</v>
      </c>
      <c r="O50" s="128" t="e" cm="1">
        <f t="array" aca="1" ref="O50" ca="1">Notmerged(O21)</f>
        <v>#NAME?</v>
      </c>
      <c r="P50" s="128" t="e" cm="1">
        <f t="array" aca="1" ref="P50" ca="1">Notmerged(P21)</f>
        <v>#NAME?</v>
      </c>
      <c r="Q50" s="128" t="e" cm="1">
        <f t="array" aca="1" ref="Q50" ca="1">Notmerged(Q21)</f>
        <v>#NAME?</v>
      </c>
      <c r="R50" s="128" t="e" cm="1">
        <f t="array" aca="1" ref="R50" ca="1">Notmerged(R21)</f>
        <v>#NAME?</v>
      </c>
      <c r="S50" s="128" t="e" cm="1">
        <f t="array" aca="1" ref="S50" ca="1">Notmerged(S21)</f>
        <v>#NAME?</v>
      </c>
      <c r="T50" s="128" t="e" cm="1">
        <f t="array" aca="1" ref="T50" ca="1">Notmerged(T21)</f>
        <v>#NAME?</v>
      </c>
      <c r="U50" s="128" t="e" cm="1">
        <f t="array" aca="1" ref="U50" ca="1">Notmerged(U21)</f>
        <v>#NAME?</v>
      </c>
      <c r="V50" s="128" t="e" cm="1">
        <f t="array" aca="1" ref="V50" ca="1">Notmerged(V21)</f>
        <v>#NAME?</v>
      </c>
      <c r="W50" s="128" t="e" cm="1">
        <f t="array" aca="1" ref="W50" ca="1">Notmerged(W21)</f>
        <v>#NAME?</v>
      </c>
      <c r="X50" s="128" t="e" cm="1">
        <f t="array" aca="1" ref="X50" ca="1">Notmerged(X21)</f>
        <v>#NAME?</v>
      </c>
      <c r="Y50" s="128" t="e" cm="1">
        <f t="array" aca="1" ref="Y50" ca="1">Notmerged(Y21)</f>
        <v>#NAME?</v>
      </c>
      <c r="Z50" s="128" t="e" cm="1">
        <f t="array" aca="1" ref="Z50" ca="1">Notmerged(Z21)</f>
        <v>#NAME?</v>
      </c>
      <c r="AA50" s="128" t="e" cm="1">
        <f t="array" aca="1" ref="AA50" ca="1">Notmerged(AA21)</f>
        <v>#NAME?</v>
      </c>
      <c r="AB50" s="128" t="e" cm="1">
        <f t="array" aca="1" ref="AB50" ca="1">Notmerged(AB21)</f>
        <v>#NAME?</v>
      </c>
      <c r="AC50" s="128" t="e" cm="1">
        <f t="array" aca="1" ref="AC50" ca="1">Notmerged(AC21)</f>
        <v>#NAME?</v>
      </c>
      <c r="AD50" s="128" t="e" cm="1">
        <f t="array" aca="1" ref="AD50" ca="1">Notmerged(AD21)</f>
        <v>#NAME?</v>
      </c>
      <c r="AE50" s="128" t="e" cm="1">
        <f t="array" aca="1" ref="AE50" ca="1">Notmerged(AE21)</f>
        <v>#NAME?</v>
      </c>
      <c r="AF50" s="128" t="e" cm="1">
        <f t="array" aca="1" ref="AF50" ca="1">Notmerged(AF21)</f>
        <v>#NAME?</v>
      </c>
      <c r="AG50" s="128" t="e" cm="1">
        <f t="array" aca="1" ref="AG50" ca="1">Notmerged(AG21)</f>
        <v>#NAME?</v>
      </c>
      <c r="AH50" s="128" t="e" cm="1">
        <f t="array" aca="1" ref="AH50" ca="1">Notmerged(AH21)</f>
        <v>#NAME?</v>
      </c>
      <c r="AI50" s="128" t="e" cm="1">
        <f t="array" aca="1" ref="AI50" ca="1">Notmerged(AI21)</f>
        <v>#NAME?</v>
      </c>
      <c r="AJ50" s="128" t="e" cm="1">
        <f t="array" aca="1" ref="AJ50" ca="1">Notmerged(AJ21)</f>
        <v>#NAME?</v>
      </c>
      <c r="AK50" s="128" t="e" cm="1">
        <f t="array" aca="1" ref="AK50" ca="1">Notmerged(AK21)</f>
        <v>#NAME?</v>
      </c>
      <c r="AL50" s="128" t="e" cm="1">
        <f t="array" aca="1" ref="AL50" ca="1">Notmerged(AL21)</f>
        <v>#NAME?</v>
      </c>
      <c r="AM50" s="128" t="e" cm="1">
        <f t="array" aca="1" ref="AM50" ca="1">Notmerged(AM21)</f>
        <v>#NAME?</v>
      </c>
      <c r="AN50" s="128" t="e" cm="1">
        <f t="array" aca="1" ref="AN50" ca="1">Notmerged(AN21)</f>
        <v>#NAME?</v>
      </c>
      <c r="AO50" s="128" t="e" cm="1">
        <f t="array" aca="1" ref="AO50" ca="1">Notmerged(AO21)</f>
        <v>#NAME?</v>
      </c>
      <c r="AP50" s="128" t="e" cm="1">
        <f t="array" aca="1" ref="AP50" ca="1">Notmerged(AP21)</f>
        <v>#NAME?</v>
      </c>
      <c r="AQ50" s="128" t="e" cm="1">
        <f t="array" aca="1" ref="AQ50" ca="1">Notmerged(AQ21)</f>
        <v>#NAME?</v>
      </c>
      <c r="AR50" s="128" t="e" cm="1">
        <f t="array" aca="1" ref="AR50" ca="1">Notmerged(AR21)</f>
        <v>#NAME?</v>
      </c>
      <c r="AS50" s="128" t="e" cm="1">
        <f t="array" aca="1" ref="AS50" ca="1">Notmerged(AS21)</f>
        <v>#NAME?</v>
      </c>
      <c r="AT50" s="128" t="e" cm="1">
        <f t="array" aca="1" ref="AT50" ca="1">Notmerged(AT21)</f>
        <v>#NAME?</v>
      </c>
      <c r="AU50" s="128" t="e" cm="1">
        <f t="array" aca="1" ref="AU50" ca="1">Notmerged(AU21)</f>
        <v>#NAME?</v>
      </c>
      <c r="AV50" s="128" t="e" cm="1">
        <f t="array" aca="1" ref="AV50" ca="1">Notmerged(AV21)</f>
        <v>#NAME?</v>
      </c>
      <c r="AW50" s="128" t="e" cm="1">
        <f t="array" aca="1" ref="AW50" ca="1">Notmerged(AW21)</f>
        <v>#NAME?</v>
      </c>
      <c r="AX50" s="128" t="e" cm="1">
        <f t="array" aca="1" ref="AX50" ca="1">Notmerged(AX21)</f>
        <v>#NAME?</v>
      </c>
      <c r="AY50" s="128" t="e" cm="1">
        <f t="array" aca="1" ref="AY50" ca="1">Notmerged(AY21)</f>
        <v>#NAME?</v>
      </c>
      <c r="AZ50" s="128" t="e" cm="1">
        <f t="array" aca="1" ref="AZ50" ca="1">Notmerged(AZ21)</f>
        <v>#NAME?</v>
      </c>
      <c r="BA50" s="128" t="e" cm="1">
        <f t="array" aca="1" ref="BA50" ca="1">Notmerged(BA21)</f>
        <v>#NAME?</v>
      </c>
      <c r="BB50" s="128" t="e" cm="1">
        <f t="array" aca="1" ref="BB50" ca="1">Notmerged(BB21)</f>
        <v>#NAME?</v>
      </c>
      <c r="BC50" s="128" t="e" cm="1">
        <f t="array" aca="1" ref="BC50" ca="1">Notmerged(BC21)</f>
        <v>#NAME?</v>
      </c>
      <c r="BD50" s="128" t="e" cm="1">
        <f t="array" aca="1" ref="BD50" ca="1">Notmerged(BD21)</f>
        <v>#NAME?</v>
      </c>
      <c r="BE50" s="128" t="e" cm="1">
        <f t="array" aca="1" ref="BE50" ca="1">Notmerged(BE21)</f>
        <v>#NAME?</v>
      </c>
      <c r="BF50" s="128" t="e" cm="1">
        <f t="array" aca="1" ref="BF50" ca="1">Notmerged(BF21)</f>
        <v>#NAME?</v>
      </c>
      <c r="BG50" s="128" t="e" cm="1">
        <f t="array" aca="1" ref="BG50" ca="1">Notmerged(BG21)</f>
        <v>#NAME?</v>
      </c>
      <c r="BH50" s="128" t="e" cm="1">
        <f t="array" aca="1" ref="BH50" ca="1">Notmerged(BH21)</f>
        <v>#NAME?</v>
      </c>
      <c r="BI50" s="128" t="e" cm="1">
        <f t="array" aca="1" ref="BI50" ca="1">Notmerged(BI21)</f>
        <v>#NAME?</v>
      </c>
      <c r="BJ50" s="128" t="e" cm="1">
        <f t="array" aca="1" ref="BJ50" ca="1">Notmerged(BJ21)</f>
        <v>#NAME?</v>
      </c>
      <c r="BK50" s="128" t="e" cm="1">
        <f t="array" aca="1" ref="BK50" ca="1">Notmerged(BK21)</f>
        <v>#NAME?</v>
      </c>
    </row>
    <row r="51" spans="2:63" x14ac:dyDescent="0.3">
      <c r="B51" s="128" t="e" cm="1">
        <f t="array" aca="1" ref="B51" ca="1">Notmerged(#REF!)</f>
        <v>#NAME?</v>
      </c>
      <c r="C51" s="128" t="e" cm="1">
        <f t="array" aca="1" ref="C51" ca="1">Notmerged(C22)</f>
        <v>#NAME?</v>
      </c>
      <c r="D51" s="128" t="e" cm="1">
        <f t="array" aca="1" ref="D51" ca="1">Notmerged(D22)</f>
        <v>#NAME?</v>
      </c>
      <c r="E51" s="128" t="e" cm="1">
        <f t="array" aca="1" ref="E51" ca="1">Notmerged(E22)</f>
        <v>#NAME?</v>
      </c>
      <c r="F51" s="128" t="e" cm="1">
        <f t="array" aca="1" ref="F51" ca="1">Notmerged(F22)</f>
        <v>#NAME?</v>
      </c>
      <c r="G51" s="128" t="e" cm="1">
        <f t="array" aca="1" ref="G51" ca="1">Notmerged(G22)</f>
        <v>#NAME?</v>
      </c>
      <c r="H51" s="128" t="e" cm="1">
        <f t="array" aca="1" ref="H51" ca="1">Notmerged(H22)</f>
        <v>#NAME?</v>
      </c>
      <c r="I51" s="128" t="e" cm="1">
        <f t="array" aca="1" ref="I51" ca="1">Notmerged(I22)</f>
        <v>#NAME?</v>
      </c>
      <c r="J51" s="128" t="e" cm="1">
        <f t="array" aca="1" ref="J51" ca="1">Notmerged(J22)</f>
        <v>#NAME?</v>
      </c>
      <c r="K51" s="128" t="e" cm="1">
        <f t="array" aca="1" ref="K51" ca="1">Notmerged(K22)</f>
        <v>#NAME?</v>
      </c>
      <c r="L51" s="128" t="e" cm="1">
        <f t="array" aca="1" ref="L51" ca="1">Notmerged(L22)</f>
        <v>#NAME?</v>
      </c>
      <c r="M51" s="128" t="e" cm="1">
        <f t="array" aca="1" ref="M51" ca="1">Notmerged(M22)</f>
        <v>#NAME?</v>
      </c>
      <c r="N51" s="128" t="e" cm="1">
        <f t="array" aca="1" ref="N51" ca="1">Notmerged(N22)</f>
        <v>#NAME?</v>
      </c>
      <c r="O51" s="128" t="e" cm="1">
        <f t="array" aca="1" ref="O51" ca="1">Notmerged(O22)</f>
        <v>#NAME?</v>
      </c>
      <c r="P51" s="128" t="e" cm="1">
        <f t="array" aca="1" ref="P51" ca="1">Notmerged(P22)</f>
        <v>#NAME?</v>
      </c>
      <c r="Q51" s="128" t="e" cm="1">
        <f t="array" aca="1" ref="Q51" ca="1">Notmerged(Q22)</f>
        <v>#NAME?</v>
      </c>
      <c r="R51" s="128" t="e" cm="1">
        <f t="array" aca="1" ref="R51" ca="1">Notmerged(R22)</f>
        <v>#NAME?</v>
      </c>
      <c r="S51" s="128" t="e" cm="1">
        <f t="array" aca="1" ref="S51" ca="1">Notmerged(S22)</f>
        <v>#NAME?</v>
      </c>
      <c r="T51" s="128" t="e" cm="1">
        <f t="array" aca="1" ref="T51" ca="1">Notmerged(T22)</f>
        <v>#NAME?</v>
      </c>
      <c r="U51" s="128" t="e" cm="1">
        <f t="array" aca="1" ref="U51" ca="1">Notmerged(U22)</f>
        <v>#NAME?</v>
      </c>
      <c r="V51" s="128" t="e" cm="1">
        <f t="array" aca="1" ref="V51" ca="1">Notmerged(V22)</f>
        <v>#NAME?</v>
      </c>
      <c r="W51" s="128" t="e" cm="1">
        <f t="array" aca="1" ref="W51" ca="1">Notmerged(W22)</f>
        <v>#NAME?</v>
      </c>
      <c r="X51" s="128" t="e" cm="1">
        <f t="array" aca="1" ref="X51" ca="1">Notmerged(X22)</f>
        <v>#NAME?</v>
      </c>
      <c r="Y51" s="128" t="e" cm="1">
        <f t="array" aca="1" ref="Y51" ca="1">Notmerged(Y22)</f>
        <v>#NAME?</v>
      </c>
      <c r="Z51" s="128" t="e" cm="1">
        <f t="array" aca="1" ref="Z51" ca="1">Notmerged(Z22)</f>
        <v>#NAME?</v>
      </c>
      <c r="AA51" s="128" t="e" cm="1">
        <f t="array" aca="1" ref="AA51" ca="1">Notmerged(AA22)</f>
        <v>#NAME?</v>
      </c>
      <c r="AB51" s="128" t="e" cm="1">
        <f t="array" aca="1" ref="AB51" ca="1">Notmerged(AB22)</f>
        <v>#NAME?</v>
      </c>
      <c r="AC51" s="128" t="e" cm="1">
        <f t="array" aca="1" ref="AC51" ca="1">Notmerged(AC22)</f>
        <v>#NAME?</v>
      </c>
      <c r="AD51" s="128" t="e" cm="1">
        <f t="array" aca="1" ref="AD51" ca="1">Notmerged(AD22)</f>
        <v>#NAME?</v>
      </c>
      <c r="AE51" s="128" t="e" cm="1">
        <f t="array" aca="1" ref="AE51" ca="1">Notmerged(AE22)</f>
        <v>#NAME?</v>
      </c>
      <c r="AF51" s="128" t="e" cm="1">
        <f t="array" aca="1" ref="AF51" ca="1">Notmerged(AF22)</f>
        <v>#NAME?</v>
      </c>
      <c r="AG51" s="128" t="e" cm="1">
        <f t="array" aca="1" ref="AG51" ca="1">Notmerged(AG22)</f>
        <v>#NAME?</v>
      </c>
      <c r="AH51" s="128" t="e" cm="1">
        <f t="array" aca="1" ref="AH51" ca="1">Notmerged(AH22)</f>
        <v>#NAME?</v>
      </c>
      <c r="AI51" s="128" t="e" cm="1">
        <f t="array" aca="1" ref="AI51" ca="1">Notmerged(AI22)</f>
        <v>#NAME?</v>
      </c>
      <c r="AJ51" s="128" t="e" cm="1">
        <f t="array" aca="1" ref="AJ51" ca="1">Notmerged(AJ22)</f>
        <v>#NAME?</v>
      </c>
      <c r="AK51" s="128" t="e" cm="1">
        <f t="array" aca="1" ref="AK51" ca="1">Notmerged(AK22)</f>
        <v>#NAME?</v>
      </c>
      <c r="AL51" s="128" t="e" cm="1">
        <f t="array" aca="1" ref="AL51" ca="1">Notmerged(AL22)</f>
        <v>#NAME?</v>
      </c>
      <c r="AM51" s="128" t="e" cm="1">
        <f t="array" aca="1" ref="AM51" ca="1">Notmerged(AM22)</f>
        <v>#NAME?</v>
      </c>
      <c r="AN51" s="128" t="e" cm="1">
        <f t="array" aca="1" ref="AN51" ca="1">Notmerged(AN22)</f>
        <v>#NAME?</v>
      </c>
      <c r="AO51" s="128" t="e" cm="1">
        <f t="array" aca="1" ref="AO51" ca="1">Notmerged(AO22)</f>
        <v>#NAME?</v>
      </c>
      <c r="AP51" s="128" t="e" cm="1">
        <f t="array" aca="1" ref="AP51" ca="1">Notmerged(AP22)</f>
        <v>#NAME?</v>
      </c>
      <c r="AQ51" s="128" t="e" cm="1">
        <f t="array" aca="1" ref="AQ51" ca="1">Notmerged(AQ22)</f>
        <v>#NAME?</v>
      </c>
      <c r="AR51" s="128" t="e" cm="1">
        <f t="array" aca="1" ref="AR51" ca="1">Notmerged(AR22)</f>
        <v>#NAME?</v>
      </c>
      <c r="AS51" s="128" t="e" cm="1">
        <f t="array" aca="1" ref="AS51" ca="1">Notmerged(AS22)</f>
        <v>#NAME?</v>
      </c>
      <c r="AT51" s="128" t="e" cm="1">
        <f t="array" aca="1" ref="AT51" ca="1">Notmerged(AT22)</f>
        <v>#NAME?</v>
      </c>
      <c r="AU51" s="128" t="e" cm="1">
        <f t="array" aca="1" ref="AU51" ca="1">Notmerged(AU22)</f>
        <v>#NAME?</v>
      </c>
      <c r="AV51" s="128" t="e" cm="1">
        <f t="array" aca="1" ref="AV51" ca="1">Notmerged(AV22)</f>
        <v>#NAME?</v>
      </c>
      <c r="AW51" s="128" t="e" cm="1">
        <f t="array" aca="1" ref="AW51" ca="1">Notmerged(AW22)</f>
        <v>#NAME?</v>
      </c>
      <c r="AX51" s="128" t="e" cm="1">
        <f t="array" aca="1" ref="AX51" ca="1">Notmerged(AX22)</f>
        <v>#NAME?</v>
      </c>
      <c r="AY51" s="128" t="e" cm="1">
        <f t="array" aca="1" ref="AY51" ca="1">Notmerged(AY22)</f>
        <v>#NAME?</v>
      </c>
      <c r="AZ51" s="128" t="e" cm="1">
        <f t="array" aca="1" ref="AZ51" ca="1">Notmerged(AZ22)</f>
        <v>#NAME?</v>
      </c>
      <c r="BA51" s="128" t="e" cm="1">
        <f t="array" aca="1" ref="BA51" ca="1">Notmerged(BA22)</f>
        <v>#NAME?</v>
      </c>
      <c r="BB51" s="128" t="e" cm="1">
        <f t="array" aca="1" ref="BB51" ca="1">Notmerged(BB22)</f>
        <v>#NAME?</v>
      </c>
      <c r="BC51" s="128" t="e" cm="1">
        <f t="array" aca="1" ref="BC51" ca="1">Notmerged(BC22)</f>
        <v>#NAME?</v>
      </c>
      <c r="BD51" s="128" t="e" cm="1">
        <f t="array" aca="1" ref="BD51" ca="1">Notmerged(BD22)</f>
        <v>#NAME?</v>
      </c>
      <c r="BE51" s="128" t="e" cm="1">
        <f t="array" aca="1" ref="BE51" ca="1">Notmerged(BE22)</f>
        <v>#NAME?</v>
      </c>
      <c r="BF51" s="128" t="e" cm="1">
        <f t="array" aca="1" ref="BF51" ca="1">Notmerged(BF22)</f>
        <v>#NAME?</v>
      </c>
      <c r="BG51" s="128" t="e" cm="1">
        <f t="array" aca="1" ref="BG51" ca="1">Notmerged(BG22)</f>
        <v>#NAME?</v>
      </c>
      <c r="BH51" s="128" t="e" cm="1">
        <f t="array" aca="1" ref="BH51" ca="1">Notmerged(BH22)</f>
        <v>#NAME?</v>
      </c>
      <c r="BI51" s="128" t="e" cm="1">
        <f t="array" aca="1" ref="BI51" ca="1">Notmerged(BI22)</f>
        <v>#NAME?</v>
      </c>
      <c r="BJ51" s="128" t="e" cm="1">
        <f t="array" aca="1" ref="BJ51" ca="1">Notmerged(BJ22)</f>
        <v>#NAME?</v>
      </c>
      <c r="BK51" s="128" t="e" cm="1">
        <f t="array" aca="1" ref="BK51" ca="1">Notmerged(BK22)</f>
        <v>#NAME?</v>
      </c>
    </row>
    <row r="52" spans="2:63" x14ac:dyDescent="0.3">
      <c r="B52" s="128" t="e" cm="1">
        <f t="array" aca="1" ref="B52" ca="1">Notmerged(B23)</f>
        <v>#NAME?</v>
      </c>
      <c r="C52" s="128" t="e" cm="1">
        <f t="array" aca="1" ref="C52" ca="1">Notmerged(#REF!)</f>
        <v>#NAME?</v>
      </c>
      <c r="D52" s="128" t="e" cm="1">
        <f t="array" aca="1" ref="D52" ca="1">Notmerged(D23)</f>
        <v>#NAME?</v>
      </c>
      <c r="E52" s="128" t="e" cm="1">
        <f t="array" aca="1" ref="E52" ca="1">Notmerged(E23)</f>
        <v>#NAME?</v>
      </c>
      <c r="F52" s="128" t="e" cm="1">
        <f t="array" aca="1" ref="F52" ca="1">Notmerged(F23)</f>
        <v>#NAME?</v>
      </c>
      <c r="G52" s="128" t="e" cm="1">
        <f t="array" aca="1" ref="G52" ca="1">Notmerged(G23)</f>
        <v>#NAME?</v>
      </c>
      <c r="H52" s="128" t="e" cm="1">
        <f t="array" aca="1" ref="H52" ca="1">Notmerged(H23)</f>
        <v>#NAME?</v>
      </c>
      <c r="I52" s="128" t="e" cm="1">
        <f t="array" aca="1" ref="I52" ca="1">Notmerged(I23)</f>
        <v>#NAME?</v>
      </c>
      <c r="J52" s="128" t="e" cm="1">
        <f t="array" aca="1" ref="J52" ca="1">Notmerged(J23)</f>
        <v>#NAME?</v>
      </c>
      <c r="K52" s="128" t="e" cm="1">
        <f t="array" aca="1" ref="K52" ca="1">Notmerged(K23)</f>
        <v>#NAME?</v>
      </c>
      <c r="L52" s="128" t="e" cm="1">
        <f t="array" aca="1" ref="L52" ca="1">Notmerged(L23)</f>
        <v>#NAME?</v>
      </c>
      <c r="M52" s="128" t="e" cm="1">
        <f t="array" aca="1" ref="M52" ca="1">Notmerged(M23)</f>
        <v>#NAME?</v>
      </c>
      <c r="N52" s="128" t="e" cm="1">
        <f t="array" aca="1" ref="N52" ca="1">Notmerged(N23)</f>
        <v>#NAME?</v>
      </c>
      <c r="O52" s="128" t="e" cm="1">
        <f t="array" aca="1" ref="O52" ca="1">Notmerged(O23)</f>
        <v>#NAME?</v>
      </c>
      <c r="P52" s="128" t="e" cm="1">
        <f t="array" aca="1" ref="P52" ca="1">Notmerged(P23)</f>
        <v>#NAME?</v>
      </c>
      <c r="Q52" s="128" t="e" cm="1">
        <f t="array" aca="1" ref="Q52" ca="1">Notmerged(Q23)</f>
        <v>#NAME?</v>
      </c>
      <c r="R52" s="128" t="e" cm="1">
        <f t="array" aca="1" ref="R52" ca="1">Notmerged(R23)</f>
        <v>#NAME?</v>
      </c>
      <c r="S52" s="128" t="e" cm="1">
        <f t="array" aca="1" ref="S52" ca="1">Notmerged(S23)</f>
        <v>#NAME?</v>
      </c>
      <c r="T52" s="128" t="e" cm="1">
        <f t="array" aca="1" ref="T52" ca="1">Notmerged(T23)</f>
        <v>#NAME?</v>
      </c>
      <c r="U52" s="128" t="e" cm="1">
        <f t="array" aca="1" ref="U52" ca="1">Notmerged(U23)</f>
        <v>#NAME?</v>
      </c>
      <c r="V52" s="128" t="e" cm="1">
        <f t="array" aca="1" ref="V52" ca="1">Notmerged(V23)</f>
        <v>#NAME?</v>
      </c>
      <c r="W52" s="128" t="e" cm="1">
        <f t="array" aca="1" ref="W52" ca="1">Notmerged(W23)</f>
        <v>#NAME?</v>
      </c>
      <c r="X52" s="128" t="e" cm="1">
        <f t="array" aca="1" ref="X52" ca="1">Notmerged(X23)</f>
        <v>#NAME?</v>
      </c>
      <c r="Y52" s="128" t="e" cm="1">
        <f t="array" aca="1" ref="Y52" ca="1">Notmerged(Y23)</f>
        <v>#NAME?</v>
      </c>
      <c r="Z52" s="128" t="e" cm="1">
        <f t="array" aca="1" ref="Z52" ca="1">Notmerged(Z23)</f>
        <v>#NAME?</v>
      </c>
      <c r="AA52" s="128" t="e" cm="1">
        <f t="array" aca="1" ref="AA52" ca="1">Notmerged(AA23)</f>
        <v>#NAME?</v>
      </c>
      <c r="AB52" s="128" t="e" cm="1">
        <f t="array" aca="1" ref="AB52" ca="1">Notmerged(AB23)</f>
        <v>#NAME?</v>
      </c>
      <c r="AC52" s="128" t="e" cm="1">
        <f t="array" aca="1" ref="AC52" ca="1">Notmerged(AC23)</f>
        <v>#NAME?</v>
      </c>
      <c r="AD52" s="128" t="e" cm="1">
        <f t="array" aca="1" ref="AD52" ca="1">Notmerged(AD23)</f>
        <v>#NAME?</v>
      </c>
      <c r="AE52" s="128" t="e" cm="1">
        <f t="array" aca="1" ref="AE52" ca="1">Notmerged(AE23)</f>
        <v>#NAME?</v>
      </c>
      <c r="AF52" s="128" t="e" cm="1">
        <f t="array" aca="1" ref="AF52" ca="1">Notmerged(AF23)</f>
        <v>#NAME?</v>
      </c>
      <c r="AG52" s="128" t="e" cm="1">
        <f t="array" aca="1" ref="AG52" ca="1">Notmerged(AG23)</f>
        <v>#NAME?</v>
      </c>
      <c r="AH52" s="128" t="e" cm="1">
        <f t="array" aca="1" ref="AH52" ca="1">Notmerged(AH23)</f>
        <v>#NAME?</v>
      </c>
      <c r="AI52" s="128" t="e" cm="1">
        <f t="array" aca="1" ref="AI52" ca="1">Notmerged(AI23)</f>
        <v>#NAME?</v>
      </c>
      <c r="AJ52" s="128" t="e" cm="1">
        <f t="array" aca="1" ref="AJ52" ca="1">Notmerged(AJ23)</f>
        <v>#NAME?</v>
      </c>
      <c r="AK52" s="128" t="e" cm="1">
        <f t="array" aca="1" ref="AK52" ca="1">Notmerged(AK23)</f>
        <v>#NAME?</v>
      </c>
      <c r="AL52" s="128" t="e" cm="1">
        <f t="array" aca="1" ref="AL52" ca="1">Notmerged(AL23)</f>
        <v>#NAME?</v>
      </c>
      <c r="AM52" s="128" t="e" cm="1">
        <f t="array" aca="1" ref="AM52" ca="1">Notmerged(AM23)</f>
        <v>#NAME?</v>
      </c>
      <c r="AN52" s="128" t="e" cm="1">
        <f t="array" aca="1" ref="AN52" ca="1">Notmerged(AN23)</f>
        <v>#NAME?</v>
      </c>
      <c r="AO52" s="128" t="e" cm="1">
        <f t="array" aca="1" ref="AO52" ca="1">Notmerged(AO23)</f>
        <v>#NAME?</v>
      </c>
      <c r="AP52" s="128" t="e" cm="1">
        <f t="array" aca="1" ref="AP52" ca="1">Notmerged(AP23)</f>
        <v>#NAME?</v>
      </c>
      <c r="AQ52" s="128" t="e" cm="1">
        <f t="array" aca="1" ref="AQ52" ca="1">Notmerged(AQ23)</f>
        <v>#NAME?</v>
      </c>
      <c r="AR52" s="128" t="e" cm="1">
        <f t="array" aca="1" ref="AR52" ca="1">Notmerged(AR23)</f>
        <v>#NAME?</v>
      </c>
      <c r="AS52" s="128" t="e" cm="1">
        <f t="array" aca="1" ref="AS52" ca="1">Notmerged(AS23)</f>
        <v>#NAME?</v>
      </c>
      <c r="AT52" s="128" t="e" cm="1">
        <f t="array" aca="1" ref="AT52" ca="1">Notmerged(AT23)</f>
        <v>#NAME?</v>
      </c>
      <c r="AU52" s="128" t="e" cm="1">
        <f t="array" aca="1" ref="AU52" ca="1">Notmerged(AU23)</f>
        <v>#NAME?</v>
      </c>
      <c r="AV52" s="128" t="e" cm="1">
        <f t="array" aca="1" ref="AV52" ca="1">Notmerged(AV23)</f>
        <v>#NAME?</v>
      </c>
      <c r="AW52" s="128" t="e" cm="1">
        <f t="array" aca="1" ref="AW52" ca="1">Notmerged(AW23)</f>
        <v>#NAME?</v>
      </c>
      <c r="AX52" s="128" t="e" cm="1">
        <f t="array" aca="1" ref="AX52" ca="1">Notmerged(AX23)</f>
        <v>#NAME?</v>
      </c>
      <c r="AY52" s="128" t="e" cm="1">
        <f t="array" aca="1" ref="AY52" ca="1">Notmerged(AY23)</f>
        <v>#NAME?</v>
      </c>
      <c r="AZ52" s="128" t="e" cm="1">
        <f t="array" aca="1" ref="AZ52" ca="1">Notmerged(AZ23)</f>
        <v>#NAME?</v>
      </c>
      <c r="BA52" s="128" t="e" cm="1">
        <f t="array" aca="1" ref="BA52" ca="1">Notmerged(BA23)</f>
        <v>#NAME?</v>
      </c>
      <c r="BB52" s="128" t="e" cm="1">
        <f t="array" aca="1" ref="BB52" ca="1">Notmerged(BB23)</f>
        <v>#NAME?</v>
      </c>
      <c r="BC52" s="128" t="e" cm="1">
        <f t="array" aca="1" ref="BC52" ca="1">Notmerged(BC23)</f>
        <v>#NAME?</v>
      </c>
      <c r="BD52" s="128" t="e" cm="1">
        <f t="array" aca="1" ref="BD52" ca="1">Notmerged(BD23)</f>
        <v>#NAME?</v>
      </c>
      <c r="BE52" s="128" t="e" cm="1">
        <f t="array" aca="1" ref="BE52" ca="1">Notmerged(BE23)</f>
        <v>#NAME?</v>
      </c>
      <c r="BF52" s="128" t="e" cm="1">
        <f t="array" aca="1" ref="BF52" ca="1">Notmerged(BF23)</f>
        <v>#NAME?</v>
      </c>
      <c r="BG52" s="128" t="e" cm="1">
        <f t="array" aca="1" ref="BG52" ca="1">Notmerged(BG23)</f>
        <v>#NAME?</v>
      </c>
      <c r="BH52" s="128" t="e" cm="1">
        <f t="array" aca="1" ref="BH52" ca="1">Notmerged(BH23)</f>
        <v>#NAME?</v>
      </c>
      <c r="BI52" s="128" t="e" cm="1">
        <f t="array" aca="1" ref="BI52" ca="1">Notmerged(BI23)</f>
        <v>#NAME?</v>
      </c>
      <c r="BJ52" s="128" t="e" cm="1">
        <f t="array" aca="1" ref="BJ52" ca="1">Notmerged(BJ23)</f>
        <v>#NAME?</v>
      </c>
      <c r="BK52" s="128" t="e" cm="1">
        <f t="array" aca="1" ref="BK52" ca="1">Notmerged(BK23)</f>
        <v>#NAME?</v>
      </c>
    </row>
    <row r="53" spans="2:63" x14ac:dyDescent="0.3">
      <c r="B53" s="128" t="e" cm="1">
        <f t="array" aca="1" ref="B53" ca="1">Notmerged(B22)</f>
        <v>#NAME?</v>
      </c>
      <c r="C53" s="128" t="e" cm="1">
        <f t="array" aca="1" ref="C53" ca="1">Notmerged(C23)</f>
        <v>#NAME?</v>
      </c>
      <c r="D53" s="128" t="e" cm="1">
        <f t="array" aca="1" ref="D53" ca="1">Notmerged(D24)</f>
        <v>#NAME?</v>
      </c>
      <c r="E53" s="128" t="e" cm="1">
        <f t="array" aca="1" ref="E53" ca="1">Notmerged(E24)</f>
        <v>#NAME?</v>
      </c>
      <c r="F53" s="128" t="e" cm="1">
        <f t="array" aca="1" ref="F53" ca="1">Notmerged(F24)</f>
        <v>#NAME?</v>
      </c>
      <c r="G53" s="128" t="e" cm="1">
        <f t="array" aca="1" ref="G53" ca="1">Notmerged(G24)</f>
        <v>#NAME?</v>
      </c>
      <c r="H53" s="128" t="e" cm="1">
        <f t="array" aca="1" ref="H53" ca="1">Notmerged(H24)</f>
        <v>#NAME?</v>
      </c>
      <c r="I53" s="128" t="e" cm="1">
        <f t="array" aca="1" ref="I53" ca="1">Notmerged(I24)</f>
        <v>#NAME?</v>
      </c>
      <c r="J53" s="128" t="e" cm="1">
        <f t="array" aca="1" ref="J53" ca="1">Notmerged(J24)</f>
        <v>#NAME?</v>
      </c>
      <c r="K53" s="128" t="e" cm="1">
        <f t="array" aca="1" ref="K53" ca="1">Notmerged(K24)</f>
        <v>#NAME?</v>
      </c>
      <c r="L53" s="128" t="e" cm="1">
        <f t="array" aca="1" ref="L53" ca="1">Notmerged(L24)</f>
        <v>#NAME?</v>
      </c>
      <c r="M53" s="128" t="e" cm="1">
        <f t="array" aca="1" ref="M53" ca="1">Notmerged(M24)</f>
        <v>#NAME?</v>
      </c>
      <c r="N53" s="128" t="e" cm="1">
        <f t="array" aca="1" ref="N53" ca="1">Notmerged(N24)</f>
        <v>#NAME?</v>
      </c>
      <c r="O53" s="128" t="e" cm="1">
        <f t="array" aca="1" ref="O53" ca="1">Notmerged(O24)</f>
        <v>#NAME?</v>
      </c>
      <c r="P53" s="128" t="e" cm="1">
        <f t="array" aca="1" ref="P53" ca="1">Notmerged(P24)</f>
        <v>#NAME?</v>
      </c>
      <c r="Q53" s="128" t="e" cm="1">
        <f t="array" aca="1" ref="Q53" ca="1">Notmerged(Q24)</f>
        <v>#NAME?</v>
      </c>
      <c r="R53" s="128" t="e" cm="1">
        <f t="array" aca="1" ref="R53" ca="1">Notmerged(R24)</f>
        <v>#NAME?</v>
      </c>
      <c r="S53" s="128" t="e" cm="1">
        <f t="array" aca="1" ref="S53" ca="1">Notmerged(S24)</f>
        <v>#NAME?</v>
      </c>
      <c r="T53" s="128" t="e" cm="1">
        <f t="array" aca="1" ref="T53" ca="1">Notmerged(T24)</f>
        <v>#NAME?</v>
      </c>
      <c r="U53" s="128" t="e" cm="1">
        <f t="array" aca="1" ref="U53" ca="1">Notmerged(U24)</f>
        <v>#NAME?</v>
      </c>
      <c r="V53" s="128" t="e" cm="1">
        <f t="array" aca="1" ref="V53" ca="1">Notmerged(V24)</f>
        <v>#NAME?</v>
      </c>
      <c r="W53" s="128" t="e" cm="1">
        <f t="array" aca="1" ref="W53" ca="1">Notmerged(W24)</f>
        <v>#NAME?</v>
      </c>
      <c r="X53" s="128" t="e" cm="1">
        <f t="array" aca="1" ref="X53" ca="1">Notmerged(X24)</f>
        <v>#NAME?</v>
      </c>
      <c r="Y53" s="128" t="e" cm="1">
        <f t="array" aca="1" ref="Y53" ca="1">Notmerged(Y24)</f>
        <v>#NAME?</v>
      </c>
      <c r="Z53" s="128" t="e" cm="1">
        <f t="array" aca="1" ref="Z53" ca="1">Notmerged(Z24)</f>
        <v>#NAME?</v>
      </c>
      <c r="AA53" s="128" t="e" cm="1">
        <f t="array" aca="1" ref="AA53" ca="1">Notmerged(AA24)</f>
        <v>#NAME?</v>
      </c>
      <c r="AB53" s="128" t="e" cm="1">
        <f t="array" aca="1" ref="AB53" ca="1">Notmerged(AB24)</f>
        <v>#NAME?</v>
      </c>
      <c r="AC53" s="128" t="e" cm="1">
        <f t="array" aca="1" ref="AC53" ca="1">Notmerged(AC24)</f>
        <v>#NAME?</v>
      </c>
      <c r="AD53" s="128" t="e" cm="1">
        <f t="array" aca="1" ref="AD53" ca="1">Notmerged(AD24)</f>
        <v>#NAME?</v>
      </c>
      <c r="AE53" s="128" t="e" cm="1">
        <f t="array" aca="1" ref="AE53" ca="1">Notmerged(AE24)</f>
        <v>#NAME?</v>
      </c>
      <c r="AF53" s="128" t="e" cm="1">
        <f t="array" aca="1" ref="AF53" ca="1">Notmerged(AF24)</f>
        <v>#NAME?</v>
      </c>
      <c r="AG53" s="128" t="e" cm="1">
        <f t="array" aca="1" ref="AG53" ca="1">Notmerged(AG24)</f>
        <v>#NAME?</v>
      </c>
      <c r="AH53" s="128" t="e" cm="1">
        <f t="array" aca="1" ref="AH53" ca="1">Notmerged(AH24)</f>
        <v>#NAME?</v>
      </c>
      <c r="AI53" s="128" t="e" cm="1">
        <f t="array" aca="1" ref="AI53" ca="1">Notmerged(AI24)</f>
        <v>#NAME?</v>
      </c>
      <c r="AJ53" s="128" t="e" cm="1">
        <f t="array" aca="1" ref="AJ53" ca="1">Notmerged(AJ24)</f>
        <v>#NAME?</v>
      </c>
      <c r="AK53" s="128" t="e" cm="1">
        <f t="array" aca="1" ref="AK53" ca="1">Notmerged(AK24)</f>
        <v>#NAME?</v>
      </c>
      <c r="AL53" s="128" t="e" cm="1">
        <f t="array" aca="1" ref="AL53" ca="1">Notmerged(AL24)</f>
        <v>#NAME?</v>
      </c>
      <c r="AM53" s="128" t="e" cm="1">
        <f t="array" aca="1" ref="AM53" ca="1">Notmerged(AM24)</f>
        <v>#NAME?</v>
      </c>
      <c r="AN53" s="128" t="e" cm="1">
        <f t="array" aca="1" ref="AN53" ca="1">Notmerged(AN24)</f>
        <v>#NAME?</v>
      </c>
      <c r="AO53" s="128" t="e" cm="1">
        <f t="array" aca="1" ref="AO53" ca="1">Notmerged(AO24)</f>
        <v>#NAME?</v>
      </c>
      <c r="AP53" s="128" t="e" cm="1">
        <f t="array" aca="1" ref="AP53" ca="1">Notmerged(AP24)</f>
        <v>#NAME?</v>
      </c>
      <c r="AQ53" s="128" t="e" cm="1">
        <f t="array" aca="1" ref="AQ53" ca="1">Notmerged(AQ24)</f>
        <v>#NAME?</v>
      </c>
      <c r="AR53" s="128" t="e" cm="1">
        <f t="array" aca="1" ref="AR53" ca="1">Notmerged(AR24)</f>
        <v>#NAME?</v>
      </c>
      <c r="AS53" s="128" t="e" cm="1">
        <f t="array" aca="1" ref="AS53" ca="1">Notmerged(AS24)</f>
        <v>#NAME?</v>
      </c>
      <c r="AT53" s="128" t="e" cm="1">
        <f t="array" aca="1" ref="AT53" ca="1">Notmerged(AT24)</f>
        <v>#NAME?</v>
      </c>
      <c r="AU53" s="128" t="e" cm="1">
        <f t="array" aca="1" ref="AU53" ca="1">Notmerged(AU24)</f>
        <v>#NAME?</v>
      </c>
      <c r="AV53" s="128" t="e" cm="1">
        <f t="array" aca="1" ref="AV53" ca="1">Notmerged(AV24)</f>
        <v>#NAME?</v>
      </c>
      <c r="AW53" s="128" t="e" cm="1">
        <f t="array" aca="1" ref="AW53" ca="1">Notmerged(AW24)</f>
        <v>#NAME?</v>
      </c>
      <c r="AX53" s="128" t="e" cm="1">
        <f t="array" aca="1" ref="AX53" ca="1">Notmerged(AX24)</f>
        <v>#NAME?</v>
      </c>
      <c r="AY53" s="128" t="e" cm="1">
        <f t="array" aca="1" ref="AY53" ca="1">Notmerged(AY24)</f>
        <v>#NAME?</v>
      </c>
      <c r="AZ53" s="128" t="e" cm="1">
        <f t="array" aca="1" ref="AZ53" ca="1">Notmerged(AZ24)</f>
        <v>#NAME?</v>
      </c>
      <c r="BA53" s="128" t="e" cm="1">
        <f t="array" aca="1" ref="BA53" ca="1">Notmerged(BA24)</f>
        <v>#NAME?</v>
      </c>
      <c r="BB53" s="128" t="e" cm="1">
        <f t="array" aca="1" ref="BB53" ca="1">Notmerged(BB24)</f>
        <v>#NAME?</v>
      </c>
      <c r="BC53" s="128" t="e" cm="1">
        <f t="array" aca="1" ref="BC53" ca="1">Notmerged(BC24)</f>
        <v>#NAME?</v>
      </c>
      <c r="BD53" s="128" t="e" cm="1">
        <f t="array" aca="1" ref="BD53" ca="1">Notmerged(BD24)</f>
        <v>#NAME?</v>
      </c>
      <c r="BE53" s="128" t="e" cm="1">
        <f t="array" aca="1" ref="BE53" ca="1">Notmerged(BE24)</f>
        <v>#NAME?</v>
      </c>
      <c r="BF53" s="128" t="e" cm="1">
        <f t="array" aca="1" ref="BF53" ca="1">Notmerged(BF24)</f>
        <v>#NAME?</v>
      </c>
      <c r="BG53" s="128" t="e" cm="1">
        <f t="array" aca="1" ref="BG53" ca="1">Notmerged(BG24)</f>
        <v>#NAME?</v>
      </c>
      <c r="BH53" s="128" t="e" cm="1">
        <f t="array" aca="1" ref="BH53" ca="1">Notmerged(BH24)</f>
        <v>#NAME?</v>
      </c>
      <c r="BI53" s="128" t="e" cm="1">
        <f t="array" aca="1" ref="BI53" ca="1">Notmerged(BI24)</f>
        <v>#NAME?</v>
      </c>
      <c r="BJ53" s="128" t="e" cm="1">
        <f t="array" aca="1" ref="BJ53" ca="1">Notmerged(BJ24)</f>
        <v>#NAME?</v>
      </c>
      <c r="BK53" s="128" t="e" cm="1">
        <f t="array" aca="1" ref="BK53" ca="1">Notmerged(BK24)</f>
        <v>#NAME?</v>
      </c>
    </row>
    <row r="54" spans="2:63" x14ac:dyDescent="0.3">
      <c r="B54" s="128" t="e" cm="1">
        <f t="array" aca="1" ref="B54" ca="1">Notmerged(#REF!)</f>
        <v>#NAME?</v>
      </c>
      <c r="C54" s="128" t="e" cm="1">
        <f t="array" aca="1" ref="C54" ca="1">Notmerged(C25)</f>
        <v>#NAME?</v>
      </c>
      <c r="D54" s="128" t="e" cm="1">
        <f t="array" aca="1" ref="D54" ca="1">Notmerged(D25)</f>
        <v>#NAME?</v>
      </c>
      <c r="E54" s="128" t="e" cm="1">
        <f t="array" aca="1" ref="E54" ca="1">Notmerged(E25)</f>
        <v>#NAME?</v>
      </c>
      <c r="F54" s="128" t="e" cm="1">
        <f t="array" aca="1" ref="F54" ca="1">Notmerged(F25)</f>
        <v>#NAME?</v>
      </c>
      <c r="G54" s="128" t="e" cm="1">
        <f t="array" aca="1" ref="G54" ca="1">Notmerged(G25)</f>
        <v>#NAME?</v>
      </c>
      <c r="H54" s="128" t="e" cm="1">
        <f t="array" aca="1" ref="H54" ca="1">Notmerged(H25)</f>
        <v>#NAME?</v>
      </c>
      <c r="I54" s="128" t="e" cm="1">
        <f t="array" aca="1" ref="I54" ca="1">Notmerged(I25)</f>
        <v>#NAME?</v>
      </c>
      <c r="J54" s="128" t="e" cm="1">
        <f t="array" aca="1" ref="J54" ca="1">Notmerged(J25)</f>
        <v>#NAME?</v>
      </c>
      <c r="K54" s="128" t="e" cm="1">
        <f t="array" aca="1" ref="K54" ca="1">Notmerged(K25)</f>
        <v>#NAME?</v>
      </c>
      <c r="L54" s="128" t="e" cm="1">
        <f t="array" aca="1" ref="L54" ca="1">Notmerged(L25)</f>
        <v>#NAME?</v>
      </c>
      <c r="M54" s="128" t="e" cm="1">
        <f t="array" aca="1" ref="M54" ca="1">Notmerged(M25)</f>
        <v>#NAME?</v>
      </c>
      <c r="N54" s="128" t="e" cm="1">
        <f t="array" aca="1" ref="N54" ca="1">Notmerged(N25)</f>
        <v>#NAME?</v>
      </c>
      <c r="O54" s="128" t="e" cm="1">
        <f t="array" aca="1" ref="O54" ca="1">Notmerged(O25)</f>
        <v>#NAME?</v>
      </c>
      <c r="P54" s="128" t="e" cm="1">
        <f t="array" aca="1" ref="P54" ca="1">Notmerged(P25)</f>
        <v>#NAME?</v>
      </c>
      <c r="Q54" s="128" t="e" cm="1">
        <f t="array" aca="1" ref="Q54" ca="1">Notmerged(Q25)</f>
        <v>#NAME?</v>
      </c>
      <c r="R54" s="128" t="e" cm="1">
        <f t="array" aca="1" ref="R54" ca="1">Notmerged(R25)</f>
        <v>#NAME?</v>
      </c>
      <c r="S54" s="128" t="e" cm="1">
        <f t="array" aca="1" ref="S54" ca="1">Notmerged(S25)</f>
        <v>#NAME?</v>
      </c>
      <c r="T54" s="128" t="e" cm="1">
        <f t="array" aca="1" ref="T54" ca="1">Notmerged(T25)</f>
        <v>#NAME?</v>
      </c>
      <c r="U54" s="128" t="e" cm="1">
        <f t="array" aca="1" ref="U54" ca="1">Notmerged(U25)</f>
        <v>#NAME?</v>
      </c>
      <c r="V54" s="128" t="e" cm="1">
        <f t="array" aca="1" ref="V54" ca="1">Notmerged(V25)</f>
        <v>#NAME?</v>
      </c>
      <c r="W54" s="128" t="e" cm="1">
        <f t="array" aca="1" ref="W54" ca="1">Notmerged(W25)</f>
        <v>#NAME?</v>
      </c>
      <c r="X54" s="128" t="e" cm="1">
        <f t="array" aca="1" ref="X54" ca="1">Notmerged(X25)</f>
        <v>#NAME?</v>
      </c>
      <c r="Y54" s="128" t="e" cm="1">
        <f t="array" aca="1" ref="Y54" ca="1">Notmerged(Y25)</f>
        <v>#NAME?</v>
      </c>
      <c r="Z54" s="128" t="e" cm="1">
        <f t="array" aca="1" ref="Z54" ca="1">Notmerged(Z25)</f>
        <v>#NAME?</v>
      </c>
      <c r="AA54" s="128" t="e" cm="1">
        <f t="array" aca="1" ref="AA54" ca="1">Notmerged(AA25)</f>
        <v>#NAME?</v>
      </c>
      <c r="AB54" s="128" t="e" cm="1">
        <f t="array" aca="1" ref="AB54" ca="1">Notmerged(AB25)</f>
        <v>#NAME?</v>
      </c>
      <c r="AC54" s="128" t="e" cm="1">
        <f t="array" aca="1" ref="AC54" ca="1">Notmerged(AC25)</f>
        <v>#NAME?</v>
      </c>
      <c r="AD54" s="128" t="e" cm="1">
        <f t="array" aca="1" ref="AD54" ca="1">Notmerged(AD25)</f>
        <v>#NAME?</v>
      </c>
      <c r="AE54" s="128" t="e" cm="1">
        <f t="array" aca="1" ref="AE54" ca="1">Notmerged(AE25)</f>
        <v>#NAME?</v>
      </c>
      <c r="AF54" s="128" t="e" cm="1">
        <f t="array" aca="1" ref="AF54" ca="1">Notmerged(AF25)</f>
        <v>#NAME?</v>
      </c>
      <c r="AG54" s="128" t="e" cm="1">
        <f t="array" aca="1" ref="AG54" ca="1">Notmerged(AG25)</f>
        <v>#NAME?</v>
      </c>
      <c r="AH54" s="128" t="e" cm="1">
        <f t="array" aca="1" ref="AH54" ca="1">Notmerged(AH25)</f>
        <v>#NAME?</v>
      </c>
      <c r="AI54" s="128" t="e" cm="1">
        <f t="array" aca="1" ref="AI54" ca="1">Notmerged(AI25)</f>
        <v>#NAME?</v>
      </c>
      <c r="AJ54" s="128" t="e" cm="1">
        <f t="array" aca="1" ref="AJ54" ca="1">Notmerged(AJ25)</f>
        <v>#NAME?</v>
      </c>
      <c r="AK54" s="128" t="e" cm="1">
        <f t="array" aca="1" ref="AK54" ca="1">Notmerged(AK25)</f>
        <v>#NAME?</v>
      </c>
      <c r="AL54" s="128" t="e" cm="1">
        <f t="array" aca="1" ref="AL54" ca="1">Notmerged(AL25)</f>
        <v>#NAME?</v>
      </c>
      <c r="AM54" s="128" t="e" cm="1">
        <f t="array" aca="1" ref="AM54" ca="1">Notmerged(AM25)</f>
        <v>#NAME?</v>
      </c>
      <c r="AN54" s="128" t="e" cm="1">
        <f t="array" aca="1" ref="AN54" ca="1">Notmerged(AN25)</f>
        <v>#NAME?</v>
      </c>
      <c r="AO54" s="128" t="e" cm="1">
        <f t="array" aca="1" ref="AO54" ca="1">Notmerged(AO25)</f>
        <v>#NAME?</v>
      </c>
      <c r="AP54" s="128" t="e" cm="1">
        <f t="array" aca="1" ref="AP54" ca="1">Notmerged(AP25)</f>
        <v>#NAME?</v>
      </c>
      <c r="AQ54" s="128" t="e" cm="1">
        <f t="array" aca="1" ref="AQ54" ca="1">Notmerged(AQ25)</f>
        <v>#NAME?</v>
      </c>
      <c r="AR54" s="128" t="e" cm="1">
        <f t="array" aca="1" ref="AR54" ca="1">Notmerged(AR25)</f>
        <v>#NAME?</v>
      </c>
      <c r="AS54" s="128" t="e" cm="1">
        <f t="array" aca="1" ref="AS54" ca="1">Notmerged(AS25)</f>
        <v>#NAME?</v>
      </c>
      <c r="AT54" s="128" t="e" cm="1">
        <f t="array" aca="1" ref="AT54" ca="1">Notmerged(AT25)</f>
        <v>#NAME?</v>
      </c>
      <c r="AU54" s="128" t="e" cm="1">
        <f t="array" aca="1" ref="AU54" ca="1">Notmerged(AU25)</f>
        <v>#NAME?</v>
      </c>
      <c r="AV54" s="128" t="e" cm="1">
        <f t="array" aca="1" ref="AV54" ca="1">Notmerged(AV25)</f>
        <v>#NAME?</v>
      </c>
      <c r="AW54" s="128" t="e" cm="1">
        <f t="array" aca="1" ref="AW54" ca="1">Notmerged(AW25)</f>
        <v>#NAME?</v>
      </c>
      <c r="AX54" s="128" t="e" cm="1">
        <f t="array" aca="1" ref="AX54" ca="1">Notmerged(AX25)</f>
        <v>#NAME?</v>
      </c>
      <c r="AY54" s="128" t="e" cm="1">
        <f t="array" aca="1" ref="AY54" ca="1">Notmerged(AY25)</f>
        <v>#NAME?</v>
      </c>
      <c r="AZ54" s="128" t="e" cm="1">
        <f t="array" aca="1" ref="AZ54" ca="1">Notmerged(AZ25)</f>
        <v>#NAME?</v>
      </c>
      <c r="BA54" s="128" t="e" cm="1">
        <f t="array" aca="1" ref="BA54" ca="1">Notmerged(BA25)</f>
        <v>#NAME?</v>
      </c>
      <c r="BB54" s="128" t="e" cm="1">
        <f t="array" aca="1" ref="BB54" ca="1">Notmerged(BB25)</f>
        <v>#NAME?</v>
      </c>
      <c r="BC54" s="128" t="e" cm="1">
        <f t="array" aca="1" ref="BC54" ca="1">Notmerged(BC25)</f>
        <v>#NAME?</v>
      </c>
      <c r="BD54" s="128" t="e" cm="1">
        <f t="array" aca="1" ref="BD54" ca="1">Notmerged(BD25)</f>
        <v>#NAME?</v>
      </c>
      <c r="BE54" s="128" t="e" cm="1">
        <f t="array" aca="1" ref="BE54" ca="1">Notmerged(BE25)</f>
        <v>#NAME?</v>
      </c>
      <c r="BF54" s="128" t="e" cm="1">
        <f t="array" aca="1" ref="BF54" ca="1">Notmerged(BF25)</f>
        <v>#NAME?</v>
      </c>
      <c r="BG54" s="128" t="e" cm="1">
        <f t="array" aca="1" ref="BG54" ca="1">Notmerged(BG25)</f>
        <v>#NAME?</v>
      </c>
      <c r="BH54" s="128" t="e" cm="1">
        <f t="array" aca="1" ref="BH54" ca="1">Notmerged(BH25)</f>
        <v>#NAME?</v>
      </c>
      <c r="BI54" s="128" t="e" cm="1">
        <f t="array" aca="1" ref="BI54" ca="1">Notmerged(BI25)</f>
        <v>#NAME?</v>
      </c>
      <c r="BJ54" s="128" t="e" cm="1">
        <f t="array" aca="1" ref="BJ54" ca="1">Notmerged(BJ25)</f>
        <v>#NAME?</v>
      </c>
      <c r="BK54" s="128" t="e" cm="1">
        <f t="array" aca="1" ref="BK54" ca="1">Notmerged(BK25)</f>
        <v>#NAME?</v>
      </c>
    </row>
    <row r="55" spans="2:63" x14ac:dyDescent="0.3">
      <c r="B55" s="128" t="e" cm="1">
        <f t="array" aca="1" ref="B55" ca="1">Notmerged(B26)</f>
        <v>#NAME?</v>
      </c>
      <c r="C55" s="128" t="e" cm="1">
        <f t="array" aca="1" ref="C55" ca="1">Notmerged(C26)</f>
        <v>#NAME?</v>
      </c>
      <c r="D55" s="128" t="e" cm="1">
        <f t="array" aca="1" ref="D55" ca="1">Notmerged(D26)</f>
        <v>#NAME?</v>
      </c>
      <c r="E55" s="128" t="e" cm="1">
        <f t="array" aca="1" ref="E55" ca="1">Notmerged(E26)</f>
        <v>#NAME?</v>
      </c>
      <c r="F55" s="128" t="e" cm="1">
        <f t="array" aca="1" ref="F55" ca="1">Notmerged(F26)</f>
        <v>#NAME?</v>
      </c>
      <c r="G55" s="128" t="e" cm="1">
        <f t="array" aca="1" ref="G55" ca="1">Notmerged(G26)</f>
        <v>#NAME?</v>
      </c>
      <c r="H55" s="128" t="e" cm="1">
        <f t="array" aca="1" ref="H55" ca="1">Notmerged(H26)</f>
        <v>#NAME?</v>
      </c>
      <c r="I55" s="128" t="e" cm="1">
        <f t="array" aca="1" ref="I55" ca="1">Notmerged(I26)</f>
        <v>#NAME?</v>
      </c>
      <c r="J55" s="128" t="e" cm="1">
        <f t="array" aca="1" ref="J55" ca="1">Notmerged(J26)</f>
        <v>#NAME?</v>
      </c>
      <c r="K55" s="128" t="e" cm="1">
        <f t="array" aca="1" ref="K55" ca="1">Notmerged(K26)</f>
        <v>#NAME?</v>
      </c>
      <c r="L55" s="128" t="e" cm="1">
        <f t="array" aca="1" ref="L55" ca="1">Notmerged(L26)</f>
        <v>#NAME?</v>
      </c>
      <c r="M55" s="128" t="e" cm="1">
        <f t="array" aca="1" ref="M55" ca="1">Notmerged(M26)</f>
        <v>#NAME?</v>
      </c>
      <c r="N55" s="128" t="e" cm="1">
        <f t="array" aca="1" ref="N55" ca="1">Notmerged(N26)</f>
        <v>#NAME?</v>
      </c>
      <c r="O55" s="128" t="e" cm="1">
        <f t="array" aca="1" ref="O55" ca="1">Notmerged(O26)</f>
        <v>#NAME?</v>
      </c>
      <c r="P55" s="128" t="e" cm="1">
        <f t="array" aca="1" ref="P55" ca="1">Notmerged(P26)</f>
        <v>#NAME?</v>
      </c>
      <c r="Q55" s="128" t="e" cm="1">
        <f t="array" aca="1" ref="Q55" ca="1">Notmerged(Q26)</f>
        <v>#NAME?</v>
      </c>
      <c r="R55" s="128" t="e" cm="1">
        <f t="array" aca="1" ref="R55" ca="1">Notmerged(R26)</f>
        <v>#NAME?</v>
      </c>
      <c r="S55" s="128" t="e" cm="1">
        <f t="array" aca="1" ref="S55" ca="1">Notmerged(S26)</f>
        <v>#NAME?</v>
      </c>
      <c r="T55" s="128" t="e" cm="1">
        <f t="array" aca="1" ref="T55" ca="1">Notmerged(T26)</f>
        <v>#NAME?</v>
      </c>
      <c r="U55" s="128" t="e" cm="1">
        <f t="array" aca="1" ref="U55" ca="1">Notmerged(U26)</f>
        <v>#NAME?</v>
      </c>
      <c r="V55" s="128" t="e" cm="1">
        <f t="array" aca="1" ref="V55" ca="1">Notmerged(V26)</f>
        <v>#NAME?</v>
      </c>
      <c r="W55" s="128" t="e" cm="1">
        <f t="array" aca="1" ref="W55" ca="1">Notmerged(W26)</f>
        <v>#NAME?</v>
      </c>
      <c r="X55" s="128" t="e" cm="1">
        <f t="array" aca="1" ref="X55" ca="1">Notmerged(X26)</f>
        <v>#NAME?</v>
      </c>
      <c r="Y55" s="128" t="e" cm="1">
        <f t="array" aca="1" ref="Y55" ca="1">Notmerged(Y26)</f>
        <v>#NAME?</v>
      </c>
      <c r="Z55" s="128" t="e" cm="1">
        <f t="array" aca="1" ref="Z55" ca="1">Notmerged(Z26)</f>
        <v>#NAME?</v>
      </c>
      <c r="AA55" s="128" t="e" cm="1">
        <f t="array" aca="1" ref="AA55" ca="1">Notmerged(AA26)</f>
        <v>#NAME?</v>
      </c>
      <c r="AB55" s="128" t="e" cm="1">
        <f t="array" aca="1" ref="AB55" ca="1">Notmerged(AB26)</f>
        <v>#NAME?</v>
      </c>
      <c r="AC55" s="128" t="e" cm="1">
        <f t="array" aca="1" ref="AC55" ca="1">Notmerged(AC26)</f>
        <v>#NAME?</v>
      </c>
      <c r="AD55" s="128" t="e" cm="1">
        <f t="array" aca="1" ref="AD55" ca="1">Notmerged(AD26)</f>
        <v>#NAME?</v>
      </c>
      <c r="AE55" s="128" t="e" cm="1">
        <f t="array" aca="1" ref="AE55" ca="1">Notmerged(AE26)</f>
        <v>#NAME?</v>
      </c>
      <c r="AF55" s="128" t="e" cm="1">
        <f t="array" aca="1" ref="AF55" ca="1">Notmerged(AF26)</f>
        <v>#NAME?</v>
      </c>
      <c r="AG55" s="128" t="e" cm="1">
        <f t="array" aca="1" ref="AG55" ca="1">Notmerged(AG26)</f>
        <v>#NAME?</v>
      </c>
      <c r="AH55" s="128" t="e" cm="1">
        <f t="array" aca="1" ref="AH55" ca="1">Notmerged(AH26)</f>
        <v>#NAME?</v>
      </c>
      <c r="AI55" s="128" t="e" cm="1">
        <f t="array" aca="1" ref="AI55" ca="1">Notmerged(AI26)</f>
        <v>#NAME?</v>
      </c>
      <c r="AJ55" s="128" t="e" cm="1">
        <f t="array" aca="1" ref="AJ55" ca="1">Notmerged(AJ26)</f>
        <v>#NAME?</v>
      </c>
      <c r="AK55" s="128" t="e" cm="1">
        <f t="array" aca="1" ref="AK55" ca="1">Notmerged(AK26)</f>
        <v>#NAME?</v>
      </c>
      <c r="AL55" s="128" t="e" cm="1">
        <f t="array" aca="1" ref="AL55" ca="1">Notmerged(AL26)</f>
        <v>#NAME?</v>
      </c>
      <c r="AM55" s="128" t="e" cm="1">
        <f t="array" aca="1" ref="AM55" ca="1">Notmerged(AM26)</f>
        <v>#NAME?</v>
      </c>
      <c r="AN55" s="128" t="e" cm="1">
        <f t="array" aca="1" ref="AN55" ca="1">Notmerged(AN26)</f>
        <v>#NAME?</v>
      </c>
      <c r="AO55" s="128" t="e" cm="1">
        <f t="array" aca="1" ref="AO55" ca="1">Notmerged(AO26)</f>
        <v>#NAME?</v>
      </c>
      <c r="AP55" s="128" t="e" cm="1">
        <f t="array" aca="1" ref="AP55" ca="1">Notmerged(AP26)</f>
        <v>#NAME?</v>
      </c>
      <c r="AQ55" s="128" t="e" cm="1">
        <f t="array" aca="1" ref="AQ55" ca="1">Notmerged(AQ26)</f>
        <v>#NAME?</v>
      </c>
      <c r="AR55" s="128" t="e" cm="1">
        <f t="array" aca="1" ref="AR55" ca="1">Notmerged(AR26)</f>
        <v>#NAME?</v>
      </c>
      <c r="AS55" s="128" t="e" cm="1">
        <f t="array" aca="1" ref="AS55" ca="1">Notmerged(AS26)</f>
        <v>#NAME?</v>
      </c>
      <c r="AT55" s="128" t="e" cm="1">
        <f t="array" aca="1" ref="AT55" ca="1">Notmerged(AT26)</f>
        <v>#NAME?</v>
      </c>
      <c r="AU55" s="128" t="e" cm="1">
        <f t="array" aca="1" ref="AU55" ca="1">Notmerged(AU26)</f>
        <v>#NAME?</v>
      </c>
      <c r="AV55" s="128" t="e" cm="1">
        <f t="array" aca="1" ref="AV55" ca="1">Notmerged(AV26)</f>
        <v>#NAME?</v>
      </c>
      <c r="AW55" s="128" t="e" cm="1">
        <f t="array" aca="1" ref="AW55" ca="1">Notmerged(AW26)</f>
        <v>#NAME?</v>
      </c>
      <c r="AX55" s="128" t="e" cm="1">
        <f t="array" aca="1" ref="AX55" ca="1">Notmerged(AX26)</f>
        <v>#NAME?</v>
      </c>
      <c r="AY55" s="128" t="e" cm="1">
        <f t="array" aca="1" ref="AY55" ca="1">Notmerged(AY26)</f>
        <v>#NAME?</v>
      </c>
      <c r="AZ55" s="128" t="e" cm="1">
        <f t="array" aca="1" ref="AZ55" ca="1">Notmerged(AZ26)</f>
        <v>#NAME?</v>
      </c>
      <c r="BA55" s="128" t="e" cm="1">
        <f t="array" aca="1" ref="BA55" ca="1">Notmerged(BA26)</f>
        <v>#NAME?</v>
      </c>
      <c r="BB55" s="128" t="e" cm="1">
        <f t="array" aca="1" ref="BB55" ca="1">Notmerged(BB26)</f>
        <v>#NAME?</v>
      </c>
      <c r="BC55" s="128" t="e" cm="1">
        <f t="array" aca="1" ref="BC55" ca="1">Notmerged(BC26)</f>
        <v>#NAME?</v>
      </c>
      <c r="BD55" s="128" t="e" cm="1">
        <f t="array" aca="1" ref="BD55" ca="1">Notmerged(BD26)</f>
        <v>#NAME?</v>
      </c>
      <c r="BE55" s="128" t="e" cm="1">
        <f t="array" aca="1" ref="BE55" ca="1">Notmerged(BE26)</f>
        <v>#NAME?</v>
      </c>
      <c r="BF55" s="128" t="e" cm="1">
        <f t="array" aca="1" ref="BF55" ca="1">Notmerged(BF26)</f>
        <v>#NAME?</v>
      </c>
      <c r="BG55" s="128" t="e" cm="1">
        <f t="array" aca="1" ref="BG55" ca="1">Notmerged(BG26)</f>
        <v>#NAME?</v>
      </c>
      <c r="BH55" s="128" t="e" cm="1">
        <f t="array" aca="1" ref="BH55" ca="1">Notmerged(BH26)</f>
        <v>#NAME?</v>
      </c>
      <c r="BI55" s="128" t="e" cm="1">
        <f t="array" aca="1" ref="BI55" ca="1">Notmerged(BI26)</f>
        <v>#NAME?</v>
      </c>
      <c r="BJ55" s="128" t="e" cm="1">
        <f t="array" aca="1" ref="BJ55" ca="1">Notmerged(BJ26)</f>
        <v>#NAME?</v>
      </c>
      <c r="BK55" s="128" t="e" cm="1">
        <f t="array" aca="1" ref="BK55" ca="1">Notmerged(BK26)</f>
        <v>#NAME?</v>
      </c>
    </row>
    <row r="56" spans="2:63" x14ac:dyDescent="0.3">
      <c r="B56" s="128" t="e" cm="1">
        <f t="array" aca="1" ref="B56" ca="1">Notmerged(B25)</f>
        <v>#NAME?</v>
      </c>
      <c r="C56" s="128" t="e" cm="1">
        <f t="array" aca="1" ref="C56" ca="1">Notmerged(C27)</f>
        <v>#NAME?</v>
      </c>
      <c r="D56" s="128" t="e" cm="1">
        <f t="array" aca="1" ref="D56" ca="1">Notmerged(D27)</f>
        <v>#NAME?</v>
      </c>
      <c r="E56" s="128" t="e" cm="1">
        <f t="array" aca="1" ref="E56" ca="1">Notmerged(E27)</f>
        <v>#NAME?</v>
      </c>
      <c r="F56" s="128" t="e" cm="1">
        <f t="array" aca="1" ref="F56" ca="1">Notmerged(F27)</f>
        <v>#NAME?</v>
      </c>
      <c r="G56" s="128" t="e" cm="1">
        <f t="array" aca="1" ref="G56" ca="1">Notmerged(G27)</f>
        <v>#NAME?</v>
      </c>
      <c r="H56" s="128" t="e" cm="1">
        <f t="array" aca="1" ref="H56" ca="1">Notmerged(H27)</f>
        <v>#NAME?</v>
      </c>
      <c r="I56" s="128" t="e" cm="1">
        <f t="array" aca="1" ref="I56" ca="1">Notmerged(I27)</f>
        <v>#NAME?</v>
      </c>
      <c r="J56" s="128" t="e" cm="1">
        <f t="array" aca="1" ref="J56" ca="1">Notmerged(J27)</f>
        <v>#NAME?</v>
      </c>
      <c r="K56" s="128" t="e" cm="1">
        <f t="array" aca="1" ref="K56" ca="1">Notmerged(K27)</f>
        <v>#NAME?</v>
      </c>
      <c r="L56" s="128" t="e" cm="1">
        <f t="array" aca="1" ref="L56" ca="1">Notmerged(L27)</f>
        <v>#NAME?</v>
      </c>
      <c r="M56" s="128" t="e" cm="1">
        <f t="array" aca="1" ref="M56" ca="1">Notmerged(M27)</f>
        <v>#NAME?</v>
      </c>
      <c r="N56" s="128" t="e" cm="1">
        <f t="array" aca="1" ref="N56" ca="1">Notmerged(N27)</f>
        <v>#NAME?</v>
      </c>
      <c r="O56" s="128" t="e" cm="1">
        <f t="array" aca="1" ref="O56" ca="1">Notmerged(O27)</f>
        <v>#NAME?</v>
      </c>
      <c r="P56" s="128" t="e" cm="1">
        <f t="array" aca="1" ref="P56" ca="1">Notmerged(P27)</f>
        <v>#NAME?</v>
      </c>
      <c r="Q56" s="128" t="e" cm="1">
        <f t="array" aca="1" ref="Q56" ca="1">Notmerged(Q27)</f>
        <v>#NAME?</v>
      </c>
      <c r="R56" s="128" t="e" cm="1">
        <f t="array" aca="1" ref="R56" ca="1">Notmerged(R27)</f>
        <v>#NAME?</v>
      </c>
      <c r="S56" s="128" t="e" cm="1">
        <f t="array" aca="1" ref="S56" ca="1">Notmerged(S27)</f>
        <v>#NAME?</v>
      </c>
      <c r="T56" s="128" t="e" cm="1">
        <f t="array" aca="1" ref="T56" ca="1">Notmerged(T27)</f>
        <v>#NAME?</v>
      </c>
      <c r="U56" s="128" t="e" cm="1">
        <f t="array" aca="1" ref="U56" ca="1">Notmerged(U27)</f>
        <v>#NAME?</v>
      </c>
      <c r="V56" s="128" t="e" cm="1">
        <f t="array" aca="1" ref="V56" ca="1">Notmerged(V27)</f>
        <v>#NAME?</v>
      </c>
      <c r="W56" s="128" t="e" cm="1">
        <f t="array" aca="1" ref="W56" ca="1">Notmerged(W27)</f>
        <v>#NAME?</v>
      </c>
      <c r="X56" s="128" t="e" cm="1">
        <f t="array" aca="1" ref="X56" ca="1">Notmerged(X27)</f>
        <v>#NAME?</v>
      </c>
      <c r="Y56" s="128" t="e" cm="1">
        <f t="array" aca="1" ref="Y56" ca="1">Notmerged(Y27)</f>
        <v>#NAME?</v>
      </c>
      <c r="Z56" s="128" t="e" cm="1">
        <f t="array" aca="1" ref="Z56" ca="1">Notmerged(Z27)</f>
        <v>#NAME?</v>
      </c>
      <c r="AA56" s="128" t="e" cm="1">
        <f t="array" aca="1" ref="AA56" ca="1">Notmerged(AA27)</f>
        <v>#NAME?</v>
      </c>
      <c r="AB56" s="128" t="e" cm="1">
        <f t="array" aca="1" ref="AB56" ca="1">Notmerged(AB27)</f>
        <v>#NAME?</v>
      </c>
      <c r="AC56" s="128" t="e" cm="1">
        <f t="array" aca="1" ref="AC56" ca="1">Notmerged(AC27)</f>
        <v>#NAME?</v>
      </c>
      <c r="AD56" s="128" t="e" cm="1">
        <f t="array" aca="1" ref="AD56" ca="1">Notmerged(AD27)</f>
        <v>#NAME?</v>
      </c>
      <c r="AE56" s="128" t="e" cm="1">
        <f t="array" aca="1" ref="AE56" ca="1">Notmerged(AE27)</f>
        <v>#NAME?</v>
      </c>
      <c r="AF56" s="128" t="e" cm="1">
        <f t="array" aca="1" ref="AF56" ca="1">Notmerged(AF27)</f>
        <v>#NAME?</v>
      </c>
      <c r="AG56" s="128" t="e" cm="1">
        <f t="array" aca="1" ref="AG56" ca="1">Notmerged(AG27)</f>
        <v>#NAME?</v>
      </c>
      <c r="AH56" s="128" t="e" cm="1">
        <f t="array" aca="1" ref="AH56" ca="1">Notmerged(AH27)</f>
        <v>#NAME?</v>
      </c>
      <c r="AI56" s="128" t="e" cm="1">
        <f t="array" aca="1" ref="AI56" ca="1">Notmerged(AI27)</f>
        <v>#NAME?</v>
      </c>
      <c r="AJ56" s="128" t="e" cm="1">
        <f t="array" aca="1" ref="AJ56" ca="1">Notmerged(AJ27)</f>
        <v>#NAME?</v>
      </c>
      <c r="AK56" s="128" t="e" cm="1">
        <f t="array" aca="1" ref="AK56" ca="1">Notmerged(AK27)</f>
        <v>#NAME?</v>
      </c>
      <c r="AL56" s="128" t="e" cm="1">
        <f t="array" aca="1" ref="AL56" ca="1">Notmerged(AL27)</f>
        <v>#NAME?</v>
      </c>
      <c r="AM56" s="128" t="e" cm="1">
        <f t="array" aca="1" ref="AM56" ca="1">Notmerged(AM27)</f>
        <v>#NAME?</v>
      </c>
      <c r="AN56" s="128" t="e" cm="1">
        <f t="array" aca="1" ref="AN56" ca="1">Notmerged(AN27)</f>
        <v>#NAME?</v>
      </c>
      <c r="AO56" s="128" t="e" cm="1">
        <f t="array" aca="1" ref="AO56" ca="1">Notmerged(AO27)</f>
        <v>#NAME?</v>
      </c>
      <c r="AP56" s="128" t="e" cm="1">
        <f t="array" aca="1" ref="AP56" ca="1">Notmerged(AP27)</f>
        <v>#NAME?</v>
      </c>
      <c r="AQ56" s="128" t="e" cm="1">
        <f t="array" aca="1" ref="AQ56" ca="1">Notmerged(AQ27)</f>
        <v>#NAME?</v>
      </c>
      <c r="AR56" s="128" t="e" cm="1">
        <f t="array" aca="1" ref="AR56" ca="1">Notmerged(AR27)</f>
        <v>#NAME?</v>
      </c>
      <c r="AS56" s="128" t="e" cm="1">
        <f t="array" aca="1" ref="AS56" ca="1">Notmerged(AS27)</f>
        <v>#NAME?</v>
      </c>
      <c r="AT56" s="128" t="e" cm="1">
        <f t="array" aca="1" ref="AT56" ca="1">Notmerged(AT27)</f>
        <v>#NAME?</v>
      </c>
      <c r="AU56" s="128" t="e" cm="1">
        <f t="array" aca="1" ref="AU56" ca="1">Notmerged(AU27)</f>
        <v>#NAME?</v>
      </c>
      <c r="AV56" s="128" t="e" cm="1">
        <f t="array" aca="1" ref="AV56" ca="1">Notmerged(AV27)</f>
        <v>#NAME?</v>
      </c>
      <c r="AW56" s="128" t="e" cm="1">
        <f t="array" aca="1" ref="AW56" ca="1">Notmerged(AW27)</f>
        <v>#NAME?</v>
      </c>
      <c r="AX56" s="128" t="e" cm="1">
        <f t="array" aca="1" ref="AX56" ca="1">Notmerged(AX27)</f>
        <v>#NAME?</v>
      </c>
      <c r="AY56" s="128" t="e" cm="1">
        <f t="array" aca="1" ref="AY56" ca="1">Notmerged(AY27)</f>
        <v>#NAME?</v>
      </c>
      <c r="AZ56" s="128" t="e" cm="1">
        <f t="array" aca="1" ref="AZ56" ca="1">Notmerged(AZ27)</f>
        <v>#NAME?</v>
      </c>
      <c r="BA56" s="128" t="e" cm="1">
        <f t="array" aca="1" ref="BA56" ca="1">Notmerged(BA27)</f>
        <v>#NAME?</v>
      </c>
      <c r="BB56" s="128" t="e" cm="1">
        <f t="array" aca="1" ref="BB56" ca="1">Notmerged(BB27)</f>
        <v>#NAME?</v>
      </c>
      <c r="BC56" s="128" t="e" cm="1">
        <f t="array" aca="1" ref="BC56" ca="1">Notmerged(BC27)</f>
        <v>#NAME?</v>
      </c>
      <c r="BD56" s="128" t="e" cm="1">
        <f t="array" aca="1" ref="BD56" ca="1">Notmerged(BD27)</f>
        <v>#NAME?</v>
      </c>
      <c r="BE56" s="128" t="e" cm="1">
        <f t="array" aca="1" ref="BE56" ca="1">Notmerged(BE27)</f>
        <v>#NAME?</v>
      </c>
      <c r="BF56" s="128" t="e" cm="1">
        <f t="array" aca="1" ref="BF56" ca="1">Notmerged(BF27)</f>
        <v>#NAME?</v>
      </c>
      <c r="BG56" s="128" t="e" cm="1">
        <f t="array" aca="1" ref="BG56" ca="1">Notmerged(BG27)</f>
        <v>#NAME?</v>
      </c>
      <c r="BH56" s="128" t="e" cm="1">
        <f t="array" aca="1" ref="BH56" ca="1">Notmerged(BH27)</f>
        <v>#NAME?</v>
      </c>
      <c r="BI56" s="128" t="e" cm="1">
        <f t="array" aca="1" ref="BI56" ca="1">Notmerged(BI27)</f>
        <v>#NAME?</v>
      </c>
      <c r="BJ56" s="128" t="e" cm="1">
        <f t="array" aca="1" ref="BJ56" ca="1">Notmerged(BJ27)</f>
        <v>#NAME?</v>
      </c>
      <c r="BK56" s="128" t="e" cm="1">
        <f t="array" aca="1" ref="BK56" ca="1">Notmerged(BK27)</f>
        <v>#NAME?</v>
      </c>
    </row>
    <row r="57" spans="2:63" x14ac:dyDescent="0.3">
      <c r="B57" s="128" t="e" cm="1">
        <f t="array" aca="1" ref="B57" ca="1">Notmerged(B28)</f>
        <v>#NAME?</v>
      </c>
      <c r="C57" s="128" t="e" cm="1">
        <f t="array" aca="1" ref="C57" ca="1">Notmerged(C19)</f>
        <v>#NAME?</v>
      </c>
      <c r="D57" s="128" t="e" cm="1">
        <f t="array" aca="1" ref="D57" ca="1">Notmerged(D28)</f>
        <v>#NAME?</v>
      </c>
      <c r="E57" s="128" t="e" cm="1">
        <f t="array" aca="1" ref="E57" ca="1">Notmerged(E28)</f>
        <v>#NAME?</v>
      </c>
      <c r="F57" s="128" t="e" cm="1">
        <f t="array" aca="1" ref="F57" ca="1">Notmerged(F28)</f>
        <v>#NAME?</v>
      </c>
      <c r="G57" s="128" t="e" cm="1">
        <f t="array" aca="1" ref="G57" ca="1">Notmerged(G28)</f>
        <v>#NAME?</v>
      </c>
      <c r="H57" s="128" t="e" cm="1">
        <f t="array" aca="1" ref="H57" ca="1">Notmerged(H28)</f>
        <v>#NAME?</v>
      </c>
      <c r="I57" s="128" t="e" cm="1">
        <f t="array" aca="1" ref="I57" ca="1">Notmerged(I28)</f>
        <v>#NAME?</v>
      </c>
      <c r="J57" s="128" t="e" cm="1">
        <f t="array" aca="1" ref="J57" ca="1">Notmerged(J28)</f>
        <v>#NAME?</v>
      </c>
      <c r="K57" s="128" t="e" cm="1">
        <f t="array" aca="1" ref="K57" ca="1">Notmerged(K28)</f>
        <v>#NAME?</v>
      </c>
      <c r="L57" s="128" t="e" cm="1">
        <f t="array" aca="1" ref="L57" ca="1">Notmerged(L28)</f>
        <v>#NAME?</v>
      </c>
      <c r="M57" s="128" t="e" cm="1">
        <f t="array" aca="1" ref="M57" ca="1">Notmerged(M28)</f>
        <v>#NAME?</v>
      </c>
      <c r="N57" s="128" t="e" cm="1">
        <f t="array" aca="1" ref="N57" ca="1">Notmerged(N28)</f>
        <v>#NAME?</v>
      </c>
      <c r="O57" s="128" t="e" cm="1">
        <f t="array" aca="1" ref="O57" ca="1">Notmerged(O28)</f>
        <v>#NAME?</v>
      </c>
      <c r="P57" s="128" t="e" cm="1">
        <f t="array" aca="1" ref="P57" ca="1">Notmerged(P28)</f>
        <v>#NAME?</v>
      </c>
      <c r="Q57" s="128" t="e" cm="1">
        <f t="array" aca="1" ref="Q57" ca="1">Notmerged(Q28)</f>
        <v>#NAME?</v>
      </c>
      <c r="R57" s="128" t="e" cm="1">
        <f t="array" aca="1" ref="R57" ca="1">Notmerged(R28)</f>
        <v>#NAME?</v>
      </c>
      <c r="S57" s="128" t="e" cm="1">
        <f t="array" aca="1" ref="S57" ca="1">Notmerged(S28)</f>
        <v>#NAME?</v>
      </c>
      <c r="T57" s="128" t="e" cm="1">
        <f t="array" aca="1" ref="T57" ca="1">Notmerged(T28)</f>
        <v>#NAME?</v>
      </c>
      <c r="U57" s="128" t="e" cm="1">
        <f t="array" aca="1" ref="U57" ca="1">Notmerged(U28)</f>
        <v>#NAME?</v>
      </c>
      <c r="V57" s="128" t="e" cm="1">
        <f t="array" aca="1" ref="V57" ca="1">Notmerged(V28)</f>
        <v>#NAME?</v>
      </c>
      <c r="W57" s="128" t="e" cm="1">
        <f t="array" aca="1" ref="W57" ca="1">Notmerged(W28)</f>
        <v>#NAME?</v>
      </c>
      <c r="X57" s="128" t="e" cm="1">
        <f t="array" aca="1" ref="X57" ca="1">Notmerged(X28)</f>
        <v>#NAME?</v>
      </c>
      <c r="Y57" s="128" t="e" cm="1">
        <f t="array" aca="1" ref="Y57" ca="1">Notmerged(Y28)</f>
        <v>#NAME?</v>
      </c>
      <c r="Z57" s="128" t="e" cm="1">
        <f t="array" aca="1" ref="Z57" ca="1">Notmerged(Z28)</f>
        <v>#NAME?</v>
      </c>
      <c r="AA57" s="128" t="e" cm="1">
        <f t="array" aca="1" ref="AA57" ca="1">Notmerged(AA28)</f>
        <v>#NAME?</v>
      </c>
      <c r="AB57" s="128" t="e" cm="1">
        <f t="array" aca="1" ref="AB57" ca="1">Notmerged(AB28)</f>
        <v>#NAME?</v>
      </c>
      <c r="AC57" s="128" t="e" cm="1">
        <f t="array" aca="1" ref="AC57" ca="1">Notmerged(AC28)</f>
        <v>#NAME?</v>
      </c>
      <c r="AD57" s="128" t="e" cm="1">
        <f t="array" aca="1" ref="AD57" ca="1">Notmerged(AD28)</f>
        <v>#NAME?</v>
      </c>
      <c r="AE57" s="128" t="e" cm="1">
        <f t="array" aca="1" ref="AE57" ca="1">Notmerged(AE28)</f>
        <v>#NAME?</v>
      </c>
      <c r="AF57" s="128" t="e" cm="1">
        <f t="array" aca="1" ref="AF57" ca="1">Notmerged(AF28)</f>
        <v>#NAME?</v>
      </c>
      <c r="AG57" s="128" t="e" cm="1">
        <f t="array" aca="1" ref="AG57" ca="1">Notmerged(AG28)</f>
        <v>#NAME?</v>
      </c>
      <c r="AH57" s="128" t="e" cm="1">
        <f t="array" aca="1" ref="AH57" ca="1">Notmerged(AH28)</f>
        <v>#NAME?</v>
      </c>
      <c r="AI57" s="128" t="e" cm="1">
        <f t="array" aca="1" ref="AI57" ca="1">Notmerged(AI28)</f>
        <v>#NAME?</v>
      </c>
      <c r="AJ57" s="128" t="e" cm="1">
        <f t="array" aca="1" ref="AJ57" ca="1">Notmerged(AJ28)</f>
        <v>#NAME?</v>
      </c>
      <c r="AK57" s="128" t="e" cm="1">
        <f t="array" aca="1" ref="AK57" ca="1">Notmerged(AK28)</f>
        <v>#NAME?</v>
      </c>
      <c r="AL57" s="128" t="e" cm="1">
        <f t="array" aca="1" ref="AL57" ca="1">Notmerged(AL28)</f>
        <v>#NAME?</v>
      </c>
      <c r="AM57" s="128" t="e" cm="1">
        <f t="array" aca="1" ref="AM57" ca="1">Notmerged(AM28)</f>
        <v>#NAME?</v>
      </c>
      <c r="AN57" s="128" t="e" cm="1">
        <f t="array" aca="1" ref="AN57" ca="1">Notmerged(AN28)</f>
        <v>#NAME?</v>
      </c>
      <c r="AO57" s="128" t="e" cm="1">
        <f t="array" aca="1" ref="AO57" ca="1">Notmerged(AO28)</f>
        <v>#NAME?</v>
      </c>
      <c r="AP57" s="128" t="e" cm="1">
        <f t="array" aca="1" ref="AP57" ca="1">Notmerged(AP28)</f>
        <v>#NAME?</v>
      </c>
      <c r="AQ57" s="128" t="e" cm="1">
        <f t="array" aca="1" ref="AQ57" ca="1">Notmerged(AQ28)</f>
        <v>#NAME?</v>
      </c>
      <c r="AR57" s="128" t="e" cm="1">
        <f t="array" aca="1" ref="AR57" ca="1">Notmerged(AR28)</f>
        <v>#NAME?</v>
      </c>
      <c r="AS57" s="128" t="e" cm="1">
        <f t="array" aca="1" ref="AS57" ca="1">Notmerged(AS28)</f>
        <v>#NAME?</v>
      </c>
      <c r="AT57" s="128" t="e" cm="1">
        <f t="array" aca="1" ref="AT57" ca="1">Notmerged(AT28)</f>
        <v>#NAME?</v>
      </c>
      <c r="AU57" s="128" t="e" cm="1">
        <f t="array" aca="1" ref="AU57" ca="1">Notmerged(AU28)</f>
        <v>#NAME?</v>
      </c>
      <c r="AV57" s="128" t="e" cm="1">
        <f t="array" aca="1" ref="AV57" ca="1">Notmerged(AV28)</f>
        <v>#NAME?</v>
      </c>
      <c r="AW57" s="128" t="e" cm="1">
        <f t="array" aca="1" ref="AW57" ca="1">Notmerged(AW28)</f>
        <v>#NAME?</v>
      </c>
      <c r="AX57" s="128" t="e" cm="1">
        <f t="array" aca="1" ref="AX57" ca="1">Notmerged(AX28)</f>
        <v>#NAME?</v>
      </c>
      <c r="AY57" s="128" t="e" cm="1">
        <f t="array" aca="1" ref="AY57" ca="1">Notmerged(AY28)</f>
        <v>#NAME?</v>
      </c>
      <c r="AZ57" s="128" t="e" cm="1">
        <f t="array" aca="1" ref="AZ57" ca="1">Notmerged(AZ28)</f>
        <v>#NAME?</v>
      </c>
      <c r="BA57" s="128" t="e" cm="1">
        <f t="array" aca="1" ref="BA57" ca="1">Notmerged(BA28)</f>
        <v>#NAME?</v>
      </c>
      <c r="BB57" s="128" t="e" cm="1">
        <f t="array" aca="1" ref="BB57" ca="1">Notmerged(BB28)</f>
        <v>#NAME?</v>
      </c>
      <c r="BC57" s="128" t="e" cm="1">
        <f t="array" aca="1" ref="BC57" ca="1">Notmerged(BC28)</f>
        <v>#NAME?</v>
      </c>
      <c r="BD57" s="128" t="e" cm="1">
        <f t="array" aca="1" ref="BD57" ca="1">Notmerged(BD28)</f>
        <v>#NAME?</v>
      </c>
      <c r="BE57" s="128" t="e" cm="1">
        <f t="array" aca="1" ref="BE57" ca="1">Notmerged(BE28)</f>
        <v>#NAME?</v>
      </c>
      <c r="BF57" s="128" t="e" cm="1">
        <f t="array" aca="1" ref="BF57" ca="1">Notmerged(BF28)</f>
        <v>#NAME?</v>
      </c>
      <c r="BG57" s="128" t="e" cm="1">
        <f t="array" aca="1" ref="BG57" ca="1">Notmerged(BG28)</f>
        <v>#NAME?</v>
      </c>
      <c r="BH57" s="128" t="e" cm="1">
        <f t="array" aca="1" ref="BH57" ca="1">Notmerged(BH28)</f>
        <v>#NAME?</v>
      </c>
      <c r="BI57" s="128" t="e" cm="1">
        <f t="array" aca="1" ref="BI57" ca="1">Notmerged(BI28)</f>
        <v>#NAME?</v>
      </c>
      <c r="BJ57" s="128" t="e" cm="1">
        <f t="array" aca="1" ref="BJ57" ca="1">Notmerged(BJ28)</f>
        <v>#NAME?</v>
      </c>
      <c r="BK57" s="128" t="e" cm="1">
        <f t="array" aca="1" ref="BK57" ca="1">Notmerged(BK28)</f>
        <v>#NAME?</v>
      </c>
    </row>
    <row r="58" spans="2:63" x14ac:dyDescent="0.3">
      <c r="B58" s="128" t="e" cm="1">
        <f t="array" aca="1" ref="B58" ca="1">Notmerged(B29)</f>
        <v>#NAME?</v>
      </c>
      <c r="C58" s="128" t="e" cm="1">
        <f t="array" aca="1" ref="C58" ca="1">Notmerged(C29)</f>
        <v>#NAME?</v>
      </c>
      <c r="D58" s="128" t="e" cm="1">
        <f t="array" aca="1" ref="D58" ca="1">Notmerged(D29)</f>
        <v>#NAME?</v>
      </c>
      <c r="E58" s="128" t="e" cm="1">
        <f t="array" aca="1" ref="E58" ca="1">Notmerged(E29)</f>
        <v>#NAME?</v>
      </c>
      <c r="F58" s="128" t="e" cm="1">
        <f t="array" aca="1" ref="F58" ca="1">Notmerged(F29)</f>
        <v>#NAME?</v>
      </c>
      <c r="G58" s="128" t="e" cm="1">
        <f t="array" aca="1" ref="G58" ca="1">Notmerged(G29)</f>
        <v>#NAME?</v>
      </c>
      <c r="H58" s="128" t="e" cm="1">
        <f t="array" aca="1" ref="H58" ca="1">Notmerged(H29)</f>
        <v>#NAME?</v>
      </c>
      <c r="I58" s="128" t="e" cm="1">
        <f t="array" aca="1" ref="I58" ca="1">Notmerged(I29)</f>
        <v>#NAME?</v>
      </c>
      <c r="J58" s="128" t="e" cm="1">
        <f t="array" aca="1" ref="J58" ca="1">Notmerged(J29)</f>
        <v>#NAME?</v>
      </c>
      <c r="K58" s="128" t="e" cm="1">
        <f t="array" aca="1" ref="K58" ca="1">Notmerged(K29)</f>
        <v>#NAME?</v>
      </c>
      <c r="L58" s="128" t="e" cm="1">
        <f t="array" aca="1" ref="L58" ca="1">Notmerged(L29)</f>
        <v>#NAME?</v>
      </c>
      <c r="M58" s="128" t="e" cm="1">
        <f t="array" aca="1" ref="M58" ca="1">Notmerged(M29)</f>
        <v>#NAME?</v>
      </c>
      <c r="N58" s="128" t="e" cm="1">
        <f t="array" aca="1" ref="N58" ca="1">Notmerged(N29)</f>
        <v>#NAME?</v>
      </c>
      <c r="O58" s="128" t="e" cm="1">
        <f t="array" aca="1" ref="O58" ca="1">Notmerged(O29)</f>
        <v>#NAME?</v>
      </c>
      <c r="P58" s="128" t="e" cm="1">
        <f t="array" aca="1" ref="P58" ca="1">Notmerged(P29)</f>
        <v>#NAME?</v>
      </c>
      <c r="Q58" s="128" t="e" cm="1">
        <f t="array" aca="1" ref="Q58" ca="1">Notmerged(Q29)</f>
        <v>#NAME?</v>
      </c>
      <c r="R58" s="128" t="e" cm="1">
        <f t="array" aca="1" ref="R58" ca="1">Notmerged(R29)</f>
        <v>#NAME?</v>
      </c>
      <c r="S58" s="128" t="e" cm="1">
        <f t="array" aca="1" ref="S58" ca="1">Notmerged(S29)</f>
        <v>#NAME?</v>
      </c>
      <c r="T58" s="128" t="e" cm="1">
        <f t="array" aca="1" ref="T58" ca="1">Notmerged(T29)</f>
        <v>#NAME?</v>
      </c>
      <c r="U58" s="128" t="e" cm="1">
        <f t="array" aca="1" ref="U58" ca="1">Notmerged(U29)</f>
        <v>#NAME?</v>
      </c>
      <c r="V58" s="128" t="e" cm="1">
        <f t="array" aca="1" ref="V58" ca="1">Notmerged(V29)</f>
        <v>#NAME?</v>
      </c>
      <c r="W58" s="128" t="e" cm="1">
        <f t="array" aca="1" ref="W58" ca="1">Notmerged(W29)</f>
        <v>#NAME?</v>
      </c>
      <c r="X58" s="128" t="e" cm="1">
        <f t="array" aca="1" ref="X58" ca="1">Notmerged(X29)</f>
        <v>#NAME?</v>
      </c>
      <c r="Y58" s="128" t="e" cm="1">
        <f t="array" aca="1" ref="Y58" ca="1">Notmerged(Y29)</f>
        <v>#NAME?</v>
      </c>
      <c r="Z58" s="128" t="e" cm="1">
        <f t="array" aca="1" ref="Z58" ca="1">Notmerged(Z29)</f>
        <v>#NAME?</v>
      </c>
      <c r="AA58" s="128" t="e" cm="1">
        <f t="array" aca="1" ref="AA58" ca="1">Notmerged(AA29)</f>
        <v>#NAME?</v>
      </c>
      <c r="AB58" s="128" t="e" cm="1">
        <f t="array" aca="1" ref="AB58" ca="1">Notmerged(AB29)</f>
        <v>#NAME?</v>
      </c>
      <c r="AC58" s="128" t="e" cm="1">
        <f t="array" aca="1" ref="AC58" ca="1">Notmerged(AC29)</f>
        <v>#NAME?</v>
      </c>
      <c r="AD58" s="128" t="e" cm="1">
        <f t="array" aca="1" ref="AD58" ca="1">Notmerged(AD29)</f>
        <v>#NAME?</v>
      </c>
      <c r="AE58" s="128" t="e" cm="1">
        <f t="array" aca="1" ref="AE58" ca="1">Notmerged(AE29)</f>
        <v>#NAME?</v>
      </c>
      <c r="AF58" s="128" t="e" cm="1">
        <f t="array" aca="1" ref="AF58" ca="1">Notmerged(AF29)</f>
        <v>#NAME?</v>
      </c>
      <c r="AG58" s="128" t="e" cm="1">
        <f t="array" aca="1" ref="AG58" ca="1">Notmerged(AG29)</f>
        <v>#NAME?</v>
      </c>
      <c r="AH58" s="128" t="e" cm="1">
        <f t="array" aca="1" ref="AH58" ca="1">Notmerged(AH29)</f>
        <v>#NAME?</v>
      </c>
      <c r="AI58" s="128" t="e" cm="1">
        <f t="array" aca="1" ref="AI58" ca="1">Notmerged(AI29)</f>
        <v>#NAME?</v>
      </c>
      <c r="AJ58" s="128" t="e" cm="1">
        <f t="array" aca="1" ref="AJ58" ca="1">Notmerged(AJ29)</f>
        <v>#NAME?</v>
      </c>
      <c r="AK58" s="128" t="e" cm="1">
        <f t="array" aca="1" ref="AK58" ca="1">Notmerged(AK29)</f>
        <v>#NAME?</v>
      </c>
      <c r="AL58" s="128" t="e" cm="1">
        <f t="array" aca="1" ref="AL58" ca="1">Notmerged(AL29)</f>
        <v>#NAME?</v>
      </c>
      <c r="AM58" s="128" t="e" cm="1">
        <f t="array" aca="1" ref="AM58" ca="1">Notmerged(AM29)</f>
        <v>#NAME?</v>
      </c>
      <c r="AN58" s="128" t="e" cm="1">
        <f t="array" aca="1" ref="AN58" ca="1">Notmerged(AN29)</f>
        <v>#NAME?</v>
      </c>
      <c r="AO58" s="128" t="e" cm="1">
        <f t="array" aca="1" ref="AO58" ca="1">Notmerged(AO29)</f>
        <v>#NAME?</v>
      </c>
      <c r="AP58" s="128" t="e" cm="1">
        <f t="array" aca="1" ref="AP58" ca="1">Notmerged(AP29)</f>
        <v>#NAME?</v>
      </c>
      <c r="AQ58" s="128" t="e" cm="1">
        <f t="array" aca="1" ref="AQ58" ca="1">Notmerged(AQ29)</f>
        <v>#NAME?</v>
      </c>
      <c r="AR58" s="128" t="e" cm="1">
        <f t="array" aca="1" ref="AR58" ca="1">Notmerged(AR29)</f>
        <v>#NAME?</v>
      </c>
      <c r="AS58" s="128" t="e" cm="1">
        <f t="array" aca="1" ref="AS58" ca="1">Notmerged(AS29)</f>
        <v>#NAME?</v>
      </c>
      <c r="AT58" s="128" t="e" cm="1">
        <f t="array" aca="1" ref="AT58" ca="1">Notmerged(AT29)</f>
        <v>#NAME?</v>
      </c>
      <c r="AU58" s="128" t="e" cm="1">
        <f t="array" aca="1" ref="AU58" ca="1">Notmerged(AU29)</f>
        <v>#NAME?</v>
      </c>
      <c r="AV58" s="128" t="e" cm="1">
        <f t="array" aca="1" ref="AV58" ca="1">Notmerged(AV29)</f>
        <v>#NAME?</v>
      </c>
      <c r="AW58" s="128" t="e" cm="1">
        <f t="array" aca="1" ref="AW58" ca="1">Notmerged(AW29)</f>
        <v>#NAME?</v>
      </c>
      <c r="AX58" s="128" t="e" cm="1">
        <f t="array" aca="1" ref="AX58" ca="1">Notmerged(AX29)</f>
        <v>#NAME?</v>
      </c>
      <c r="AY58" s="128" t="e" cm="1">
        <f t="array" aca="1" ref="AY58" ca="1">Notmerged(AY29)</f>
        <v>#NAME?</v>
      </c>
      <c r="AZ58" s="128" t="e" cm="1">
        <f t="array" aca="1" ref="AZ58" ca="1">Notmerged(AZ29)</f>
        <v>#NAME?</v>
      </c>
      <c r="BA58" s="128" t="e" cm="1">
        <f t="array" aca="1" ref="BA58" ca="1">Notmerged(BA29)</f>
        <v>#NAME?</v>
      </c>
      <c r="BB58" s="128" t="e" cm="1">
        <f t="array" aca="1" ref="BB58" ca="1">Notmerged(BB29)</f>
        <v>#NAME?</v>
      </c>
      <c r="BC58" s="128" t="e" cm="1">
        <f t="array" aca="1" ref="BC58" ca="1">Notmerged(BC29)</f>
        <v>#NAME?</v>
      </c>
      <c r="BD58" s="128" t="e" cm="1">
        <f t="array" aca="1" ref="BD58" ca="1">Notmerged(BD29)</f>
        <v>#NAME?</v>
      </c>
      <c r="BE58" s="128" t="e" cm="1">
        <f t="array" aca="1" ref="BE58" ca="1">Notmerged(BE29)</f>
        <v>#NAME?</v>
      </c>
      <c r="BF58" s="128" t="e" cm="1">
        <f t="array" aca="1" ref="BF58" ca="1">Notmerged(BF29)</f>
        <v>#NAME?</v>
      </c>
      <c r="BG58" s="128" t="e" cm="1">
        <f t="array" aca="1" ref="BG58" ca="1">Notmerged(BG29)</f>
        <v>#NAME?</v>
      </c>
      <c r="BH58" s="128" t="e" cm="1">
        <f t="array" aca="1" ref="BH58" ca="1">Notmerged(BH29)</f>
        <v>#NAME?</v>
      </c>
      <c r="BI58" s="128" t="e" cm="1">
        <f t="array" aca="1" ref="BI58" ca="1">Notmerged(BI29)</f>
        <v>#NAME?</v>
      </c>
      <c r="BJ58" s="128" t="e" cm="1">
        <f t="array" aca="1" ref="BJ58" ca="1">Notmerged(BJ29)</f>
        <v>#NAME?</v>
      </c>
      <c r="BK58" s="128" t="e" cm="1">
        <f t="array" aca="1" ref="BK58" ca="1">Notmerged(BK29)</f>
        <v>#NAME?</v>
      </c>
    </row>
    <row r="59" spans="2:63" x14ac:dyDescent="0.3">
      <c r="B59" s="128" t="e" cm="1">
        <f t="array" aca="1" ref="B59" ca="1">Notmerged(B30)</f>
        <v>#NAME?</v>
      </c>
      <c r="C59" s="128" t="e" cm="1">
        <f t="array" aca="1" ref="C59" ca="1">Notmerged(C30)</f>
        <v>#NAME?</v>
      </c>
      <c r="D59" s="128" t="e" cm="1">
        <f t="array" aca="1" ref="D59" ca="1">Notmerged(D30)</f>
        <v>#NAME?</v>
      </c>
      <c r="E59" s="128" t="e" cm="1">
        <f t="array" aca="1" ref="E59" ca="1">Notmerged(E30)</f>
        <v>#NAME?</v>
      </c>
      <c r="F59" s="128" t="e" cm="1">
        <f t="array" aca="1" ref="F59" ca="1">Notmerged(F30)</f>
        <v>#NAME?</v>
      </c>
      <c r="G59" s="128" t="e" cm="1">
        <f t="array" aca="1" ref="G59" ca="1">Notmerged(G30)</f>
        <v>#NAME?</v>
      </c>
      <c r="H59" s="128" t="e" cm="1">
        <f t="array" aca="1" ref="H59" ca="1">Notmerged(H30)</f>
        <v>#NAME?</v>
      </c>
      <c r="I59" s="128" t="e" cm="1">
        <f t="array" aca="1" ref="I59" ca="1">Notmerged(I30)</f>
        <v>#NAME?</v>
      </c>
      <c r="J59" s="128" t="e" cm="1">
        <f t="array" aca="1" ref="J59" ca="1">Notmerged(J30)</f>
        <v>#NAME?</v>
      </c>
      <c r="K59" s="128" t="e" cm="1">
        <f t="array" aca="1" ref="K59" ca="1">Notmerged(K30)</f>
        <v>#NAME?</v>
      </c>
      <c r="L59" s="128" t="e" cm="1">
        <f t="array" aca="1" ref="L59" ca="1">Notmerged(L30)</f>
        <v>#NAME?</v>
      </c>
      <c r="M59" s="128" t="e" cm="1">
        <f t="array" aca="1" ref="M59" ca="1">Notmerged(M30)</f>
        <v>#NAME?</v>
      </c>
      <c r="N59" s="128" t="e" cm="1">
        <f t="array" aca="1" ref="N59" ca="1">Notmerged(N30)</f>
        <v>#NAME?</v>
      </c>
      <c r="O59" s="128" t="e" cm="1">
        <f t="array" aca="1" ref="O59" ca="1">Notmerged(O30)</f>
        <v>#NAME?</v>
      </c>
      <c r="P59" s="128" t="e" cm="1">
        <f t="array" aca="1" ref="P59" ca="1">Notmerged(P30)</f>
        <v>#NAME?</v>
      </c>
      <c r="Q59" s="128" t="e" cm="1">
        <f t="array" aca="1" ref="Q59" ca="1">Notmerged(Q30)</f>
        <v>#NAME?</v>
      </c>
      <c r="R59" s="128" t="e" cm="1">
        <f t="array" aca="1" ref="R59" ca="1">Notmerged(R30)</f>
        <v>#NAME?</v>
      </c>
      <c r="S59" s="128" t="e" cm="1">
        <f t="array" aca="1" ref="S59" ca="1">Notmerged(S30)</f>
        <v>#NAME?</v>
      </c>
      <c r="T59" s="128" t="e" cm="1">
        <f t="array" aca="1" ref="T59" ca="1">Notmerged(T30)</f>
        <v>#NAME?</v>
      </c>
      <c r="U59" s="128" t="e" cm="1">
        <f t="array" aca="1" ref="U59" ca="1">Notmerged(U30)</f>
        <v>#NAME?</v>
      </c>
      <c r="V59" s="128" t="e" cm="1">
        <f t="array" aca="1" ref="V59" ca="1">Notmerged(V30)</f>
        <v>#NAME?</v>
      </c>
      <c r="W59" s="128" t="e" cm="1">
        <f t="array" aca="1" ref="W59" ca="1">Notmerged(W30)</f>
        <v>#NAME?</v>
      </c>
      <c r="X59" s="128" t="e" cm="1">
        <f t="array" aca="1" ref="X59" ca="1">Notmerged(X30)</f>
        <v>#NAME?</v>
      </c>
      <c r="Y59" s="128" t="e" cm="1">
        <f t="array" aca="1" ref="Y59" ca="1">Notmerged(Y30)</f>
        <v>#NAME?</v>
      </c>
      <c r="Z59" s="128" t="e" cm="1">
        <f t="array" aca="1" ref="Z59" ca="1">Notmerged(Z30)</f>
        <v>#NAME?</v>
      </c>
      <c r="AA59" s="128" t="e" cm="1">
        <f t="array" aca="1" ref="AA59" ca="1">Notmerged(AA30)</f>
        <v>#NAME?</v>
      </c>
      <c r="AB59" s="128" t="e" cm="1">
        <f t="array" aca="1" ref="AB59" ca="1">Notmerged(AB30)</f>
        <v>#NAME?</v>
      </c>
      <c r="AC59" s="128" t="e" cm="1">
        <f t="array" aca="1" ref="AC59" ca="1">Notmerged(AC30)</f>
        <v>#NAME?</v>
      </c>
      <c r="AD59" s="128" t="e" cm="1">
        <f t="array" aca="1" ref="AD59" ca="1">Notmerged(AD30)</f>
        <v>#NAME?</v>
      </c>
      <c r="AE59" s="128" t="e" cm="1">
        <f t="array" aca="1" ref="AE59" ca="1">Notmerged(AE30)</f>
        <v>#NAME?</v>
      </c>
      <c r="AF59" s="128" t="e" cm="1">
        <f t="array" aca="1" ref="AF59" ca="1">Notmerged(AF30)</f>
        <v>#NAME?</v>
      </c>
      <c r="AG59" s="128" t="e" cm="1">
        <f t="array" aca="1" ref="AG59" ca="1">Notmerged(AG30)</f>
        <v>#NAME?</v>
      </c>
      <c r="AH59" s="128" t="e" cm="1">
        <f t="array" aca="1" ref="AH59" ca="1">Notmerged(AH30)</f>
        <v>#NAME?</v>
      </c>
      <c r="AI59" s="128" t="e" cm="1">
        <f t="array" aca="1" ref="AI59" ca="1">Notmerged(AI30)</f>
        <v>#NAME?</v>
      </c>
      <c r="AJ59" s="128" t="e" cm="1">
        <f t="array" aca="1" ref="AJ59" ca="1">Notmerged(AJ30)</f>
        <v>#NAME?</v>
      </c>
      <c r="AK59" s="128" t="e" cm="1">
        <f t="array" aca="1" ref="AK59" ca="1">Notmerged(AK30)</f>
        <v>#NAME?</v>
      </c>
      <c r="AL59" s="128" t="e" cm="1">
        <f t="array" aca="1" ref="AL59" ca="1">Notmerged(AL30)</f>
        <v>#NAME?</v>
      </c>
      <c r="AM59" s="128" t="e" cm="1">
        <f t="array" aca="1" ref="AM59" ca="1">Notmerged(AM30)</f>
        <v>#NAME?</v>
      </c>
      <c r="AN59" s="128" t="e" cm="1">
        <f t="array" aca="1" ref="AN59" ca="1">Notmerged(AN30)</f>
        <v>#NAME?</v>
      </c>
      <c r="AO59" s="128" t="e" cm="1">
        <f t="array" aca="1" ref="AO59" ca="1">Notmerged(AO30)</f>
        <v>#NAME?</v>
      </c>
      <c r="AP59" s="128" t="e" cm="1">
        <f t="array" aca="1" ref="AP59" ca="1">Notmerged(AP30)</f>
        <v>#NAME?</v>
      </c>
      <c r="AQ59" s="128" t="e" cm="1">
        <f t="array" aca="1" ref="AQ59" ca="1">Notmerged(AQ30)</f>
        <v>#NAME?</v>
      </c>
      <c r="AR59" s="128" t="e" cm="1">
        <f t="array" aca="1" ref="AR59" ca="1">Notmerged(AR30)</f>
        <v>#NAME?</v>
      </c>
      <c r="AS59" s="128" t="e" cm="1">
        <f t="array" aca="1" ref="AS59" ca="1">Notmerged(AS30)</f>
        <v>#NAME?</v>
      </c>
      <c r="AT59" s="128" t="e" cm="1">
        <f t="array" aca="1" ref="AT59" ca="1">Notmerged(AT30)</f>
        <v>#NAME?</v>
      </c>
      <c r="AU59" s="128" t="e" cm="1">
        <f t="array" aca="1" ref="AU59" ca="1">Notmerged(AU30)</f>
        <v>#NAME?</v>
      </c>
      <c r="AV59" s="128" t="e" cm="1">
        <f t="array" aca="1" ref="AV59" ca="1">Notmerged(AV30)</f>
        <v>#NAME?</v>
      </c>
      <c r="AW59" s="128" t="e" cm="1">
        <f t="array" aca="1" ref="AW59" ca="1">Notmerged(AW30)</f>
        <v>#NAME?</v>
      </c>
      <c r="AX59" s="128" t="e" cm="1">
        <f t="array" aca="1" ref="AX59" ca="1">Notmerged(AX30)</f>
        <v>#NAME?</v>
      </c>
      <c r="AY59" s="128" t="e" cm="1">
        <f t="array" aca="1" ref="AY59" ca="1">Notmerged(AY30)</f>
        <v>#NAME?</v>
      </c>
      <c r="AZ59" s="128" t="e" cm="1">
        <f t="array" aca="1" ref="AZ59" ca="1">Notmerged(AZ30)</f>
        <v>#NAME?</v>
      </c>
      <c r="BA59" s="128" t="e" cm="1">
        <f t="array" aca="1" ref="BA59" ca="1">Notmerged(BA30)</f>
        <v>#NAME?</v>
      </c>
      <c r="BB59" s="128" t="e" cm="1">
        <f t="array" aca="1" ref="BB59" ca="1">Notmerged(BB30)</f>
        <v>#NAME?</v>
      </c>
      <c r="BC59" s="128" t="e" cm="1">
        <f t="array" aca="1" ref="BC59" ca="1">Notmerged(BC30)</f>
        <v>#NAME?</v>
      </c>
      <c r="BD59" s="128" t="e" cm="1">
        <f t="array" aca="1" ref="BD59" ca="1">Notmerged(BD30)</f>
        <v>#NAME?</v>
      </c>
      <c r="BE59" s="128" t="e" cm="1">
        <f t="array" aca="1" ref="BE59" ca="1">Notmerged(BE30)</f>
        <v>#NAME?</v>
      </c>
      <c r="BF59" s="128" t="e" cm="1">
        <f t="array" aca="1" ref="BF59" ca="1">Notmerged(BF30)</f>
        <v>#NAME?</v>
      </c>
      <c r="BG59" s="128" t="e" cm="1">
        <f t="array" aca="1" ref="BG59" ca="1">Notmerged(BG30)</f>
        <v>#NAME?</v>
      </c>
      <c r="BH59" s="128" t="e" cm="1">
        <f t="array" aca="1" ref="BH59" ca="1">Notmerged(BH30)</f>
        <v>#NAME?</v>
      </c>
      <c r="BI59" s="128" t="e" cm="1">
        <f t="array" aca="1" ref="BI59" ca="1">Notmerged(BI30)</f>
        <v>#NAME?</v>
      </c>
      <c r="BJ59" s="128" t="e" cm="1">
        <f t="array" aca="1" ref="BJ59" ca="1">Notmerged(BJ30)</f>
        <v>#NAME?</v>
      </c>
      <c r="BK59" s="128" t="e" cm="1">
        <f t="array" aca="1" ref="BK59" ca="1">Notmerged(BK30)</f>
        <v>#NAME?</v>
      </c>
    </row>
    <row r="60" spans="2:63" x14ac:dyDescent="0.3">
      <c r="B60" s="128" t="e" cm="1">
        <f t="array" aca="1" ref="B60" ca="1">Notmerged(B31)</f>
        <v>#NAME?</v>
      </c>
      <c r="C60" s="128" t="e" cm="1">
        <f t="array" aca="1" ref="C60" ca="1">Notmerged(C31)</f>
        <v>#NAME?</v>
      </c>
      <c r="D60" s="128" t="e" cm="1">
        <f t="array" aca="1" ref="D60" ca="1">Notmerged(D31)</f>
        <v>#NAME?</v>
      </c>
      <c r="E60" s="128" t="e" cm="1">
        <f t="array" aca="1" ref="E60" ca="1">Notmerged(E31)</f>
        <v>#NAME?</v>
      </c>
      <c r="F60" s="128" t="e" cm="1">
        <f t="array" aca="1" ref="F60" ca="1">Notmerged(F31)</f>
        <v>#NAME?</v>
      </c>
      <c r="G60" s="128" t="e" cm="1">
        <f t="array" aca="1" ref="G60" ca="1">Notmerged(G31)</f>
        <v>#NAME?</v>
      </c>
      <c r="H60" s="128" t="e" cm="1">
        <f t="array" aca="1" ref="H60" ca="1">Notmerged(H31)</f>
        <v>#NAME?</v>
      </c>
      <c r="I60" s="128" t="e" cm="1">
        <f t="array" aca="1" ref="I60" ca="1">Notmerged(I31)</f>
        <v>#NAME?</v>
      </c>
      <c r="J60" s="128" t="e" cm="1">
        <f t="array" aca="1" ref="J60" ca="1">Notmerged(J31)</f>
        <v>#NAME?</v>
      </c>
      <c r="K60" s="128" t="e" cm="1">
        <f t="array" aca="1" ref="K60" ca="1">Notmerged(K31)</f>
        <v>#NAME?</v>
      </c>
      <c r="L60" s="128" t="e" cm="1">
        <f t="array" aca="1" ref="L60" ca="1">Notmerged(L31)</f>
        <v>#NAME?</v>
      </c>
      <c r="M60" s="128" t="e" cm="1">
        <f t="array" aca="1" ref="M60" ca="1">Notmerged(M31)</f>
        <v>#NAME?</v>
      </c>
      <c r="N60" s="128" t="e" cm="1">
        <f t="array" aca="1" ref="N60" ca="1">Notmerged(N31)</f>
        <v>#NAME?</v>
      </c>
      <c r="O60" s="128" t="e" cm="1">
        <f t="array" aca="1" ref="O60" ca="1">Notmerged(O31)</f>
        <v>#NAME?</v>
      </c>
      <c r="P60" s="128" t="e" cm="1">
        <f t="array" aca="1" ref="P60" ca="1">Notmerged(P31)</f>
        <v>#NAME?</v>
      </c>
      <c r="Q60" s="128" t="e" cm="1">
        <f t="array" aca="1" ref="Q60" ca="1">Notmerged(Q31)</f>
        <v>#NAME?</v>
      </c>
      <c r="R60" s="128" t="e" cm="1">
        <f t="array" aca="1" ref="R60" ca="1">Notmerged(R31)</f>
        <v>#NAME?</v>
      </c>
      <c r="S60" s="128" t="e" cm="1">
        <f t="array" aca="1" ref="S60" ca="1">Notmerged(S31)</f>
        <v>#NAME?</v>
      </c>
      <c r="T60" s="128" t="e" cm="1">
        <f t="array" aca="1" ref="T60" ca="1">Notmerged(T31)</f>
        <v>#NAME?</v>
      </c>
      <c r="U60" s="128" t="e" cm="1">
        <f t="array" aca="1" ref="U60" ca="1">Notmerged(U31)</f>
        <v>#NAME?</v>
      </c>
      <c r="V60" s="128" t="e" cm="1">
        <f t="array" aca="1" ref="V60" ca="1">Notmerged(V31)</f>
        <v>#NAME?</v>
      </c>
      <c r="W60" s="128" t="e" cm="1">
        <f t="array" aca="1" ref="W60" ca="1">Notmerged(W31)</f>
        <v>#NAME?</v>
      </c>
      <c r="X60" s="128" t="e" cm="1">
        <f t="array" aca="1" ref="X60" ca="1">Notmerged(X31)</f>
        <v>#NAME?</v>
      </c>
      <c r="Y60" s="128" t="e" cm="1">
        <f t="array" aca="1" ref="Y60" ca="1">Notmerged(Y31)</f>
        <v>#NAME?</v>
      </c>
      <c r="Z60" s="128" t="e" cm="1">
        <f t="array" aca="1" ref="Z60" ca="1">Notmerged(Z31)</f>
        <v>#NAME?</v>
      </c>
      <c r="AA60" s="128" t="e" cm="1">
        <f t="array" aca="1" ref="AA60" ca="1">Notmerged(AA31)</f>
        <v>#NAME?</v>
      </c>
      <c r="AB60" s="128" t="e" cm="1">
        <f t="array" aca="1" ref="AB60" ca="1">Notmerged(AB31)</f>
        <v>#NAME?</v>
      </c>
      <c r="AC60" s="128" t="e" cm="1">
        <f t="array" aca="1" ref="AC60" ca="1">Notmerged(AC31)</f>
        <v>#NAME?</v>
      </c>
      <c r="AD60" s="128" t="e" cm="1">
        <f t="array" aca="1" ref="AD60" ca="1">Notmerged(AD31)</f>
        <v>#NAME?</v>
      </c>
      <c r="AE60" s="128" t="e" cm="1">
        <f t="array" aca="1" ref="AE60" ca="1">Notmerged(AE31)</f>
        <v>#NAME?</v>
      </c>
      <c r="AF60" s="128" t="e" cm="1">
        <f t="array" aca="1" ref="AF60" ca="1">Notmerged(AF31)</f>
        <v>#NAME?</v>
      </c>
      <c r="AG60" s="128" t="e" cm="1">
        <f t="array" aca="1" ref="AG60" ca="1">Notmerged(AG31)</f>
        <v>#NAME?</v>
      </c>
      <c r="AH60" s="128" t="e" cm="1">
        <f t="array" aca="1" ref="AH60" ca="1">Notmerged(AH31)</f>
        <v>#NAME?</v>
      </c>
      <c r="AI60" s="128" t="e" cm="1">
        <f t="array" aca="1" ref="AI60" ca="1">Notmerged(AI31)</f>
        <v>#NAME?</v>
      </c>
      <c r="AJ60" s="128" t="e" cm="1">
        <f t="array" aca="1" ref="AJ60" ca="1">Notmerged(AJ31)</f>
        <v>#NAME?</v>
      </c>
      <c r="AK60" s="128" t="e" cm="1">
        <f t="array" aca="1" ref="AK60" ca="1">Notmerged(AK31)</f>
        <v>#NAME?</v>
      </c>
      <c r="AL60" s="128" t="e" cm="1">
        <f t="array" aca="1" ref="AL60" ca="1">Notmerged(AL31)</f>
        <v>#NAME?</v>
      </c>
      <c r="AM60" s="128" t="e" cm="1">
        <f t="array" aca="1" ref="AM60" ca="1">Notmerged(AM31)</f>
        <v>#NAME?</v>
      </c>
      <c r="AN60" s="128" t="e" cm="1">
        <f t="array" aca="1" ref="AN60" ca="1">Notmerged(AN31)</f>
        <v>#NAME?</v>
      </c>
      <c r="AO60" s="128" t="e" cm="1">
        <f t="array" aca="1" ref="AO60" ca="1">Notmerged(AO31)</f>
        <v>#NAME?</v>
      </c>
      <c r="AP60" s="128" t="e" cm="1">
        <f t="array" aca="1" ref="AP60" ca="1">Notmerged(AP31)</f>
        <v>#NAME?</v>
      </c>
      <c r="AQ60" s="128" t="e" cm="1">
        <f t="array" aca="1" ref="AQ60" ca="1">Notmerged(AQ31)</f>
        <v>#NAME?</v>
      </c>
      <c r="AR60" s="128" t="e" cm="1">
        <f t="array" aca="1" ref="AR60" ca="1">Notmerged(AR31)</f>
        <v>#NAME?</v>
      </c>
      <c r="AS60" s="128" t="e" cm="1">
        <f t="array" aca="1" ref="AS60" ca="1">Notmerged(AS31)</f>
        <v>#NAME?</v>
      </c>
      <c r="AT60" s="128" t="e" cm="1">
        <f t="array" aca="1" ref="AT60" ca="1">Notmerged(AT31)</f>
        <v>#NAME?</v>
      </c>
      <c r="AU60" s="128" t="e" cm="1">
        <f t="array" aca="1" ref="AU60" ca="1">Notmerged(AU31)</f>
        <v>#NAME?</v>
      </c>
      <c r="AV60" s="128" t="e" cm="1">
        <f t="array" aca="1" ref="AV60" ca="1">Notmerged(AV31)</f>
        <v>#NAME?</v>
      </c>
      <c r="AW60" s="128" t="e" cm="1">
        <f t="array" aca="1" ref="AW60" ca="1">Notmerged(AW31)</f>
        <v>#NAME?</v>
      </c>
      <c r="AX60" s="128" t="e" cm="1">
        <f t="array" aca="1" ref="AX60" ca="1">Notmerged(AX31)</f>
        <v>#NAME?</v>
      </c>
      <c r="AY60" s="128" t="e" cm="1">
        <f t="array" aca="1" ref="AY60" ca="1">Notmerged(AY31)</f>
        <v>#NAME?</v>
      </c>
      <c r="AZ60" s="128" t="e" cm="1">
        <f t="array" aca="1" ref="AZ60" ca="1">Notmerged(AZ31)</f>
        <v>#NAME?</v>
      </c>
      <c r="BA60" s="128" t="e" cm="1">
        <f t="array" aca="1" ref="BA60" ca="1">Notmerged(BA31)</f>
        <v>#NAME?</v>
      </c>
      <c r="BB60" s="128" t="e" cm="1">
        <f t="array" aca="1" ref="BB60" ca="1">Notmerged(BB31)</f>
        <v>#NAME?</v>
      </c>
      <c r="BC60" s="128" t="e" cm="1">
        <f t="array" aca="1" ref="BC60" ca="1">Notmerged(BC31)</f>
        <v>#NAME?</v>
      </c>
      <c r="BD60" s="128" t="e" cm="1">
        <f t="array" aca="1" ref="BD60" ca="1">Notmerged(BD31)</f>
        <v>#NAME?</v>
      </c>
      <c r="BE60" s="128" t="e" cm="1">
        <f t="array" aca="1" ref="BE60" ca="1">Notmerged(BE31)</f>
        <v>#NAME?</v>
      </c>
      <c r="BF60" s="128" t="e" cm="1">
        <f t="array" aca="1" ref="BF60" ca="1">Notmerged(BF31)</f>
        <v>#NAME?</v>
      </c>
      <c r="BG60" s="128" t="e" cm="1">
        <f t="array" aca="1" ref="BG60" ca="1">Notmerged(BG31)</f>
        <v>#NAME?</v>
      </c>
      <c r="BH60" s="128" t="e" cm="1">
        <f t="array" aca="1" ref="BH60" ca="1">Notmerged(BH31)</f>
        <v>#NAME?</v>
      </c>
      <c r="BI60" s="128" t="e" cm="1">
        <f t="array" aca="1" ref="BI60" ca="1">Notmerged(BI31)</f>
        <v>#NAME?</v>
      </c>
      <c r="BJ60" s="128" t="e" cm="1">
        <f t="array" aca="1" ref="BJ60" ca="1">Notmerged(BJ31)</f>
        <v>#NAME?</v>
      </c>
      <c r="BK60" s="128" t="e" cm="1">
        <f t="array" aca="1" ref="BK60" ca="1">Notmerged(BK31)</f>
        <v>#NAME?</v>
      </c>
    </row>
  </sheetData>
  <sheetProtection algorithmName="SHA-512" hashValue="9PG1DSuTACCf33RlKH+yn/FIvktAwimx0I4ZaYGGS+y8L5Hn+4zYB9hBAbHE41y4RLbf3SfkrGLh1+KpTk2AjA==" saltValue="QRRiSOx2ACUV45LudVtx7g==" spinCount="100000" sheet="1" objects="1" scenarios="1" formatCells="0"/>
  <mergeCells count="252">
    <mergeCell ref="BE6:BE7"/>
    <mergeCell ref="BE8:BE13"/>
    <mergeCell ref="BF16:BF21"/>
    <mergeCell ref="BH4:BH7"/>
    <mergeCell ref="BH8:BH13"/>
    <mergeCell ref="BH16:BH19"/>
    <mergeCell ref="BH20:BH25"/>
    <mergeCell ref="AU10:AU12"/>
    <mergeCell ref="AU13:AU15"/>
    <mergeCell ref="BC4:BC6"/>
    <mergeCell ref="BC7:BC9"/>
    <mergeCell ref="BC10:BC12"/>
    <mergeCell ref="BC13:BC15"/>
    <mergeCell ref="BC16:BC18"/>
    <mergeCell ref="BC19:BC21"/>
    <mergeCell ref="BC22:BC24"/>
    <mergeCell ref="BD4:BD6"/>
    <mergeCell ref="BD7:BD9"/>
    <mergeCell ref="BD10:BD12"/>
    <mergeCell ref="BD13:BD15"/>
    <mergeCell ref="BD16:BD18"/>
    <mergeCell ref="BD19:BD21"/>
    <mergeCell ref="BA10:BA12"/>
    <mergeCell ref="BA13:BA15"/>
    <mergeCell ref="BA16:BA21"/>
    <mergeCell ref="BA22:BA27"/>
    <mergeCell ref="BB4:BB6"/>
    <mergeCell ref="BB7:BB9"/>
    <mergeCell ref="BB10:BB12"/>
    <mergeCell ref="BB13:BB15"/>
    <mergeCell ref="BB16:BB18"/>
    <mergeCell ref="BB19:BB21"/>
    <mergeCell ref="AW4:AW9"/>
    <mergeCell ref="AW10:AW15"/>
    <mergeCell ref="AW16:AW21"/>
    <mergeCell ref="AW22:AW27"/>
    <mergeCell ref="AZ4:AZ9"/>
    <mergeCell ref="AZ10:AZ15"/>
    <mergeCell ref="AZ16:AZ21"/>
    <mergeCell ref="AZ22:AZ27"/>
    <mergeCell ref="AX4:AX9"/>
    <mergeCell ref="AX10:AX15"/>
    <mergeCell ref="AX16:AX21"/>
    <mergeCell ref="AX22:AX27"/>
    <mergeCell ref="AY4:AY6"/>
    <mergeCell ref="AY7:AY9"/>
    <mergeCell ref="AY10:AY12"/>
    <mergeCell ref="AY13:AY15"/>
    <mergeCell ref="AY16:AY18"/>
    <mergeCell ref="AY19:AY21"/>
    <mergeCell ref="AY22:AY27"/>
    <mergeCell ref="T22:T24"/>
    <mergeCell ref="U4:U6"/>
    <mergeCell ref="U7:U9"/>
    <mergeCell ref="U10:U13"/>
    <mergeCell ref="U16:U18"/>
    <mergeCell ref="U19:U21"/>
    <mergeCell ref="U22:U24"/>
    <mergeCell ref="T7:T9"/>
    <mergeCell ref="T10:T12"/>
    <mergeCell ref="T13:T15"/>
    <mergeCell ref="T16:T18"/>
    <mergeCell ref="T19:T21"/>
    <mergeCell ref="W7:W9"/>
    <mergeCell ref="W10:W12"/>
    <mergeCell ref="W13:W15"/>
    <mergeCell ref="W16:W18"/>
    <mergeCell ref="W19:W21"/>
    <mergeCell ref="W22:W24"/>
    <mergeCell ref="X4:X6"/>
    <mergeCell ref="X7:X9"/>
    <mergeCell ref="X10:X12"/>
    <mergeCell ref="S7:S9"/>
    <mergeCell ref="S10:S12"/>
    <mergeCell ref="S13:S15"/>
    <mergeCell ref="S16:S21"/>
    <mergeCell ref="S22:S24"/>
    <mergeCell ref="Q19:Q21"/>
    <mergeCell ref="R7:R9"/>
    <mergeCell ref="R10:R12"/>
    <mergeCell ref="R13:R15"/>
    <mergeCell ref="R16:R17"/>
    <mergeCell ref="R18:R21"/>
    <mergeCell ref="Q4:Q6"/>
    <mergeCell ref="Q7:Q9"/>
    <mergeCell ref="Q10:Q12"/>
    <mergeCell ref="Q13:Q15"/>
    <mergeCell ref="Q16:Q18"/>
    <mergeCell ref="O22:O24"/>
    <mergeCell ref="P4:P6"/>
    <mergeCell ref="P7:P9"/>
    <mergeCell ref="P10:P12"/>
    <mergeCell ref="P13:P15"/>
    <mergeCell ref="P16:P18"/>
    <mergeCell ref="P19:P21"/>
    <mergeCell ref="N19:N21"/>
    <mergeCell ref="O4:O6"/>
    <mergeCell ref="O7:O9"/>
    <mergeCell ref="O10:O12"/>
    <mergeCell ref="O13:O15"/>
    <mergeCell ref="O16:O18"/>
    <mergeCell ref="O19:O21"/>
    <mergeCell ref="N4:N6"/>
    <mergeCell ref="N7:N9"/>
    <mergeCell ref="N10:N12"/>
    <mergeCell ref="N13:N15"/>
    <mergeCell ref="N16:N18"/>
    <mergeCell ref="L19:L24"/>
    <mergeCell ref="M4:M6"/>
    <mergeCell ref="M7:M9"/>
    <mergeCell ref="M10:M12"/>
    <mergeCell ref="M13:M15"/>
    <mergeCell ref="M16:M18"/>
    <mergeCell ref="M19:M21"/>
    <mergeCell ref="L4:L6"/>
    <mergeCell ref="L7:L9"/>
    <mergeCell ref="L10:L12"/>
    <mergeCell ref="L13:L15"/>
    <mergeCell ref="L16:L18"/>
    <mergeCell ref="J22:J24"/>
    <mergeCell ref="K4:K6"/>
    <mergeCell ref="K7:K9"/>
    <mergeCell ref="K10:K12"/>
    <mergeCell ref="K13:K15"/>
    <mergeCell ref="K16:K18"/>
    <mergeCell ref="K19:K21"/>
    <mergeCell ref="K22:K27"/>
    <mergeCell ref="J7:J9"/>
    <mergeCell ref="J10:J12"/>
    <mergeCell ref="J13:J15"/>
    <mergeCell ref="J16:J18"/>
    <mergeCell ref="J19:J21"/>
    <mergeCell ref="E10:E13"/>
    <mergeCell ref="E16:E18"/>
    <mergeCell ref="E19:E21"/>
    <mergeCell ref="H19:H21"/>
    <mergeCell ref="H22:H25"/>
    <mergeCell ref="I7:I9"/>
    <mergeCell ref="I10:I12"/>
    <mergeCell ref="I13:I15"/>
    <mergeCell ref="I16:I18"/>
    <mergeCell ref="I19:I24"/>
    <mergeCell ref="H7:H9"/>
    <mergeCell ref="H10:H12"/>
    <mergeCell ref="H13:H15"/>
    <mergeCell ref="H16:H18"/>
    <mergeCell ref="C22:C25"/>
    <mergeCell ref="D6:D9"/>
    <mergeCell ref="D10:D13"/>
    <mergeCell ref="D18:D21"/>
    <mergeCell ref="D22:D25"/>
    <mergeCell ref="C4:C5"/>
    <mergeCell ref="C6:C9"/>
    <mergeCell ref="C10:C13"/>
    <mergeCell ref="C16:C18"/>
    <mergeCell ref="C19:C21"/>
    <mergeCell ref="B19:B21"/>
    <mergeCell ref="B4:B6"/>
    <mergeCell ref="B7:B9"/>
    <mergeCell ref="B10:B12"/>
    <mergeCell ref="B13:B15"/>
    <mergeCell ref="V4:V6"/>
    <mergeCell ref="V7:V9"/>
    <mergeCell ref="V10:V12"/>
    <mergeCell ref="V13:V15"/>
    <mergeCell ref="V16:V18"/>
    <mergeCell ref="V19:V21"/>
    <mergeCell ref="G4:G6"/>
    <mergeCell ref="G7:G9"/>
    <mergeCell ref="G10:G13"/>
    <mergeCell ref="G16:G18"/>
    <mergeCell ref="G19:G22"/>
    <mergeCell ref="E22:E24"/>
    <mergeCell ref="F7:F9"/>
    <mergeCell ref="F10:F13"/>
    <mergeCell ref="F16:F17"/>
    <mergeCell ref="F18:F21"/>
    <mergeCell ref="F22:F23"/>
    <mergeCell ref="E4:E7"/>
    <mergeCell ref="E8:E9"/>
    <mergeCell ref="X13:X15"/>
    <mergeCell ref="X16:X18"/>
    <mergeCell ref="X19:X21"/>
    <mergeCell ref="Y22:Y24"/>
    <mergeCell ref="Z7:Z9"/>
    <mergeCell ref="Z10:Z12"/>
    <mergeCell ref="Z13:Z15"/>
    <mergeCell ref="Z16:Z18"/>
    <mergeCell ref="Y7:Y9"/>
    <mergeCell ref="Y10:Y12"/>
    <mergeCell ref="Y13:Y15"/>
    <mergeCell ref="Y16:Y18"/>
    <mergeCell ref="Y19:Y21"/>
    <mergeCell ref="AA4:AA6"/>
    <mergeCell ref="AA7:AA9"/>
    <mergeCell ref="AA10:AA12"/>
    <mergeCell ref="AA13:AA15"/>
    <mergeCell ref="AA16:AA18"/>
    <mergeCell ref="AA19:AA21"/>
    <mergeCell ref="AB7:AB9"/>
    <mergeCell ref="AB10:AB12"/>
    <mergeCell ref="AB13:AB15"/>
    <mergeCell ref="AB16:AB18"/>
    <mergeCell ref="AD4:AD6"/>
    <mergeCell ref="AD7:AD9"/>
    <mergeCell ref="AD13:AD15"/>
    <mergeCell ref="AD16:AD18"/>
    <mergeCell ref="AC7:AC9"/>
    <mergeCell ref="AC13:AC15"/>
    <mergeCell ref="AC16:AC18"/>
    <mergeCell ref="AE7:AE9"/>
    <mergeCell ref="AE10:AE12"/>
    <mergeCell ref="AE13:AE15"/>
    <mergeCell ref="AE16:AE18"/>
    <mergeCell ref="AF7:AF9"/>
    <mergeCell ref="AF10:AF12"/>
    <mergeCell ref="AF13:AF15"/>
    <mergeCell ref="AF16:AF18"/>
    <mergeCell ref="AF19:AF21"/>
    <mergeCell ref="AF22:AF24"/>
    <mergeCell ref="AG7:AG9"/>
    <mergeCell ref="AH4:AH6"/>
    <mergeCell ref="AH10:AH12"/>
    <mergeCell ref="AH13:AH15"/>
    <mergeCell ref="AH16:AH18"/>
    <mergeCell ref="AH19:AH21"/>
    <mergeCell ref="AI4:AI6"/>
    <mergeCell ref="AI7:AI9"/>
    <mergeCell ref="AI10:AI12"/>
    <mergeCell ref="AI13:AI15"/>
    <mergeCell ref="AI16:AI18"/>
    <mergeCell ref="AI19:AI21"/>
    <mergeCell ref="AI22:AI24"/>
    <mergeCell ref="AJ7:AJ9"/>
    <mergeCell ref="AJ10:AJ12"/>
    <mergeCell ref="AJ13:AJ15"/>
    <mergeCell ref="AJ16:AJ18"/>
    <mergeCell ref="AJ19:AJ21"/>
    <mergeCell ref="AK7:AK9"/>
    <mergeCell ref="AK13:AK15"/>
    <mergeCell ref="AL7:AL9"/>
    <mergeCell ref="AL13:AL15"/>
    <mergeCell ref="AL16:AL18"/>
    <mergeCell ref="AO16:AO18"/>
    <mergeCell ref="AO19:AO21"/>
    <mergeCell ref="AM4:AM6"/>
    <mergeCell ref="AM13:AM15"/>
    <mergeCell ref="AN7:AN9"/>
    <mergeCell ref="AN13:AN15"/>
    <mergeCell ref="AO7:AO9"/>
    <mergeCell ref="AO10:AO12"/>
    <mergeCell ref="AO13:AO15"/>
  </mergeCells>
  <pageMargins left="0.7" right="0.7" top="0.75" bottom="0.75" header="0.3" footer="0.3"/>
  <pageSetup paperSize="9" scale="14" orientation="landscape" horizontalDpi="300" r:id="rId1"/>
  <drawing r:id="rId2"/>
  <legacyDrawing r:id="rId3"/>
  <mc:AlternateContent xmlns:mc="http://schemas.openxmlformats.org/markup-compatibility/2006">
    <mc:Choice Requires="x14">
      <controls>
        <mc:AlternateContent xmlns:mc="http://schemas.openxmlformats.org/markup-compatibility/2006">
          <mc:Choice Requires="x14">
            <control shapeId="9218" r:id="rId4" name="Button 2">
              <controlPr defaultSize="0" print="0" autoFill="0" autoPict="0" macro="[0]!UnmergeCells">
                <anchor moveWithCells="1" sizeWithCells="1">
                  <from>
                    <xdr:col>0</xdr:col>
                    <xdr:colOff>68580</xdr:colOff>
                    <xdr:row>0</xdr:row>
                    <xdr:rowOff>342900</xdr:rowOff>
                  </from>
                  <to>
                    <xdr:col>0</xdr:col>
                    <xdr:colOff>1295400</xdr:colOff>
                    <xdr:row>0</xdr:row>
                    <xdr:rowOff>640080</xdr:rowOff>
                  </to>
                </anchor>
              </controlPr>
            </control>
          </mc:Choice>
        </mc:AlternateContent>
        <mc:AlternateContent xmlns:mc="http://schemas.openxmlformats.org/markup-compatibility/2006">
          <mc:Choice Requires="x14">
            <control shapeId="9217" r:id="rId5" name="Button 1">
              <controlPr defaultSize="0" print="0" autoFill="0" autoPict="0" macro="[0]!MergeCells">
                <anchor moveWithCells="1" sizeWithCells="1">
                  <from>
                    <xdr:col>0</xdr:col>
                    <xdr:colOff>68580</xdr:colOff>
                    <xdr:row>0</xdr:row>
                    <xdr:rowOff>7620</xdr:rowOff>
                  </from>
                  <to>
                    <xdr:col>0</xdr:col>
                    <xdr:colOff>1295400</xdr:colOff>
                    <xdr:row>0</xdr:row>
                    <xdr:rowOff>335280</xdr:rowOff>
                  </to>
                </anchor>
              </controlPr>
            </control>
          </mc:Choice>
        </mc:AlternateContent>
        <mc:AlternateContent xmlns:mc="http://schemas.openxmlformats.org/markup-compatibility/2006">
          <mc:Choice Requires="x14">
            <control shapeId="9220" r:id="rId6" name="Button 1">
              <controlPr defaultSize="0" print="0" autoFill="0" autoPict="0" macro="[0]!MergeCells">
                <anchor moveWithCells="1" sizeWithCells="1">
                  <from>
                    <xdr:col>0</xdr:col>
                    <xdr:colOff>83820</xdr:colOff>
                    <xdr:row>0</xdr:row>
                    <xdr:rowOff>30480</xdr:rowOff>
                  </from>
                  <to>
                    <xdr:col>0</xdr:col>
                    <xdr:colOff>1943100</xdr:colOff>
                    <xdr:row>0</xdr:row>
                    <xdr:rowOff>487680</xdr:rowOff>
                  </to>
                </anchor>
              </controlPr>
            </control>
          </mc:Choice>
        </mc:AlternateContent>
        <mc:AlternateContent xmlns:mc="http://schemas.openxmlformats.org/markup-compatibility/2006">
          <mc:Choice Requires="x14">
            <control shapeId="9219" r:id="rId7" name="Button 2">
              <controlPr defaultSize="0" print="0" autoFill="0" autoPict="0" macro="[0]!UnmergeCells">
                <anchor moveWithCells="1" sizeWithCells="1">
                  <from>
                    <xdr:col>0</xdr:col>
                    <xdr:colOff>83820</xdr:colOff>
                    <xdr:row>0</xdr:row>
                    <xdr:rowOff>525780</xdr:rowOff>
                  </from>
                  <to>
                    <xdr:col>0</xdr:col>
                    <xdr:colOff>1943100</xdr:colOff>
                    <xdr:row>0</xdr:row>
                    <xdr:rowOff>960120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BK60"/>
  <sheetViews>
    <sheetView zoomScale="70" zoomScaleNormal="70" workbookViewId="0">
      <pane xSplit="1" ySplit="3" topLeftCell="B4" activePane="bottomRight" state="frozen"/>
      <selection pane="topRight" activeCell="F14" sqref="F14"/>
      <selection pane="bottomLeft" activeCell="F14" sqref="F14"/>
      <selection pane="bottomRight" activeCell="AF4" sqref="AF4"/>
    </sheetView>
  </sheetViews>
  <sheetFormatPr defaultColWidth="9.109375" defaultRowHeight="14.4" x14ac:dyDescent="0.3"/>
  <cols>
    <col min="1" max="1" width="19.44140625" style="117" customWidth="1"/>
    <col min="2" max="63" width="20.5546875" style="129" customWidth="1"/>
    <col min="64" max="16384" width="9.109375" style="117"/>
  </cols>
  <sheetData>
    <row r="1" spans="1:63" ht="53.1" customHeight="1" thickBot="1" x14ac:dyDescent="0.35"/>
    <row r="2" spans="1:63" ht="37.5" customHeight="1" thickBot="1" x14ac:dyDescent="0.55000000000000004">
      <c r="A2" s="120" t="s">
        <v>1990</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row>
    <row r="3" spans="1:63" s="121" customFormat="1" ht="31.5" customHeight="1" x14ac:dyDescent="0.3">
      <c r="A3" s="118" t="s">
        <v>1208</v>
      </c>
      <c r="B3" s="119" t="s">
        <v>1707</v>
      </c>
      <c r="C3" s="278">
        <f>MONDAY!C3</f>
        <v>201</v>
      </c>
      <c r="D3" s="278">
        <f>MONDAY!D3</f>
        <v>202</v>
      </c>
      <c r="E3" s="278">
        <f>MONDAY!E3</f>
        <v>203</v>
      </c>
      <c r="F3" s="278">
        <f>MONDAY!F3</f>
        <v>204</v>
      </c>
      <c r="G3" s="278">
        <f>MONDAY!G3</f>
        <v>205</v>
      </c>
      <c r="H3" s="278">
        <f>MONDAY!H3</f>
        <v>206</v>
      </c>
      <c r="I3" s="278">
        <f>MONDAY!I3</f>
        <v>207</v>
      </c>
      <c r="J3" s="278">
        <f>MONDAY!J3</f>
        <v>212</v>
      </c>
      <c r="K3" s="278">
        <f>MONDAY!K3</f>
        <v>301</v>
      </c>
      <c r="L3" s="278">
        <f>MONDAY!L3</f>
        <v>302</v>
      </c>
      <c r="M3" s="278">
        <f>MONDAY!M3</f>
        <v>303</v>
      </c>
      <c r="N3" s="278">
        <f>MONDAY!N3</f>
        <v>304</v>
      </c>
      <c r="O3" s="278">
        <f>MONDAY!O3</f>
        <v>305</v>
      </c>
      <c r="P3" s="278">
        <f>MONDAY!P3</f>
        <v>306</v>
      </c>
      <c r="Q3" s="278">
        <f>MONDAY!Q3</f>
        <v>307</v>
      </c>
      <c r="R3" s="278">
        <f>MONDAY!R3</f>
        <v>308</v>
      </c>
      <c r="S3" s="278">
        <f>MONDAY!S3</f>
        <v>402</v>
      </c>
      <c r="T3" s="278">
        <f>MONDAY!T3</f>
        <v>407</v>
      </c>
      <c r="U3" s="278">
        <f>MONDAY!U3</f>
        <v>410</v>
      </c>
      <c r="V3" s="278">
        <f>MONDAY!V3</f>
        <v>501</v>
      </c>
      <c r="W3" s="278">
        <f>MONDAY!W3</f>
        <v>502</v>
      </c>
      <c r="X3" s="278">
        <f>MONDAY!X3</f>
        <v>503</v>
      </c>
      <c r="Y3" s="278">
        <f>MONDAY!Y3</f>
        <v>504</v>
      </c>
      <c r="Z3" s="278">
        <f>MONDAY!Z3</f>
        <v>505</v>
      </c>
      <c r="AA3" s="278">
        <f>MONDAY!AA3</f>
        <v>506</v>
      </c>
      <c r="AB3" s="278">
        <f>MONDAY!AB3</f>
        <v>507</v>
      </c>
      <c r="AC3" s="278">
        <f>MONDAY!AC3</f>
        <v>508</v>
      </c>
      <c r="AD3" s="278">
        <f>MONDAY!AD3</f>
        <v>509</v>
      </c>
      <c r="AE3" s="278">
        <f>MONDAY!AE3</f>
        <v>510</v>
      </c>
      <c r="AF3" s="278">
        <f>MONDAY!AF3</f>
        <v>511</v>
      </c>
      <c r="AG3" s="278">
        <f>MONDAY!AG3</f>
        <v>512</v>
      </c>
      <c r="AH3" s="278">
        <f>MONDAY!AH3</f>
        <v>601</v>
      </c>
      <c r="AI3" s="278">
        <f>MONDAY!AI3</f>
        <v>602</v>
      </c>
      <c r="AJ3" s="278">
        <f>MONDAY!AJ3</f>
        <v>603</v>
      </c>
      <c r="AK3" s="278">
        <f>MONDAY!AK3</f>
        <v>604</v>
      </c>
      <c r="AL3" s="278">
        <f>MONDAY!AL3</f>
        <v>605</v>
      </c>
      <c r="AM3" s="278">
        <f>MONDAY!AM3</f>
        <v>606</v>
      </c>
      <c r="AN3" s="278">
        <f>MONDAY!AN3</f>
        <v>607</v>
      </c>
      <c r="AO3" s="278">
        <f>MONDAY!AO3</f>
        <v>608</v>
      </c>
      <c r="AP3" s="278">
        <f>MONDAY!AP3</f>
        <v>0</v>
      </c>
      <c r="AQ3" s="278">
        <f>MONDAY!AQ3</f>
        <v>0</v>
      </c>
      <c r="AR3" s="278">
        <f>MONDAY!AR3</f>
        <v>0</v>
      </c>
      <c r="AS3" s="278" t="str">
        <f>MONDAY!AS3</f>
        <v>&lt;Room&gt;</v>
      </c>
      <c r="AT3" s="278" t="str">
        <f>MONDAY!AT3</f>
        <v>&lt;Room&gt;</v>
      </c>
      <c r="AU3" s="278" t="str">
        <f>MONDAY!AU3</f>
        <v>M01</v>
      </c>
      <c r="AV3" s="278" t="str">
        <f>MONDAY!AV3</f>
        <v>M02</v>
      </c>
      <c r="AW3" s="278">
        <f>MONDAY!AW3</f>
        <v>101</v>
      </c>
      <c r="AX3" s="278">
        <f>MONDAY!AX3</f>
        <v>208</v>
      </c>
      <c r="AY3" s="278">
        <f>MONDAY!AY3</f>
        <v>209</v>
      </c>
      <c r="AZ3" s="278">
        <f>MONDAY!AZ3</f>
        <v>210</v>
      </c>
      <c r="BA3" s="278">
        <f>MONDAY!BA3</f>
        <v>211</v>
      </c>
      <c r="BB3" s="278">
        <f>MONDAY!BB3</f>
        <v>401</v>
      </c>
      <c r="BC3" s="278">
        <f>MONDAY!BC3</f>
        <v>408</v>
      </c>
      <c r="BD3" s="278">
        <f>MONDAY!BD3</f>
        <v>409</v>
      </c>
      <c r="BE3" s="278" t="str">
        <f>MONDAY!BE3</f>
        <v>KITCHEN 1</v>
      </c>
      <c r="BF3" s="278" t="str">
        <f>MONDAY!BF3</f>
        <v>KITCHEN 2</v>
      </c>
      <c r="BG3" s="278" t="str">
        <f>MONDAY!BG3</f>
        <v>BAR</v>
      </c>
      <c r="BH3" s="278" t="str">
        <f>MONDAY!BH3</f>
        <v>SUITE ROOM</v>
      </c>
      <c r="BI3" s="278" t="str">
        <f>MONDAY!BI3</f>
        <v>&lt;Lab&gt;</v>
      </c>
      <c r="BJ3" s="278" t="str">
        <f>MONDAY!BJ3</f>
        <v>&lt;Lab&gt;</v>
      </c>
      <c r="BK3" s="278" t="str">
        <f>MONDAY!BK3</f>
        <v>&lt;Lab&gt;</v>
      </c>
    </row>
    <row r="4" spans="1:63" ht="15.75" customHeight="1" x14ac:dyDescent="0.3">
      <c r="A4" s="122" t="s">
        <v>1713</v>
      </c>
      <c r="B4" s="371" t="s">
        <v>1714</v>
      </c>
      <c r="C4" s="378" t="s">
        <v>1991</v>
      </c>
      <c r="D4" s="304" t="s">
        <v>1992</v>
      </c>
      <c r="E4" s="263" t="s">
        <v>1716</v>
      </c>
      <c r="F4" s="263" t="s">
        <v>1716</v>
      </c>
      <c r="G4" s="263" t="s">
        <v>1716</v>
      </c>
      <c r="H4" s="263" t="s">
        <v>1716</v>
      </c>
      <c r="I4" s="382" t="s">
        <v>1993</v>
      </c>
      <c r="J4" s="263" t="s">
        <v>1992</v>
      </c>
      <c r="K4" s="263" t="s">
        <v>1716</v>
      </c>
      <c r="L4" s="263" t="s">
        <v>1716</v>
      </c>
      <c r="M4" s="377" t="s">
        <v>1994</v>
      </c>
      <c r="N4" s="263" t="s">
        <v>1716</v>
      </c>
      <c r="O4" s="374" t="s">
        <v>1995</v>
      </c>
      <c r="P4" s="374" t="s">
        <v>1996</v>
      </c>
      <c r="Q4" s="374" t="s">
        <v>1997</v>
      </c>
      <c r="R4" s="374" t="s">
        <v>1998</v>
      </c>
      <c r="S4" s="374" t="s">
        <v>1999</v>
      </c>
      <c r="T4" s="374" t="s">
        <v>2000</v>
      </c>
      <c r="U4" s="374" t="s">
        <v>2000</v>
      </c>
      <c r="V4" s="371" t="s">
        <v>2001</v>
      </c>
      <c r="W4" s="263"/>
      <c r="X4" s="371" t="s">
        <v>2002</v>
      </c>
      <c r="Y4" s="263"/>
      <c r="Z4" s="371" t="s">
        <v>2003</v>
      </c>
      <c r="AA4" s="371" t="s">
        <v>2004</v>
      </c>
      <c r="AB4" s="263"/>
      <c r="AC4" s="263"/>
      <c r="AD4" s="371" t="s">
        <v>2005</v>
      </c>
      <c r="AE4" s="371" t="s">
        <v>2006</v>
      </c>
      <c r="AF4" s="371" t="s">
        <v>2007</v>
      </c>
      <c r="AG4" s="379" t="s">
        <v>2008</v>
      </c>
      <c r="AH4" s="371" t="s">
        <v>2009</v>
      </c>
      <c r="AI4" s="263"/>
      <c r="AJ4" s="263"/>
      <c r="AK4" s="371" t="s">
        <v>2010</v>
      </c>
      <c r="AL4" s="263"/>
      <c r="AM4" s="371" t="s">
        <v>2011</v>
      </c>
      <c r="AN4" s="263"/>
      <c r="AO4" s="263"/>
      <c r="AP4" s="263"/>
      <c r="AQ4" s="263"/>
      <c r="AR4" s="263"/>
      <c r="AS4" s="263"/>
      <c r="AT4" s="263"/>
      <c r="AU4" s="263" t="s">
        <v>1716</v>
      </c>
      <c r="AV4" s="263" t="s">
        <v>1734</v>
      </c>
      <c r="AW4" s="379" t="s">
        <v>2012</v>
      </c>
      <c r="AX4" s="379" t="s">
        <v>2013</v>
      </c>
      <c r="AY4" s="379" t="s">
        <v>2013</v>
      </c>
      <c r="AZ4" s="379" t="s">
        <v>2014</v>
      </c>
      <c r="BA4" s="379" t="s">
        <v>2015</v>
      </c>
      <c r="BB4" s="374" t="s">
        <v>1739</v>
      </c>
      <c r="BC4" s="374" t="s">
        <v>2016</v>
      </c>
      <c r="BD4" s="374" t="s">
        <v>2017</v>
      </c>
      <c r="BE4" s="263" t="s">
        <v>1734</v>
      </c>
      <c r="BF4" s="263" t="s">
        <v>1734</v>
      </c>
      <c r="BG4" s="263" t="s">
        <v>1734</v>
      </c>
      <c r="BH4" s="388" t="s">
        <v>2018</v>
      </c>
      <c r="BI4" s="263"/>
      <c r="BJ4" s="263"/>
      <c r="BK4" s="263"/>
    </row>
    <row r="5" spans="1:63" ht="15.6" x14ac:dyDescent="0.3">
      <c r="A5" s="124" t="s">
        <v>1743</v>
      </c>
      <c r="B5" s="372"/>
      <c r="C5" s="378"/>
      <c r="D5" s="262" t="s">
        <v>1992</v>
      </c>
      <c r="E5" s="262" t="s">
        <v>1716</v>
      </c>
      <c r="F5" s="262" t="s">
        <v>1716</v>
      </c>
      <c r="G5" s="262" t="s">
        <v>1716</v>
      </c>
      <c r="H5" s="262" t="s">
        <v>1716</v>
      </c>
      <c r="I5" s="383"/>
      <c r="J5" s="262" t="s">
        <v>1992</v>
      </c>
      <c r="K5" s="262" t="s">
        <v>1716</v>
      </c>
      <c r="L5" s="262" t="s">
        <v>1716</v>
      </c>
      <c r="M5" s="377"/>
      <c r="N5" s="262" t="s">
        <v>1716</v>
      </c>
      <c r="O5" s="375"/>
      <c r="P5" s="375"/>
      <c r="Q5" s="375"/>
      <c r="R5" s="375"/>
      <c r="S5" s="375"/>
      <c r="T5" s="375"/>
      <c r="U5" s="375"/>
      <c r="V5" s="372"/>
      <c r="W5" s="262"/>
      <c r="X5" s="372"/>
      <c r="Y5" s="262"/>
      <c r="Z5" s="372"/>
      <c r="AA5" s="372"/>
      <c r="AB5" s="262"/>
      <c r="AC5" s="262"/>
      <c r="AD5" s="372"/>
      <c r="AE5" s="372"/>
      <c r="AF5" s="372"/>
      <c r="AG5" s="380"/>
      <c r="AH5" s="372"/>
      <c r="AI5" s="262"/>
      <c r="AJ5" s="262"/>
      <c r="AK5" s="372"/>
      <c r="AL5" s="262"/>
      <c r="AM5" s="372"/>
      <c r="AN5" s="262"/>
      <c r="AO5" s="262"/>
      <c r="AP5" s="262"/>
      <c r="AQ5" s="262"/>
      <c r="AR5" s="262"/>
      <c r="AS5" s="262"/>
      <c r="AT5" s="262"/>
      <c r="AU5" s="262" t="s">
        <v>1716</v>
      </c>
      <c r="AV5" s="262"/>
      <c r="AW5" s="380"/>
      <c r="AX5" s="380"/>
      <c r="AY5" s="380"/>
      <c r="AZ5" s="380"/>
      <c r="BA5" s="380"/>
      <c r="BB5" s="375"/>
      <c r="BC5" s="375"/>
      <c r="BD5" s="375"/>
      <c r="BE5" s="262"/>
      <c r="BF5" s="262"/>
      <c r="BG5" s="262"/>
      <c r="BH5" s="389"/>
      <c r="BI5" s="262"/>
      <c r="BJ5" s="262"/>
      <c r="BK5" s="262"/>
    </row>
    <row r="6" spans="1:63" ht="15.6" customHeight="1" x14ac:dyDescent="0.3">
      <c r="A6" s="124" t="s">
        <v>1744</v>
      </c>
      <c r="B6" s="373"/>
      <c r="C6" s="377" t="s">
        <v>2019</v>
      </c>
      <c r="D6" s="377" t="s">
        <v>2020</v>
      </c>
      <c r="E6" s="377" t="s">
        <v>2021</v>
      </c>
      <c r="F6" s="262" t="s">
        <v>1716</v>
      </c>
      <c r="G6" s="262" t="s">
        <v>1716</v>
      </c>
      <c r="H6" s="262" t="s">
        <v>1716</v>
      </c>
      <c r="I6" s="383"/>
      <c r="J6" s="262" t="s">
        <v>1992</v>
      </c>
      <c r="K6" s="377" t="s">
        <v>2022</v>
      </c>
      <c r="L6" s="374" t="s">
        <v>2023</v>
      </c>
      <c r="M6" s="377"/>
      <c r="N6" s="262" t="s">
        <v>1716</v>
      </c>
      <c r="O6" s="376"/>
      <c r="P6" s="376"/>
      <c r="Q6" s="376"/>
      <c r="R6" s="376"/>
      <c r="S6" s="376"/>
      <c r="T6" s="376"/>
      <c r="U6" s="376"/>
      <c r="V6" s="373"/>
      <c r="W6" s="262"/>
      <c r="X6" s="373"/>
      <c r="Y6" s="262"/>
      <c r="Z6" s="373"/>
      <c r="AA6" s="373"/>
      <c r="AB6" s="262"/>
      <c r="AC6" s="262"/>
      <c r="AD6" s="373"/>
      <c r="AE6" s="373"/>
      <c r="AF6" s="373"/>
      <c r="AG6" s="380"/>
      <c r="AH6" s="373"/>
      <c r="AI6" s="262"/>
      <c r="AJ6" s="262"/>
      <c r="AK6" s="373"/>
      <c r="AL6" s="262"/>
      <c r="AM6" s="373"/>
      <c r="AN6" s="262"/>
      <c r="AO6" s="262"/>
      <c r="AP6" s="262"/>
      <c r="AQ6" s="262"/>
      <c r="AR6" s="262"/>
      <c r="AS6" s="262"/>
      <c r="AT6" s="262"/>
      <c r="AU6" s="377" t="s">
        <v>2024</v>
      </c>
      <c r="AV6" s="262"/>
      <c r="AW6" s="380"/>
      <c r="AX6" s="380"/>
      <c r="AY6" s="380"/>
      <c r="AZ6" s="380"/>
      <c r="BA6" s="380"/>
      <c r="BB6" s="376"/>
      <c r="BC6" s="376"/>
      <c r="BD6" s="376"/>
      <c r="BE6" s="262"/>
      <c r="BF6" s="262"/>
      <c r="BG6" s="262"/>
      <c r="BH6" s="389"/>
      <c r="BI6" s="262"/>
      <c r="BJ6" s="262"/>
      <c r="BK6" s="262"/>
    </row>
    <row r="7" spans="1:63" ht="15.6" x14ac:dyDescent="0.3">
      <c r="A7" s="124" t="s">
        <v>1748</v>
      </c>
      <c r="B7" s="371" t="s">
        <v>1714</v>
      </c>
      <c r="C7" s="377"/>
      <c r="D7" s="377"/>
      <c r="E7" s="377"/>
      <c r="F7" s="374" t="s">
        <v>2025</v>
      </c>
      <c r="G7" s="374" t="s">
        <v>2026</v>
      </c>
      <c r="H7" s="374" t="s">
        <v>2027</v>
      </c>
      <c r="I7" s="383"/>
      <c r="J7" s="374" t="s">
        <v>2028</v>
      </c>
      <c r="K7" s="377"/>
      <c r="L7" s="375"/>
      <c r="M7" s="377"/>
      <c r="N7" s="374" t="s">
        <v>2029</v>
      </c>
      <c r="O7" s="385" t="s">
        <v>2030</v>
      </c>
      <c r="P7" s="385" t="s">
        <v>2031</v>
      </c>
      <c r="Q7" s="385" t="s">
        <v>2032</v>
      </c>
      <c r="R7" s="385" t="s">
        <v>2033</v>
      </c>
      <c r="S7" s="385" t="s">
        <v>2034</v>
      </c>
      <c r="T7" s="385" t="s">
        <v>2035</v>
      </c>
      <c r="U7" s="385" t="s">
        <v>2036</v>
      </c>
      <c r="V7" s="371" t="s">
        <v>2037</v>
      </c>
      <c r="W7" s="371" t="s">
        <v>2038</v>
      </c>
      <c r="X7" s="371" t="s">
        <v>2039</v>
      </c>
      <c r="Y7" s="371" t="s">
        <v>2040</v>
      </c>
      <c r="Z7" s="371" t="s">
        <v>2041</v>
      </c>
      <c r="AA7" s="371" t="s">
        <v>2042</v>
      </c>
      <c r="AB7" s="371" t="s">
        <v>2043</v>
      </c>
      <c r="AC7" s="371" t="s">
        <v>2044</v>
      </c>
      <c r="AD7" s="371" t="s">
        <v>2045</v>
      </c>
      <c r="AE7" s="371" t="s">
        <v>2046</v>
      </c>
      <c r="AF7" s="371" t="s">
        <v>2047</v>
      </c>
      <c r="AG7" s="380"/>
      <c r="AH7" s="371" t="s">
        <v>2048</v>
      </c>
      <c r="AI7" s="371" t="s">
        <v>2049</v>
      </c>
      <c r="AJ7" s="371" t="s">
        <v>2050</v>
      </c>
      <c r="AK7" s="371" t="s">
        <v>2051</v>
      </c>
      <c r="AL7" s="371" t="s">
        <v>2052</v>
      </c>
      <c r="AM7" s="371" t="s">
        <v>2053</v>
      </c>
      <c r="AN7" s="371" t="s">
        <v>2054</v>
      </c>
      <c r="AO7" s="371" t="s">
        <v>2055</v>
      </c>
      <c r="AP7" s="262"/>
      <c r="AQ7" s="262"/>
      <c r="AR7" s="262"/>
      <c r="AS7" s="262"/>
      <c r="AT7" s="262"/>
      <c r="AU7" s="377"/>
      <c r="AV7" s="262"/>
      <c r="AW7" s="380"/>
      <c r="AX7" s="380"/>
      <c r="AY7" s="380"/>
      <c r="AZ7" s="380"/>
      <c r="BA7" s="380"/>
      <c r="BB7" s="385" t="s">
        <v>1784</v>
      </c>
      <c r="BC7" s="374" t="s">
        <v>2056</v>
      </c>
      <c r="BD7" s="374" t="s">
        <v>2057</v>
      </c>
      <c r="BE7" s="262"/>
      <c r="BF7" s="262"/>
      <c r="BG7" s="262"/>
      <c r="BH7" s="390"/>
      <c r="BI7" s="262"/>
      <c r="BJ7" s="262"/>
      <c r="BK7" s="262"/>
    </row>
    <row r="8" spans="1:63" ht="15.75" customHeight="1" x14ac:dyDescent="0.3">
      <c r="A8" s="124" t="s">
        <v>1787</v>
      </c>
      <c r="B8" s="372"/>
      <c r="C8" s="377"/>
      <c r="D8" s="377"/>
      <c r="E8" s="377"/>
      <c r="F8" s="375"/>
      <c r="G8" s="375"/>
      <c r="H8" s="375"/>
      <c r="I8" s="383"/>
      <c r="J8" s="375"/>
      <c r="K8" s="377"/>
      <c r="L8" s="376"/>
      <c r="M8" s="378" t="s">
        <v>2058</v>
      </c>
      <c r="N8" s="375"/>
      <c r="O8" s="386"/>
      <c r="P8" s="386"/>
      <c r="Q8" s="386"/>
      <c r="R8" s="386"/>
      <c r="S8" s="386"/>
      <c r="T8" s="386"/>
      <c r="U8" s="386"/>
      <c r="V8" s="372"/>
      <c r="W8" s="372"/>
      <c r="X8" s="372"/>
      <c r="Y8" s="372"/>
      <c r="Z8" s="372"/>
      <c r="AA8" s="372"/>
      <c r="AB8" s="372"/>
      <c r="AC8" s="372"/>
      <c r="AD8" s="372"/>
      <c r="AE8" s="372"/>
      <c r="AF8" s="372"/>
      <c r="AG8" s="380"/>
      <c r="AH8" s="372"/>
      <c r="AI8" s="372"/>
      <c r="AJ8" s="372"/>
      <c r="AK8" s="372"/>
      <c r="AL8" s="372"/>
      <c r="AM8" s="372"/>
      <c r="AN8" s="372"/>
      <c r="AO8" s="372"/>
      <c r="AP8" s="262"/>
      <c r="AQ8" s="262"/>
      <c r="AR8" s="262"/>
      <c r="AS8" s="262"/>
      <c r="AT8" s="262"/>
      <c r="AU8" s="377"/>
      <c r="AV8" s="262"/>
      <c r="AW8" s="380"/>
      <c r="AX8" s="380"/>
      <c r="AY8" s="380"/>
      <c r="AZ8" s="380"/>
      <c r="BA8" s="380"/>
      <c r="BB8" s="386"/>
      <c r="BC8" s="375"/>
      <c r="BD8" s="375"/>
      <c r="BE8" s="262"/>
      <c r="BF8" s="262"/>
      <c r="BG8" s="262"/>
      <c r="BH8" s="391" t="s">
        <v>2059</v>
      </c>
      <c r="BI8" s="262"/>
      <c r="BJ8" s="262"/>
      <c r="BK8" s="262"/>
    </row>
    <row r="9" spans="1:63" ht="15.6" x14ac:dyDescent="0.3">
      <c r="A9" s="124" t="s">
        <v>1791</v>
      </c>
      <c r="B9" s="373"/>
      <c r="C9" s="377"/>
      <c r="D9" s="377"/>
      <c r="E9" s="377"/>
      <c r="F9" s="376"/>
      <c r="G9" s="376"/>
      <c r="H9" s="376"/>
      <c r="I9" s="384"/>
      <c r="J9" s="376"/>
      <c r="K9" s="377"/>
      <c r="L9" s="385" t="s">
        <v>2060</v>
      </c>
      <c r="M9" s="378"/>
      <c r="N9" s="376"/>
      <c r="O9" s="387"/>
      <c r="P9" s="387"/>
      <c r="Q9" s="387"/>
      <c r="R9" s="387"/>
      <c r="S9" s="387"/>
      <c r="T9" s="387"/>
      <c r="U9" s="387"/>
      <c r="V9" s="373"/>
      <c r="W9" s="373"/>
      <c r="X9" s="373"/>
      <c r="Y9" s="373"/>
      <c r="Z9" s="373"/>
      <c r="AA9" s="373"/>
      <c r="AB9" s="373"/>
      <c r="AC9" s="373"/>
      <c r="AD9" s="373"/>
      <c r="AE9" s="373"/>
      <c r="AF9" s="373"/>
      <c r="AG9" s="381"/>
      <c r="AH9" s="373"/>
      <c r="AI9" s="373"/>
      <c r="AJ9" s="373"/>
      <c r="AK9" s="373"/>
      <c r="AL9" s="373"/>
      <c r="AM9" s="373"/>
      <c r="AN9" s="373"/>
      <c r="AO9" s="373"/>
      <c r="AP9" s="262"/>
      <c r="AQ9" s="262"/>
      <c r="AR9" s="262"/>
      <c r="AS9" s="262"/>
      <c r="AT9" s="262"/>
      <c r="AU9" s="377"/>
      <c r="AV9" s="262"/>
      <c r="AW9" s="381"/>
      <c r="AX9" s="381"/>
      <c r="AY9" s="381"/>
      <c r="AZ9" s="381"/>
      <c r="BA9" s="381"/>
      <c r="BB9" s="387"/>
      <c r="BC9" s="376"/>
      <c r="BD9" s="376"/>
      <c r="BE9" s="262"/>
      <c r="BF9" s="262"/>
      <c r="BG9" s="262"/>
      <c r="BH9" s="392"/>
      <c r="BI9" s="262"/>
      <c r="BJ9" s="262"/>
      <c r="BK9" s="262"/>
    </row>
    <row r="10" spans="1:63" ht="15.6" x14ac:dyDescent="0.3">
      <c r="A10" s="124" t="s">
        <v>1792</v>
      </c>
      <c r="B10" s="371" t="s">
        <v>1714</v>
      </c>
      <c r="C10" s="377" t="s">
        <v>2061</v>
      </c>
      <c r="D10" s="377" t="s">
        <v>2062</v>
      </c>
      <c r="E10" s="377" t="s">
        <v>2063</v>
      </c>
      <c r="F10" s="377" t="s">
        <v>2064</v>
      </c>
      <c r="G10" s="374" t="s">
        <v>2065</v>
      </c>
      <c r="H10" s="374" t="s">
        <v>2066</v>
      </c>
      <c r="I10" s="377" t="s">
        <v>2067</v>
      </c>
      <c r="J10" s="374" t="s">
        <v>2068</v>
      </c>
      <c r="K10" s="374" t="s">
        <v>2069</v>
      </c>
      <c r="L10" s="386"/>
      <c r="M10" s="377" t="s">
        <v>2070</v>
      </c>
      <c r="N10" s="385" t="s">
        <v>2071</v>
      </c>
      <c r="O10" s="374" t="s">
        <v>2072</v>
      </c>
      <c r="P10" s="374" t="s">
        <v>2073</v>
      </c>
      <c r="Q10" s="374" t="s">
        <v>2074</v>
      </c>
      <c r="R10" s="374" t="s">
        <v>2075</v>
      </c>
      <c r="S10" s="374" t="s">
        <v>2076</v>
      </c>
      <c r="T10" s="374" t="s">
        <v>2077</v>
      </c>
      <c r="U10" s="378" t="s">
        <v>2078</v>
      </c>
      <c r="V10" s="371" t="s">
        <v>2079</v>
      </c>
      <c r="W10" s="371" t="s">
        <v>2080</v>
      </c>
      <c r="X10" s="371" t="s">
        <v>2081</v>
      </c>
      <c r="Y10" s="371" t="s">
        <v>2082</v>
      </c>
      <c r="Z10" s="371" t="s">
        <v>2083</v>
      </c>
      <c r="AA10" s="371" t="s">
        <v>2084</v>
      </c>
      <c r="AB10" s="371" t="s">
        <v>2085</v>
      </c>
      <c r="AC10" s="262"/>
      <c r="AD10" s="371" t="s">
        <v>2086</v>
      </c>
      <c r="AE10" s="371" t="s">
        <v>2087</v>
      </c>
      <c r="AF10" s="371" t="s">
        <v>2088</v>
      </c>
      <c r="AG10" s="379" t="s">
        <v>2089</v>
      </c>
      <c r="AH10" s="371" t="s">
        <v>2090</v>
      </c>
      <c r="AI10" s="371" t="s">
        <v>2091</v>
      </c>
      <c r="AJ10" s="371" t="s">
        <v>2092</v>
      </c>
      <c r="AK10" s="371" t="s">
        <v>2093</v>
      </c>
      <c r="AL10" s="262"/>
      <c r="AM10" s="371" t="s">
        <v>2094</v>
      </c>
      <c r="AN10" s="262"/>
      <c r="AO10" s="371" t="s">
        <v>2095</v>
      </c>
      <c r="AP10" s="262"/>
      <c r="AQ10" s="262"/>
      <c r="AR10" s="262"/>
      <c r="AS10" s="262"/>
      <c r="AT10" s="262"/>
      <c r="AU10" s="262" t="s">
        <v>1716</v>
      </c>
      <c r="AV10" s="262"/>
      <c r="AW10" s="379" t="s">
        <v>2096</v>
      </c>
      <c r="AX10" s="379" t="s">
        <v>2097</v>
      </c>
      <c r="AY10" s="379" t="s">
        <v>2097</v>
      </c>
      <c r="AZ10" s="379" t="s">
        <v>2098</v>
      </c>
      <c r="BA10" s="374" t="s">
        <v>2099</v>
      </c>
      <c r="BB10" s="385" t="s">
        <v>1831</v>
      </c>
      <c r="BC10" s="374" t="s">
        <v>2100</v>
      </c>
      <c r="BD10" s="374" t="s">
        <v>2101</v>
      </c>
      <c r="BE10" s="262"/>
      <c r="BF10" s="262"/>
      <c r="BG10" s="262"/>
      <c r="BH10" s="392"/>
      <c r="BI10" s="262"/>
      <c r="BJ10" s="262"/>
      <c r="BK10" s="262"/>
    </row>
    <row r="11" spans="1:63" ht="15.6" customHeight="1" x14ac:dyDescent="0.3">
      <c r="A11" s="124" t="s">
        <v>1834</v>
      </c>
      <c r="B11" s="372"/>
      <c r="C11" s="377"/>
      <c r="D11" s="377"/>
      <c r="E11" s="377"/>
      <c r="F11" s="377"/>
      <c r="G11" s="375"/>
      <c r="H11" s="375"/>
      <c r="I11" s="377"/>
      <c r="J11" s="375"/>
      <c r="K11" s="375"/>
      <c r="L11" s="387"/>
      <c r="M11" s="377"/>
      <c r="N11" s="386"/>
      <c r="O11" s="375"/>
      <c r="P11" s="375"/>
      <c r="Q11" s="375"/>
      <c r="R11" s="375"/>
      <c r="S11" s="375"/>
      <c r="T11" s="375"/>
      <c r="U11" s="378"/>
      <c r="V11" s="372"/>
      <c r="W11" s="372"/>
      <c r="X11" s="372"/>
      <c r="Y11" s="372"/>
      <c r="Z11" s="372"/>
      <c r="AA11" s="372"/>
      <c r="AB11" s="372"/>
      <c r="AC11" s="262"/>
      <c r="AD11" s="372"/>
      <c r="AE11" s="372"/>
      <c r="AF11" s="372"/>
      <c r="AG11" s="380"/>
      <c r="AH11" s="372"/>
      <c r="AI11" s="372"/>
      <c r="AJ11" s="372"/>
      <c r="AK11" s="372"/>
      <c r="AL11" s="262"/>
      <c r="AM11" s="372"/>
      <c r="AN11" s="262"/>
      <c r="AO11" s="372"/>
      <c r="AP11" s="262"/>
      <c r="AQ11" s="262"/>
      <c r="AR11" s="262"/>
      <c r="AS11" s="262"/>
      <c r="AT11" s="262"/>
      <c r="AU11" s="262" t="s">
        <v>1716</v>
      </c>
      <c r="AV11" s="262"/>
      <c r="AW11" s="380"/>
      <c r="AX11" s="380"/>
      <c r="AY11" s="380"/>
      <c r="AZ11" s="380"/>
      <c r="BA11" s="375"/>
      <c r="BB11" s="386"/>
      <c r="BC11" s="375"/>
      <c r="BD11" s="375"/>
      <c r="BE11" s="262"/>
      <c r="BF11" s="262"/>
      <c r="BG11" s="262"/>
      <c r="BH11" s="392"/>
      <c r="BI11" s="262"/>
      <c r="BJ11" s="262"/>
      <c r="BK11" s="262"/>
    </row>
    <row r="12" spans="1:63" ht="15.6" x14ac:dyDescent="0.3">
      <c r="A12" s="124" t="s">
        <v>1835</v>
      </c>
      <c r="B12" s="373"/>
      <c r="C12" s="377"/>
      <c r="D12" s="377"/>
      <c r="E12" s="377"/>
      <c r="F12" s="377"/>
      <c r="G12" s="376"/>
      <c r="H12" s="376"/>
      <c r="I12" s="377"/>
      <c r="J12" s="376"/>
      <c r="K12" s="376"/>
      <c r="L12" s="374" t="s">
        <v>2102</v>
      </c>
      <c r="M12" s="377"/>
      <c r="N12" s="387"/>
      <c r="O12" s="376"/>
      <c r="P12" s="376"/>
      <c r="Q12" s="376"/>
      <c r="R12" s="376"/>
      <c r="S12" s="376"/>
      <c r="T12" s="376"/>
      <c r="U12" s="377" t="s">
        <v>2103</v>
      </c>
      <c r="V12" s="373"/>
      <c r="W12" s="373"/>
      <c r="X12" s="373"/>
      <c r="Y12" s="373"/>
      <c r="Z12" s="373"/>
      <c r="AA12" s="373"/>
      <c r="AB12" s="373"/>
      <c r="AC12" s="262"/>
      <c r="AD12" s="373"/>
      <c r="AE12" s="373"/>
      <c r="AF12" s="373"/>
      <c r="AG12" s="380"/>
      <c r="AH12" s="373"/>
      <c r="AI12" s="373"/>
      <c r="AJ12" s="373"/>
      <c r="AK12" s="373"/>
      <c r="AL12" s="262"/>
      <c r="AM12" s="373"/>
      <c r="AN12" s="262"/>
      <c r="AO12" s="373"/>
      <c r="AP12" s="262"/>
      <c r="AQ12" s="262"/>
      <c r="AR12" s="262"/>
      <c r="AS12" s="262"/>
      <c r="AT12" s="262"/>
      <c r="AU12" s="377" t="s">
        <v>2104</v>
      </c>
      <c r="AV12" s="262"/>
      <c r="AW12" s="380"/>
      <c r="AX12" s="380"/>
      <c r="AY12" s="380"/>
      <c r="AZ12" s="380"/>
      <c r="BA12" s="376"/>
      <c r="BB12" s="387"/>
      <c r="BC12" s="376"/>
      <c r="BD12" s="376"/>
      <c r="BE12" s="262"/>
      <c r="BF12" s="262"/>
      <c r="BG12" s="262"/>
      <c r="BH12" s="392"/>
      <c r="BI12" s="262"/>
      <c r="BJ12" s="262"/>
      <c r="BK12" s="262"/>
    </row>
    <row r="13" spans="1:63" ht="15.6" x14ac:dyDescent="0.3">
      <c r="A13" s="124" t="s">
        <v>1836</v>
      </c>
      <c r="B13" s="371" t="s">
        <v>1714</v>
      </c>
      <c r="C13" s="377"/>
      <c r="D13" s="377"/>
      <c r="E13" s="377"/>
      <c r="F13" s="377"/>
      <c r="G13" s="374" t="s">
        <v>2105</v>
      </c>
      <c r="H13" s="374" t="s">
        <v>2106</v>
      </c>
      <c r="I13" s="377"/>
      <c r="J13" s="374" t="s">
        <v>2107</v>
      </c>
      <c r="K13" s="385" t="s">
        <v>2108</v>
      </c>
      <c r="L13" s="375"/>
      <c r="M13" s="377"/>
      <c r="N13" s="374" t="s">
        <v>2109</v>
      </c>
      <c r="O13" s="385" t="s">
        <v>2110</v>
      </c>
      <c r="P13" s="385" t="s">
        <v>2111</v>
      </c>
      <c r="Q13" s="385" t="s">
        <v>2112</v>
      </c>
      <c r="R13" s="385" t="s">
        <v>2113</v>
      </c>
      <c r="S13" s="385" t="s">
        <v>2114</v>
      </c>
      <c r="T13" s="385" t="s">
        <v>2115</v>
      </c>
      <c r="U13" s="377"/>
      <c r="V13" s="371" t="s">
        <v>2116</v>
      </c>
      <c r="W13" s="371" t="s">
        <v>2117</v>
      </c>
      <c r="X13" s="371" t="s">
        <v>2118</v>
      </c>
      <c r="Y13" s="371" t="s">
        <v>2119</v>
      </c>
      <c r="Z13" s="371" t="s">
        <v>2120</v>
      </c>
      <c r="AA13" s="371" t="s">
        <v>2121</v>
      </c>
      <c r="AB13" s="371" t="s">
        <v>2122</v>
      </c>
      <c r="AC13" s="371" t="s">
        <v>2123</v>
      </c>
      <c r="AD13" s="371" t="s">
        <v>2124</v>
      </c>
      <c r="AE13" s="371" t="s">
        <v>2125</v>
      </c>
      <c r="AF13" s="371" t="s">
        <v>2126</v>
      </c>
      <c r="AG13" s="380"/>
      <c r="AH13" s="371" t="s">
        <v>2127</v>
      </c>
      <c r="AI13" s="371" t="s">
        <v>2128</v>
      </c>
      <c r="AJ13" s="371" t="s">
        <v>2129</v>
      </c>
      <c r="AK13" s="371" t="s">
        <v>2130</v>
      </c>
      <c r="AL13" s="262"/>
      <c r="AM13" s="371" t="s">
        <v>2131</v>
      </c>
      <c r="AN13" s="262"/>
      <c r="AO13" s="262"/>
      <c r="AP13" s="262"/>
      <c r="AQ13" s="262"/>
      <c r="AR13" s="262"/>
      <c r="AS13" s="262"/>
      <c r="AT13" s="262"/>
      <c r="AU13" s="377"/>
      <c r="AV13" s="262"/>
      <c r="AW13" s="380"/>
      <c r="AX13" s="380"/>
      <c r="AY13" s="380"/>
      <c r="AZ13" s="380"/>
      <c r="BA13" s="374" t="s">
        <v>2132</v>
      </c>
      <c r="BB13" s="385" t="s">
        <v>1872</v>
      </c>
      <c r="BC13" s="374" t="s">
        <v>2133</v>
      </c>
      <c r="BD13" s="374" t="s">
        <v>2134</v>
      </c>
      <c r="BE13" s="262"/>
      <c r="BF13" s="262"/>
      <c r="BG13" s="262"/>
      <c r="BH13" s="393"/>
      <c r="BI13" s="262"/>
      <c r="BJ13" s="262"/>
      <c r="BK13" s="262"/>
    </row>
    <row r="14" spans="1:63" ht="15.6" customHeight="1" x14ac:dyDescent="0.3">
      <c r="A14" s="124" t="s">
        <v>1875</v>
      </c>
      <c r="B14" s="372"/>
      <c r="C14" s="374" t="s">
        <v>2135</v>
      </c>
      <c r="D14" s="262" t="s">
        <v>1992</v>
      </c>
      <c r="E14" s="262" t="s">
        <v>1716</v>
      </c>
      <c r="F14" s="377" t="s">
        <v>2136</v>
      </c>
      <c r="G14" s="375"/>
      <c r="H14" s="375"/>
      <c r="I14" s="262" t="s">
        <v>1716</v>
      </c>
      <c r="J14" s="375"/>
      <c r="K14" s="386"/>
      <c r="L14" s="376"/>
      <c r="M14" s="262" t="s">
        <v>1716</v>
      </c>
      <c r="N14" s="375"/>
      <c r="O14" s="386"/>
      <c r="P14" s="386"/>
      <c r="Q14" s="386"/>
      <c r="R14" s="386"/>
      <c r="S14" s="386"/>
      <c r="T14" s="386"/>
      <c r="U14" s="377"/>
      <c r="V14" s="372"/>
      <c r="W14" s="372"/>
      <c r="X14" s="372"/>
      <c r="Y14" s="372"/>
      <c r="Z14" s="372"/>
      <c r="AA14" s="372"/>
      <c r="AB14" s="372"/>
      <c r="AC14" s="372"/>
      <c r="AD14" s="372"/>
      <c r="AE14" s="372"/>
      <c r="AF14" s="372"/>
      <c r="AG14" s="380"/>
      <c r="AH14" s="372"/>
      <c r="AI14" s="372"/>
      <c r="AJ14" s="372"/>
      <c r="AK14" s="372"/>
      <c r="AL14" s="262"/>
      <c r="AM14" s="372"/>
      <c r="AN14" s="262"/>
      <c r="AO14" s="262"/>
      <c r="AP14" s="262"/>
      <c r="AQ14" s="262"/>
      <c r="AR14" s="262"/>
      <c r="AS14" s="262"/>
      <c r="AT14" s="262"/>
      <c r="AU14" s="377"/>
      <c r="AV14" s="262"/>
      <c r="AW14" s="380"/>
      <c r="AX14" s="380"/>
      <c r="AY14" s="380"/>
      <c r="AZ14" s="380"/>
      <c r="BA14" s="375"/>
      <c r="BB14" s="386"/>
      <c r="BC14" s="375"/>
      <c r="BD14" s="375"/>
      <c r="BE14" s="262"/>
      <c r="BF14" s="262"/>
      <c r="BG14" s="262"/>
      <c r="BH14" s="262" t="s">
        <v>1716</v>
      </c>
      <c r="BI14" s="262"/>
      <c r="BJ14" s="262"/>
      <c r="BK14" s="262"/>
    </row>
    <row r="15" spans="1:63" ht="15.6" customHeight="1" x14ac:dyDescent="0.3">
      <c r="A15" s="124" t="s">
        <v>1876</v>
      </c>
      <c r="B15" s="373"/>
      <c r="C15" s="375"/>
      <c r="D15" s="374" t="s">
        <v>2137</v>
      </c>
      <c r="E15" s="262" t="s">
        <v>1716</v>
      </c>
      <c r="F15" s="377"/>
      <c r="G15" s="376"/>
      <c r="H15" s="376"/>
      <c r="I15" s="262" t="s">
        <v>1716</v>
      </c>
      <c r="J15" s="376"/>
      <c r="K15" s="387"/>
      <c r="L15" s="374" t="s">
        <v>2138</v>
      </c>
      <c r="M15" s="262" t="s">
        <v>1716</v>
      </c>
      <c r="N15" s="376"/>
      <c r="O15" s="387"/>
      <c r="P15" s="387"/>
      <c r="Q15" s="387"/>
      <c r="R15" s="387"/>
      <c r="S15" s="387"/>
      <c r="T15" s="387"/>
      <c r="U15" s="377"/>
      <c r="V15" s="373"/>
      <c r="W15" s="373"/>
      <c r="X15" s="373"/>
      <c r="Y15" s="373"/>
      <c r="Z15" s="373"/>
      <c r="AA15" s="373"/>
      <c r="AB15" s="373"/>
      <c r="AC15" s="373"/>
      <c r="AD15" s="373"/>
      <c r="AE15" s="373"/>
      <c r="AF15" s="373"/>
      <c r="AG15" s="381"/>
      <c r="AH15" s="373"/>
      <c r="AI15" s="373"/>
      <c r="AJ15" s="373"/>
      <c r="AK15" s="373"/>
      <c r="AL15" s="262"/>
      <c r="AM15" s="373"/>
      <c r="AN15" s="262"/>
      <c r="AO15" s="262"/>
      <c r="AP15" s="262"/>
      <c r="AQ15" s="262"/>
      <c r="AR15" s="262"/>
      <c r="AS15" s="262"/>
      <c r="AT15" s="262"/>
      <c r="AU15" s="377"/>
      <c r="AV15" s="262"/>
      <c r="AW15" s="381"/>
      <c r="AX15" s="381"/>
      <c r="AY15" s="381"/>
      <c r="AZ15" s="381"/>
      <c r="BA15" s="376"/>
      <c r="BB15" s="387"/>
      <c r="BC15" s="376"/>
      <c r="BD15" s="376"/>
      <c r="BE15" s="262"/>
      <c r="BF15" s="262"/>
      <c r="BG15" s="262"/>
      <c r="BH15" s="262" t="s">
        <v>1716</v>
      </c>
      <c r="BI15" s="262"/>
      <c r="BJ15" s="262"/>
      <c r="BK15" s="262"/>
    </row>
    <row r="16" spans="1:63" ht="15.75" customHeight="1" x14ac:dyDescent="0.3">
      <c r="A16" s="124" t="s">
        <v>1877</v>
      </c>
      <c r="B16" s="262" t="s">
        <v>1716</v>
      </c>
      <c r="C16" s="376"/>
      <c r="D16" s="375"/>
      <c r="E16" s="374" t="s">
        <v>2139</v>
      </c>
      <c r="F16" s="377"/>
      <c r="G16" s="262" t="s">
        <v>1716</v>
      </c>
      <c r="H16" s="374" t="s">
        <v>2140</v>
      </c>
      <c r="I16" s="262" t="s">
        <v>1716</v>
      </c>
      <c r="J16" s="374" t="s">
        <v>2141</v>
      </c>
      <c r="K16" s="262" t="s">
        <v>1734</v>
      </c>
      <c r="L16" s="375"/>
      <c r="M16" s="385" t="s">
        <v>2142</v>
      </c>
      <c r="N16" s="374" t="s">
        <v>2143</v>
      </c>
      <c r="O16" s="385" t="s">
        <v>2144</v>
      </c>
      <c r="P16" s="385" t="s">
        <v>2145</v>
      </c>
      <c r="Q16" s="385" t="s">
        <v>2146</v>
      </c>
      <c r="R16" s="385" t="s">
        <v>2147</v>
      </c>
      <c r="S16" s="385" t="s">
        <v>2148</v>
      </c>
      <c r="T16" s="385" t="s">
        <v>2149</v>
      </c>
      <c r="U16" s="385" t="s">
        <v>2150</v>
      </c>
      <c r="V16" s="371" t="s">
        <v>2151</v>
      </c>
      <c r="W16" s="371" t="s">
        <v>2152</v>
      </c>
      <c r="X16" s="371" t="s">
        <v>2153</v>
      </c>
      <c r="Y16" s="371" t="s">
        <v>2154</v>
      </c>
      <c r="Z16" s="371" t="s">
        <v>2155</v>
      </c>
      <c r="AA16" s="371" t="s">
        <v>2156</v>
      </c>
      <c r="AB16" s="371" t="s">
        <v>2157</v>
      </c>
      <c r="AC16" s="371" t="s">
        <v>2158</v>
      </c>
      <c r="AD16" s="371" t="s">
        <v>2159</v>
      </c>
      <c r="AE16" s="371" t="s">
        <v>2160</v>
      </c>
      <c r="AF16" s="371" t="s">
        <v>2161</v>
      </c>
      <c r="AG16" s="371" t="s">
        <v>2162</v>
      </c>
      <c r="AH16" s="371" t="s">
        <v>2163</v>
      </c>
      <c r="AI16" s="371" t="s">
        <v>2164</v>
      </c>
      <c r="AJ16" s="371" t="s">
        <v>2165</v>
      </c>
      <c r="AK16" s="371" t="s">
        <v>2166</v>
      </c>
      <c r="AL16" s="371" t="s">
        <v>2167</v>
      </c>
      <c r="AM16" s="262"/>
      <c r="AN16" s="371" t="s">
        <v>2168</v>
      </c>
      <c r="AO16" s="262"/>
      <c r="AP16" s="262"/>
      <c r="AQ16" s="262"/>
      <c r="AR16" s="262"/>
      <c r="AS16" s="262"/>
      <c r="AT16" s="262"/>
      <c r="AU16" s="374" t="s">
        <v>2137</v>
      </c>
      <c r="AV16" s="262"/>
      <c r="AW16" s="379" t="s">
        <v>2169</v>
      </c>
      <c r="AX16" s="379" t="s">
        <v>2170</v>
      </c>
      <c r="AY16" s="379" t="s">
        <v>2170</v>
      </c>
      <c r="AZ16" s="379" t="s">
        <v>2171</v>
      </c>
      <c r="BA16" s="379" t="s">
        <v>2103</v>
      </c>
      <c r="BB16" s="385" t="s">
        <v>1916</v>
      </c>
      <c r="BC16" s="374" t="s">
        <v>2172</v>
      </c>
      <c r="BD16" s="374" t="s">
        <v>2173</v>
      </c>
      <c r="BE16" s="262"/>
      <c r="BF16" s="262"/>
      <c r="BG16" s="262"/>
      <c r="BH16" s="388" t="s">
        <v>2174</v>
      </c>
      <c r="BI16" s="262"/>
      <c r="BJ16" s="262"/>
      <c r="BK16" s="262"/>
    </row>
    <row r="17" spans="1:63" ht="15.6" x14ac:dyDescent="0.3">
      <c r="A17" s="124" t="s">
        <v>1921</v>
      </c>
      <c r="B17" s="125"/>
      <c r="C17" s="262" t="s">
        <v>1716</v>
      </c>
      <c r="D17" s="376"/>
      <c r="E17" s="375"/>
      <c r="F17" s="377"/>
      <c r="G17" s="262" t="s">
        <v>1716</v>
      </c>
      <c r="H17" s="375"/>
      <c r="I17" s="262" t="s">
        <v>1716</v>
      </c>
      <c r="J17" s="375"/>
      <c r="K17" s="262"/>
      <c r="L17" s="376"/>
      <c r="M17" s="386"/>
      <c r="N17" s="375"/>
      <c r="O17" s="386"/>
      <c r="P17" s="386"/>
      <c r="Q17" s="386"/>
      <c r="R17" s="386"/>
      <c r="S17" s="386"/>
      <c r="T17" s="386"/>
      <c r="U17" s="386"/>
      <c r="V17" s="372"/>
      <c r="W17" s="372"/>
      <c r="X17" s="372"/>
      <c r="Y17" s="372"/>
      <c r="Z17" s="372"/>
      <c r="AA17" s="372"/>
      <c r="AB17" s="372"/>
      <c r="AC17" s="372"/>
      <c r="AD17" s="372"/>
      <c r="AE17" s="372"/>
      <c r="AF17" s="372"/>
      <c r="AG17" s="372"/>
      <c r="AH17" s="372"/>
      <c r="AI17" s="372"/>
      <c r="AJ17" s="372"/>
      <c r="AK17" s="372"/>
      <c r="AL17" s="372"/>
      <c r="AM17" s="262"/>
      <c r="AN17" s="372"/>
      <c r="AO17" s="262"/>
      <c r="AP17" s="262"/>
      <c r="AQ17" s="262"/>
      <c r="AR17" s="262"/>
      <c r="AS17" s="262"/>
      <c r="AT17" s="262"/>
      <c r="AU17" s="375"/>
      <c r="AV17" s="262"/>
      <c r="AW17" s="380"/>
      <c r="AX17" s="380"/>
      <c r="AY17" s="380"/>
      <c r="AZ17" s="380"/>
      <c r="BA17" s="380"/>
      <c r="BB17" s="386"/>
      <c r="BC17" s="375"/>
      <c r="BD17" s="375"/>
      <c r="BE17" s="262"/>
      <c r="BF17" s="262"/>
      <c r="BG17" s="262"/>
      <c r="BH17" s="389"/>
      <c r="BI17" s="262"/>
      <c r="BJ17" s="262"/>
      <c r="BK17" s="262"/>
    </row>
    <row r="18" spans="1:63" ht="15.6" x14ac:dyDescent="0.3">
      <c r="A18" s="124" t="s">
        <v>1922</v>
      </c>
      <c r="B18" s="125"/>
      <c r="C18" s="377" t="s">
        <v>2175</v>
      </c>
      <c r="D18" s="377" t="s">
        <v>2176</v>
      </c>
      <c r="E18" s="376"/>
      <c r="F18" s="377" t="s">
        <v>2177</v>
      </c>
      <c r="G18" s="377" t="s">
        <v>2178</v>
      </c>
      <c r="H18" s="376"/>
      <c r="I18" s="262" t="s">
        <v>1716</v>
      </c>
      <c r="J18" s="376"/>
      <c r="K18" s="262"/>
      <c r="L18" s="262" t="s">
        <v>1716</v>
      </c>
      <c r="M18" s="387"/>
      <c r="N18" s="376"/>
      <c r="O18" s="387"/>
      <c r="P18" s="387"/>
      <c r="Q18" s="387"/>
      <c r="R18" s="387"/>
      <c r="S18" s="387"/>
      <c r="T18" s="387"/>
      <c r="U18" s="387"/>
      <c r="V18" s="373"/>
      <c r="W18" s="373"/>
      <c r="X18" s="373"/>
      <c r="Y18" s="373"/>
      <c r="Z18" s="373"/>
      <c r="AA18" s="373"/>
      <c r="AB18" s="373"/>
      <c r="AC18" s="373"/>
      <c r="AD18" s="373"/>
      <c r="AE18" s="373"/>
      <c r="AF18" s="373"/>
      <c r="AG18" s="373"/>
      <c r="AH18" s="373"/>
      <c r="AI18" s="373"/>
      <c r="AJ18" s="373"/>
      <c r="AK18" s="373"/>
      <c r="AL18" s="373"/>
      <c r="AM18" s="262"/>
      <c r="AN18" s="373"/>
      <c r="AO18" s="262"/>
      <c r="AP18" s="262"/>
      <c r="AQ18" s="262"/>
      <c r="AR18" s="262"/>
      <c r="AS18" s="262"/>
      <c r="AT18" s="262"/>
      <c r="AU18" s="376"/>
      <c r="AV18" s="262"/>
      <c r="AW18" s="380"/>
      <c r="AX18" s="380"/>
      <c r="AY18" s="380"/>
      <c r="AZ18" s="380"/>
      <c r="BA18" s="380"/>
      <c r="BB18" s="387"/>
      <c r="BC18" s="376"/>
      <c r="BD18" s="376"/>
      <c r="BE18" s="262"/>
      <c r="BF18" s="262"/>
      <c r="BG18" s="262"/>
      <c r="BH18" s="389"/>
      <c r="BI18" s="262"/>
      <c r="BJ18" s="262"/>
      <c r="BK18" s="262"/>
    </row>
    <row r="19" spans="1:63" ht="15.6" x14ac:dyDescent="0.3">
      <c r="A19" s="124" t="s">
        <v>1926</v>
      </c>
      <c r="B19" s="371" t="s">
        <v>1714</v>
      </c>
      <c r="C19" s="377"/>
      <c r="D19" s="377"/>
      <c r="E19" s="374" t="s">
        <v>2179</v>
      </c>
      <c r="F19" s="377"/>
      <c r="G19" s="377"/>
      <c r="H19" s="374" t="s">
        <v>2180</v>
      </c>
      <c r="I19" s="374" t="s">
        <v>2181</v>
      </c>
      <c r="J19" s="374" t="s">
        <v>2182</v>
      </c>
      <c r="K19" s="262"/>
      <c r="L19" s="262" t="s">
        <v>1716</v>
      </c>
      <c r="M19" s="385" t="s">
        <v>2183</v>
      </c>
      <c r="N19" s="374" t="s">
        <v>2184</v>
      </c>
      <c r="O19" s="374" t="s">
        <v>2185</v>
      </c>
      <c r="P19" s="374" t="s">
        <v>2186</v>
      </c>
      <c r="Q19" s="374" t="s">
        <v>2187</v>
      </c>
      <c r="R19" s="374" t="s">
        <v>2188</v>
      </c>
      <c r="S19" s="374" t="s">
        <v>2189</v>
      </c>
      <c r="T19" s="374" t="s">
        <v>2190</v>
      </c>
      <c r="U19" s="385" t="s">
        <v>2191</v>
      </c>
      <c r="V19" s="371" t="s">
        <v>2192</v>
      </c>
      <c r="W19" s="371" t="s">
        <v>2193</v>
      </c>
      <c r="X19" s="371" t="s">
        <v>2194</v>
      </c>
      <c r="Y19" s="371" t="s">
        <v>2195</v>
      </c>
      <c r="Z19" s="371" t="s">
        <v>2196</v>
      </c>
      <c r="AA19" s="262"/>
      <c r="AB19" s="371" t="s">
        <v>2197</v>
      </c>
      <c r="AC19" s="262"/>
      <c r="AD19" s="262"/>
      <c r="AE19" s="371" t="s">
        <v>2198</v>
      </c>
      <c r="AF19" s="371" t="s">
        <v>2199</v>
      </c>
      <c r="AG19" s="382" t="s">
        <v>2200</v>
      </c>
      <c r="AH19" s="262"/>
      <c r="AI19" s="371" t="s">
        <v>2201</v>
      </c>
      <c r="AJ19" s="371" t="s">
        <v>2202</v>
      </c>
      <c r="AK19" s="371" t="s">
        <v>2203</v>
      </c>
      <c r="AL19" s="262"/>
      <c r="AM19" s="262"/>
      <c r="AN19" s="262"/>
      <c r="AO19" s="262"/>
      <c r="AP19" s="262"/>
      <c r="AQ19" s="262"/>
      <c r="AR19" s="262"/>
      <c r="AS19" s="262"/>
      <c r="AT19" s="262"/>
      <c r="AU19" s="262" t="s">
        <v>1734</v>
      </c>
      <c r="AV19" s="262"/>
      <c r="AW19" s="380"/>
      <c r="AX19" s="380"/>
      <c r="AY19" s="380"/>
      <c r="AZ19" s="380"/>
      <c r="BA19" s="380"/>
      <c r="BB19" s="385" t="s">
        <v>1953</v>
      </c>
      <c r="BC19" s="374" t="s">
        <v>2204</v>
      </c>
      <c r="BD19" s="374" t="s">
        <v>2205</v>
      </c>
      <c r="BE19" s="262"/>
      <c r="BF19" s="262"/>
      <c r="BG19" s="262"/>
      <c r="BH19" s="390"/>
      <c r="BI19" s="262"/>
      <c r="BJ19" s="262"/>
      <c r="BK19" s="262"/>
    </row>
    <row r="20" spans="1:63" ht="15.6" x14ac:dyDescent="0.3">
      <c r="A20" s="124" t="s">
        <v>1956</v>
      </c>
      <c r="B20" s="372"/>
      <c r="C20" s="377"/>
      <c r="D20" s="377"/>
      <c r="E20" s="375"/>
      <c r="F20" s="377"/>
      <c r="G20" s="377"/>
      <c r="H20" s="375"/>
      <c r="I20" s="375"/>
      <c r="J20" s="375"/>
      <c r="K20" s="262"/>
      <c r="L20" s="379" t="s">
        <v>2206</v>
      </c>
      <c r="M20" s="386"/>
      <c r="N20" s="375"/>
      <c r="O20" s="375"/>
      <c r="P20" s="375"/>
      <c r="Q20" s="375"/>
      <c r="R20" s="375"/>
      <c r="S20" s="375"/>
      <c r="T20" s="375"/>
      <c r="U20" s="386"/>
      <c r="V20" s="372"/>
      <c r="W20" s="372"/>
      <c r="X20" s="372"/>
      <c r="Y20" s="372"/>
      <c r="Z20" s="372"/>
      <c r="AA20" s="262"/>
      <c r="AB20" s="372"/>
      <c r="AC20" s="262"/>
      <c r="AD20" s="262"/>
      <c r="AE20" s="372"/>
      <c r="AF20" s="372"/>
      <c r="AG20" s="383"/>
      <c r="AH20" s="262"/>
      <c r="AI20" s="372"/>
      <c r="AJ20" s="372"/>
      <c r="AK20" s="372"/>
      <c r="AL20" s="262"/>
      <c r="AM20" s="262"/>
      <c r="AN20" s="262"/>
      <c r="AO20" s="262"/>
      <c r="AP20" s="262"/>
      <c r="AQ20" s="262"/>
      <c r="AR20" s="262"/>
      <c r="AS20" s="262"/>
      <c r="AT20" s="262"/>
      <c r="AU20" s="262"/>
      <c r="AV20" s="262"/>
      <c r="AW20" s="380"/>
      <c r="AX20" s="380"/>
      <c r="AY20" s="380"/>
      <c r="AZ20" s="380"/>
      <c r="BA20" s="380"/>
      <c r="BB20" s="386"/>
      <c r="BC20" s="375"/>
      <c r="BD20" s="375"/>
      <c r="BE20" s="262"/>
      <c r="BF20" s="262"/>
      <c r="BG20" s="262"/>
      <c r="BH20" s="391" t="s">
        <v>2207</v>
      </c>
      <c r="BI20" s="262"/>
      <c r="BJ20" s="262"/>
      <c r="BK20" s="262"/>
    </row>
    <row r="21" spans="1:63" ht="15.6" x14ac:dyDescent="0.3">
      <c r="A21" s="124" t="s">
        <v>1958</v>
      </c>
      <c r="B21" s="373"/>
      <c r="C21" s="377"/>
      <c r="D21" s="377"/>
      <c r="E21" s="376"/>
      <c r="F21" s="377"/>
      <c r="G21" s="377"/>
      <c r="H21" s="376"/>
      <c r="I21" s="376"/>
      <c r="J21" s="376"/>
      <c r="K21" s="262"/>
      <c r="L21" s="380"/>
      <c r="M21" s="387"/>
      <c r="N21" s="376"/>
      <c r="O21" s="376"/>
      <c r="P21" s="376"/>
      <c r="Q21" s="376"/>
      <c r="R21" s="376"/>
      <c r="S21" s="376"/>
      <c r="T21" s="376"/>
      <c r="U21" s="387"/>
      <c r="V21" s="373"/>
      <c r="W21" s="373"/>
      <c r="X21" s="373"/>
      <c r="Y21" s="373"/>
      <c r="Z21" s="373"/>
      <c r="AA21" s="262"/>
      <c r="AB21" s="373"/>
      <c r="AC21" s="262"/>
      <c r="AD21" s="262"/>
      <c r="AE21" s="373"/>
      <c r="AF21" s="373"/>
      <c r="AG21" s="383"/>
      <c r="AH21" s="262"/>
      <c r="AI21" s="373"/>
      <c r="AJ21" s="373"/>
      <c r="AK21" s="373"/>
      <c r="AL21" s="262"/>
      <c r="AM21" s="262"/>
      <c r="AN21" s="262"/>
      <c r="AO21" s="262"/>
      <c r="AP21" s="262"/>
      <c r="AQ21" s="262"/>
      <c r="AR21" s="262"/>
      <c r="AS21" s="262"/>
      <c r="AT21" s="262"/>
      <c r="AU21" s="262"/>
      <c r="AV21" s="262"/>
      <c r="AW21" s="381"/>
      <c r="AX21" s="381"/>
      <c r="AY21" s="381"/>
      <c r="AZ21" s="381"/>
      <c r="BA21" s="381"/>
      <c r="BB21" s="387"/>
      <c r="BC21" s="376"/>
      <c r="BD21" s="376"/>
      <c r="BE21" s="262"/>
      <c r="BF21" s="262"/>
      <c r="BG21" s="262"/>
      <c r="BH21" s="392"/>
      <c r="BI21" s="262"/>
      <c r="BJ21" s="262"/>
      <c r="BK21" s="262"/>
    </row>
    <row r="22" spans="1:63" ht="15.75" customHeight="1" x14ac:dyDescent="0.3">
      <c r="A22" s="124" t="s">
        <v>1959</v>
      </c>
      <c r="B22" s="262" t="s">
        <v>1734</v>
      </c>
      <c r="C22" s="377" t="s">
        <v>2208</v>
      </c>
      <c r="D22" s="377" t="s">
        <v>2209</v>
      </c>
      <c r="E22" s="262" t="s">
        <v>1734</v>
      </c>
      <c r="F22" s="262" t="s">
        <v>1734</v>
      </c>
      <c r="G22" s="262" t="s">
        <v>1734</v>
      </c>
      <c r="H22" s="374" t="s">
        <v>2210</v>
      </c>
      <c r="I22" s="262" t="s">
        <v>1734</v>
      </c>
      <c r="J22" s="374" t="s">
        <v>2211</v>
      </c>
      <c r="K22" s="262"/>
      <c r="L22" s="380"/>
      <c r="M22" s="377" t="s">
        <v>2212</v>
      </c>
      <c r="N22" s="374" t="s">
        <v>2213</v>
      </c>
      <c r="O22" s="374" t="s">
        <v>2214</v>
      </c>
      <c r="P22" s="374" t="s">
        <v>2215</v>
      </c>
      <c r="Q22" s="374" t="s">
        <v>2216</v>
      </c>
      <c r="R22" s="374" t="s">
        <v>2217</v>
      </c>
      <c r="S22" s="374" t="s">
        <v>2218</v>
      </c>
      <c r="T22" s="385" t="s">
        <v>2219</v>
      </c>
      <c r="U22" s="385" t="s">
        <v>2220</v>
      </c>
      <c r="V22" s="371" t="s">
        <v>2221</v>
      </c>
      <c r="W22" s="371" t="s">
        <v>2222</v>
      </c>
      <c r="X22" s="371" t="s">
        <v>2223</v>
      </c>
      <c r="Y22" s="371" t="s">
        <v>2224</v>
      </c>
      <c r="Z22" s="371" t="s">
        <v>2225</v>
      </c>
      <c r="AA22" s="262"/>
      <c r="AB22" s="262"/>
      <c r="AC22" s="262"/>
      <c r="AD22" s="262"/>
      <c r="AE22" s="262"/>
      <c r="AF22" s="371" t="s">
        <v>2226</v>
      </c>
      <c r="AG22" s="383"/>
      <c r="AH22" s="262"/>
      <c r="AI22" s="262"/>
      <c r="AJ22" s="371" t="s">
        <v>2227</v>
      </c>
      <c r="AK22" s="262"/>
      <c r="AL22" s="262"/>
      <c r="AM22" s="262"/>
      <c r="AN22" s="262"/>
      <c r="AO22" s="262"/>
      <c r="AP22" s="262"/>
      <c r="AQ22" s="262"/>
      <c r="AR22" s="262"/>
      <c r="AS22" s="262"/>
      <c r="AT22" s="262"/>
      <c r="AU22" s="262"/>
      <c r="AV22" s="262"/>
      <c r="AW22" s="379" t="s">
        <v>2228</v>
      </c>
      <c r="AX22" s="379" t="s">
        <v>2229</v>
      </c>
      <c r="AY22" s="379" t="s">
        <v>2229</v>
      </c>
      <c r="AZ22" s="379" t="s">
        <v>2230</v>
      </c>
      <c r="BA22" s="379" t="s">
        <v>2231</v>
      </c>
      <c r="BB22" s="262" t="s">
        <v>1734</v>
      </c>
      <c r="BC22" s="374" t="s">
        <v>2232</v>
      </c>
      <c r="BD22" s="374" t="s">
        <v>2233</v>
      </c>
      <c r="BE22" s="262"/>
      <c r="BF22" s="262"/>
      <c r="BG22" s="262"/>
      <c r="BH22" s="392"/>
      <c r="BI22" s="262"/>
      <c r="BJ22" s="262"/>
      <c r="BK22" s="262"/>
    </row>
    <row r="23" spans="1:63" ht="15.6" x14ac:dyDescent="0.3">
      <c r="A23" s="124" t="s">
        <v>1980</v>
      </c>
      <c r="B23" s="262"/>
      <c r="C23" s="377"/>
      <c r="D23" s="377"/>
      <c r="E23" s="262"/>
      <c r="F23" s="262"/>
      <c r="G23" s="262"/>
      <c r="H23" s="375"/>
      <c r="I23" s="262"/>
      <c r="J23" s="375"/>
      <c r="K23" s="262"/>
      <c r="L23" s="380"/>
      <c r="M23" s="377"/>
      <c r="N23" s="375"/>
      <c r="O23" s="375"/>
      <c r="P23" s="375"/>
      <c r="Q23" s="375"/>
      <c r="R23" s="375"/>
      <c r="S23" s="375"/>
      <c r="T23" s="386"/>
      <c r="U23" s="386"/>
      <c r="V23" s="372"/>
      <c r="W23" s="372"/>
      <c r="X23" s="372"/>
      <c r="Y23" s="372"/>
      <c r="Z23" s="372"/>
      <c r="AA23" s="262"/>
      <c r="AB23" s="262"/>
      <c r="AC23" s="262"/>
      <c r="AD23" s="262"/>
      <c r="AE23" s="262"/>
      <c r="AF23" s="372"/>
      <c r="AG23" s="383"/>
      <c r="AH23" s="262"/>
      <c r="AI23" s="262"/>
      <c r="AJ23" s="372"/>
      <c r="AK23" s="262"/>
      <c r="AL23" s="262"/>
      <c r="AM23" s="262"/>
      <c r="AN23" s="262"/>
      <c r="AO23" s="262"/>
      <c r="AP23" s="262"/>
      <c r="AQ23" s="262"/>
      <c r="AR23" s="262"/>
      <c r="AS23" s="262"/>
      <c r="AT23" s="262"/>
      <c r="AU23" s="262"/>
      <c r="AV23" s="262"/>
      <c r="AW23" s="380"/>
      <c r="AX23" s="380"/>
      <c r="AY23" s="380"/>
      <c r="AZ23" s="380"/>
      <c r="BA23" s="380"/>
      <c r="BB23" s="262"/>
      <c r="BC23" s="375"/>
      <c r="BD23" s="375"/>
      <c r="BE23" s="262"/>
      <c r="BF23" s="262"/>
      <c r="BG23" s="262"/>
      <c r="BH23" s="392"/>
      <c r="BI23" s="262"/>
      <c r="BJ23" s="262"/>
      <c r="BK23" s="262"/>
    </row>
    <row r="24" spans="1:63" ht="15.6" x14ac:dyDescent="0.3">
      <c r="A24" s="124" t="s">
        <v>1981</v>
      </c>
      <c r="B24" s="262"/>
      <c r="C24" s="377"/>
      <c r="D24" s="377"/>
      <c r="E24" s="262"/>
      <c r="F24" s="262"/>
      <c r="G24" s="262"/>
      <c r="H24" s="376"/>
      <c r="I24" s="262"/>
      <c r="J24" s="376"/>
      <c r="K24" s="262"/>
      <c r="L24" s="380"/>
      <c r="M24" s="377"/>
      <c r="N24" s="376"/>
      <c r="O24" s="376"/>
      <c r="P24" s="376"/>
      <c r="Q24" s="376"/>
      <c r="R24" s="376"/>
      <c r="S24" s="376"/>
      <c r="T24" s="387"/>
      <c r="U24" s="387"/>
      <c r="V24" s="373"/>
      <c r="W24" s="373"/>
      <c r="X24" s="373"/>
      <c r="Y24" s="373"/>
      <c r="Z24" s="373"/>
      <c r="AA24" s="262"/>
      <c r="AB24" s="262"/>
      <c r="AC24" s="262"/>
      <c r="AD24" s="262"/>
      <c r="AE24" s="262"/>
      <c r="AF24" s="373"/>
      <c r="AG24" s="384"/>
      <c r="AH24" s="262"/>
      <c r="AI24" s="262"/>
      <c r="AJ24" s="373"/>
      <c r="AK24" s="262"/>
      <c r="AL24" s="262"/>
      <c r="AM24" s="262"/>
      <c r="AN24" s="262"/>
      <c r="AO24" s="262"/>
      <c r="AP24" s="262"/>
      <c r="AQ24" s="262"/>
      <c r="AR24" s="262"/>
      <c r="AS24" s="262"/>
      <c r="AT24" s="262"/>
      <c r="AU24" s="262"/>
      <c r="AV24" s="262"/>
      <c r="AW24" s="380"/>
      <c r="AX24" s="380"/>
      <c r="AY24" s="380"/>
      <c r="AZ24" s="380"/>
      <c r="BA24" s="380"/>
      <c r="BB24" s="262"/>
      <c r="BC24" s="376"/>
      <c r="BD24" s="376"/>
      <c r="BE24" s="262"/>
      <c r="BF24" s="262"/>
      <c r="BG24" s="262"/>
      <c r="BH24" s="392"/>
      <c r="BI24" s="262"/>
      <c r="BJ24" s="262"/>
      <c r="BK24" s="262"/>
    </row>
    <row r="25" spans="1:63" ht="15.6" x14ac:dyDescent="0.3">
      <c r="A25" s="124" t="s">
        <v>1982</v>
      </c>
      <c r="B25" s="262"/>
      <c r="C25" s="377"/>
      <c r="D25" s="377"/>
      <c r="E25" s="262"/>
      <c r="F25" s="262"/>
      <c r="G25" s="262"/>
      <c r="H25" s="262" t="s">
        <v>1734</v>
      </c>
      <c r="I25" s="262"/>
      <c r="J25" s="262" t="s">
        <v>1734</v>
      </c>
      <c r="K25" s="262"/>
      <c r="L25" s="381"/>
      <c r="M25" s="377"/>
      <c r="N25" s="262" t="s">
        <v>1734</v>
      </c>
      <c r="O25" s="378" t="s">
        <v>2234</v>
      </c>
      <c r="P25" s="262" t="s">
        <v>1734</v>
      </c>
      <c r="Q25" s="262" t="s">
        <v>1734</v>
      </c>
      <c r="R25" s="262" t="s">
        <v>1734</v>
      </c>
      <c r="S25" s="262" t="s">
        <v>1734</v>
      </c>
      <c r="T25" s="262" t="s">
        <v>1734</v>
      </c>
      <c r="U25" s="262" t="s">
        <v>1734</v>
      </c>
      <c r="V25" s="262"/>
      <c r="W25" s="262"/>
      <c r="X25" s="262"/>
      <c r="Y25" s="262"/>
      <c r="Z25" s="262"/>
      <c r="AA25" s="262"/>
      <c r="AB25" s="262"/>
      <c r="AC25" s="262"/>
      <c r="AD25" s="262"/>
      <c r="AE25" s="262"/>
      <c r="AF25" s="262"/>
      <c r="AG25" s="262" t="s">
        <v>1734</v>
      </c>
      <c r="AH25" s="262"/>
      <c r="AI25" s="262"/>
      <c r="AJ25" s="262"/>
      <c r="AK25" s="262"/>
      <c r="AL25" s="262"/>
      <c r="AM25" s="262"/>
      <c r="AN25" s="262"/>
      <c r="AO25" s="262"/>
      <c r="AP25" s="262"/>
      <c r="AQ25" s="262"/>
      <c r="AR25" s="262"/>
      <c r="AS25" s="262"/>
      <c r="AT25" s="262"/>
      <c r="AU25" s="262"/>
      <c r="AV25" s="262"/>
      <c r="AW25" s="380"/>
      <c r="AX25" s="380"/>
      <c r="AY25" s="380"/>
      <c r="AZ25" s="380"/>
      <c r="BA25" s="380"/>
      <c r="BB25" s="262"/>
      <c r="BC25" s="262" t="s">
        <v>1734</v>
      </c>
      <c r="BD25" s="262" t="s">
        <v>1734</v>
      </c>
      <c r="BE25" s="262"/>
      <c r="BF25" s="262"/>
      <c r="BG25" s="262"/>
      <c r="BH25" s="393"/>
      <c r="BI25" s="262"/>
      <c r="BJ25" s="262"/>
      <c r="BK25" s="262"/>
    </row>
    <row r="26" spans="1:63" ht="15.6" x14ac:dyDescent="0.3">
      <c r="A26" s="124" t="s">
        <v>1983</v>
      </c>
      <c r="B26" s="262"/>
      <c r="C26" s="262" t="s">
        <v>1734</v>
      </c>
      <c r="D26" s="262" t="s">
        <v>1734</v>
      </c>
      <c r="E26" s="262"/>
      <c r="F26" s="262"/>
      <c r="G26" s="262"/>
      <c r="H26" s="262"/>
      <c r="I26" s="262"/>
      <c r="J26" s="262"/>
      <c r="K26" s="262"/>
      <c r="L26" s="262" t="s">
        <v>1734</v>
      </c>
      <c r="M26" s="262" t="s">
        <v>1734</v>
      </c>
      <c r="N26" s="262"/>
      <c r="O26" s="378"/>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380"/>
      <c r="AX26" s="380"/>
      <c r="AY26" s="380"/>
      <c r="AZ26" s="380"/>
      <c r="BA26" s="380"/>
      <c r="BB26" s="262"/>
      <c r="BC26" s="262"/>
      <c r="BD26" s="262"/>
      <c r="BE26" s="262"/>
      <c r="BF26" s="262"/>
      <c r="BG26" s="262"/>
      <c r="BH26" s="262" t="s">
        <v>1734</v>
      </c>
      <c r="BI26" s="262"/>
      <c r="BJ26" s="262"/>
      <c r="BK26" s="262"/>
    </row>
    <row r="27" spans="1:63" ht="15.6" x14ac:dyDescent="0.3">
      <c r="A27" s="124" t="s">
        <v>1984</v>
      </c>
      <c r="B27" s="262"/>
      <c r="C27" s="262"/>
      <c r="D27" s="262"/>
      <c r="E27" s="262"/>
      <c r="F27" s="262"/>
      <c r="G27" s="262"/>
      <c r="H27" s="262"/>
      <c r="I27" s="262"/>
      <c r="J27" s="262"/>
      <c r="K27" s="262"/>
      <c r="L27" s="262"/>
      <c r="M27" s="262"/>
      <c r="N27" s="262"/>
      <c r="O27" s="262" t="s">
        <v>1734</v>
      </c>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381"/>
      <c r="AX27" s="381"/>
      <c r="AY27" s="381"/>
      <c r="AZ27" s="381"/>
      <c r="BA27" s="381"/>
      <c r="BB27" s="262"/>
      <c r="BC27" s="262"/>
      <c r="BD27" s="262"/>
      <c r="BE27" s="262"/>
      <c r="BF27" s="262"/>
      <c r="BG27" s="262"/>
      <c r="BH27" s="262"/>
      <c r="BI27" s="262"/>
      <c r="BJ27" s="262"/>
      <c r="BK27" s="262"/>
    </row>
    <row r="28" spans="1:63" ht="15.6" x14ac:dyDescent="0.3">
      <c r="A28" s="124" t="s">
        <v>1985</v>
      </c>
      <c r="B28" s="262"/>
      <c r="C28" s="262"/>
      <c r="D28" s="262"/>
      <c r="E28" s="262"/>
      <c r="F28" s="262"/>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t="s">
        <v>1734</v>
      </c>
      <c r="AX28" s="262" t="s">
        <v>1734</v>
      </c>
      <c r="AY28" s="262" t="s">
        <v>1734</v>
      </c>
      <c r="AZ28" s="262" t="s">
        <v>1734</v>
      </c>
      <c r="BA28" s="262" t="s">
        <v>1734</v>
      </c>
      <c r="BB28" s="262"/>
      <c r="BC28" s="262"/>
      <c r="BD28" s="262"/>
      <c r="BE28" s="262"/>
      <c r="BF28" s="262"/>
      <c r="BG28" s="262"/>
      <c r="BH28" s="262"/>
      <c r="BI28" s="262"/>
      <c r="BJ28" s="262"/>
      <c r="BK28" s="262"/>
    </row>
    <row r="29" spans="1:63" ht="15.6" x14ac:dyDescent="0.3">
      <c r="A29" s="124" t="s">
        <v>1986</v>
      </c>
      <c r="B29" s="262"/>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2"/>
      <c r="BD29" s="262"/>
      <c r="BE29" s="262"/>
      <c r="BF29" s="262"/>
      <c r="BG29" s="262"/>
      <c r="BH29" s="262"/>
      <c r="BI29" s="262"/>
      <c r="BJ29" s="262"/>
      <c r="BK29" s="262"/>
    </row>
    <row r="30" spans="1:63" ht="15.6" x14ac:dyDescent="0.3">
      <c r="A30" s="124" t="s">
        <v>1987</v>
      </c>
      <c r="B30" s="262"/>
      <c r="C30" s="262"/>
      <c r="D30" s="262"/>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row>
    <row r="31" spans="1:63" ht="16.2" thickBot="1" x14ac:dyDescent="0.35">
      <c r="A31" s="126" t="s">
        <v>1988</v>
      </c>
      <c r="B31" s="264"/>
      <c r="C31" s="264"/>
      <c r="D31" s="264"/>
      <c r="E31" s="264"/>
      <c r="F31" s="264"/>
      <c r="G31" s="264"/>
      <c r="H31" s="264"/>
      <c r="I31" s="264"/>
      <c r="J31" s="264"/>
      <c r="K31" s="264"/>
      <c r="L31" s="264"/>
      <c r="M31" s="264"/>
      <c r="N31" s="264"/>
      <c r="O31" s="264"/>
      <c r="P31" s="264"/>
      <c r="Q31" s="264"/>
      <c r="R31" s="264"/>
      <c r="S31" s="264"/>
      <c r="T31" s="264"/>
      <c r="U31" s="264"/>
      <c r="V31" s="264"/>
      <c r="W31" s="264"/>
      <c r="X31" s="264"/>
      <c r="Y31" s="264"/>
      <c r="Z31" s="264"/>
      <c r="AA31" s="264"/>
      <c r="AB31" s="264"/>
      <c r="AC31" s="264"/>
      <c r="AD31" s="264"/>
      <c r="AE31" s="264"/>
      <c r="AF31" s="264"/>
      <c r="AG31" s="264"/>
      <c r="AH31" s="264"/>
      <c r="AI31" s="264"/>
      <c r="AJ31" s="264"/>
      <c r="AK31" s="264"/>
      <c r="AL31" s="264"/>
      <c r="AM31" s="264"/>
      <c r="AN31" s="264"/>
      <c r="AO31" s="264"/>
      <c r="AP31" s="264"/>
      <c r="AQ31" s="264"/>
      <c r="AR31" s="264"/>
      <c r="AS31" s="264"/>
      <c r="AT31" s="264"/>
      <c r="AU31" s="264"/>
      <c r="AV31" s="264"/>
      <c r="AW31" s="262"/>
      <c r="AX31" s="264"/>
      <c r="AY31" s="264"/>
      <c r="AZ31" s="264"/>
      <c r="BA31" s="264"/>
      <c r="BB31" s="264"/>
      <c r="BC31" s="264"/>
      <c r="BD31" s="264"/>
      <c r="BE31" s="264"/>
      <c r="BF31" s="264"/>
      <c r="BG31" s="264"/>
      <c r="BH31" s="264"/>
      <c r="BI31" s="264"/>
      <c r="BJ31" s="264"/>
      <c r="BK31" s="264"/>
    </row>
    <row r="32" spans="1:63" s="114" customFormat="1" ht="24" customHeight="1" thickBot="1" x14ac:dyDescent="0.35">
      <c r="A32" s="111" t="s">
        <v>1989</v>
      </c>
      <c r="B32" s="112">
        <f t="shared" ref="B32:AG32" ca="1" si="0">IF(COUNTA(B$4:B$31)=0,"",(COUNTA(TIME)-COUNTIF(B$33:B$60,TRUE))/COUNTA(TIME))</f>
        <v>1</v>
      </c>
      <c r="C32" s="113">
        <f t="shared" ca="1" si="0"/>
        <v>1</v>
      </c>
      <c r="D32" s="113">
        <f t="shared" ca="1" si="0"/>
        <v>1</v>
      </c>
      <c r="E32" s="113">
        <f t="shared" ca="1" si="0"/>
        <v>1</v>
      </c>
      <c r="F32" s="113">
        <f t="shared" ca="1" si="0"/>
        <v>1</v>
      </c>
      <c r="G32" s="113">
        <f t="shared" ca="1" si="0"/>
        <v>1</v>
      </c>
      <c r="H32" s="113">
        <f t="shared" ca="1" si="0"/>
        <v>1</v>
      </c>
      <c r="I32" s="113">
        <f t="shared" ca="1" si="0"/>
        <v>1</v>
      </c>
      <c r="J32" s="113">
        <f t="shared" ca="1" si="0"/>
        <v>1</v>
      </c>
      <c r="K32" s="113">
        <f t="shared" ca="1" si="0"/>
        <v>1</v>
      </c>
      <c r="L32" s="113">
        <f t="shared" ca="1" si="0"/>
        <v>1</v>
      </c>
      <c r="M32" s="113">
        <f t="shared" ca="1" si="0"/>
        <v>1</v>
      </c>
      <c r="N32" s="113">
        <f t="shared" ca="1" si="0"/>
        <v>1</v>
      </c>
      <c r="O32" s="113">
        <f t="shared" ca="1" si="0"/>
        <v>1</v>
      </c>
      <c r="P32" s="113">
        <f t="shared" ca="1" si="0"/>
        <v>1</v>
      </c>
      <c r="Q32" s="113">
        <f t="shared" ca="1" si="0"/>
        <v>1</v>
      </c>
      <c r="R32" s="113">
        <f t="shared" ca="1" si="0"/>
        <v>1</v>
      </c>
      <c r="S32" s="113">
        <f t="shared" ca="1" si="0"/>
        <v>1</v>
      </c>
      <c r="T32" s="113">
        <f t="shared" ca="1" si="0"/>
        <v>1</v>
      </c>
      <c r="U32" s="113">
        <f t="shared" ca="1" si="0"/>
        <v>1</v>
      </c>
      <c r="V32" s="113">
        <f t="shared" ca="1" si="0"/>
        <v>1</v>
      </c>
      <c r="W32" s="113">
        <f t="shared" ca="1" si="0"/>
        <v>1</v>
      </c>
      <c r="X32" s="113">
        <f t="shared" ca="1" si="0"/>
        <v>1</v>
      </c>
      <c r="Y32" s="113">
        <f t="shared" ca="1" si="0"/>
        <v>1</v>
      </c>
      <c r="Z32" s="113">
        <f t="shared" ca="1" si="0"/>
        <v>1</v>
      </c>
      <c r="AA32" s="113">
        <f t="shared" ca="1" si="0"/>
        <v>1</v>
      </c>
      <c r="AB32" s="113">
        <f t="shared" ca="1" si="0"/>
        <v>1</v>
      </c>
      <c r="AC32" s="113">
        <f t="shared" ca="1" si="0"/>
        <v>1</v>
      </c>
      <c r="AD32" s="113">
        <f t="shared" ca="1" si="0"/>
        <v>1</v>
      </c>
      <c r="AE32" s="113">
        <f t="shared" ca="1" si="0"/>
        <v>1</v>
      </c>
      <c r="AF32" s="113">
        <f t="shared" ca="1" si="0"/>
        <v>1</v>
      </c>
      <c r="AG32" s="113">
        <f t="shared" ca="1" si="0"/>
        <v>1</v>
      </c>
      <c r="AH32" s="113">
        <f t="shared" ref="AH32:BK32" ca="1" si="1">IF(COUNTA(AH$4:AH$31)=0,"",(COUNTA(TIME)-COUNTIF(AH$33:AH$60,TRUE))/COUNTA(TIME))</f>
        <v>1</v>
      </c>
      <c r="AI32" s="113">
        <f t="shared" ca="1" si="1"/>
        <v>1</v>
      </c>
      <c r="AJ32" s="113">
        <f t="shared" ca="1" si="1"/>
        <v>1</v>
      </c>
      <c r="AK32" s="113">
        <f t="shared" ca="1" si="1"/>
        <v>1</v>
      </c>
      <c r="AL32" s="113">
        <f t="shared" ca="1" si="1"/>
        <v>1</v>
      </c>
      <c r="AM32" s="113">
        <f t="shared" ca="1" si="1"/>
        <v>1</v>
      </c>
      <c r="AN32" s="113">
        <f t="shared" ca="1" si="1"/>
        <v>1</v>
      </c>
      <c r="AO32" s="113">
        <f t="shared" ca="1" si="1"/>
        <v>1</v>
      </c>
      <c r="AP32" s="113" t="str">
        <f t="shared" si="1"/>
        <v/>
      </c>
      <c r="AQ32" s="113" t="str">
        <f t="shared" si="1"/>
        <v/>
      </c>
      <c r="AR32" s="113" t="str">
        <f t="shared" si="1"/>
        <v/>
      </c>
      <c r="AS32" s="113" t="str">
        <f t="shared" si="1"/>
        <v/>
      </c>
      <c r="AT32" s="113" t="str">
        <f t="shared" si="1"/>
        <v/>
      </c>
      <c r="AU32" s="113">
        <f t="shared" ca="1" si="1"/>
        <v>1</v>
      </c>
      <c r="AV32" s="113">
        <f t="shared" ca="1" si="1"/>
        <v>1</v>
      </c>
      <c r="AW32" s="113">
        <f ca="1">IF(COUNTA(AW$4:AW$31)=0,"",(COUNTA(TIME)-COUNTIF(AW$33:AW$60,TRUE))/COUNTA(TIME))</f>
        <v>1</v>
      </c>
      <c r="AX32" s="113">
        <f t="shared" ca="1" si="1"/>
        <v>1</v>
      </c>
      <c r="AY32" s="113">
        <f t="shared" ca="1" si="1"/>
        <v>1</v>
      </c>
      <c r="AZ32" s="113">
        <f t="shared" ca="1" si="1"/>
        <v>1</v>
      </c>
      <c r="BA32" s="113">
        <f t="shared" ca="1" si="1"/>
        <v>1</v>
      </c>
      <c r="BB32" s="113">
        <f t="shared" ca="1" si="1"/>
        <v>1</v>
      </c>
      <c r="BC32" s="113">
        <f t="shared" ca="1" si="1"/>
        <v>1</v>
      </c>
      <c r="BD32" s="113">
        <f t="shared" ca="1" si="1"/>
        <v>1</v>
      </c>
      <c r="BE32" s="113">
        <f t="shared" ca="1" si="1"/>
        <v>1</v>
      </c>
      <c r="BF32" s="113">
        <f t="shared" ca="1" si="1"/>
        <v>1</v>
      </c>
      <c r="BG32" s="113">
        <f t="shared" ca="1" si="1"/>
        <v>1</v>
      </c>
      <c r="BH32" s="113">
        <f t="shared" ca="1" si="1"/>
        <v>1</v>
      </c>
      <c r="BI32" s="113" t="str">
        <f t="shared" si="1"/>
        <v/>
      </c>
      <c r="BJ32" s="113" t="str">
        <f t="shared" si="1"/>
        <v/>
      </c>
      <c r="BK32" s="113" t="str">
        <f t="shared" si="1"/>
        <v/>
      </c>
    </row>
    <row r="33" spans="2:63" x14ac:dyDescent="0.3">
      <c r="B33" s="128" t="e" cm="1">
        <f t="array" aca="1" ref="B33" ca="1">Notmerged(B4)</f>
        <v>#NAME?</v>
      </c>
      <c r="C33" s="128" t="e" cm="1">
        <f t="array" aca="1" ref="C33" ca="1">Notmerged(C4)</f>
        <v>#NAME?</v>
      </c>
      <c r="D33" s="128" t="e" cm="1">
        <f t="array" aca="1" ref="D33" ca="1">Notmerged(D4)</f>
        <v>#NAME?</v>
      </c>
      <c r="E33" s="128" t="e" cm="1">
        <f t="array" aca="1" ref="E33" ca="1">Notmerged(E4)</f>
        <v>#NAME?</v>
      </c>
      <c r="F33" s="128" t="e" cm="1">
        <f t="array" aca="1" ref="F33" ca="1">Notmerged(F4)</f>
        <v>#NAME?</v>
      </c>
      <c r="G33" s="128" t="e" cm="1">
        <f t="array" aca="1" ref="G33" ca="1">Notmerged(G4)</f>
        <v>#NAME?</v>
      </c>
      <c r="H33" s="128" t="e" cm="1">
        <f t="array" aca="1" ref="H33" ca="1">Notmerged(H4)</f>
        <v>#NAME?</v>
      </c>
      <c r="I33" s="128" t="e" cm="1">
        <f t="array" aca="1" ref="I33" ca="1">Notmerged(I4)</f>
        <v>#NAME?</v>
      </c>
      <c r="J33" s="128" t="e" cm="1">
        <f t="array" aca="1" ref="J33" ca="1">Notmerged(J4)</f>
        <v>#NAME?</v>
      </c>
      <c r="K33" s="128" t="e" cm="1">
        <f t="array" aca="1" ref="K33" ca="1">Notmerged(K4)</f>
        <v>#NAME?</v>
      </c>
      <c r="L33" s="128" t="e" cm="1">
        <f t="array" aca="1" ref="L33" ca="1">Notmerged(L4)</f>
        <v>#NAME?</v>
      </c>
      <c r="M33" s="128" t="e" cm="1">
        <f t="array" aca="1" ref="M33" ca="1">Notmerged(M4)</f>
        <v>#NAME?</v>
      </c>
      <c r="N33" s="128" t="e" cm="1">
        <f t="array" aca="1" ref="N33" ca="1">Notmerged(N4)</f>
        <v>#NAME?</v>
      </c>
      <c r="O33" s="128" t="e" cm="1">
        <f t="array" aca="1" ref="O33" ca="1">Notmerged(O4)</f>
        <v>#NAME?</v>
      </c>
      <c r="P33" s="128" t="e" cm="1">
        <f t="array" aca="1" ref="P33" ca="1">Notmerged(P4)</f>
        <v>#NAME?</v>
      </c>
      <c r="Q33" s="128" t="e" cm="1">
        <f t="array" aca="1" ref="Q33" ca="1">Notmerged(Q4)</f>
        <v>#NAME?</v>
      </c>
      <c r="R33" s="128" t="e" cm="1">
        <f t="array" aca="1" ref="R33" ca="1">Notmerged(R4)</f>
        <v>#NAME?</v>
      </c>
      <c r="S33" s="128" t="e" cm="1">
        <f t="array" aca="1" ref="S33" ca="1">Notmerged(S4)</f>
        <v>#NAME?</v>
      </c>
      <c r="T33" s="128" t="e" cm="1">
        <f t="array" aca="1" ref="T33" ca="1">Notmerged(T4)</f>
        <v>#NAME?</v>
      </c>
      <c r="U33" s="128" t="e" cm="1">
        <f t="array" aca="1" ref="U33" ca="1">Notmerged(U4)</f>
        <v>#NAME?</v>
      </c>
      <c r="V33" s="128" t="e" cm="1">
        <f t="array" aca="1" ref="V33" ca="1">Notmerged(V4)</f>
        <v>#NAME?</v>
      </c>
      <c r="W33" s="128" t="e" cm="1">
        <f t="array" aca="1" ref="W33" ca="1">Notmerged(W4)</f>
        <v>#NAME?</v>
      </c>
      <c r="X33" s="128" t="e" cm="1">
        <f t="array" aca="1" ref="X33" ca="1">Notmerged(X4)</f>
        <v>#NAME?</v>
      </c>
      <c r="Y33" s="128" t="e" cm="1">
        <f t="array" aca="1" ref="Y33" ca="1">Notmerged(Y4)</f>
        <v>#NAME?</v>
      </c>
      <c r="Z33" s="128" t="e" cm="1">
        <f t="array" aca="1" ref="Z33" ca="1">Notmerged(Z4)</f>
        <v>#NAME?</v>
      </c>
      <c r="AA33" s="128" t="e" cm="1">
        <f t="array" aca="1" ref="AA33" ca="1">Notmerged(AA4)</f>
        <v>#NAME?</v>
      </c>
      <c r="AB33" s="128" t="e" cm="1">
        <f t="array" aca="1" ref="AB33" ca="1">Notmerged(AB4)</f>
        <v>#NAME?</v>
      </c>
      <c r="AC33" s="128" t="e" cm="1">
        <f t="array" aca="1" ref="AC33" ca="1">Notmerged(AC4)</f>
        <v>#NAME?</v>
      </c>
      <c r="AD33" s="128" t="e" cm="1">
        <f t="array" aca="1" ref="AD33" ca="1">Notmerged(AD4)</f>
        <v>#NAME?</v>
      </c>
      <c r="AE33" s="128" t="e" cm="1">
        <f t="array" aca="1" ref="AE33" ca="1">Notmerged(AE4)</f>
        <v>#NAME?</v>
      </c>
      <c r="AF33" s="128" t="e" cm="1">
        <f t="array" aca="1" ref="AF33" ca="1">Notmerged(AF4)</f>
        <v>#NAME?</v>
      </c>
      <c r="AG33" s="128" t="e" cm="1">
        <f t="array" aca="1" ref="AG33" ca="1">Notmerged(AG4)</f>
        <v>#NAME?</v>
      </c>
      <c r="AH33" s="128" t="e" cm="1">
        <f t="array" aca="1" ref="AH33" ca="1">Notmerged(AH4)</f>
        <v>#NAME?</v>
      </c>
      <c r="AI33" s="128" t="e" cm="1">
        <f t="array" aca="1" ref="AI33" ca="1">Notmerged(AI4)</f>
        <v>#NAME?</v>
      </c>
      <c r="AJ33" s="128" t="e" cm="1">
        <f t="array" aca="1" ref="AJ33" ca="1">Notmerged(AJ4)</f>
        <v>#NAME?</v>
      </c>
      <c r="AK33" s="128" t="e" cm="1">
        <f t="array" aca="1" ref="AK33" ca="1">Notmerged(AK4)</f>
        <v>#NAME?</v>
      </c>
      <c r="AL33" s="128" t="e" cm="1">
        <f t="array" aca="1" ref="AL33" ca="1">Notmerged(AL4)</f>
        <v>#NAME?</v>
      </c>
      <c r="AM33" s="128" t="e" cm="1">
        <f t="array" aca="1" ref="AM33" ca="1">Notmerged(AM4)</f>
        <v>#NAME?</v>
      </c>
      <c r="AN33" s="128" t="e" cm="1">
        <f t="array" aca="1" ref="AN33" ca="1">Notmerged(AN4)</f>
        <v>#NAME?</v>
      </c>
      <c r="AO33" s="128" t="e" cm="1">
        <f t="array" aca="1" ref="AO33" ca="1">Notmerged(AO4)</f>
        <v>#NAME?</v>
      </c>
      <c r="AP33" s="128" t="e" cm="1">
        <f t="array" aca="1" ref="AP33" ca="1">Notmerged(AP4)</f>
        <v>#NAME?</v>
      </c>
      <c r="AQ33" s="128" t="e" cm="1">
        <f t="array" aca="1" ref="AQ33" ca="1">Notmerged(AQ4)</f>
        <v>#NAME?</v>
      </c>
      <c r="AR33" s="128" t="e" cm="1">
        <f t="array" aca="1" ref="AR33" ca="1">Notmerged(AR4)</f>
        <v>#NAME?</v>
      </c>
      <c r="AS33" s="128" t="e" cm="1">
        <f t="array" aca="1" ref="AS33" ca="1">Notmerged(AS4)</f>
        <v>#NAME?</v>
      </c>
      <c r="AT33" s="128" t="e" cm="1">
        <f t="array" aca="1" ref="AT33" ca="1">Notmerged(AT4)</f>
        <v>#NAME?</v>
      </c>
      <c r="AU33" s="128" t="e" cm="1">
        <f t="array" aca="1" ref="AU33" ca="1">Notmerged(AU4)</f>
        <v>#NAME?</v>
      </c>
      <c r="AV33" s="128" t="e" cm="1">
        <f t="array" aca="1" ref="AV33" ca="1">Notmerged(AV4)</f>
        <v>#NAME?</v>
      </c>
      <c r="AW33" s="128" t="e" cm="1">
        <f t="array" aca="1" ref="AW33" ca="1">Notmerged(AW4)</f>
        <v>#NAME?</v>
      </c>
      <c r="AX33" s="128" t="e" cm="1">
        <f t="array" aca="1" ref="AX33" ca="1">Notmerged(AX4)</f>
        <v>#NAME?</v>
      </c>
      <c r="AY33" s="128" t="e" cm="1">
        <f t="array" aca="1" ref="AY33" ca="1">Notmerged(AY4)</f>
        <v>#NAME?</v>
      </c>
      <c r="AZ33" s="128" t="e" cm="1">
        <f t="array" aca="1" ref="AZ33" ca="1">Notmerged(AZ4)</f>
        <v>#NAME?</v>
      </c>
      <c r="BA33" s="128" t="e" cm="1">
        <f t="array" aca="1" ref="BA33" ca="1">Notmerged(BA4)</f>
        <v>#NAME?</v>
      </c>
      <c r="BB33" s="128" t="e" cm="1">
        <f t="array" aca="1" ref="BB33" ca="1">Notmerged(BB4)</f>
        <v>#NAME?</v>
      </c>
      <c r="BC33" s="128" t="e" cm="1">
        <f t="array" aca="1" ref="BC33" ca="1">Notmerged(BC4)</f>
        <v>#NAME?</v>
      </c>
      <c r="BD33" s="128" t="e" cm="1">
        <f t="array" aca="1" ref="BD33" ca="1">Notmerged(BD4)</f>
        <v>#NAME?</v>
      </c>
      <c r="BE33" s="128" t="e" cm="1">
        <f t="array" aca="1" ref="BE33" ca="1">Notmerged(BE4)</f>
        <v>#NAME?</v>
      </c>
      <c r="BF33" s="128" t="e" cm="1">
        <f t="array" aca="1" ref="BF33" ca="1">Notmerged(BF4)</f>
        <v>#NAME?</v>
      </c>
      <c r="BG33" s="128" t="e" cm="1">
        <f t="array" aca="1" ref="BG33" ca="1">Notmerged(BG4)</f>
        <v>#NAME?</v>
      </c>
      <c r="BH33" s="128" t="e" cm="1">
        <f t="array" aca="1" ref="BH33" ca="1">Notmerged(BH4)</f>
        <v>#NAME?</v>
      </c>
      <c r="BI33" s="128" t="e" cm="1">
        <f t="array" aca="1" ref="BI33" ca="1">Notmerged(BI4)</f>
        <v>#NAME?</v>
      </c>
      <c r="BJ33" s="128" t="e" cm="1">
        <f t="array" aca="1" ref="BJ33" ca="1">Notmerged(BJ4)</f>
        <v>#NAME?</v>
      </c>
      <c r="BK33" s="128" t="e" cm="1">
        <f t="array" aca="1" ref="BK33" ca="1">Notmerged(BK4)</f>
        <v>#NAME?</v>
      </c>
    </row>
    <row r="34" spans="2:63" x14ac:dyDescent="0.3">
      <c r="B34" s="128" t="e" cm="1">
        <f t="array" aca="1" ref="B34" ca="1">Notmerged(B5)</f>
        <v>#NAME?</v>
      </c>
      <c r="C34" s="128" t="e" cm="1">
        <f t="array" aca="1" ref="C34" ca="1">Notmerged(C5)</f>
        <v>#NAME?</v>
      </c>
      <c r="D34" s="128" t="e" cm="1">
        <f t="array" aca="1" ref="D34" ca="1">Notmerged(D5)</f>
        <v>#NAME?</v>
      </c>
      <c r="E34" s="128" t="e" cm="1">
        <f t="array" aca="1" ref="E34" ca="1">Notmerged(E5)</f>
        <v>#NAME?</v>
      </c>
      <c r="F34" s="128" t="e" cm="1">
        <f t="array" aca="1" ref="F34" ca="1">Notmerged(F5)</f>
        <v>#NAME?</v>
      </c>
      <c r="G34" s="128" t="e" cm="1">
        <f t="array" aca="1" ref="G34" ca="1">Notmerged(G5)</f>
        <v>#NAME?</v>
      </c>
      <c r="H34" s="128" t="e" cm="1">
        <f t="array" aca="1" ref="H34" ca="1">Notmerged(H5)</f>
        <v>#NAME?</v>
      </c>
      <c r="I34" s="128" t="e" cm="1">
        <f t="array" aca="1" ref="I34" ca="1">Notmerged(I5)</f>
        <v>#NAME?</v>
      </c>
      <c r="J34" s="128" t="e" cm="1">
        <f t="array" aca="1" ref="J34" ca="1">Notmerged(J5)</f>
        <v>#NAME?</v>
      </c>
      <c r="K34" s="128" t="e" cm="1">
        <f t="array" aca="1" ref="K34" ca="1">Notmerged(K5)</f>
        <v>#NAME?</v>
      </c>
      <c r="L34" s="128" t="e" cm="1">
        <f t="array" aca="1" ref="L34" ca="1">Notmerged(L5)</f>
        <v>#NAME?</v>
      </c>
      <c r="M34" s="128" t="e" cm="1">
        <f t="array" aca="1" ref="M34" ca="1">Notmerged(M5)</f>
        <v>#NAME?</v>
      </c>
      <c r="N34" s="128" t="e" cm="1">
        <f t="array" aca="1" ref="N34" ca="1">Notmerged(N5)</f>
        <v>#NAME?</v>
      </c>
      <c r="O34" s="128" t="e" cm="1">
        <f t="array" aca="1" ref="O34" ca="1">Notmerged(O5)</f>
        <v>#NAME?</v>
      </c>
      <c r="P34" s="128" t="e" cm="1">
        <f t="array" aca="1" ref="P34" ca="1">Notmerged(P5)</f>
        <v>#NAME?</v>
      </c>
      <c r="Q34" s="128" t="e" cm="1">
        <f t="array" aca="1" ref="Q34" ca="1">Notmerged(Q5)</f>
        <v>#NAME?</v>
      </c>
      <c r="R34" s="128" t="e" cm="1">
        <f t="array" aca="1" ref="R34" ca="1">Notmerged(R5)</f>
        <v>#NAME?</v>
      </c>
      <c r="S34" s="128" t="e" cm="1">
        <f t="array" aca="1" ref="S34" ca="1">Notmerged(S5)</f>
        <v>#NAME?</v>
      </c>
      <c r="T34" s="128" t="e" cm="1">
        <f t="array" aca="1" ref="T34" ca="1">Notmerged(T5)</f>
        <v>#NAME?</v>
      </c>
      <c r="U34" s="128" t="e" cm="1">
        <f t="array" aca="1" ref="U34" ca="1">Notmerged(U5)</f>
        <v>#NAME?</v>
      </c>
      <c r="V34" s="128" t="e" cm="1">
        <f t="array" aca="1" ref="V34" ca="1">Notmerged(V5)</f>
        <v>#NAME?</v>
      </c>
      <c r="W34" s="128" t="e" cm="1">
        <f t="array" aca="1" ref="W34" ca="1">Notmerged(W5)</f>
        <v>#NAME?</v>
      </c>
      <c r="X34" s="128" t="e" cm="1">
        <f t="array" aca="1" ref="X34" ca="1">Notmerged(X5)</f>
        <v>#NAME?</v>
      </c>
      <c r="Y34" s="128" t="e" cm="1">
        <f t="array" aca="1" ref="Y34" ca="1">Notmerged(Y5)</f>
        <v>#NAME?</v>
      </c>
      <c r="Z34" s="128" t="e" cm="1">
        <f t="array" aca="1" ref="Z34" ca="1">Notmerged(Z5)</f>
        <v>#NAME?</v>
      </c>
      <c r="AA34" s="128" t="e" cm="1">
        <f t="array" aca="1" ref="AA34" ca="1">Notmerged(AA5)</f>
        <v>#NAME?</v>
      </c>
      <c r="AB34" s="128" t="e" cm="1">
        <f t="array" aca="1" ref="AB34" ca="1">Notmerged(AB5)</f>
        <v>#NAME?</v>
      </c>
      <c r="AC34" s="128" t="e" cm="1">
        <f t="array" aca="1" ref="AC34" ca="1">Notmerged(AC5)</f>
        <v>#NAME?</v>
      </c>
      <c r="AD34" s="128" t="e" cm="1">
        <f t="array" aca="1" ref="AD34" ca="1">Notmerged(AD5)</f>
        <v>#NAME?</v>
      </c>
      <c r="AE34" s="128" t="e" cm="1">
        <f t="array" aca="1" ref="AE34" ca="1">Notmerged(AE5)</f>
        <v>#NAME?</v>
      </c>
      <c r="AF34" s="128" t="e" cm="1">
        <f t="array" aca="1" ref="AF34" ca="1">Notmerged(AF5)</f>
        <v>#NAME?</v>
      </c>
      <c r="AG34" s="128" t="e" cm="1">
        <f t="array" aca="1" ref="AG34" ca="1">Notmerged(AG5)</f>
        <v>#NAME?</v>
      </c>
      <c r="AH34" s="128" t="e" cm="1">
        <f t="array" aca="1" ref="AH34" ca="1">Notmerged(AH5)</f>
        <v>#NAME?</v>
      </c>
      <c r="AI34" s="128" t="e" cm="1">
        <f t="array" aca="1" ref="AI34" ca="1">Notmerged(AI5)</f>
        <v>#NAME?</v>
      </c>
      <c r="AJ34" s="128" t="e" cm="1">
        <f t="array" aca="1" ref="AJ34" ca="1">Notmerged(AJ5)</f>
        <v>#NAME?</v>
      </c>
      <c r="AK34" s="128" t="e" cm="1">
        <f t="array" aca="1" ref="AK34" ca="1">Notmerged(AK5)</f>
        <v>#NAME?</v>
      </c>
      <c r="AL34" s="128" t="e" cm="1">
        <f t="array" aca="1" ref="AL34" ca="1">Notmerged(AL5)</f>
        <v>#NAME?</v>
      </c>
      <c r="AM34" s="128" t="e" cm="1">
        <f t="array" aca="1" ref="AM34" ca="1">Notmerged(AM5)</f>
        <v>#NAME?</v>
      </c>
      <c r="AN34" s="128" t="e" cm="1">
        <f t="array" aca="1" ref="AN34" ca="1">Notmerged(AN5)</f>
        <v>#NAME?</v>
      </c>
      <c r="AO34" s="128" t="e" cm="1">
        <f t="array" aca="1" ref="AO34" ca="1">Notmerged(AO5)</f>
        <v>#NAME?</v>
      </c>
      <c r="AP34" s="128" t="e" cm="1">
        <f t="array" aca="1" ref="AP34" ca="1">Notmerged(AP5)</f>
        <v>#NAME?</v>
      </c>
      <c r="AQ34" s="128" t="e" cm="1">
        <f t="array" aca="1" ref="AQ34" ca="1">Notmerged(AQ5)</f>
        <v>#NAME?</v>
      </c>
      <c r="AR34" s="128" t="e" cm="1">
        <f t="array" aca="1" ref="AR34" ca="1">Notmerged(AR5)</f>
        <v>#NAME?</v>
      </c>
      <c r="AS34" s="128" t="e" cm="1">
        <f t="array" aca="1" ref="AS34" ca="1">Notmerged(AS5)</f>
        <v>#NAME?</v>
      </c>
      <c r="AT34" s="128" t="e" cm="1">
        <f t="array" aca="1" ref="AT34" ca="1">Notmerged(AT5)</f>
        <v>#NAME?</v>
      </c>
      <c r="AU34" s="128" t="e" cm="1">
        <f t="array" aca="1" ref="AU34" ca="1">Notmerged(AU5)</f>
        <v>#NAME?</v>
      </c>
      <c r="AV34" s="128" t="e" cm="1">
        <f t="array" aca="1" ref="AV34" ca="1">Notmerged(AV5)</f>
        <v>#NAME?</v>
      </c>
      <c r="AW34" s="128" t="e" cm="1">
        <f t="array" aca="1" ref="AW34" ca="1">Notmerged(AW5)</f>
        <v>#NAME?</v>
      </c>
      <c r="AX34" s="128" t="e" cm="1">
        <f t="array" aca="1" ref="AX34" ca="1">Notmerged(AX5)</f>
        <v>#NAME?</v>
      </c>
      <c r="AY34" s="128" t="e" cm="1">
        <f t="array" aca="1" ref="AY34" ca="1">Notmerged(AY5)</f>
        <v>#NAME?</v>
      </c>
      <c r="AZ34" s="128" t="e" cm="1">
        <f t="array" aca="1" ref="AZ34" ca="1">Notmerged(AZ5)</f>
        <v>#NAME?</v>
      </c>
      <c r="BA34" s="128" t="e" cm="1">
        <f t="array" aca="1" ref="BA34" ca="1">Notmerged(BA5)</f>
        <v>#NAME?</v>
      </c>
      <c r="BB34" s="128" t="e" cm="1">
        <f t="array" aca="1" ref="BB34" ca="1">Notmerged(BB5)</f>
        <v>#NAME?</v>
      </c>
      <c r="BC34" s="128" t="e" cm="1">
        <f t="array" aca="1" ref="BC34" ca="1">Notmerged(BC5)</f>
        <v>#NAME?</v>
      </c>
      <c r="BD34" s="128" t="e" cm="1">
        <f t="array" aca="1" ref="BD34" ca="1">Notmerged(BD5)</f>
        <v>#NAME?</v>
      </c>
      <c r="BE34" s="128" t="e" cm="1">
        <f t="array" aca="1" ref="BE34" ca="1">Notmerged(BE5)</f>
        <v>#NAME?</v>
      </c>
      <c r="BF34" s="128" t="e" cm="1">
        <f t="array" aca="1" ref="BF34" ca="1">Notmerged(BF5)</f>
        <v>#NAME?</v>
      </c>
      <c r="BG34" s="128" t="e" cm="1">
        <f t="array" aca="1" ref="BG34" ca="1">Notmerged(BG5)</f>
        <v>#NAME?</v>
      </c>
      <c r="BH34" s="128" t="e" cm="1">
        <f t="array" aca="1" ref="BH34" ca="1">Notmerged(BH5)</f>
        <v>#NAME?</v>
      </c>
      <c r="BI34" s="128" t="e" cm="1">
        <f t="array" aca="1" ref="BI34" ca="1">Notmerged(BI5)</f>
        <v>#NAME?</v>
      </c>
      <c r="BJ34" s="128" t="e" cm="1">
        <f t="array" aca="1" ref="BJ34" ca="1">Notmerged(BJ5)</f>
        <v>#NAME?</v>
      </c>
      <c r="BK34" s="128" t="e" cm="1">
        <f t="array" aca="1" ref="BK34" ca="1">Notmerged(BK5)</f>
        <v>#NAME?</v>
      </c>
    </row>
    <row r="35" spans="2:63" x14ac:dyDescent="0.3">
      <c r="B35" s="128" t="e" cm="1">
        <f t="array" aca="1" ref="B35" ca="1">Notmerged(B6)</f>
        <v>#NAME?</v>
      </c>
      <c r="C35" s="128" t="e" cm="1">
        <f t="array" aca="1" ref="C35" ca="1">Notmerged(C6)</f>
        <v>#NAME?</v>
      </c>
      <c r="D35" s="128" t="e" cm="1">
        <f t="array" aca="1" ref="D35" ca="1">Notmerged(D6)</f>
        <v>#NAME?</v>
      </c>
      <c r="E35" s="128" t="e" cm="1">
        <f t="array" aca="1" ref="E35" ca="1">Notmerged(E6)</f>
        <v>#NAME?</v>
      </c>
      <c r="F35" s="128" t="e" cm="1">
        <f t="array" aca="1" ref="F35" ca="1">Notmerged(F6)</f>
        <v>#NAME?</v>
      </c>
      <c r="G35" s="128" t="e" cm="1">
        <f t="array" aca="1" ref="G35" ca="1">Notmerged(G6)</f>
        <v>#NAME?</v>
      </c>
      <c r="H35" s="128" t="e" cm="1">
        <f t="array" aca="1" ref="H35" ca="1">Notmerged(H6)</f>
        <v>#NAME?</v>
      </c>
      <c r="I35" s="128" t="e" cm="1">
        <f t="array" aca="1" ref="I35" ca="1">Notmerged(I6)</f>
        <v>#NAME?</v>
      </c>
      <c r="J35" s="128" t="e" cm="1">
        <f t="array" aca="1" ref="J35" ca="1">Notmerged(J6)</f>
        <v>#NAME?</v>
      </c>
      <c r="K35" s="128" t="e" cm="1">
        <f t="array" aca="1" ref="K35" ca="1">Notmerged(K6)</f>
        <v>#NAME?</v>
      </c>
      <c r="L35" s="128" t="e" cm="1">
        <f t="array" aca="1" ref="L35" ca="1">Notmerged(L6)</f>
        <v>#NAME?</v>
      </c>
      <c r="M35" s="128" t="e" cm="1">
        <f t="array" aca="1" ref="M35" ca="1">Notmerged(M6)</f>
        <v>#NAME?</v>
      </c>
      <c r="N35" s="128" t="e" cm="1">
        <f t="array" aca="1" ref="N35" ca="1">Notmerged(N6)</f>
        <v>#NAME?</v>
      </c>
      <c r="O35" s="128" t="e" cm="1">
        <f t="array" aca="1" ref="O35" ca="1">Notmerged(O6)</f>
        <v>#NAME?</v>
      </c>
      <c r="P35" s="128" t="e" cm="1">
        <f t="array" aca="1" ref="P35" ca="1">Notmerged(P6)</f>
        <v>#NAME?</v>
      </c>
      <c r="Q35" s="128" t="e" cm="1">
        <f t="array" aca="1" ref="Q35" ca="1">Notmerged(Q6)</f>
        <v>#NAME?</v>
      </c>
      <c r="R35" s="128" t="e" cm="1">
        <f t="array" aca="1" ref="R35" ca="1">Notmerged(R6)</f>
        <v>#NAME?</v>
      </c>
      <c r="S35" s="128" t="e" cm="1">
        <f t="array" aca="1" ref="S35" ca="1">Notmerged(S6)</f>
        <v>#NAME?</v>
      </c>
      <c r="T35" s="128" t="e" cm="1">
        <f t="array" aca="1" ref="T35" ca="1">Notmerged(T6)</f>
        <v>#NAME?</v>
      </c>
      <c r="U35" s="128" t="e" cm="1">
        <f t="array" aca="1" ref="U35" ca="1">Notmerged(U6)</f>
        <v>#NAME?</v>
      </c>
      <c r="V35" s="128" t="e" cm="1">
        <f t="array" aca="1" ref="V35" ca="1">Notmerged(V6)</f>
        <v>#NAME?</v>
      </c>
      <c r="W35" s="128" t="e" cm="1">
        <f t="array" aca="1" ref="W35" ca="1">Notmerged(W6)</f>
        <v>#NAME?</v>
      </c>
      <c r="X35" s="128" t="e" cm="1">
        <f t="array" aca="1" ref="X35" ca="1">Notmerged(X6)</f>
        <v>#NAME?</v>
      </c>
      <c r="Y35" s="128" t="e" cm="1">
        <f t="array" aca="1" ref="Y35" ca="1">Notmerged(Y6)</f>
        <v>#NAME?</v>
      </c>
      <c r="Z35" s="128" t="e" cm="1">
        <f t="array" aca="1" ref="Z35" ca="1">Notmerged(Z6)</f>
        <v>#NAME?</v>
      </c>
      <c r="AA35" s="128" t="e" cm="1">
        <f t="array" aca="1" ref="AA35" ca="1">Notmerged(AA6)</f>
        <v>#NAME?</v>
      </c>
      <c r="AB35" s="128" t="e" cm="1">
        <f t="array" aca="1" ref="AB35" ca="1">Notmerged(AB6)</f>
        <v>#NAME?</v>
      </c>
      <c r="AC35" s="128" t="e" cm="1">
        <f t="array" aca="1" ref="AC35" ca="1">Notmerged(AC6)</f>
        <v>#NAME?</v>
      </c>
      <c r="AD35" s="128" t="e" cm="1">
        <f t="array" aca="1" ref="AD35" ca="1">Notmerged(AD6)</f>
        <v>#NAME?</v>
      </c>
      <c r="AE35" s="128" t="e" cm="1">
        <f t="array" aca="1" ref="AE35" ca="1">Notmerged(AE6)</f>
        <v>#NAME?</v>
      </c>
      <c r="AF35" s="128" t="e" cm="1">
        <f t="array" aca="1" ref="AF35" ca="1">Notmerged(AF6)</f>
        <v>#NAME?</v>
      </c>
      <c r="AG35" s="128" t="e" cm="1">
        <f t="array" aca="1" ref="AG35" ca="1">Notmerged(AG6)</f>
        <v>#NAME?</v>
      </c>
      <c r="AH35" s="128" t="e" cm="1">
        <f t="array" aca="1" ref="AH35" ca="1">Notmerged(AH6)</f>
        <v>#NAME?</v>
      </c>
      <c r="AI35" s="128" t="e" cm="1">
        <f t="array" aca="1" ref="AI35" ca="1">Notmerged(AI6)</f>
        <v>#NAME?</v>
      </c>
      <c r="AJ35" s="128" t="e" cm="1">
        <f t="array" aca="1" ref="AJ35" ca="1">Notmerged(AJ6)</f>
        <v>#NAME?</v>
      </c>
      <c r="AK35" s="128" t="e" cm="1">
        <f t="array" aca="1" ref="AK35" ca="1">Notmerged(AK6)</f>
        <v>#NAME?</v>
      </c>
      <c r="AL35" s="128" t="e" cm="1">
        <f t="array" aca="1" ref="AL35" ca="1">Notmerged(AL6)</f>
        <v>#NAME?</v>
      </c>
      <c r="AM35" s="128" t="e" cm="1">
        <f t="array" aca="1" ref="AM35" ca="1">Notmerged(AM6)</f>
        <v>#NAME?</v>
      </c>
      <c r="AN35" s="128" t="e" cm="1">
        <f t="array" aca="1" ref="AN35" ca="1">Notmerged(AN6)</f>
        <v>#NAME?</v>
      </c>
      <c r="AO35" s="128" t="e" cm="1">
        <f t="array" aca="1" ref="AO35" ca="1">Notmerged(AO6)</f>
        <v>#NAME?</v>
      </c>
      <c r="AP35" s="128" t="e" cm="1">
        <f t="array" aca="1" ref="AP35" ca="1">Notmerged(AP6)</f>
        <v>#NAME?</v>
      </c>
      <c r="AQ35" s="128" t="e" cm="1">
        <f t="array" aca="1" ref="AQ35" ca="1">Notmerged(AQ6)</f>
        <v>#NAME?</v>
      </c>
      <c r="AR35" s="128" t="e" cm="1">
        <f t="array" aca="1" ref="AR35" ca="1">Notmerged(AR6)</f>
        <v>#NAME?</v>
      </c>
      <c r="AS35" s="128" t="e" cm="1">
        <f t="array" aca="1" ref="AS35" ca="1">Notmerged(AS6)</f>
        <v>#NAME?</v>
      </c>
      <c r="AT35" s="128" t="e" cm="1">
        <f t="array" aca="1" ref="AT35" ca="1">Notmerged(AT6)</f>
        <v>#NAME?</v>
      </c>
      <c r="AU35" s="128" t="e" cm="1">
        <f t="array" aca="1" ref="AU35" ca="1">Notmerged(AU6)</f>
        <v>#NAME?</v>
      </c>
      <c r="AV35" s="128" t="e" cm="1">
        <f t="array" aca="1" ref="AV35" ca="1">Notmerged(AV6)</f>
        <v>#NAME?</v>
      </c>
      <c r="AW35" s="128" t="e" cm="1">
        <f t="array" aca="1" ref="AW35" ca="1">Notmerged(AW6)</f>
        <v>#NAME?</v>
      </c>
      <c r="AX35" s="128" t="e" cm="1">
        <f t="array" aca="1" ref="AX35" ca="1">Notmerged(AX6)</f>
        <v>#NAME?</v>
      </c>
      <c r="AY35" s="128" t="e" cm="1">
        <f t="array" aca="1" ref="AY35" ca="1">Notmerged(AY6)</f>
        <v>#NAME?</v>
      </c>
      <c r="AZ35" s="128" t="e" cm="1">
        <f t="array" aca="1" ref="AZ35" ca="1">Notmerged(AZ6)</f>
        <v>#NAME?</v>
      </c>
      <c r="BA35" s="128" t="e" cm="1">
        <f t="array" aca="1" ref="BA35" ca="1">Notmerged(BA6)</f>
        <v>#NAME?</v>
      </c>
      <c r="BB35" s="128" t="e" cm="1">
        <f t="array" aca="1" ref="BB35" ca="1">Notmerged(BB6)</f>
        <v>#NAME?</v>
      </c>
      <c r="BC35" s="128" t="e" cm="1">
        <f t="array" aca="1" ref="BC35" ca="1">Notmerged(BC6)</f>
        <v>#NAME?</v>
      </c>
      <c r="BD35" s="128" t="e" cm="1">
        <f t="array" aca="1" ref="BD35" ca="1">Notmerged(BD6)</f>
        <v>#NAME?</v>
      </c>
      <c r="BE35" s="128" t="e" cm="1">
        <f t="array" aca="1" ref="BE35" ca="1">Notmerged(BE6)</f>
        <v>#NAME?</v>
      </c>
      <c r="BF35" s="128" t="e" cm="1">
        <f t="array" aca="1" ref="BF35" ca="1">Notmerged(BF6)</f>
        <v>#NAME?</v>
      </c>
      <c r="BG35" s="128" t="e" cm="1">
        <f t="array" aca="1" ref="BG35" ca="1">Notmerged(BG6)</f>
        <v>#NAME?</v>
      </c>
      <c r="BH35" s="128" t="e" cm="1">
        <f t="array" aca="1" ref="BH35" ca="1">Notmerged(BH6)</f>
        <v>#NAME?</v>
      </c>
      <c r="BI35" s="128" t="e" cm="1">
        <f t="array" aca="1" ref="BI35" ca="1">Notmerged(BI6)</f>
        <v>#NAME?</v>
      </c>
      <c r="BJ35" s="128" t="e" cm="1">
        <f t="array" aca="1" ref="BJ35" ca="1">Notmerged(BJ6)</f>
        <v>#NAME?</v>
      </c>
      <c r="BK35" s="128" t="e" cm="1">
        <f t="array" aca="1" ref="BK35" ca="1">Notmerged(BK6)</f>
        <v>#NAME?</v>
      </c>
    </row>
    <row r="36" spans="2:63" x14ac:dyDescent="0.3">
      <c r="B36" s="128" t="e" cm="1">
        <f t="array" aca="1" ref="B36" ca="1">Notmerged(B7)</f>
        <v>#NAME?</v>
      </c>
      <c r="C36" s="128" t="e" cm="1">
        <f t="array" aca="1" ref="C36" ca="1">Notmerged(C7)</f>
        <v>#NAME?</v>
      </c>
      <c r="D36" s="128" t="e" cm="1">
        <f t="array" aca="1" ref="D36" ca="1">Notmerged(D7)</f>
        <v>#NAME?</v>
      </c>
      <c r="E36" s="128" t="e" cm="1">
        <f t="array" aca="1" ref="E36" ca="1">Notmerged(E7)</f>
        <v>#NAME?</v>
      </c>
      <c r="F36" s="128" t="e" cm="1">
        <f t="array" aca="1" ref="F36" ca="1">Notmerged(F7)</f>
        <v>#NAME?</v>
      </c>
      <c r="G36" s="128" t="e" cm="1">
        <f t="array" aca="1" ref="G36" ca="1">Notmerged(G7)</f>
        <v>#NAME?</v>
      </c>
      <c r="H36" s="128" t="e" cm="1">
        <f t="array" aca="1" ref="H36" ca="1">Notmerged(H7)</f>
        <v>#NAME?</v>
      </c>
      <c r="I36" s="128" t="e" cm="1">
        <f t="array" aca="1" ref="I36" ca="1">Notmerged(I7)</f>
        <v>#NAME?</v>
      </c>
      <c r="J36" s="128" t="e" cm="1">
        <f t="array" aca="1" ref="J36" ca="1">Notmerged(J7)</f>
        <v>#NAME?</v>
      </c>
      <c r="K36" s="128" t="e" cm="1">
        <f t="array" aca="1" ref="K36" ca="1">Notmerged(K7)</f>
        <v>#NAME?</v>
      </c>
      <c r="L36" s="128" t="e" cm="1">
        <f t="array" aca="1" ref="L36" ca="1">Notmerged(L7)</f>
        <v>#NAME?</v>
      </c>
      <c r="M36" s="128" t="e" cm="1">
        <f t="array" aca="1" ref="M36" ca="1">Notmerged(M7)</f>
        <v>#NAME?</v>
      </c>
      <c r="N36" s="128" t="e" cm="1">
        <f t="array" aca="1" ref="N36" ca="1">Notmerged(N7)</f>
        <v>#NAME?</v>
      </c>
      <c r="O36" s="128" t="e" cm="1">
        <f t="array" aca="1" ref="O36" ca="1">Notmerged(O7)</f>
        <v>#NAME?</v>
      </c>
      <c r="P36" s="128" t="e" cm="1">
        <f t="array" aca="1" ref="P36" ca="1">Notmerged(P7)</f>
        <v>#NAME?</v>
      </c>
      <c r="Q36" s="128" t="e" cm="1">
        <f t="array" aca="1" ref="Q36" ca="1">Notmerged(Q7)</f>
        <v>#NAME?</v>
      </c>
      <c r="R36" s="128" t="e" cm="1">
        <f t="array" aca="1" ref="R36" ca="1">Notmerged(R7)</f>
        <v>#NAME?</v>
      </c>
      <c r="S36" s="128" t="e" cm="1">
        <f t="array" aca="1" ref="S36" ca="1">Notmerged(S7)</f>
        <v>#NAME?</v>
      </c>
      <c r="T36" s="128" t="e" cm="1">
        <f t="array" aca="1" ref="T36" ca="1">Notmerged(T7)</f>
        <v>#NAME?</v>
      </c>
      <c r="U36" s="128" t="e" cm="1">
        <f t="array" aca="1" ref="U36" ca="1">Notmerged(U7)</f>
        <v>#NAME?</v>
      </c>
      <c r="V36" s="128" t="e" cm="1">
        <f t="array" aca="1" ref="V36" ca="1">Notmerged(V7)</f>
        <v>#NAME?</v>
      </c>
      <c r="W36" s="128" t="e" cm="1">
        <f t="array" aca="1" ref="W36" ca="1">Notmerged(W7)</f>
        <v>#NAME?</v>
      </c>
      <c r="X36" s="128" t="e" cm="1">
        <f t="array" aca="1" ref="X36" ca="1">Notmerged(X7)</f>
        <v>#NAME?</v>
      </c>
      <c r="Y36" s="128" t="e" cm="1">
        <f t="array" aca="1" ref="Y36" ca="1">Notmerged(Y7)</f>
        <v>#NAME?</v>
      </c>
      <c r="Z36" s="128" t="e" cm="1">
        <f t="array" aca="1" ref="Z36" ca="1">Notmerged(Z7)</f>
        <v>#NAME?</v>
      </c>
      <c r="AA36" s="128" t="e" cm="1">
        <f t="array" aca="1" ref="AA36" ca="1">Notmerged(AA7)</f>
        <v>#NAME?</v>
      </c>
      <c r="AB36" s="128" t="e" cm="1">
        <f t="array" aca="1" ref="AB36" ca="1">Notmerged(AB7)</f>
        <v>#NAME?</v>
      </c>
      <c r="AC36" s="128" t="e" cm="1">
        <f t="array" aca="1" ref="AC36" ca="1">Notmerged(AC7)</f>
        <v>#NAME?</v>
      </c>
      <c r="AD36" s="128" t="e" cm="1">
        <f t="array" aca="1" ref="AD36" ca="1">Notmerged(AD7)</f>
        <v>#NAME?</v>
      </c>
      <c r="AE36" s="128" t="e" cm="1">
        <f t="array" aca="1" ref="AE36" ca="1">Notmerged(AE7)</f>
        <v>#NAME?</v>
      </c>
      <c r="AF36" s="128" t="e" cm="1">
        <f t="array" aca="1" ref="AF36" ca="1">Notmerged(AF7)</f>
        <v>#NAME?</v>
      </c>
      <c r="AG36" s="128" t="e" cm="1">
        <f t="array" aca="1" ref="AG36" ca="1">Notmerged(AG7)</f>
        <v>#NAME?</v>
      </c>
      <c r="AH36" s="128" t="e" cm="1">
        <f t="array" aca="1" ref="AH36" ca="1">Notmerged(AH7)</f>
        <v>#NAME?</v>
      </c>
      <c r="AI36" s="128" t="e" cm="1">
        <f t="array" aca="1" ref="AI36" ca="1">Notmerged(AI7)</f>
        <v>#NAME?</v>
      </c>
      <c r="AJ36" s="128" t="e" cm="1">
        <f t="array" aca="1" ref="AJ36" ca="1">Notmerged(AJ7)</f>
        <v>#NAME?</v>
      </c>
      <c r="AK36" s="128" t="e" cm="1">
        <f t="array" aca="1" ref="AK36" ca="1">Notmerged(AK7)</f>
        <v>#NAME?</v>
      </c>
      <c r="AL36" s="128" t="e" cm="1">
        <f t="array" aca="1" ref="AL36" ca="1">Notmerged(AL7)</f>
        <v>#NAME?</v>
      </c>
      <c r="AM36" s="128" t="e" cm="1">
        <f t="array" aca="1" ref="AM36" ca="1">Notmerged(AM7)</f>
        <v>#NAME?</v>
      </c>
      <c r="AN36" s="128" t="e" cm="1">
        <f t="array" aca="1" ref="AN36" ca="1">Notmerged(AN7)</f>
        <v>#NAME?</v>
      </c>
      <c r="AO36" s="128" t="e" cm="1">
        <f t="array" aca="1" ref="AO36" ca="1">Notmerged(AO7)</f>
        <v>#NAME?</v>
      </c>
      <c r="AP36" s="128" t="e" cm="1">
        <f t="array" aca="1" ref="AP36" ca="1">Notmerged(AP7)</f>
        <v>#NAME?</v>
      </c>
      <c r="AQ36" s="128" t="e" cm="1">
        <f t="array" aca="1" ref="AQ36" ca="1">Notmerged(AQ7)</f>
        <v>#NAME?</v>
      </c>
      <c r="AR36" s="128" t="e" cm="1">
        <f t="array" aca="1" ref="AR36" ca="1">Notmerged(AR7)</f>
        <v>#NAME?</v>
      </c>
      <c r="AS36" s="128" t="e" cm="1">
        <f t="array" aca="1" ref="AS36" ca="1">Notmerged(AS7)</f>
        <v>#NAME?</v>
      </c>
      <c r="AT36" s="128" t="e" cm="1">
        <f t="array" aca="1" ref="AT36" ca="1">Notmerged(AT7)</f>
        <v>#NAME?</v>
      </c>
      <c r="AU36" s="128" t="e" cm="1">
        <f t="array" aca="1" ref="AU36" ca="1">Notmerged(AU7)</f>
        <v>#NAME?</v>
      </c>
      <c r="AV36" s="128" t="e" cm="1">
        <f t="array" aca="1" ref="AV36" ca="1">Notmerged(AV7)</f>
        <v>#NAME?</v>
      </c>
      <c r="AW36" s="128" t="e" cm="1">
        <f t="array" aca="1" ref="AW36" ca="1">Notmerged(AW7)</f>
        <v>#NAME?</v>
      </c>
      <c r="AX36" s="128" t="e" cm="1">
        <f t="array" aca="1" ref="AX36" ca="1">Notmerged(AX7)</f>
        <v>#NAME?</v>
      </c>
      <c r="AY36" s="128" t="e" cm="1">
        <f t="array" aca="1" ref="AY36" ca="1">Notmerged(AY7)</f>
        <v>#NAME?</v>
      </c>
      <c r="AZ36" s="128" t="e" cm="1">
        <f t="array" aca="1" ref="AZ36" ca="1">Notmerged(AZ7)</f>
        <v>#NAME?</v>
      </c>
      <c r="BA36" s="128" t="e" cm="1">
        <f t="array" aca="1" ref="BA36" ca="1">Notmerged(BA7)</f>
        <v>#NAME?</v>
      </c>
      <c r="BB36" s="128" t="e" cm="1">
        <f t="array" aca="1" ref="BB36" ca="1">Notmerged(BB7)</f>
        <v>#NAME?</v>
      </c>
      <c r="BC36" s="128" t="e" cm="1">
        <f t="array" aca="1" ref="BC36" ca="1">Notmerged(BC7)</f>
        <v>#NAME?</v>
      </c>
      <c r="BD36" s="128" t="e" cm="1">
        <f t="array" aca="1" ref="BD36" ca="1">Notmerged(BD7)</f>
        <v>#NAME?</v>
      </c>
      <c r="BE36" s="128" t="e" cm="1">
        <f t="array" aca="1" ref="BE36" ca="1">Notmerged(BE7)</f>
        <v>#NAME?</v>
      </c>
      <c r="BF36" s="128" t="e" cm="1">
        <f t="array" aca="1" ref="BF36" ca="1">Notmerged(BF7)</f>
        <v>#NAME?</v>
      </c>
      <c r="BG36" s="128" t="e" cm="1">
        <f t="array" aca="1" ref="BG36" ca="1">Notmerged(BG7)</f>
        <v>#NAME?</v>
      </c>
      <c r="BH36" s="128" t="e" cm="1">
        <f t="array" aca="1" ref="BH36" ca="1">Notmerged(BH7)</f>
        <v>#NAME?</v>
      </c>
      <c r="BI36" s="128" t="e" cm="1">
        <f t="array" aca="1" ref="BI36" ca="1">Notmerged(BI7)</f>
        <v>#NAME?</v>
      </c>
      <c r="BJ36" s="128" t="e" cm="1">
        <f t="array" aca="1" ref="BJ36" ca="1">Notmerged(BJ7)</f>
        <v>#NAME?</v>
      </c>
      <c r="BK36" s="128" t="e" cm="1">
        <f t="array" aca="1" ref="BK36" ca="1">Notmerged(BK7)</f>
        <v>#NAME?</v>
      </c>
    </row>
    <row r="37" spans="2:63" x14ac:dyDescent="0.3">
      <c r="B37" s="128" t="e" cm="1">
        <f t="array" aca="1" ref="B37" ca="1">Notmerged(B8)</f>
        <v>#NAME?</v>
      </c>
      <c r="C37" s="128" t="e" cm="1">
        <f t="array" aca="1" ref="C37" ca="1">Notmerged(C8)</f>
        <v>#NAME?</v>
      </c>
      <c r="D37" s="128" t="e" cm="1">
        <f t="array" aca="1" ref="D37" ca="1">Notmerged(D8)</f>
        <v>#NAME?</v>
      </c>
      <c r="E37" s="128" t="e" cm="1">
        <f t="array" aca="1" ref="E37" ca="1">Notmerged(E8)</f>
        <v>#NAME?</v>
      </c>
      <c r="F37" s="128" t="e" cm="1">
        <f t="array" aca="1" ref="F37" ca="1">Notmerged(F8)</f>
        <v>#NAME?</v>
      </c>
      <c r="G37" s="128" t="e" cm="1">
        <f t="array" aca="1" ref="G37" ca="1">Notmerged(G8)</f>
        <v>#NAME?</v>
      </c>
      <c r="H37" s="128" t="e" cm="1">
        <f t="array" aca="1" ref="H37" ca="1">Notmerged(H8)</f>
        <v>#NAME?</v>
      </c>
      <c r="I37" s="128" t="e" cm="1">
        <f t="array" aca="1" ref="I37" ca="1">Notmerged(I8)</f>
        <v>#NAME?</v>
      </c>
      <c r="J37" s="128" t="e" cm="1">
        <f t="array" aca="1" ref="J37" ca="1">Notmerged(J8)</f>
        <v>#NAME?</v>
      </c>
      <c r="K37" s="128" t="e" cm="1">
        <f t="array" aca="1" ref="K37" ca="1">Notmerged(K8)</f>
        <v>#NAME?</v>
      </c>
      <c r="L37" s="128" t="e" cm="1">
        <f t="array" aca="1" ref="L37" ca="1">Notmerged(L8)</f>
        <v>#NAME?</v>
      </c>
      <c r="M37" s="128" t="e" cm="1">
        <f t="array" aca="1" ref="M37" ca="1">Notmerged(M8)</f>
        <v>#NAME?</v>
      </c>
      <c r="N37" s="128" t="e" cm="1">
        <f t="array" aca="1" ref="N37" ca="1">Notmerged(N8)</f>
        <v>#NAME?</v>
      </c>
      <c r="O37" s="128" t="e" cm="1">
        <f t="array" aca="1" ref="O37" ca="1">Notmerged(O8)</f>
        <v>#NAME?</v>
      </c>
      <c r="P37" s="128" t="e" cm="1">
        <f t="array" aca="1" ref="P37" ca="1">Notmerged(P8)</f>
        <v>#NAME?</v>
      </c>
      <c r="Q37" s="128" t="e" cm="1">
        <f t="array" aca="1" ref="Q37" ca="1">Notmerged(Q8)</f>
        <v>#NAME?</v>
      </c>
      <c r="R37" s="128" t="e" cm="1">
        <f t="array" aca="1" ref="R37" ca="1">Notmerged(R8)</f>
        <v>#NAME?</v>
      </c>
      <c r="S37" s="128" t="e" cm="1">
        <f t="array" aca="1" ref="S37" ca="1">Notmerged(S8)</f>
        <v>#NAME?</v>
      </c>
      <c r="T37" s="128" t="e" cm="1">
        <f t="array" aca="1" ref="T37" ca="1">Notmerged(T8)</f>
        <v>#NAME?</v>
      </c>
      <c r="U37" s="128" t="e" cm="1">
        <f t="array" aca="1" ref="U37" ca="1">Notmerged(U8)</f>
        <v>#NAME?</v>
      </c>
      <c r="V37" s="128" t="e" cm="1">
        <f t="array" aca="1" ref="V37" ca="1">Notmerged(V8)</f>
        <v>#NAME?</v>
      </c>
      <c r="W37" s="128" t="e" cm="1">
        <f t="array" aca="1" ref="W37" ca="1">Notmerged(W8)</f>
        <v>#NAME?</v>
      </c>
      <c r="X37" s="128" t="e" cm="1">
        <f t="array" aca="1" ref="X37" ca="1">Notmerged(X8)</f>
        <v>#NAME?</v>
      </c>
      <c r="Y37" s="128" t="e" cm="1">
        <f t="array" aca="1" ref="Y37" ca="1">Notmerged(Y8)</f>
        <v>#NAME?</v>
      </c>
      <c r="Z37" s="128" t="e" cm="1">
        <f t="array" aca="1" ref="Z37" ca="1">Notmerged(Z8)</f>
        <v>#NAME?</v>
      </c>
      <c r="AA37" s="128" t="e" cm="1">
        <f t="array" aca="1" ref="AA37" ca="1">Notmerged(AA8)</f>
        <v>#NAME?</v>
      </c>
      <c r="AB37" s="128" t="e" cm="1">
        <f t="array" aca="1" ref="AB37" ca="1">Notmerged(AB8)</f>
        <v>#NAME?</v>
      </c>
      <c r="AC37" s="128" t="e" cm="1">
        <f t="array" aca="1" ref="AC37" ca="1">Notmerged(AC8)</f>
        <v>#NAME?</v>
      </c>
      <c r="AD37" s="128" t="e" cm="1">
        <f t="array" aca="1" ref="AD37" ca="1">Notmerged(AD8)</f>
        <v>#NAME?</v>
      </c>
      <c r="AE37" s="128" t="e" cm="1">
        <f t="array" aca="1" ref="AE37" ca="1">Notmerged(AE8)</f>
        <v>#NAME?</v>
      </c>
      <c r="AF37" s="128" t="e" cm="1">
        <f t="array" aca="1" ref="AF37" ca="1">Notmerged(AF8)</f>
        <v>#NAME?</v>
      </c>
      <c r="AG37" s="128" t="e" cm="1">
        <f t="array" aca="1" ref="AG37" ca="1">Notmerged(AG8)</f>
        <v>#NAME?</v>
      </c>
      <c r="AH37" s="128" t="e" cm="1">
        <f t="array" aca="1" ref="AH37" ca="1">Notmerged(AH8)</f>
        <v>#NAME?</v>
      </c>
      <c r="AI37" s="128" t="e" cm="1">
        <f t="array" aca="1" ref="AI37" ca="1">Notmerged(AI8)</f>
        <v>#NAME?</v>
      </c>
      <c r="AJ37" s="128" t="e" cm="1">
        <f t="array" aca="1" ref="AJ37" ca="1">Notmerged(AJ8)</f>
        <v>#NAME?</v>
      </c>
      <c r="AK37" s="128" t="e" cm="1">
        <f t="array" aca="1" ref="AK37" ca="1">Notmerged(AK8)</f>
        <v>#NAME?</v>
      </c>
      <c r="AL37" s="128" t="e" cm="1">
        <f t="array" aca="1" ref="AL37" ca="1">Notmerged(AL8)</f>
        <v>#NAME?</v>
      </c>
      <c r="AM37" s="128" t="e" cm="1">
        <f t="array" aca="1" ref="AM37" ca="1">Notmerged(AM8)</f>
        <v>#NAME?</v>
      </c>
      <c r="AN37" s="128" t="e" cm="1">
        <f t="array" aca="1" ref="AN37" ca="1">Notmerged(AN8)</f>
        <v>#NAME?</v>
      </c>
      <c r="AO37" s="128" t="e" cm="1">
        <f t="array" aca="1" ref="AO37" ca="1">Notmerged(AO8)</f>
        <v>#NAME?</v>
      </c>
      <c r="AP37" s="128" t="e" cm="1">
        <f t="array" aca="1" ref="AP37" ca="1">Notmerged(AP8)</f>
        <v>#NAME?</v>
      </c>
      <c r="AQ37" s="128" t="e" cm="1">
        <f t="array" aca="1" ref="AQ37" ca="1">Notmerged(AQ8)</f>
        <v>#NAME?</v>
      </c>
      <c r="AR37" s="128" t="e" cm="1">
        <f t="array" aca="1" ref="AR37" ca="1">Notmerged(AR8)</f>
        <v>#NAME?</v>
      </c>
      <c r="AS37" s="128" t="e" cm="1">
        <f t="array" aca="1" ref="AS37" ca="1">Notmerged(AS8)</f>
        <v>#NAME?</v>
      </c>
      <c r="AT37" s="128" t="e" cm="1">
        <f t="array" aca="1" ref="AT37" ca="1">Notmerged(AT8)</f>
        <v>#NAME?</v>
      </c>
      <c r="AU37" s="128" t="e" cm="1">
        <f t="array" aca="1" ref="AU37" ca="1">Notmerged(AU8)</f>
        <v>#NAME?</v>
      </c>
      <c r="AV37" s="128" t="e" cm="1">
        <f t="array" aca="1" ref="AV37" ca="1">Notmerged(AV8)</f>
        <v>#NAME?</v>
      </c>
      <c r="AW37" s="128" t="e" cm="1">
        <f t="array" aca="1" ref="AW37" ca="1">Notmerged(AW8)</f>
        <v>#NAME?</v>
      </c>
      <c r="AX37" s="128" t="e" cm="1">
        <f t="array" aca="1" ref="AX37" ca="1">Notmerged(AX8)</f>
        <v>#NAME?</v>
      </c>
      <c r="AY37" s="128" t="e" cm="1">
        <f t="array" aca="1" ref="AY37" ca="1">Notmerged(AY8)</f>
        <v>#NAME?</v>
      </c>
      <c r="AZ37" s="128" t="e" cm="1">
        <f t="array" aca="1" ref="AZ37" ca="1">Notmerged(AZ8)</f>
        <v>#NAME?</v>
      </c>
      <c r="BA37" s="128" t="e" cm="1">
        <f t="array" aca="1" ref="BA37" ca="1">Notmerged(BA8)</f>
        <v>#NAME?</v>
      </c>
      <c r="BB37" s="128" t="e" cm="1">
        <f t="array" aca="1" ref="BB37" ca="1">Notmerged(BB8)</f>
        <v>#NAME?</v>
      </c>
      <c r="BC37" s="128" t="e" cm="1">
        <f t="array" aca="1" ref="BC37" ca="1">Notmerged(BC8)</f>
        <v>#NAME?</v>
      </c>
      <c r="BD37" s="128" t="e" cm="1">
        <f t="array" aca="1" ref="BD37" ca="1">Notmerged(BD8)</f>
        <v>#NAME?</v>
      </c>
      <c r="BE37" s="128" t="e" cm="1">
        <f t="array" aca="1" ref="BE37" ca="1">Notmerged(BE8)</f>
        <v>#NAME?</v>
      </c>
      <c r="BF37" s="128" t="e" cm="1">
        <f t="array" aca="1" ref="BF37" ca="1">Notmerged(BF8)</f>
        <v>#NAME?</v>
      </c>
      <c r="BG37" s="128" t="e" cm="1">
        <f t="array" aca="1" ref="BG37" ca="1">Notmerged(BG8)</f>
        <v>#NAME?</v>
      </c>
      <c r="BH37" s="128" t="e" cm="1">
        <f t="array" aca="1" ref="BH37" ca="1">Notmerged(BH8)</f>
        <v>#NAME?</v>
      </c>
      <c r="BI37" s="128" t="e" cm="1">
        <f t="array" aca="1" ref="BI37" ca="1">Notmerged(BI8)</f>
        <v>#NAME?</v>
      </c>
      <c r="BJ37" s="128" t="e" cm="1">
        <f t="array" aca="1" ref="BJ37" ca="1">Notmerged(BJ8)</f>
        <v>#NAME?</v>
      </c>
      <c r="BK37" s="128" t="e" cm="1">
        <f t="array" aca="1" ref="BK37" ca="1">Notmerged(BK8)</f>
        <v>#NAME?</v>
      </c>
    </row>
    <row r="38" spans="2:63" x14ac:dyDescent="0.3">
      <c r="B38" s="128" t="e" cm="1">
        <f t="array" aca="1" ref="B38" ca="1">Notmerged(B9)</f>
        <v>#NAME?</v>
      </c>
      <c r="C38" s="128" t="e" cm="1">
        <f t="array" aca="1" ref="C38" ca="1">Notmerged(C9)</f>
        <v>#NAME?</v>
      </c>
      <c r="D38" s="128" t="e" cm="1">
        <f t="array" aca="1" ref="D38" ca="1">Notmerged(D9)</f>
        <v>#NAME?</v>
      </c>
      <c r="E38" s="128" t="e" cm="1">
        <f t="array" aca="1" ref="E38" ca="1">Notmerged(E9)</f>
        <v>#NAME?</v>
      </c>
      <c r="F38" s="128" t="e" cm="1">
        <f t="array" aca="1" ref="F38" ca="1">Notmerged(F9)</f>
        <v>#NAME?</v>
      </c>
      <c r="G38" s="128" t="e" cm="1">
        <f t="array" aca="1" ref="G38" ca="1">Notmerged(G9)</f>
        <v>#NAME?</v>
      </c>
      <c r="H38" s="128" t="e" cm="1">
        <f t="array" aca="1" ref="H38" ca="1">Notmerged(H9)</f>
        <v>#NAME?</v>
      </c>
      <c r="I38" s="128" t="e" cm="1">
        <f t="array" aca="1" ref="I38" ca="1">Notmerged(I9)</f>
        <v>#NAME?</v>
      </c>
      <c r="J38" s="128" t="e" cm="1">
        <f t="array" aca="1" ref="J38" ca="1">Notmerged(J9)</f>
        <v>#NAME?</v>
      </c>
      <c r="K38" s="128" t="e" cm="1">
        <f t="array" aca="1" ref="K38" ca="1">Notmerged(K9)</f>
        <v>#NAME?</v>
      </c>
      <c r="L38" s="128" t="e" cm="1">
        <f t="array" aca="1" ref="L38" ca="1">Notmerged(L9)</f>
        <v>#NAME?</v>
      </c>
      <c r="M38" s="128" t="e" cm="1">
        <f t="array" aca="1" ref="M38" ca="1">Notmerged(M9)</f>
        <v>#NAME?</v>
      </c>
      <c r="N38" s="128" t="e" cm="1">
        <f t="array" aca="1" ref="N38" ca="1">Notmerged(N9)</f>
        <v>#NAME?</v>
      </c>
      <c r="O38" s="128" t="e" cm="1">
        <f t="array" aca="1" ref="O38" ca="1">Notmerged(O9)</f>
        <v>#NAME?</v>
      </c>
      <c r="P38" s="128" t="e" cm="1">
        <f t="array" aca="1" ref="P38" ca="1">Notmerged(P9)</f>
        <v>#NAME?</v>
      </c>
      <c r="Q38" s="128" t="e" cm="1">
        <f t="array" aca="1" ref="Q38" ca="1">Notmerged(Q9)</f>
        <v>#NAME?</v>
      </c>
      <c r="R38" s="128" t="e" cm="1">
        <f t="array" aca="1" ref="R38" ca="1">Notmerged(R9)</f>
        <v>#NAME?</v>
      </c>
      <c r="S38" s="128" t="e" cm="1">
        <f t="array" aca="1" ref="S38" ca="1">Notmerged(S9)</f>
        <v>#NAME?</v>
      </c>
      <c r="T38" s="128" t="e" cm="1">
        <f t="array" aca="1" ref="T38" ca="1">Notmerged(T9)</f>
        <v>#NAME?</v>
      </c>
      <c r="U38" s="128" t="e" cm="1">
        <f t="array" aca="1" ref="U38" ca="1">Notmerged(U9)</f>
        <v>#NAME?</v>
      </c>
      <c r="V38" s="128" t="e" cm="1">
        <f t="array" aca="1" ref="V38" ca="1">Notmerged(V9)</f>
        <v>#NAME?</v>
      </c>
      <c r="W38" s="128" t="e" cm="1">
        <f t="array" aca="1" ref="W38" ca="1">Notmerged(W9)</f>
        <v>#NAME?</v>
      </c>
      <c r="X38" s="128" t="e" cm="1">
        <f t="array" aca="1" ref="X38" ca="1">Notmerged(X9)</f>
        <v>#NAME?</v>
      </c>
      <c r="Y38" s="128" t="e" cm="1">
        <f t="array" aca="1" ref="Y38" ca="1">Notmerged(Y9)</f>
        <v>#NAME?</v>
      </c>
      <c r="Z38" s="128" t="e" cm="1">
        <f t="array" aca="1" ref="Z38" ca="1">Notmerged(Z9)</f>
        <v>#NAME?</v>
      </c>
      <c r="AA38" s="128" t="e" cm="1">
        <f t="array" aca="1" ref="AA38" ca="1">Notmerged(AA9)</f>
        <v>#NAME?</v>
      </c>
      <c r="AB38" s="128" t="e" cm="1">
        <f t="array" aca="1" ref="AB38" ca="1">Notmerged(AB9)</f>
        <v>#NAME?</v>
      </c>
      <c r="AC38" s="128" t="e" cm="1">
        <f t="array" aca="1" ref="AC38" ca="1">Notmerged(AC9)</f>
        <v>#NAME?</v>
      </c>
      <c r="AD38" s="128" t="e" cm="1">
        <f t="array" aca="1" ref="AD38" ca="1">Notmerged(AD9)</f>
        <v>#NAME?</v>
      </c>
      <c r="AE38" s="128" t="e" cm="1">
        <f t="array" aca="1" ref="AE38" ca="1">Notmerged(AE9)</f>
        <v>#NAME?</v>
      </c>
      <c r="AF38" s="128" t="e" cm="1">
        <f t="array" aca="1" ref="AF38" ca="1">Notmerged(AF9)</f>
        <v>#NAME?</v>
      </c>
      <c r="AG38" s="128" t="e" cm="1">
        <f t="array" aca="1" ref="AG38" ca="1">Notmerged(AG9)</f>
        <v>#NAME?</v>
      </c>
      <c r="AH38" s="128" t="e" cm="1">
        <f t="array" aca="1" ref="AH38" ca="1">Notmerged(AH9)</f>
        <v>#NAME?</v>
      </c>
      <c r="AI38" s="128" t="e" cm="1">
        <f t="array" aca="1" ref="AI38" ca="1">Notmerged(AI9)</f>
        <v>#NAME?</v>
      </c>
      <c r="AJ38" s="128" t="e" cm="1">
        <f t="array" aca="1" ref="AJ38" ca="1">Notmerged(AJ9)</f>
        <v>#NAME?</v>
      </c>
      <c r="AK38" s="128" t="e" cm="1">
        <f t="array" aca="1" ref="AK38" ca="1">Notmerged(AK9)</f>
        <v>#NAME?</v>
      </c>
      <c r="AL38" s="128" t="e" cm="1">
        <f t="array" aca="1" ref="AL38" ca="1">Notmerged(AL9)</f>
        <v>#NAME?</v>
      </c>
      <c r="AM38" s="128" t="e" cm="1">
        <f t="array" aca="1" ref="AM38" ca="1">Notmerged(AM9)</f>
        <v>#NAME?</v>
      </c>
      <c r="AN38" s="128" t="e" cm="1">
        <f t="array" aca="1" ref="AN38" ca="1">Notmerged(AN9)</f>
        <v>#NAME?</v>
      </c>
      <c r="AO38" s="128" t="e" cm="1">
        <f t="array" aca="1" ref="AO38" ca="1">Notmerged(AO9)</f>
        <v>#NAME?</v>
      </c>
      <c r="AP38" s="128" t="e" cm="1">
        <f t="array" aca="1" ref="AP38" ca="1">Notmerged(AP9)</f>
        <v>#NAME?</v>
      </c>
      <c r="AQ38" s="128" t="e" cm="1">
        <f t="array" aca="1" ref="AQ38" ca="1">Notmerged(AQ9)</f>
        <v>#NAME?</v>
      </c>
      <c r="AR38" s="128" t="e" cm="1">
        <f t="array" aca="1" ref="AR38" ca="1">Notmerged(AR9)</f>
        <v>#NAME?</v>
      </c>
      <c r="AS38" s="128" t="e" cm="1">
        <f t="array" aca="1" ref="AS38" ca="1">Notmerged(AS9)</f>
        <v>#NAME?</v>
      </c>
      <c r="AT38" s="128" t="e" cm="1">
        <f t="array" aca="1" ref="AT38" ca="1">Notmerged(AT9)</f>
        <v>#NAME?</v>
      </c>
      <c r="AU38" s="128" t="e" cm="1">
        <f t="array" aca="1" ref="AU38" ca="1">Notmerged(AU9)</f>
        <v>#NAME?</v>
      </c>
      <c r="AV38" s="128" t="e" cm="1">
        <f t="array" aca="1" ref="AV38" ca="1">Notmerged(AV9)</f>
        <v>#NAME?</v>
      </c>
      <c r="AW38" s="128" t="e" cm="1">
        <f t="array" aca="1" ref="AW38" ca="1">Notmerged(AW9)</f>
        <v>#NAME?</v>
      </c>
      <c r="AX38" s="128" t="e" cm="1">
        <f t="array" aca="1" ref="AX38" ca="1">Notmerged(AX9)</f>
        <v>#NAME?</v>
      </c>
      <c r="AY38" s="128" t="e" cm="1">
        <f t="array" aca="1" ref="AY38" ca="1">Notmerged(AY9)</f>
        <v>#NAME?</v>
      </c>
      <c r="AZ38" s="128" t="e" cm="1">
        <f t="array" aca="1" ref="AZ38" ca="1">Notmerged(AZ9)</f>
        <v>#NAME?</v>
      </c>
      <c r="BA38" s="128" t="e" cm="1">
        <f t="array" aca="1" ref="BA38" ca="1">Notmerged(BA9)</f>
        <v>#NAME?</v>
      </c>
      <c r="BB38" s="128" t="e" cm="1">
        <f t="array" aca="1" ref="BB38" ca="1">Notmerged(BB9)</f>
        <v>#NAME?</v>
      </c>
      <c r="BC38" s="128" t="e" cm="1">
        <f t="array" aca="1" ref="BC38" ca="1">Notmerged(BC9)</f>
        <v>#NAME?</v>
      </c>
      <c r="BD38" s="128" t="e" cm="1">
        <f t="array" aca="1" ref="BD38" ca="1">Notmerged(BD9)</f>
        <v>#NAME?</v>
      </c>
      <c r="BE38" s="128" t="e" cm="1">
        <f t="array" aca="1" ref="BE38" ca="1">Notmerged(BE9)</f>
        <v>#NAME?</v>
      </c>
      <c r="BF38" s="128" t="e" cm="1">
        <f t="array" aca="1" ref="BF38" ca="1">Notmerged(BF9)</f>
        <v>#NAME?</v>
      </c>
      <c r="BG38" s="128" t="e" cm="1">
        <f t="array" aca="1" ref="BG38" ca="1">Notmerged(BG9)</f>
        <v>#NAME?</v>
      </c>
      <c r="BH38" s="128" t="e" cm="1">
        <f t="array" aca="1" ref="BH38" ca="1">Notmerged(BH9)</f>
        <v>#NAME?</v>
      </c>
      <c r="BI38" s="128" t="e" cm="1">
        <f t="array" aca="1" ref="BI38" ca="1">Notmerged(BI9)</f>
        <v>#NAME?</v>
      </c>
      <c r="BJ38" s="128" t="e" cm="1">
        <f t="array" aca="1" ref="BJ38" ca="1">Notmerged(BJ9)</f>
        <v>#NAME?</v>
      </c>
      <c r="BK38" s="128" t="e" cm="1">
        <f t="array" aca="1" ref="BK38" ca="1">Notmerged(BK9)</f>
        <v>#NAME?</v>
      </c>
    </row>
    <row r="39" spans="2:63" x14ac:dyDescent="0.3">
      <c r="B39" s="128" t="e" cm="1">
        <f t="array" aca="1" ref="B39" ca="1">Notmerged(B10)</f>
        <v>#NAME?</v>
      </c>
      <c r="C39" s="128" t="e" cm="1">
        <f t="array" aca="1" ref="C39" ca="1">Notmerged(C10)</f>
        <v>#NAME?</v>
      </c>
      <c r="D39" s="128" t="e" cm="1">
        <f t="array" aca="1" ref="D39" ca="1">Notmerged(#REF!)</f>
        <v>#NAME?</v>
      </c>
      <c r="E39" s="128" t="e" cm="1">
        <f t="array" aca="1" ref="E39" ca="1">Notmerged(E10)</f>
        <v>#NAME?</v>
      </c>
      <c r="F39" s="128" t="e" cm="1">
        <f t="array" aca="1" ref="F39" ca="1">Notmerged(F10)</f>
        <v>#NAME?</v>
      </c>
      <c r="G39" s="128" t="e" cm="1">
        <f t="array" aca="1" ref="G39" ca="1">Notmerged(G10)</f>
        <v>#NAME?</v>
      </c>
      <c r="H39" s="128" t="e" cm="1">
        <f t="array" aca="1" ref="H39" ca="1">Notmerged(H10)</f>
        <v>#NAME?</v>
      </c>
      <c r="I39" s="128" t="e" cm="1">
        <f t="array" aca="1" ref="I39" ca="1">Notmerged(I10)</f>
        <v>#NAME?</v>
      </c>
      <c r="J39" s="128" t="e" cm="1">
        <f t="array" aca="1" ref="J39" ca="1">Notmerged(J10)</f>
        <v>#NAME?</v>
      </c>
      <c r="K39" s="128" t="e" cm="1">
        <f t="array" aca="1" ref="K39" ca="1">Notmerged(K10)</f>
        <v>#NAME?</v>
      </c>
      <c r="L39" s="128" t="e" cm="1">
        <f t="array" aca="1" ref="L39" ca="1">Notmerged(L10)</f>
        <v>#NAME?</v>
      </c>
      <c r="M39" s="128" t="e" cm="1">
        <f t="array" aca="1" ref="M39" ca="1">Notmerged(M10)</f>
        <v>#NAME?</v>
      </c>
      <c r="N39" s="128" t="e" cm="1">
        <f t="array" aca="1" ref="N39" ca="1">Notmerged(N10)</f>
        <v>#NAME?</v>
      </c>
      <c r="O39" s="128" t="e" cm="1">
        <f t="array" aca="1" ref="O39" ca="1">Notmerged(O10)</f>
        <v>#NAME?</v>
      </c>
      <c r="P39" s="128" t="e" cm="1">
        <f t="array" aca="1" ref="P39" ca="1">Notmerged(P10)</f>
        <v>#NAME?</v>
      </c>
      <c r="Q39" s="128" t="e" cm="1">
        <f t="array" aca="1" ref="Q39" ca="1">Notmerged(Q10)</f>
        <v>#NAME?</v>
      </c>
      <c r="R39" s="128" t="e" cm="1">
        <f t="array" aca="1" ref="R39" ca="1">Notmerged(R10)</f>
        <v>#NAME?</v>
      </c>
      <c r="S39" s="128" t="e" cm="1">
        <f t="array" aca="1" ref="S39" ca="1">Notmerged(S10)</f>
        <v>#NAME?</v>
      </c>
      <c r="T39" s="128" t="e" cm="1">
        <f t="array" aca="1" ref="T39" ca="1">Notmerged(T10)</f>
        <v>#NAME?</v>
      </c>
      <c r="U39" s="128" t="e" cm="1">
        <f t="array" aca="1" ref="U39" ca="1">Notmerged(U10)</f>
        <v>#NAME?</v>
      </c>
      <c r="V39" s="128" t="e" cm="1">
        <f t="array" aca="1" ref="V39" ca="1">Notmerged(V10)</f>
        <v>#NAME?</v>
      </c>
      <c r="W39" s="128" t="e" cm="1">
        <f t="array" aca="1" ref="W39" ca="1">Notmerged(W10)</f>
        <v>#NAME?</v>
      </c>
      <c r="X39" s="128" t="e" cm="1">
        <f t="array" aca="1" ref="X39" ca="1">Notmerged(X10)</f>
        <v>#NAME?</v>
      </c>
      <c r="Y39" s="128" t="e" cm="1">
        <f t="array" aca="1" ref="Y39" ca="1">Notmerged(Y10)</f>
        <v>#NAME?</v>
      </c>
      <c r="Z39" s="128" t="e" cm="1">
        <f t="array" aca="1" ref="Z39" ca="1">Notmerged(Z10)</f>
        <v>#NAME?</v>
      </c>
      <c r="AA39" s="128" t="e" cm="1">
        <f t="array" aca="1" ref="AA39" ca="1">Notmerged(AA10)</f>
        <v>#NAME?</v>
      </c>
      <c r="AB39" s="128" t="e" cm="1">
        <f t="array" aca="1" ref="AB39" ca="1">Notmerged(AB10)</f>
        <v>#NAME?</v>
      </c>
      <c r="AC39" s="128" t="e" cm="1">
        <f t="array" aca="1" ref="AC39" ca="1">Notmerged(AC10)</f>
        <v>#NAME?</v>
      </c>
      <c r="AD39" s="128" t="e" cm="1">
        <f t="array" aca="1" ref="AD39" ca="1">Notmerged(AD10)</f>
        <v>#NAME?</v>
      </c>
      <c r="AE39" s="128" t="e" cm="1">
        <f t="array" aca="1" ref="AE39" ca="1">Notmerged(AE10)</f>
        <v>#NAME?</v>
      </c>
      <c r="AF39" s="128" t="e" cm="1">
        <f t="array" aca="1" ref="AF39" ca="1">Notmerged(AF10)</f>
        <v>#NAME?</v>
      </c>
      <c r="AG39" s="128" t="e" cm="1">
        <f t="array" aca="1" ref="AG39" ca="1">Notmerged(AG10)</f>
        <v>#NAME?</v>
      </c>
      <c r="AH39" s="128" t="e" cm="1">
        <f t="array" aca="1" ref="AH39" ca="1">Notmerged(AH10)</f>
        <v>#NAME?</v>
      </c>
      <c r="AI39" s="128" t="e" cm="1">
        <f t="array" aca="1" ref="AI39" ca="1">Notmerged(AI10)</f>
        <v>#NAME?</v>
      </c>
      <c r="AJ39" s="128" t="e" cm="1">
        <f t="array" aca="1" ref="AJ39" ca="1">Notmerged(AJ10)</f>
        <v>#NAME?</v>
      </c>
      <c r="AK39" s="128" t="e" cm="1">
        <f t="array" aca="1" ref="AK39" ca="1">Notmerged(AK10)</f>
        <v>#NAME?</v>
      </c>
      <c r="AL39" s="128" t="e" cm="1">
        <f t="array" aca="1" ref="AL39" ca="1">Notmerged(AL10)</f>
        <v>#NAME?</v>
      </c>
      <c r="AM39" s="128" t="e" cm="1">
        <f t="array" aca="1" ref="AM39" ca="1">Notmerged(AM10)</f>
        <v>#NAME?</v>
      </c>
      <c r="AN39" s="128" t="e" cm="1">
        <f t="array" aca="1" ref="AN39" ca="1">Notmerged(AN10)</f>
        <v>#NAME?</v>
      </c>
      <c r="AO39" s="128" t="e" cm="1">
        <f t="array" aca="1" ref="AO39" ca="1">Notmerged(AO10)</f>
        <v>#NAME?</v>
      </c>
      <c r="AP39" s="128" t="e" cm="1">
        <f t="array" aca="1" ref="AP39" ca="1">Notmerged(AP10)</f>
        <v>#NAME?</v>
      </c>
      <c r="AQ39" s="128" t="e" cm="1">
        <f t="array" aca="1" ref="AQ39" ca="1">Notmerged(AQ10)</f>
        <v>#NAME?</v>
      </c>
      <c r="AR39" s="128" t="e" cm="1">
        <f t="array" aca="1" ref="AR39" ca="1">Notmerged(AR10)</f>
        <v>#NAME?</v>
      </c>
      <c r="AS39" s="128" t="e" cm="1">
        <f t="array" aca="1" ref="AS39" ca="1">Notmerged(AS10)</f>
        <v>#NAME?</v>
      </c>
      <c r="AT39" s="128" t="e" cm="1">
        <f t="array" aca="1" ref="AT39" ca="1">Notmerged(AT10)</f>
        <v>#NAME?</v>
      </c>
      <c r="AU39" s="128" t="e" cm="1">
        <f t="array" aca="1" ref="AU39" ca="1">Notmerged(AU10)</f>
        <v>#NAME?</v>
      </c>
      <c r="AV39" s="128" t="e" cm="1">
        <f t="array" aca="1" ref="AV39" ca="1">Notmerged(AV10)</f>
        <v>#NAME?</v>
      </c>
      <c r="AW39" s="128" t="e" cm="1">
        <f t="array" aca="1" ref="AW39" ca="1">Notmerged(AW10)</f>
        <v>#NAME?</v>
      </c>
      <c r="AX39" s="128" t="e" cm="1">
        <f t="array" aca="1" ref="AX39" ca="1">Notmerged(AX10)</f>
        <v>#NAME?</v>
      </c>
      <c r="AY39" s="128" t="e" cm="1">
        <f t="array" aca="1" ref="AY39" ca="1">Notmerged(AY10)</f>
        <v>#NAME?</v>
      </c>
      <c r="AZ39" s="128" t="e" cm="1">
        <f t="array" aca="1" ref="AZ39" ca="1">Notmerged(AZ10)</f>
        <v>#NAME?</v>
      </c>
      <c r="BA39" s="128" t="e" cm="1">
        <f t="array" aca="1" ref="BA39" ca="1">Notmerged(BA10)</f>
        <v>#NAME?</v>
      </c>
      <c r="BB39" s="128" t="e" cm="1">
        <f t="array" aca="1" ref="BB39" ca="1">Notmerged(BB10)</f>
        <v>#NAME?</v>
      </c>
      <c r="BC39" s="128" t="e" cm="1">
        <f t="array" aca="1" ref="BC39" ca="1">Notmerged(BC10)</f>
        <v>#NAME?</v>
      </c>
      <c r="BD39" s="128" t="e" cm="1">
        <f t="array" aca="1" ref="BD39" ca="1">Notmerged(BD10)</f>
        <v>#NAME?</v>
      </c>
      <c r="BE39" s="128" t="e" cm="1">
        <f t="array" aca="1" ref="BE39" ca="1">Notmerged(BE10)</f>
        <v>#NAME?</v>
      </c>
      <c r="BF39" s="128" t="e" cm="1">
        <f t="array" aca="1" ref="BF39" ca="1">Notmerged(BF10)</f>
        <v>#NAME?</v>
      </c>
      <c r="BG39" s="128" t="e" cm="1">
        <f t="array" aca="1" ref="BG39" ca="1">Notmerged(BG10)</f>
        <v>#NAME?</v>
      </c>
      <c r="BH39" s="128" t="e" cm="1">
        <f t="array" aca="1" ref="BH39" ca="1">Notmerged(BH10)</f>
        <v>#NAME?</v>
      </c>
      <c r="BI39" s="128" t="e" cm="1">
        <f t="array" aca="1" ref="BI39" ca="1">Notmerged(BI10)</f>
        <v>#NAME?</v>
      </c>
      <c r="BJ39" s="128" t="e" cm="1">
        <f t="array" aca="1" ref="BJ39" ca="1">Notmerged(BJ10)</f>
        <v>#NAME?</v>
      </c>
      <c r="BK39" s="128" t="e" cm="1">
        <f t="array" aca="1" ref="BK39" ca="1">Notmerged(BK10)</f>
        <v>#NAME?</v>
      </c>
    </row>
    <row r="40" spans="2:63" x14ac:dyDescent="0.3">
      <c r="B40" s="128" t="e" cm="1">
        <f t="array" aca="1" ref="B40" ca="1">Notmerged(B11)</f>
        <v>#NAME?</v>
      </c>
      <c r="C40" s="128" t="e" cm="1">
        <f t="array" aca="1" ref="C40" ca="1">Notmerged(C11)</f>
        <v>#NAME?</v>
      </c>
      <c r="D40" s="128" t="e" cm="1">
        <f t="array" aca="1" ref="D40" ca="1">Notmerged(D10)</f>
        <v>#NAME?</v>
      </c>
      <c r="E40" s="128" t="e" cm="1">
        <f t="array" aca="1" ref="E40" ca="1">Notmerged(E11)</f>
        <v>#NAME?</v>
      </c>
      <c r="F40" s="128" t="e" cm="1">
        <f t="array" aca="1" ref="F40" ca="1">Notmerged(F11)</f>
        <v>#NAME?</v>
      </c>
      <c r="G40" s="128" t="e" cm="1">
        <f t="array" aca="1" ref="G40" ca="1">Notmerged(G11)</f>
        <v>#NAME?</v>
      </c>
      <c r="H40" s="128" t="e" cm="1">
        <f t="array" aca="1" ref="H40" ca="1">Notmerged(H11)</f>
        <v>#NAME?</v>
      </c>
      <c r="I40" s="128" t="e" cm="1">
        <f t="array" aca="1" ref="I40" ca="1">Notmerged(I11)</f>
        <v>#NAME?</v>
      </c>
      <c r="J40" s="128" t="e" cm="1">
        <f t="array" aca="1" ref="J40" ca="1">Notmerged(J11)</f>
        <v>#NAME?</v>
      </c>
      <c r="K40" s="128" t="e" cm="1">
        <f t="array" aca="1" ref="K40" ca="1">Notmerged(K11)</f>
        <v>#NAME?</v>
      </c>
      <c r="L40" s="128" t="e" cm="1">
        <f t="array" aca="1" ref="L40" ca="1">Notmerged(L11)</f>
        <v>#NAME?</v>
      </c>
      <c r="M40" s="128" t="e" cm="1">
        <f t="array" aca="1" ref="M40" ca="1">Notmerged(M11)</f>
        <v>#NAME?</v>
      </c>
      <c r="N40" s="128" t="e" cm="1">
        <f t="array" aca="1" ref="N40" ca="1">Notmerged(N11)</f>
        <v>#NAME?</v>
      </c>
      <c r="O40" s="128" t="e" cm="1">
        <f t="array" aca="1" ref="O40" ca="1">Notmerged(O11)</f>
        <v>#NAME?</v>
      </c>
      <c r="P40" s="128" t="e" cm="1">
        <f t="array" aca="1" ref="P40" ca="1">Notmerged(P11)</f>
        <v>#NAME?</v>
      </c>
      <c r="Q40" s="128" t="e" cm="1">
        <f t="array" aca="1" ref="Q40" ca="1">Notmerged(Q11)</f>
        <v>#NAME?</v>
      </c>
      <c r="R40" s="128" t="e" cm="1">
        <f t="array" aca="1" ref="R40" ca="1">Notmerged(R11)</f>
        <v>#NAME?</v>
      </c>
      <c r="S40" s="128" t="e" cm="1">
        <f t="array" aca="1" ref="S40" ca="1">Notmerged(S11)</f>
        <v>#NAME?</v>
      </c>
      <c r="T40" s="128" t="e" cm="1">
        <f t="array" aca="1" ref="T40" ca="1">Notmerged(T11)</f>
        <v>#NAME?</v>
      </c>
      <c r="U40" s="128" t="e" cm="1">
        <f t="array" aca="1" ref="U40" ca="1">Notmerged(U11)</f>
        <v>#NAME?</v>
      </c>
      <c r="V40" s="128" t="e" cm="1">
        <f t="array" aca="1" ref="V40" ca="1">Notmerged(V11)</f>
        <v>#NAME?</v>
      </c>
      <c r="W40" s="128" t="e" cm="1">
        <f t="array" aca="1" ref="W40" ca="1">Notmerged(W11)</f>
        <v>#NAME?</v>
      </c>
      <c r="X40" s="128" t="e" cm="1">
        <f t="array" aca="1" ref="X40" ca="1">Notmerged(X11)</f>
        <v>#NAME?</v>
      </c>
      <c r="Y40" s="128" t="e" cm="1">
        <f t="array" aca="1" ref="Y40" ca="1">Notmerged(Y11)</f>
        <v>#NAME?</v>
      </c>
      <c r="Z40" s="128" t="e" cm="1">
        <f t="array" aca="1" ref="Z40" ca="1">Notmerged(Z11)</f>
        <v>#NAME?</v>
      </c>
      <c r="AA40" s="128" t="e" cm="1">
        <f t="array" aca="1" ref="AA40" ca="1">Notmerged(AA11)</f>
        <v>#NAME?</v>
      </c>
      <c r="AB40" s="128" t="e" cm="1">
        <f t="array" aca="1" ref="AB40" ca="1">Notmerged(AB11)</f>
        <v>#NAME?</v>
      </c>
      <c r="AC40" s="128" t="e" cm="1">
        <f t="array" aca="1" ref="AC40" ca="1">Notmerged(AC11)</f>
        <v>#NAME?</v>
      </c>
      <c r="AD40" s="128" t="e" cm="1">
        <f t="array" aca="1" ref="AD40" ca="1">Notmerged(AD11)</f>
        <v>#NAME?</v>
      </c>
      <c r="AE40" s="128" t="e" cm="1">
        <f t="array" aca="1" ref="AE40" ca="1">Notmerged(AE11)</f>
        <v>#NAME?</v>
      </c>
      <c r="AF40" s="128" t="e" cm="1">
        <f t="array" aca="1" ref="AF40" ca="1">Notmerged(AF11)</f>
        <v>#NAME?</v>
      </c>
      <c r="AG40" s="128" t="e" cm="1">
        <f t="array" aca="1" ref="AG40" ca="1">Notmerged(AG11)</f>
        <v>#NAME?</v>
      </c>
      <c r="AH40" s="128" t="e" cm="1">
        <f t="array" aca="1" ref="AH40" ca="1">Notmerged(AH11)</f>
        <v>#NAME?</v>
      </c>
      <c r="AI40" s="128" t="e" cm="1">
        <f t="array" aca="1" ref="AI40" ca="1">Notmerged(AI11)</f>
        <v>#NAME?</v>
      </c>
      <c r="AJ40" s="128" t="e" cm="1">
        <f t="array" aca="1" ref="AJ40" ca="1">Notmerged(AJ11)</f>
        <v>#NAME?</v>
      </c>
      <c r="AK40" s="128" t="e" cm="1">
        <f t="array" aca="1" ref="AK40" ca="1">Notmerged(AK11)</f>
        <v>#NAME?</v>
      </c>
      <c r="AL40" s="128" t="e" cm="1">
        <f t="array" aca="1" ref="AL40" ca="1">Notmerged(AL11)</f>
        <v>#NAME?</v>
      </c>
      <c r="AM40" s="128" t="e" cm="1">
        <f t="array" aca="1" ref="AM40" ca="1">Notmerged(AM11)</f>
        <v>#NAME?</v>
      </c>
      <c r="AN40" s="128" t="e" cm="1">
        <f t="array" aca="1" ref="AN40" ca="1">Notmerged(AN11)</f>
        <v>#NAME?</v>
      </c>
      <c r="AO40" s="128" t="e" cm="1">
        <f t="array" aca="1" ref="AO40" ca="1">Notmerged(AO11)</f>
        <v>#NAME?</v>
      </c>
      <c r="AP40" s="128" t="e" cm="1">
        <f t="array" aca="1" ref="AP40" ca="1">Notmerged(AP11)</f>
        <v>#NAME?</v>
      </c>
      <c r="AQ40" s="128" t="e" cm="1">
        <f t="array" aca="1" ref="AQ40" ca="1">Notmerged(AQ11)</f>
        <v>#NAME?</v>
      </c>
      <c r="AR40" s="128" t="e" cm="1">
        <f t="array" aca="1" ref="AR40" ca="1">Notmerged(AR11)</f>
        <v>#NAME?</v>
      </c>
      <c r="AS40" s="128" t="e" cm="1">
        <f t="array" aca="1" ref="AS40" ca="1">Notmerged(AS11)</f>
        <v>#NAME?</v>
      </c>
      <c r="AT40" s="128" t="e" cm="1">
        <f t="array" aca="1" ref="AT40" ca="1">Notmerged(AT11)</f>
        <v>#NAME?</v>
      </c>
      <c r="AU40" s="128" t="e" cm="1">
        <f t="array" aca="1" ref="AU40" ca="1">Notmerged(AU11)</f>
        <v>#NAME?</v>
      </c>
      <c r="AV40" s="128" t="e" cm="1">
        <f t="array" aca="1" ref="AV40" ca="1">Notmerged(AV11)</f>
        <v>#NAME?</v>
      </c>
      <c r="AW40" s="128" t="e" cm="1">
        <f t="array" aca="1" ref="AW40" ca="1">Notmerged(AW11)</f>
        <v>#NAME?</v>
      </c>
      <c r="AX40" s="128" t="e" cm="1">
        <f t="array" aca="1" ref="AX40" ca="1">Notmerged(AX11)</f>
        <v>#NAME?</v>
      </c>
      <c r="AY40" s="128" t="e" cm="1">
        <f t="array" aca="1" ref="AY40" ca="1">Notmerged(AY11)</f>
        <v>#NAME?</v>
      </c>
      <c r="AZ40" s="128" t="e" cm="1">
        <f t="array" aca="1" ref="AZ40" ca="1">Notmerged(AZ11)</f>
        <v>#NAME?</v>
      </c>
      <c r="BA40" s="128" t="e" cm="1">
        <f t="array" aca="1" ref="BA40" ca="1">Notmerged(BA11)</f>
        <v>#NAME?</v>
      </c>
      <c r="BB40" s="128" t="e" cm="1">
        <f t="array" aca="1" ref="BB40" ca="1">Notmerged(BB11)</f>
        <v>#NAME?</v>
      </c>
      <c r="BC40" s="128" t="e" cm="1">
        <f t="array" aca="1" ref="BC40" ca="1">Notmerged(BC11)</f>
        <v>#NAME?</v>
      </c>
      <c r="BD40" s="128" t="e" cm="1">
        <f t="array" aca="1" ref="BD40" ca="1">Notmerged(BD11)</f>
        <v>#NAME?</v>
      </c>
      <c r="BE40" s="128" t="e" cm="1">
        <f t="array" aca="1" ref="BE40" ca="1">Notmerged(BE11)</f>
        <v>#NAME?</v>
      </c>
      <c r="BF40" s="128" t="e" cm="1">
        <f t="array" aca="1" ref="BF40" ca="1">Notmerged(BF11)</f>
        <v>#NAME?</v>
      </c>
      <c r="BG40" s="128" t="e" cm="1">
        <f t="array" aca="1" ref="BG40" ca="1">Notmerged(BG11)</f>
        <v>#NAME?</v>
      </c>
      <c r="BH40" s="128" t="e" cm="1">
        <f t="array" aca="1" ref="BH40" ca="1">Notmerged(BH11)</f>
        <v>#NAME?</v>
      </c>
      <c r="BI40" s="128" t="e" cm="1">
        <f t="array" aca="1" ref="BI40" ca="1">Notmerged(BI11)</f>
        <v>#NAME?</v>
      </c>
      <c r="BJ40" s="128" t="e" cm="1">
        <f t="array" aca="1" ref="BJ40" ca="1">Notmerged(BJ11)</f>
        <v>#NAME?</v>
      </c>
      <c r="BK40" s="128" t="e" cm="1">
        <f t="array" aca="1" ref="BK40" ca="1">Notmerged(BK11)</f>
        <v>#NAME?</v>
      </c>
    </row>
    <row r="41" spans="2:63" x14ac:dyDescent="0.3">
      <c r="B41" s="128" t="e" cm="1">
        <f t="array" aca="1" ref="B41" ca="1">Notmerged(B12)</f>
        <v>#NAME?</v>
      </c>
      <c r="C41" s="128" t="e" cm="1">
        <f t="array" aca="1" ref="C41" ca="1">Notmerged(C12)</f>
        <v>#NAME?</v>
      </c>
      <c r="D41" s="128" t="e" cm="1">
        <f t="array" aca="1" ref="D41" ca="1">Notmerged(D12)</f>
        <v>#NAME?</v>
      </c>
      <c r="E41" s="128" t="e" cm="1">
        <f t="array" aca="1" ref="E41" ca="1">Notmerged(E12)</f>
        <v>#NAME?</v>
      </c>
      <c r="F41" s="128" t="e" cm="1">
        <f t="array" aca="1" ref="F41" ca="1">Notmerged(F12)</f>
        <v>#NAME?</v>
      </c>
      <c r="G41" s="128" t="e" cm="1">
        <f t="array" aca="1" ref="G41" ca="1">Notmerged(G12)</f>
        <v>#NAME?</v>
      </c>
      <c r="H41" s="128" t="e" cm="1">
        <f t="array" aca="1" ref="H41" ca="1">Notmerged(H12)</f>
        <v>#NAME?</v>
      </c>
      <c r="I41" s="128" t="e" cm="1">
        <f t="array" aca="1" ref="I41" ca="1">Notmerged(I12)</f>
        <v>#NAME?</v>
      </c>
      <c r="J41" s="128" t="e" cm="1">
        <f t="array" aca="1" ref="J41" ca="1">Notmerged(J12)</f>
        <v>#NAME?</v>
      </c>
      <c r="K41" s="128" t="e" cm="1">
        <f t="array" aca="1" ref="K41" ca="1">Notmerged(K12)</f>
        <v>#NAME?</v>
      </c>
      <c r="L41" s="128" t="e" cm="1">
        <f t="array" aca="1" ref="L41" ca="1">Notmerged(L12)</f>
        <v>#NAME?</v>
      </c>
      <c r="M41" s="128" t="e" cm="1">
        <f t="array" aca="1" ref="M41" ca="1">Notmerged(M12)</f>
        <v>#NAME?</v>
      </c>
      <c r="N41" s="128" t="e" cm="1">
        <f t="array" aca="1" ref="N41" ca="1">Notmerged(N12)</f>
        <v>#NAME?</v>
      </c>
      <c r="O41" s="128" t="e" cm="1">
        <f t="array" aca="1" ref="O41" ca="1">Notmerged(O12)</f>
        <v>#NAME?</v>
      </c>
      <c r="P41" s="128" t="e" cm="1">
        <f t="array" aca="1" ref="P41" ca="1">Notmerged(P12)</f>
        <v>#NAME?</v>
      </c>
      <c r="Q41" s="128" t="e" cm="1">
        <f t="array" aca="1" ref="Q41" ca="1">Notmerged(Q12)</f>
        <v>#NAME?</v>
      </c>
      <c r="R41" s="128" t="e" cm="1">
        <f t="array" aca="1" ref="R41" ca="1">Notmerged(R12)</f>
        <v>#NAME?</v>
      </c>
      <c r="S41" s="128" t="e" cm="1">
        <f t="array" aca="1" ref="S41" ca="1">Notmerged(S12)</f>
        <v>#NAME?</v>
      </c>
      <c r="T41" s="128" t="e" cm="1">
        <f t="array" aca="1" ref="T41" ca="1">Notmerged(T12)</f>
        <v>#NAME?</v>
      </c>
      <c r="U41" s="128" t="e" cm="1">
        <f t="array" aca="1" ref="U41" ca="1">Notmerged(U12)</f>
        <v>#NAME?</v>
      </c>
      <c r="V41" s="128" t="e" cm="1">
        <f t="array" aca="1" ref="V41" ca="1">Notmerged(V12)</f>
        <v>#NAME?</v>
      </c>
      <c r="W41" s="128" t="e" cm="1">
        <f t="array" aca="1" ref="W41" ca="1">Notmerged(W12)</f>
        <v>#NAME?</v>
      </c>
      <c r="X41" s="128" t="e" cm="1">
        <f t="array" aca="1" ref="X41" ca="1">Notmerged(X12)</f>
        <v>#NAME?</v>
      </c>
      <c r="Y41" s="128" t="e" cm="1">
        <f t="array" aca="1" ref="Y41" ca="1">Notmerged(Y12)</f>
        <v>#NAME?</v>
      </c>
      <c r="Z41" s="128" t="e" cm="1">
        <f t="array" aca="1" ref="Z41" ca="1">Notmerged(Z12)</f>
        <v>#NAME?</v>
      </c>
      <c r="AA41" s="128" t="e" cm="1">
        <f t="array" aca="1" ref="AA41" ca="1">Notmerged(AA12)</f>
        <v>#NAME?</v>
      </c>
      <c r="AB41" s="128" t="e" cm="1">
        <f t="array" aca="1" ref="AB41" ca="1">Notmerged(AB12)</f>
        <v>#NAME?</v>
      </c>
      <c r="AC41" s="128" t="e" cm="1">
        <f t="array" aca="1" ref="AC41" ca="1">Notmerged(AC12)</f>
        <v>#NAME?</v>
      </c>
      <c r="AD41" s="128" t="e" cm="1">
        <f t="array" aca="1" ref="AD41" ca="1">Notmerged(AD12)</f>
        <v>#NAME?</v>
      </c>
      <c r="AE41" s="128" t="e" cm="1">
        <f t="array" aca="1" ref="AE41" ca="1">Notmerged(AE12)</f>
        <v>#NAME?</v>
      </c>
      <c r="AF41" s="128" t="e" cm="1">
        <f t="array" aca="1" ref="AF41" ca="1">Notmerged(AF12)</f>
        <v>#NAME?</v>
      </c>
      <c r="AG41" s="128" t="e" cm="1">
        <f t="array" aca="1" ref="AG41" ca="1">Notmerged(AG12)</f>
        <v>#NAME?</v>
      </c>
      <c r="AH41" s="128" t="e" cm="1">
        <f t="array" aca="1" ref="AH41" ca="1">Notmerged(AH12)</f>
        <v>#NAME?</v>
      </c>
      <c r="AI41" s="128" t="e" cm="1">
        <f t="array" aca="1" ref="AI41" ca="1">Notmerged(AI12)</f>
        <v>#NAME?</v>
      </c>
      <c r="AJ41" s="128" t="e" cm="1">
        <f t="array" aca="1" ref="AJ41" ca="1">Notmerged(AJ12)</f>
        <v>#NAME?</v>
      </c>
      <c r="AK41" s="128" t="e" cm="1">
        <f t="array" aca="1" ref="AK41" ca="1">Notmerged(AK12)</f>
        <v>#NAME?</v>
      </c>
      <c r="AL41" s="128" t="e" cm="1">
        <f t="array" aca="1" ref="AL41" ca="1">Notmerged(AL12)</f>
        <v>#NAME?</v>
      </c>
      <c r="AM41" s="128" t="e" cm="1">
        <f t="array" aca="1" ref="AM41" ca="1">Notmerged(AM12)</f>
        <v>#NAME?</v>
      </c>
      <c r="AN41" s="128" t="e" cm="1">
        <f t="array" aca="1" ref="AN41" ca="1">Notmerged(AN12)</f>
        <v>#NAME?</v>
      </c>
      <c r="AO41" s="128" t="e" cm="1">
        <f t="array" aca="1" ref="AO41" ca="1">Notmerged(AO12)</f>
        <v>#NAME?</v>
      </c>
      <c r="AP41" s="128" t="e" cm="1">
        <f t="array" aca="1" ref="AP41" ca="1">Notmerged(AP12)</f>
        <v>#NAME?</v>
      </c>
      <c r="AQ41" s="128" t="e" cm="1">
        <f t="array" aca="1" ref="AQ41" ca="1">Notmerged(AQ12)</f>
        <v>#NAME?</v>
      </c>
      <c r="AR41" s="128" t="e" cm="1">
        <f t="array" aca="1" ref="AR41" ca="1">Notmerged(AR12)</f>
        <v>#NAME?</v>
      </c>
      <c r="AS41" s="128" t="e" cm="1">
        <f t="array" aca="1" ref="AS41" ca="1">Notmerged(AS12)</f>
        <v>#NAME?</v>
      </c>
      <c r="AT41" s="128" t="e" cm="1">
        <f t="array" aca="1" ref="AT41" ca="1">Notmerged(AT12)</f>
        <v>#NAME?</v>
      </c>
      <c r="AU41" s="128" t="e" cm="1">
        <f t="array" aca="1" ref="AU41" ca="1">Notmerged(AU12)</f>
        <v>#NAME?</v>
      </c>
      <c r="AV41" s="128" t="e" cm="1">
        <f t="array" aca="1" ref="AV41" ca="1">Notmerged(AV12)</f>
        <v>#NAME?</v>
      </c>
      <c r="AW41" s="128" t="e" cm="1">
        <f t="array" aca="1" ref="AW41" ca="1">Notmerged(AW12)</f>
        <v>#NAME?</v>
      </c>
      <c r="AX41" s="128" t="e" cm="1">
        <f t="array" aca="1" ref="AX41" ca="1">Notmerged(AX12)</f>
        <v>#NAME?</v>
      </c>
      <c r="AY41" s="128" t="e" cm="1">
        <f t="array" aca="1" ref="AY41" ca="1">Notmerged(AY12)</f>
        <v>#NAME?</v>
      </c>
      <c r="AZ41" s="128" t="e" cm="1">
        <f t="array" aca="1" ref="AZ41" ca="1">Notmerged(AZ12)</f>
        <v>#NAME?</v>
      </c>
      <c r="BA41" s="128" t="e" cm="1">
        <f t="array" aca="1" ref="BA41" ca="1">Notmerged(BA12)</f>
        <v>#NAME?</v>
      </c>
      <c r="BB41" s="128" t="e" cm="1">
        <f t="array" aca="1" ref="BB41" ca="1">Notmerged(BB12)</f>
        <v>#NAME?</v>
      </c>
      <c r="BC41" s="128" t="e" cm="1">
        <f t="array" aca="1" ref="BC41" ca="1">Notmerged(BC12)</f>
        <v>#NAME?</v>
      </c>
      <c r="BD41" s="128" t="e" cm="1">
        <f t="array" aca="1" ref="BD41" ca="1">Notmerged(BD12)</f>
        <v>#NAME?</v>
      </c>
      <c r="BE41" s="128" t="e" cm="1">
        <f t="array" aca="1" ref="BE41" ca="1">Notmerged(BE12)</f>
        <v>#NAME?</v>
      </c>
      <c r="BF41" s="128" t="e" cm="1">
        <f t="array" aca="1" ref="BF41" ca="1">Notmerged(BF12)</f>
        <v>#NAME?</v>
      </c>
      <c r="BG41" s="128" t="e" cm="1">
        <f t="array" aca="1" ref="BG41" ca="1">Notmerged(BG12)</f>
        <v>#NAME?</v>
      </c>
      <c r="BH41" s="128" t="e" cm="1">
        <f t="array" aca="1" ref="BH41" ca="1">Notmerged(BH12)</f>
        <v>#NAME?</v>
      </c>
      <c r="BI41" s="128" t="e" cm="1">
        <f t="array" aca="1" ref="BI41" ca="1">Notmerged(BI12)</f>
        <v>#NAME?</v>
      </c>
      <c r="BJ41" s="128" t="e" cm="1">
        <f t="array" aca="1" ref="BJ41" ca="1">Notmerged(BJ12)</f>
        <v>#NAME?</v>
      </c>
      <c r="BK41" s="128" t="e" cm="1">
        <f t="array" aca="1" ref="BK41" ca="1">Notmerged(BK12)</f>
        <v>#NAME?</v>
      </c>
    </row>
    <row r="42" spans="2:63" x14ac:dyDescent="0.3">
      <c r="B42" s="128" t="e" cm="1">
        <f t="array" aca="1" ref="B42" ca="1">Notmerged(B13)</f>
        <v>#NAME?</v>
      </c>
      <c r="C42" s="128" t="e" cm="1">
        <f t="array" aca="1" ref="C42" ca="1">Notmerged(C13)</f>
        <v>#NAME?</v>
      </c>
      <c r="D42" s="128" t="e" cm="1">
        <f t="array" aca="1" ref="D42" ca="1">Notmerged(D13)</f>
        <v>#NAME?</v>
      </c>
      <c r="E42" s="128" t="e" cm="1">
        <f t="array" aca="1" ref="E42" ca="1">Notmerged(E13)</f>
        <v>#NAME?</v>
      </c>
      <c r="F42" s="128" t="e" cm="1">
        <f t="array" aca="1" ref="F42" ca="1">Notmerged(F13)</f>
        <v>#NAME?</v>
      </c>
      <c r="G42" s="128" t="e" cm="1">
        <f t="array" aca="1" ref="G42" ca="1">Notmerged(G13)</f>
        <v>#NAME?</v>
      </c>
      <c r="H42" s="128" t="e" cm="1">
        <f t="array" aca="1" ref="H42" ca="1">Notmerged(H13)</f>
        <v>#NAME?</v>
      </c>
      <c r="I42" s="128" t="e" cm="1">
        <f t="array" aca="1" ref="I42" ca="1">Notmerged(I13)</f>
        <v>#NAME?</v>
      </c>
      <c r="J42" s="128" t="e" cm="1">
        <f t="array" aca="1" ref="J42" ca="1">Notmerged(J13)</f>
        <v>#NAME?</v>
      </c>
      <c r="K42" s="128" t="e" cm="1">
        <f t="array" aca="1" ref="K42" ca="1">Notmerged(K13)</f>
        <v>#NAME?</v>
      </c>
      <c r="L42" s="128" t="e" cm="1">
        <f t="array" aca="1" ref="L42" ca="1">Notmerged(L13)</f>
        <v>#NAME?</v>
      </c>
      <c r="M42" s="128" t="e" cm="1">
        <f t="array" aca="1" ref="M42" ca="1">Notmerged(M13)</f>
        <v>#NAME?</v>
      </c>
      <c r="N42" s="128" t="e" cm="1">
        <f t="array" aca="1" ref="N42" ca="1">Notmerged(N13)</f>
        <v>#NAME?</v>
      </c>
      <c r="O42" s="128" t="e" cm="1">
        <f t="array" aca="1" ref="O42" ca="1">Notmerged(O13)</f>
        <v>#NAME?</v>
      </c>
      <c r="P42" s="128" t="e" cm="1">
        <f t="array" aca="1" ref="P42" ca="1">Notmerged(P13)</f>
        <v>#NAME?</v>
      </c>
      <c r="Q42" s="128" t="e" cm="1">
        <f t="array" aca="1" ref="Q42" ca="1">Notmerged(Q13)</f>
        <v>#NAME?</v>
      </c>
      <c r="R42" s="128" t="e" cm="1">
        <f t="array" aca="1" ref="R42" ca="1">Notmerged(R13)</f>
        <v>#NAME?</v>
      </c>
      <c r="S42" s="128" t="e" cm="1">
        <f t="array" aca="1" ref="S42" ca="1">Notmerged(S13)</f>
        <v>#NAME?</v>
      </c>
      <c r="T42" s="128" t="e" cm="1">
        <f t="array" aca="1" ref="T42" ca="1">Notmerged(T13)</f>
        <v>#NAME?</v>
      </c>
      <c r="U42" s="128" t="e" cm="1">
        <f t="array" aca="1" ref="U42" ca="1">Notmerged(U13)</f>
        <v>#NAME?</v>
      </c>
      <c r="V42" s="128" t="e" cm="1">
        <f t="array" aca="1" ref="V42" ca="1">Notmerged(V13)</f>
        <v>#NAME?</v>
      </c>
      <c r="W42" s="128" t="e" cm="1">
        <f t="array" aca="1" ref="W42" ca="1">Notmerged(W13)</f>
        <v>#NAME?</v>
      </c>
      <c r="X42" s="128" t="e" cm="1">
        <f t="array" aca="1" ref="X42" ca="1">Notmerged(X13)</f>
        <v>#NAME?</v>
      </c>
      <c r="Y42" s="128" t="e" cm="1">
        <f t="array" aca="1" ref="Y42" ca="1">Notmerged(Y13)</f>
        <v>#NAME?</v>
      </c>
      <c r="Z42" s="128" t="e" cm="1">
        <f t="array" aca="1" ref="Z42" ca="1">Notmerged(Z13)</f>
        <v>#NAME?</v>
      </c>
      <c r="AA42" s="128" t="e" cm="1">
        <f t="array" aca="1" ref="AA42" ca="1">Notmerged(AA13)</f>
        <v>#NAME?</v>
      </c>
      <c r="AB42" s="128" t="e" cm="1">
        <f t="array" aca="1" ref="AB42" ca="1">Notmerged(AB13)</f>
        <v>#NAME?</v>
      </c>
      <c r="AC42" s="128" t="e" cm="1">
        <f t="array" aca="1" ref="AC42" ca="1">Notmerged(AC13)</f>
        <v>#NAME?</v>
      </c>
      <c r="AD42" s="128" t="e" cm="1">
        <f t="array" aca="1" ref="AD42" ca="1">Notmerged(AD13)</f>
        <v>#NAME?</v>
      </c>
      <c r="AE42" s="128" t="e" cm="1">
        <f t="array" aca="1" ref="AE42" ca="1">Notmerged(AE13)</f>
        <v>#NAME?</v>
      </c>
      <c r="AF42" s="128" t="e" cm="1">
        <f t="array" aca="1" ref="AF42" ca="1">Notmerged(AF13)</f>
        <v>#NAME?</v>
      </c>
      <c r="AG42" s="128" t="e" cm="1">
        <f t="array" aca="1" ref="AG42" ca="1">Notmerged(AG13)</f>
        <v>#NAME?</v>
      </c>
      <c r="AH42" s="128" t="e" cm="1">
        <f t="array" aca="1" ref="AH42" ca="1">Notmerged(AH13)</f>
        <v>#NAME?</v>
      </c>
      <c r="AI42" s="128" t="e" cm="1">
        <f t="array" aca="1" ref="AI42" ca="1">Notmerged(AI13)</f>
        <v>#NAME?</v>
      </c>
      <c r="AJ42" s="128" t="e" cm="1">
        <f t="array" aca="1" ref="AJ42" ca="1">Notmerged(AJ13)</f>
        <v>#NAME?</v>
      </c>
      <c r="AK42" s="128" t="e" cm="1">
        <f t="array" aca="1" ref="AK42" ca="1">Notmerged(AK13)</f>
        <v>#NAME?</v>
      </c>
      <c r="AL42" s="128" t="e" cm="1">
        <f t="array" aca="1" ref="AL42" ca="1">Notmerged(AL13)</f>
        <v>#NAME?</v>
      </c>
      <c r="AM42" s="128" t="e" cm="1">
        <f t="array" aca="1" ref="AM42" ca="1">Notmerged(AM13)</f>
        <v>#NAME?</v>
      </c>
      <c r="AN42" s="128" t="e" cm="1">
        <f t="array" aca="1" ref="AN42" ca="1">Notmerged(AN13)</f>
        <v>#NAME?</v>
      </c>
      <c r="AO42" s="128" t="e" cm="1">
        <f t="array" aca="1" ref="AO42" ca="1">Notmerged(AO13)</f>
        <v>#NAME?</v>
      </c>
      <c r="AP42" s="128" t="e" cm="1">
        <f t="array" aca="1" ref="AP42" ca="1">Notmerged(AP13)</f>
        <v>#NAME?</v>
      </c>
      <c r="AQ42" s="128" t="e" cm="1">
        <f t="array" aca="1" ref="AQ42" ca="1">Notmerged(AQ13)</f>
        <v>#NAME?</v>
      </c>
      <c r="AR42" s="128" t="e" cm="1">
        <f t="array" aca="1" ref="AR42" ca="1">Notmerged(AR13)</f>
        <v>#NAME?</v>
      </c>
      <c r="AS42" s="128" t="e" cm="1">
        <f t="array" aca="1" ref="AS42" ca="1">Notmerged(AS13)</f>
        <v>#NAME?</v>
      </c>
      <c r="AT42" s="128" t="e" cm="1">
        <f t="array" aca="1" ref="AT42" ca="1">Notmerged(AT13)</f>
        <v>#NAME?</v>
      </c>
      <c r="AU42" s="128" t="e" cm="1">
        <f t="array" aca="1" ref="AU42" ca="1">Notmerged(AU13)</f>
        <v>#NAME?</v>
      </c>
      <c r="AV42" s="128" t="e" cm="1">
        <f t="array" aca="1" ref="AV42" ca="1">Notmerged(AV13)</f>
        <v>#NAME?</v>
      </c>
      <c r="AW42" s="128" t="e" cm="1">
        <f t="array" aca="1" ref="AW42" ca="1">Notmerged(AW13)</f>
        <v>#NAME?</v>
      </c>
      <c r="AX42" s="128" t="e" cm="1">
        <f t="array" aca="1" ref="AX42" ca="1">Notmerged(AX13)</f>
        <v>#NAME?</v>
      </c>
      <c r="AY42" s="128" t="e" cm="1">
        <f t="array" aca="1" ref="AY42" ca="1">Notmerged(AY13)</f>
        <v>#NAME?</v>
      </c>
      <c r="AZ42" s="128" t="e" cm="1">
        <f t="array" aca="1" ref="AZ42" ca="1">Notmerged(AZ13)</f>
        <v>#NAME?</v>
      </c>
      <c r="BA42" s="128" t="e" cm="1">
        <f t="array" aca="1" ref="BA42" ca="1">Notmerged(BA13)</f>
        <v>#NAME?</v>
      </c>
      <c r="BB42" s="128" t="e" cm="1">
        <f t="array" aca="1" ref="BB42" ca="1">Notmerged(BB13)</f>
        <v>#NAME?</v>
      </c>
      <c r="BC42" s="128" t="e" cm="1">
        <f t="array" aca="1" ref="BC42" ca="1">Notmerged(BC13)</f>
        <v>#NAME?</v>
      </c>
      <c r="BD42" s="128" t="e" cm="1">
        <f t="array" aca="1" ref="BD42" ca="1">Notmerged(BD13)</f>
        <v>#NAME?</v>
      </c>
      <c r="BE42" s="128" t="e" cm="1">
        <f t="array" aca="1" ref="BE42" ca="1">Notmerged(BE13)</f>
        <v>#NAME?</v>
      </c>
      <c r="BF42" s="128" t="e" cm="1">
        <f t="array" aca="1" ref="BF42" ca="1">Notmerged(BF13)</f>
        <v>#NAME?</v>
      </c>
      <c r="BG42" s="128" t="e" cm="1">
        <f t="array" aca="1" ref="BG42" ca="1">Notmerged(BG13)</f>
        <v>#NAME?</v>
      </c>
      <c r="BH42" s="128" t="e" cm="1">
        <f t="array" aca="1" ref="BH42" ca="1">Notmerged(BH13)</f>
        <v>#NAME?</v>
      </c>
      <c r="BI42" s="128" t="e" cm="1">
        <f t="array" aca="1" ref="BI42" ca="1">Notmerged(BI13)</f>
        <v>#NAME?</v>
      </c>
      <c r="BJ42" s="128" t="e" cm="1">
        <f t="array" aca="1" ref="BJ42" ca="1">Notmerged(BJ13)</f>
        <v>#NAME?</v>
      </c>
      <c r="BK42" s="128" t="e" cm="1">
        <f t="array" aca="1" ref="BK42" ca="1">Notmerged(BK13)</f>
        <v>#NAME?</v>
      </c>
    </row>
    <row r="43" spans="2:63" x14ac:dyDescent="0.3">
      <c r="B43" s="128" t="e" cm="1">
        <f t="array" aca="1" ref="B43" ca="1">Notmerged(B14)</f>
        <v>#NAME?</v>
      </c>
      <c r="C43" s="128" t="e" cm="1">
        <f t="array" aca="1" ref="C43" ca="1">Notmerged(C15)</f>
        <v>#NAME?</v>
      </c>
      <c r="D43" s="128" t="e" cm="1">
        <f t="array" aca="1" ref="D43" ca="1">Notmerged(D14)</f>
        <v>#NAME?</v>
      </c>
      <c r="E43" s="128" t="e" cm="1">
        <f t="array" aca="1" ref="E43" ca="1">Notmerged(E14)</f>
        <v>#NAME?</v>
      </c>
      <c r="F43" s="128" t="e" cm="1">
        <f t="array" aca="1" ref="F43" ca="1">Notmerged(F14)</f>
        <v>#NAME?</v>
      </c>
      <c r="G43" s="128" t="e" cm="1">
        <f t="array" aca="1" ref="G43" ca="1">Notmerged(G14)</f>
        <v>#NAME?</v>
      </c>
      <c r="H43" s="128" t="e" cm="1">
        <f t="array" aca="1" ref="H43" ca="1">Notmerged(H14)</f>
        <v>#NAME?</v>
      </c>
      <c r="I43" s="128" t="e" cm="1">
        <f t="array" aca="1" ref="I43" ca="1">Notmerged(I14)</f>
        <v>#NAME?</v>
      </c>
      <c r="J43" s="128" t="e" cm="1">
        <f t="array" aca="1" ref="J43" ca="1">Notmerged(J14)</f>
        <v>#NAME?</v>
      </c>
      <c r="K43" s="128" t="e" cm="1">
        <f t="array" aca="1" ref="K43" ca="1">Notmerged(K14)</f>
        <v>#NAME?</v>
      </c>
      <c r="L43" s="128" t="e" cm="1">
        <f t="array" aca="1" ref="L43" ca="1">Notmerged(L14)</f>
        <v>#NAME?</v>
      </c>
      <c r="M43" s="128" t="e" cm="1">
        <f t="array" aca="1" ref="M43" ca="1">Notmerged(M14)</f>
        <v>#NAME?</v>
      </c>
      <c r="N43" s="128" t="e" cm="1">
        <f t="array" aca="1" ref="N43" ca="1">Notmerged(N14)</f>
        <v>#NAME?</v>
      </c>
      <c r="O43" s="128" t="e" cm="1">
        <f t="array" aca="1" ref="O43" ca="1">Notmerged(O14)</f>
        <v>#NAME?</v>
      </c>
      <c r="P43" s="128" t="e" cm="1">
        <f t="array" aca="1" ref="P43" ca="1">Notmerged(P14)</f>
        <v>#NAME?</v>
      </c>
      <c r="Q43" s="128" t="e" cm="1">
        <f t="array" aca="1" ref="Q43" ca="1">Notmerged(Q14)</f>
        <v>#NAME?</v>
      </c>
      <c r="R43" s="128" t="e" cm="1">
        <f t="array" aca="1" ref="R43" ca="1">Notmerged(R14)</f>
        <v>#NAME?</v>
      </c>
      <c r="S43" s="128" t="e" cm="1">
        <f t="array" aca="1" ref="S43" ca="1">Notmerged(S14)</f>
        <v>#NAME?</v>
      </c>
      <c r="T43" s="128" t="e" cm="1">
        <f t="array" aca="1" ref="T43" ca="1">Notmerged(T14)</f>
        <v>#NAME?</v>
      </c>
      <c r="U43" s="128" t="e" cm="1">
        <f t="array" aca="1" ref="U43" ca="1">Notmerged(U14)</f>
        <v>#NAME?</v>
      </c>
      <c r="V43" s="128" t="e" cm="1">
        <f t="array" aca="1" ref="V43" ca="1">Notmerged(V14)</f>
        <v>#NAME?</v>
      </c>
      <c r="W43" s="128" t="e" cm="1">
        <f t="array" aca="1" ref="W43" ca="1">Notmerged(W14)</f>
        <v>#NAME?</v>
      </c>
      <c r="X43" s="128" t="e" cm="1">
        <f t="array" aca="1" ref="X43" ca="1">Notmerged(X14)</f>
        <v>#NAME?</v>
      </c>
      <c r="Y43" s="128" t="e" cm="1">
        <f t="array" aca="1" ref="Y43" ca="1">Notmerged(Y14)</f>
        <v>#NAME?</v>
      </c>
      <c r="Z43" s="128" t="e" cm="1">
        <f t="array" aca="1" ref="Z43" ca="1">Notmerged(Z14)</f>
        <v>#NAME?</v>
      </c>
      <c r="AA43" s="128" t="e" cm="1">
        <f t="array" aca="1" ref="AA43" ca="1">Notmerged(AA14)</f>
        <v>#NAME?</v>
      </c>
      <c r="AB43" s="128" t="e" cm="1">
        <f t="array" aca="1" ref="AB43" ca="1">Notmerged(AB14)</f>
        <v>#NAME?</v>
      </c>
      <c r="AC43" s="128" t="e" cm="1">
        <f t="array" aca="1" ref="AC43" ca="1">Notmerged(AC14)</f>
        <v>#NAME?</v>
      </c>
      <c r="AD43" s="128" t="e" cm="1">
        <f t="array" aca="1" ref="AD43" ca="1">Notmerged(AD14)</f>
        <v>#NAME?</v>
      </c>
      <c r="AE43" s="128" t="e" cm="1">
        <f t="array" aca="1" ref="AE43" ca="1">Notmerged(AE14)</f>
        <v>#NAME?</v>
      </c>
      <c r="AF43" s="128" t="e" cm="1">
        <f t="array" aca="1" ref="AF43" ca="1">Notmerged(AF14)</f>
        <v>#NAME?</v>
      </c>
      <c r="AG43" s="128" t="e" cm="1">
        <f t="array" aca="1" ref="AG43" ca="1">Notmerged(AG14)</f>
        <v>#NAME?</v>
      </c>
      <c r="AH43" s="128" t="e" cm="1">
        <f t="array" aca="1" ref="AH43" ca="1">Notmerged(AH14)</f>
        <v>#NAME?</v>
      </c>
      <c r="AI43" s="128" t="e" cm="1">
        <f t="array" aca="1" ref="AI43" ca="1">Notmerged(AI14)</f>
        <v>#NAME?</v>
      </c>
      <c r="AJ43" s="128" t="e" cm="1">
        <f t="array" aca="1" ref="AJ43" ca="1">Notmerged(AJ14)</f>
        <v>#NAME?</v>
      </c>
      <c r="AK43" s="128" t="e" cm="1">
        <f t="array" aca="1" ref="AK43" ca="1">Notmerged(AK14)</f>
        <v>#NAME?</v>
      </c>
      <c r="AL43" s="128" t="e" cm="1">
        <f t="array" aca="1" ref="AL43" ca="1">Notmerged(AL14)</f>
        <v>#NAME?</v>
      </c>
      <c r="AM43" s="128" t="e" cm="1">
        <f t="array" aca="1" ref="AM43" ca="1">Notmerged(AM14)</f>
        <v>#NAME?</v>
      </c>
      <c r="AN43" s="128" t="e" cm="1">
        <f t="array" aca="1" ref="AN43" ca="1">Notmerged(AN14)</f>
        <v>#NAME?</v>
      </c>
      <c r="AO43" s="128" t="e" cm="1">
        <f t="array" aca="1" ref="AO43" ca="1">Notmerged(AO14)</f>
        <v>#NAME?</v>
      </c>
      <c r="AP43" s="128" t="e" cm="1">
        <f t="array" aca="1" ref="AP43" ca="1">Notmerged(AP14)</f>
        <v>#NAME?</v>
      </c>
      <c r="AQ43" s="128" t="e" cm="1">
        <f t="array" aca="1" ref="AQ43" ca="1">Notmerged(AQ14)</f>
        <v>#NAME?</v>
      </c>
      <c r="AR43" s="128" t="e" cm="1">
        <f t="array" aca="1" ref="AR43" ca="1">Notmerged(AR14)</f>
        <v>#NAME?</v>
      </c>
      <c r="AS43" s="128" t="e" cm="1">
        <f t="array" aca="1" ref="AS43" ca="1">Notmerged(AS14)</f>
        <v>#NAME?</v>
      </c>
      <c r="AT43" s="128" t="e" cm="1">
        <f t="array" aca="1" ref="AT43" ca="1">Notmerged(AT14)</f>
        <v>#NAME?</v>
      </c>
      <c r="AU43" s="128" t="e" cm="1">
        <f t="array" aca="1" ref="AU43" ca="1">Notmerged(AU14)</f>
        <v>#NAME?</v>
      </c>
      <c r="AV43" s="128" t="e" cm="1">
        <f t="array" aca="1" ref="AV43" ca="1">Notmerged(AV14)</f>
        <v>#NAME?</v>
      </c>
      <c r="AW43" s="128" t="e" cm="1">
        <f t="array" aca="1" ref="AW43" ca="1">Notmerged(AW14)</f>
        <v>#NAME?</v>
      </c>
      <c r="AX43" s="128" t="e" cm="1">
        <f t="array" aca="1" ref="AX43" ca="1">Notmerged(AX14)</f>
        <v>#NAME?</v>
      </c>
      <c r="AY43" s="128" t="e" cm="1">
        <f t="array" aca="1" ref="AY43" ca="1">Notmerged(AY14)</f>
        <v>#NAME?</v>
      </c>
      <c r="AZ43" s="128" t="e" cm="1">
        <f t="array" aca="1" ref="AZ43" ca="1">Notmerged(AZ14)</f>
        <v>#NAME?</v>
      </c>
      <c r="BA43" s="128" t="e" cm="1">
        <f t="array" aca="1" ref="BA43" ca="1">Notmerged(BA14)</f>
        <v>#NAME?</v>
      </c>
      <c r="BB43" s="128" t="e" cm="1">
        <f t="array" aca="1" ref="BB43" ca="1">Notmerged(BB14)</f>
        <v>#NAME?</v>
      </c>
      <c r="BC43" s="128" t="e" cm="1">
        <f t="array" aca="1" ref="BC43" ca="1">Notmerged(BC14)</f>
        <v>#NAME?</v>
      </c>
      <c r="BD43" s="128" t="e" cm="1">
        <f t="array" aca="1" ref="BD43" ca="1">Notmerged(BD14)</f>
        <v>#NAME?</v>
      </c>
      <c r="BE43" s="128" t="e" cm="1">
        <f t="array" aca="1" ref="BE43" ca="1">Notmerged(BE14)</f>
        <v>#NAME?</v>
      </c>
      <c r="BF43" s="128" t="e" cm="1">
        <f t="array" aca="1" ref="BF43" ca="1">Notmerged(BF14)</f>
        <v>#NAME?</v>
      </c>
      <c r="BG43" s="128" t="e" cm="1">
        <f t="array" aca="1" ref="BG43" ca="1">Notmerged(BG14)</f>
        <v>#NAME?</v>
      </c>
      <c r="BH43" s="128" t="e" cm="1">
        <f t="array" aca="1" ref="BH43" ca="1">Notmerged(BH14)</f>
        <v>#NAME?</v>
      </c>
      <c r="BI43" s="128" t="e" cm="1">
        <f t="array" aca="1" ref="BI43" ca="1">Notmerged(BI14)</f>
        <v>#NAME?</v>
      </c>
      <c r="BJ43" s="128" t="e" cm="1">
        <f t="array" aca="1" ref="BJ43" ca="1">Notmerged(BJ14)</f>
        <v>#NAME?</v>
      </c>
      <c r="BK43" s="128" t="e" cm="1">
        <f t="array" aca="1" ref="BK43" ca="1">Notmerged(BK14)</f>
        <v>#NAME?</v>
      </c>
    </row>
    <row r="44" spans="2:63" x14ac:dyDescent="0.3">
      <c r="B44" s="128" t="e" cm="1">
        <f t="array" aca="1" ref="B44" ca="1">Notmerged(B15)</f>
        <v>#NAME?</v>
      </c>
      <c r="C44" s="128" t="e" cm="1">
        <f t="array" aca="1" ref="C44" ca="1">Notmerged(#REF!)</f>
        <v>#NAME?</v>
      </c>
      <c r="D44" s="128" t="e" cm="1">
        <f t="array" aca="1" ref="D44" ca="1">Notmerged(D15)</f>
        <v>#NAME?</v>
      </c>
      <c r="E44" s="128" t="e" cm="1">
        <f t="array" aca="1" ref="E44" ca="1">Notmerged(E15)</f>
        <v>#NAME?</v>
      </c>
      <c r="F44" s="128" t="e" cm="1">
        <f t="array" aca="1" ref="F44" ca="1">Notmerged(F15)</f>
        <v>#NAME?</v>
      </c>
      <c r="G44" s="128" t="e" cm="1">
        <f t="array" aca="1" ref="G44" ca="1">Notmerged(G15)</f>
        <v>#NAME?</v>
      </c>
      <c r="H44" s="128" t="e" cm="1">
        <f t="array" aca="1" ref="H44" ca="1">Notmerged(H15)</f>
        <v>#NAME?</v>
      </c>
      <c r="I44" s="128" t="e" cm="1">
        <f t="array" aca="1" ref="I44" ca="1">Notmerged(I15)</f>
        <v>#NAME?</v>
      </c>
      <c r="J44" s="128" t="e" cm="1">
        <f t="array" aca="1" ref="J44" ca="1">Notmerged(J15)</f>
        <v>#NAME?</v>
      </c>
      <c r="K44" s="128" t="e" cm="1">
        <f t="array" aca="1" ref="K44" ca="1">Notmerged(K15)</f>
        <v>#NAME?</v>
      </c>
      <c r="L44" s="128" t="e" cm="1">
        <f t="array" aca="1" ref="L44" ca="1">Notmerged(L15)</f>
        <v>#NAME?</v>
      </c>
      <c r="M44" s="128" t="e" cm="1">
        <f t="array" aca="1" ref="M44" ca="1">Notmerged(M15)</f>
        <v>#NAME?</v>
      </c>
      <c r="N44" s="128" t="e" cm="1">
        <f t="array" aca="1" ref="N44" ca="1">Notmerged(N15)</f>
        <v>#NAME?</v>
      </c>
      <c r="O44" s="128" t="e" cm="1">
        <f t="array" aca="1" ref="O44" ca="1">Notmerged(O15)</f>
        <v>#NAME?</v>
      </c>
      <c r="P44" s="128" t="e" cm="1">
        <f t="array" aca="1" ref="P44" ca="1">Notmerged(P15)</f>
        <v>#NAME?</v>
      </c>
      <c r="Q44" s="128" t="e" cm="1">
        <f t="array" aca="1" ref="Q44" ca="1">Notmerged(Q15)</f>
        <v>#NAME?</v>
      </c>
      <c r="R44" s="128" t="e" cm="1">
        <f t="array" aca="1" ref="R44" ca="1">Notmerged(R15)</f>
        <v>#NAME?</v>
      </c>
      <c r="S44" s="128" t="e" cm="1">
        <f t="array" aca="1" ref="S44" ca="1">Notmerged(S15)</f>
        <v>#NAME?</v>
      </c>
      <c r="T44" s="128" t="e" cm="1">
        <f t="array" aca="1" ref="T44" ca="1">Notmerged(T15)</f>
        <v>#NAME?</v>
      </c>
      <c r="U44" s="128" t="e" cm="1">
        <f t="array" aca="1" ref="U44" ca="1">Notmerged(U15)</f>
        <v>#NAME?</v>
      </c>
      <c r="V44" s="128" t="e" cm="1">
        <f t="array" aca="1" ref="V44" ca="1">Notmerged(V15)</f>
        <v>#NAME?</v>
      </c>
      <c r="W44" s="128" t="e" cm="1">
        <f t="array" aca="1" ref="W44" ca="1">Notmerged(W15)</f>
        <v>#NAME?</v>
      </c>
      <c r="X44" s="128" t="e" cm="1">
        <f t="array" aca="1" ref="X44" ca="1">Notmerged(X15)</f>
        <v>#NAME?</v>
      </c>
      <c r="Y44" s="128" t="e" cm="1">
        <f t="array" aca="1" ref="Y44" ca="1">Notmerged(Y15)</f>
        <v>#NAME?</v>
      </c>
      <c r="Z44" s="128" t="e" cm="1">
        <f t="array" aca="1" ref="Z44" ca="1">Notmerged(Z15)</f>
        <v>#NAME?</v>
      </c>
      <c r="AA44" s="128" t="e" cm="1">
        <f t="array" aca="1" ref="AA44" ca="1">Notmerged(AA15)</f>
        <v>#NAME?</v>
      </c>
      <c r="AB44" s="128" t="e" cm="1">
        <f t="array" aca="1" ref="AB44" ca="1">Notmerged(AB15)</f>
        <v>#NAME?</v>
      </c>
      <c r="AC44" s="128" t="e" cm="1">
        <f t="array" aca="1" ref="AC44" ca="1">Notmerged(AC15)</f>
        <v>#NAME?</v>
      </c>
      <c r="AD44" s="128" t="e" cm="1">
        <f t="array" aca="1" ref="AD44" ca="1">Notmerged(AD15)</f>
        <v>#NAME?</v>
      </c>
      <c r="AE44" s="128" t="e" cm="1">
        <f t="array" aca="1" ref="AE44" ca="1">Notmerged(AE15)</f>
        <v>#NAME?</v>
      </c>
      <c r="AF44" s="128" t="e" cm="1">
        <f t="array" aca="1" ref="AF44" ca="1">Notmerged(AF15)</f>
        <v>#NAME?</v>
      </c>
      <c r="AG44" s="128" t="e" cm="1">
        <f t="array" aca="1" ref="AG44" ca="1">Notmerged(AG15)</f>
        <v>#NAME?</v>
      </c>
      <c r="AH44" s="128" t="e" cm="1">
        <f t="array" aca="1" ref="AH44" ca="1">Notmerged(AH15)</f>
        <v>#NAME?</v>
      </c>
      <c r="AI44" s="128" t="e" cm="1">
        <f t="array" aca="1" ref="AI44" ca="1">Notmerged(AI15)</f>
        <v>#NAME?</v>
      </c>
      <c r="AJ44" s="128" t="e" cm="1">
        <f t="array" aca="1" ref="AJ44" ca="1">Notmerged(AJ15)</f>
        <v>#NAME?</v>
      </c>
      <c r="AK44" s="128" t="e" cm="1">
        <f t="array" aca="1" ref="AK44" ca="1">Notmerged(AK15)</f>
        <v>#NAME?</v>
      </c>
      <c r="AL44" s="128" t="e" cm="1">
        <f t="array" aca="1" ref="AL44" ca="1">Notmerged(AL15)</f>
        <v>#NAME?</v>
      </c>
      <c r="AM44" s="128" t="e" cm="1">
        <f t="array" aca="1" ref="AM44" ca="1">Notmerged(AM15)</f>
        <v>#NAME?</v>
      </c>
      <c r="AN44" s="128" t="e" cm="1">
        <f t="array" aca="1" ref="AN44" ca="1">Notmerged(AN15)</f>
        <v>#NAME?</v>
      </c>
      <c r="AO44" s="128" t="e" cm="1">
        <f t="array" aca="1" ref="AO44" ca="1">Notmerged(AO15)</f>
        <v>#NAME?</v>
      </c>
      <c r="AP44" s="128" t="e" cm="1">
        <f t="array" aca="1" ref="AP44" ca="1">Notmerged(AP15)</f>
        <v>#NAME?</v>
      </c>
      <c r="AQ44" s="128" t="e" cm="1">
        <f t="array" aca="1" ref="AQ44" ca="1">Notmerged(AQ15)</f>
        <v>#NAME?</v>
      </c>
      <c r="AR44" s="128" t="e" cm="1">
        <f t="array" aca="1" ref="AR44" ca="1">Notmerged(AR15)</f>
        <v>#NAME?</v>
      </c>
      <c r="AS44" s="128" t="e" cm="1">
        <f t="array" aca="1" ref="AS44" ca="1">Notmerged(AS15)</f>
        <v>#NAME?</v>
      </c>
      <c r="AT44" s="128" t="e" cm="1">
        <f t="array" aca="1" ref="AT44" ca="1">Notmerged(AT15)</f>
        <v>#NAME?</v>
      </c>
      <c r="AU44" s="128" t="e" cm="1">
        <f t="array" aca="1" ref="AU44" ca="1">Notmerged(AU15)</f>
        <v>#NAME?</v>
      </c>
      <c r="AV44" s="128" t="e" cm="1">
        <f t="array" aca="1" ref="AV44" ca="1">Notmerged(AV15)</f>
        <v>#NAME?</v>
      </c>
      <c r="AW44" s="128" t="e" cm="1">
        <f t="array" aca="1" ref="AW44" ca="1">Notmerged(AW15)</f>
        <v>#NAME?</v>
      </c>
      <c r="AX44" s="128" t="e" cm="1">
        <f t="array" aca="1" ref="AX44" ca="1">Notmerged(AX15)</f>
        <v>#NAME?</v>
      </c>
      <c r="AY44" s="128" t="e" cm="1">
        <f t="array" aca="1" ref="AY44" ca="1">Notmerged(AY15)</f>
        <v>#NAME?</v>
      </c>
      <c r="AZ44" s="128" t="e" cm="1">
        <f t="array" aca="1" ref="AZ44" ca="1">Notmerged(AZ15)</f>
        <v>#NAME?</v>
      </c>
      <c r="BA44" s="128" t="e" cm="1">
        <f t="array" aca="1" ref="BA44" ca="1">Notmerged(BA15)</f>
        <v>#NAME?</v>
      </c>
      <c r="BB44" s="128" t="e" cm="1">
        <f t="array" aca="1" ref="BB44" ca="1">Notmerged(BB15)</f>
        <v>#NAME?</v>
      </c>
      <c r="BC44" s="128" t="e" cm="1">
        <f t="array" aca="1" ref="BC44" ca="1">Notmerged(BC15)</f>
        <v>#NAME?</v>
      </c>
      <c r="BD44" s="128" t="e" cm="1">
        <f t="array" aca="1" ref="BD44" ca="1">Notmerged(BD15)</f>
        <v>#NAME?</v>
      </c>
      <c r="BE44" s="128" t="e" cm="1">
        <f t="array" aca="1" ref="BE44" ca="1">Notmerged(BE15)</f>
        <v>#NAME?</v>
      </c>
      <c r="BF44" s="128" t="e" cm="1">
        <f t="array" aca="1" ref="BF44" ca="1">Notmerged(BF15)</f>
        <v>#NAME?</v>
      </c>
      <c r="BG44" s="128" t="e" cm="1">
        <f t="array" aca="1" ref="BG44" ca="1">Notmerged(BG15)</f>
        <v>#NAME?</v>
      </c>
      <c r="BH44" s="128" t="e" cm="1">
        <f t="array" aca="1" ref="BH44" ca="1">Notmerged(BH15)</f>
        <v>#NAME?</v>
      </c>
      <c r="BI44" s="128" t="e" cm="1">
        <f t="array" aca="1" ref="BI44" ca="1">Notmerged(BI15)</f>
        <v>#NAME?</v>
      </c>
      <c r="BJ44" s="128" t="e" cm="1">
        <f t="array" aca="1" ref="BJ44" ca="1">Notmerged(BJ15)</f>
        <v>#NAME?</v>
      </c>
      <c r="BK44" s="128" t="e" cm="1">
        <f t="array" aca="1" ref="BK44" ca="1">Notmerged(BK15)</f>
        <v>#NAME?</v>
      </c>
    </row>
    <row r="45" spans="2:63" x14ac:dyDescent="0.3">
      <c r="B45" s="128" t="e" cm="1">
        <f t="array" aca="1" ref="B45" ca="1">Notmerged(B16)</f>
        <v>#NAME?</v>
      </c>
      <c r="C45" s="128" t="e" cm="1">
        <f t="array" aca="1" ref="C45" ca="1">Notmerged(C16)</f>
        <v>#NAME?</v>
      </c>
      <c r="D45" s="128" t="e" cm="1">
        <f t="array" aca="1" ref="D45" ca="1">Notmerged(D16)</f>
        <v>#NAME?</v>
      </c>
      <c r="E45" s="128" t="e" cm="1">
        <f t="array" aca="1" ref="E45" ca="1">Notmerged(E16)</f>
        <v>#NAME?</v>
      </c>
      <c r="F45" s="128" t="e" cm="1">
        <f t="array" aca="1" ref="F45" ca="1">Notmerged(F16)</f>
        <v>#NAME?</v>
      </c>
      <c r="G45" s="128" t="e" cm="1">
        <f t="array" aca="1" ref="G45" ca="1">Notmerged(G16)</f>
        <v>#NAME?</v>
      </c>
      <c r="H45" s="128" t="e" cm="1">
        <f t="array" aca="1" ref="H45" ca="1">Notmerged(H16)</f>
        <v>#NAME?</v>
      </c>
      <c r="I45" s="128" t="e" cm="1">
        <f t="array" aca="1" ref="I45" ca="1">Notmerged(I16)</f>
        <v>#NAME?</v>
      </c>
      <c r="J45" s="128" t="e" cm="1">
        <f t="array" aca="1" ref="J45" ca="1">Notmerged(J16)</f>
        <v>#NAME?</v>
      </c>
      <c r="K45" s="128" t="e" cm="1">
        <f t="array" aca="1" ref="K45" ca="1">Notmerged(K16)</f>
        <v>#NAME?</v>
      </c>
      <c r="L45" s="128" t="e" cm="1">
        <f t="array" aca="1" ref="L45" ca="1">Notmerged(L16)</f>
        <v>#NAME?</v>
      </c>
      <c r="M45" s="128" t="e" cm="1">
        <f t="array" aca="1" ref="M45" ca="1">Notmerged(M16)</f>
        <v>#NAME?</v>
      </c>
      <c r="N45" s="128" t="e" cm="1">
        <f t="array" aca="1" ref="N45" ca="1">Notmerged(N16)</f>
        <v>#NAME?</v>
      </c>
      <c r="O45" s="128" t="e" cm="1">
        <f t="array" aca="1" ref="O45" ca="1">Notmerged(O16)</f>
        <v>#NAME?</v>
      </c>
      <c r="P45" s="128" t="e" cm="1">
        <f t="array" aca="1" ref="P45" ca="1">Notmerged(P16)</f>
        <v>#NAME?</v>
      </c>
      <c r="Q45" s="128" t="e" cm="1">
        <f t="array" aca="1" ref="Q45" ca="1">Notmerged(Q16)</f>
        <v>#NAME?</v>
      </c>
      <c r="R45" s="128" t="e" cm="1">
        <f t="array" aca="1" ref="R45" ca="1">Notmerged(R16)</f>
        <v>#NAME?</v>
      </c>
      <c r="S45" s="128" t="e" cm="1">
        <f t="array" aca="1" ref="S45" ca="1">Notmerged(S16)</f>
        <v>#NAME?</v>
      </c>
      <c r="T45" s="128" t="e" cm="1">
        <f t="array" aca="1" ref="T45" ca="1">Notmerged(T16)</f>
        <v>#NAME?</v>
      </c>
      <c r="U45" s="128" t="e" cm="1">
        <f t="array" aca="1" ref="U45" ca="1">Notmerged(U16)</f>
        <v>#NAME?</v>
      </c>
      <c r="V45" s="128" t="e" cm="1">
        <f t="array" aca="1" ref="V45" ca="1">Notmerged(V16)</f>
        <v>#NAME?</v>
      </c>
      <c r="W45" s="128" t="e" cm="1">
        <f t="array" aca="1" ref="W45" ca="1">Notmerged(W16)</f>
        <v>#NAME?</v>
      </c>
      <c r="X45" s="128" t="e" cm="1">
        <f t="array" aca="1" ref="X45" ca="1">Notmerged(X16)</f>
        <v>#NAME?</v>
      </c>
      <c r="Y45" s="128" t="e" cm="1">
        <f t="array" aca="1" ref="Y45" ca="1">Notmerged(Y16)</f>
        <v>#NAME?</v>
      </c>
      <c r="Z45" s="128" t="e" cm="1">
        <f t="array" aca="1" ref="Z45" ca="1">Notmerged(Z16)</f>
        <v>#NAME?</v>
      </c>
      <c r="AA45" s="128" t="e" cm="1">
        <f t="array" aca="1" ref="AA45" ca="1">Notmerged(AA16)</f>
        <v>#NAME?</v>
      </c>
      <c r="AB45" s="128" t="e" cm="1">
        <f t="array" aca="1" ref="AB45" ca="1">Notmerged(AB16)</f>
        <v>#NAME?</v>
      </c>
      <c r="AC45" s="128" t="e" cm="1">
        <f t="array" aca="1" ref="AC45" ca="1">Notmerged(AC16)</f>
        <v>#NAME?</v>
      </c>
      <c r="AD45" s="128" t="e" cm="1">
        <f t="array" aca="1" ref="AD45" ca="1">Notmerged(AD16)</f>
        <v>#NAME?</v>
      </c>
      <c r="AE45" s="128" t="e" cm="1">
        <f t="array" aca="1" ref="AE45" ca="1">Notmerged(AE16)</f>
        <v>#NAME?</v>
      </c>
      <c r="AF45" s="128" t="e" cm="1">
        <f t="array" aca="1" ref="AF45" ca="1">Notmerged(AF16)</f>
        <v>#NAME?</v>
      </c>
      <c r="AG45" s="128" t="e" cm="1">
        <f t="array" aca="1" ref="AG45" ca="1">Notmerged(AG16)</f>
        <v>#NAME?</v>
      </c>
      <c r="AH45" s="128" t="e" cm="1">
        <f t="array" aca="1" ref="AH45" ca="1">Notmerged(AH16)</f>
        <v>#NAME?</v>
      </c>
      <c r="AI45" s="128" t="e" cm="1">
        <f t="array" aca="1" ref="AI45" ca="1">Notmerged(AI16)</f>
        <v>#NAME?</v>
      </c>
      <c r="AJ45" s="128" t="e" cm="1">
        <f t="array" aca="1" ref="AJ45" ca="1">Notmerged(AJ16)</f>
        <v>#NAME?</v>
      </c>
      <c r="AK45" s="128" t="e" cm="1">
        <f t="array" aca="1" ref="AK45" ca="1">Notmerged(AK16)</f>
        <v>#NAME?</v>
      </c>
      <c r="AL45" s="128" t="e" cm="1">
        <f t="array" aca="1" ref="AL45" ca="1">Notmerged(AL16)</f>
        <v>#NAME?</v>
      </c>
      <c r="AM45" s="128" t="e" cm="1">
        <f t="array" aca="1" ref="AM45" ca="1">Notmerged(AM16)</f>
        <v>#NAME?</v>
      </c>
      <c r="AN45" s="128" t="e" cm="1">
        <f t="array" aca="1" ref="AN45" ca="1">Notmerged(AN16)</f>
        <v>#NAME?</v>
      </c>
      <c r="AO45" s="128" t="e" cm="1">
        <f t="array" aca="1" ref="AO45" ca="1">Notmerged(AO16)</f>
        <v>#NAME?</v>
      </c>
      <c r="AP45" s="128" t="e" cm="1">
        <f t="array" aca="1" ref="AP45" ca="1">Notmerged(AP16)</f>
        <v>#NAME?</v>
      </c>
      <c r="AQ45" s="128" t="e" cm="1">
        <f t="array" aca="1" ref="AQ45" ca="1">Notmerged(AQ16)</f>
        <v>#NAME?</v>
      </c>
      <c r="AR45" s="128" t="e" cm="1">
        <f t="array" aca="1" ref="AR45" ca="1">Notmerged(AR16)</f>
        <v>#NAME?</v>
      </c>
      <c r="AS45" s="128" t="e" cm="1">
        <f t="array" aca="1" ref="AS45" ca="1">Notmerged(AS16)</f>
        <v>#NAME?</v>
      </c>
      <c r="AT45" s="128" t="e" cm="1">
        <f t="array" aca="1" ref="AT45" ca="1">Notmerged(AT16)</f>
        <v>#NAME?</v>
      </c>
      <c r="AU45" s="128" t="e" cm="1">
        <f t="array" aca="1" ref="AU45" ca="1">Notmerged(AU16)</f>
        <v>#NAME?</v>
      </c>
      <c r="AV45" s="128" t="e" cm="1">
        <f t="array" aca="1" ref="AV45" ca="1">Notmerged(AV16)</f>
        <v>#NAME?</v>
      </c>
      <c r="AW45" s="128" t="e" cm="1">
        <f t="array" aca="1" ref="AW45" ca="1">Notmerged(AW16)</f>
        <v>#NAME?</v>
      </c>
      <c r="AX45" s="128" t="e" cm="1">
        <f t="array" aca="1" ref="AX45" ca="1">Notmerged(AX16)</f>
        <v>#NAME?</v>
      </c>
      <c r="AY45" s="128" t="e" cm="1">
        <f t="array" aca="1" ref="AY45" ca="1">Notmerged(AY16)</f>
        <v>#NAME?</v>
      </c>
      <c r="AZ45" s="128" t="e" cm="1">
        <f t="array" aca="1" ref="AZ45" ca="1">Notmerged(AZ16)</f>
        <v>#NAME?</v>
      </c>
      <c r="BA45" s="128" t="e" cm="1">
        <f t="array" aca="1" ref="BA45" ca="1">Notmerged(BA16)</f>
        <v>#NAME?</v>
      </c>
      <c r="BB45" s="128" t="e" cm="1">
        <f t="array" aca="1" ref="BB45" ca="1">Notmerged(BB16)</f>
        <v>#NAME?</v>
      </c>
      <c r="BC45" s="128" t="e" cm="1">
        <f t="array" aca="1" ref="BC45" ca="1">Notmerged(BC16)</f>
        <v>#NAME?</v>
      </c>
      <c r="BD45" s="128" t="e" cm="1">
        <f t="array" aca="1" ref="BD45" ca="1">Notmerged(BD16)</f>
        <v>#NAME?</v>
      </c>
      <c r="BE45" s="128" t="e" cm="1">
        <f t="array" aca="1" ref="BE45" ca="1">Notmerged(BE16)</f>
        <v>#NAME?</v>
      </c>
      <c r="BF45" s="128" t="e" cm="1">
        <f t="array" aca="1" ref="BF45" ca="1">Notmerged(BF16)</f>
        <v>#NAME?</v>
      </c>
      <c r="BG45" s="128" t="e" cm="1">
        <f t="array" aca="1" ref="BG45" ca="1">Notmerged(BG16)</f>
        <v>#NAME?</v>
      </c>
      <c r="BH45" s="128" t="e" cm="1">
        <f t="array" aca="1" ref="BH45" ca="1">Notmerged(BH16)</f>
        <v>#NAME?</v>
      </c>
      <c r="BI45" s="128" t="e" cm="1">
        <f t="array" aca="1" ref="BI45" ca="1">Notmerged(BI16)</f>
        <v>#NAME?</v>
      </c>
      <c r="BJ45" s="128" t="e" cm="1">
        <f t="array" aca="1" ref="BJ45" ca="1">Notmerged(BJ16)</f>
        <v>#NAME?</v>
      </c>
      <c r="BK45" s="128" t="e" cm="1">
        <f t="array" aca="1" ref="BK45" ca="1">Notmerged(BK16)</f>
        <v>#NAME?</v>
      </c>
    </row>
    <row r="46" spans="2:63" x14ac:dyDescent="0.3">
      <c r="B46" s="128" t="e" cm="1">
        <f t="array" aca="1" ref="B46" ca="1">Notmerged(B17)</f>
        <v>#NAME?</v>
      </c>
      <c r="C46" s="128" t="e" cm="1">
        <f t="array" aca="1" ref="C46" ca="1">Notmerged(C17)</f>
        <v>#NAME?</v>
      </c>
      <c r="D46" s="128" t="e" cm="1">
        <f t="array" aca="1" ref="D46" ca="1">Notmerged(D17)</f>
        <v>#NAME?</v>
      </c>
      <c r="E46" s="128" t="e" cm="1">
        <f t="array" aca="1" ref="E46" ca="1">Notmerged(E17)</f>
        <v>#NAME?</v>
      </c>
      <c r="F46" s="128" t="e" cm="1">
        <f t="array" aca="1" ref="F46" ca="1">Notmerged(F17)</f>
        <v>#NAME?</v>
      </c>
      <c r="G46" s="128" t="e" cm="1">
        <f t="array" aca="1" ref="G46" ca="1">Notmerged(G17)</f>
        <v>#NAME?</v>
      </c>
      <c r="H46" s="128" t="e" cm="1">
        <f t="array" aca="1" ref="H46" ca="1">Notmerged(H17)</f>
        <v>#NAME?</v>
      </c>
      <c r="I46" s="128" t="e" cm="1">
        <f t="array" aca="1" ref="I46" ca="1">Notmerged(I17)</f>
        <v>#NAME?</v>
      </c>
      <c r="J46" s="128" t="e" cm="1">
        <f t="array" aca="1" ref="J46" ca="1">Notmerged(J17)</f>
        <v>#NAME?</v>
      </c>
      <c r="K46" s="128" t="e" cm="1">
        <f t="array" aca="1" ref="K46" ca="1">Notmerged(K17)</f>
        <v>#NAME?</v>
      </c>
      <c r="L46" s="128" t="e" cm="1">
        <f t="array" aca="1" ref="L46" ca="1">Notmerged(L17)</f>
        <v>#NAME?</v>
      </c>
      <c r="M46" s="128" t="e" cm="1">
        <f t="array" aca="1" ref="M46" ca="1">Notmerged(M17)</f>
        <v>#NAME?</v>
      </c>
      <c r="N46" s="128" t="e" cm="1">
        <f t="array" aca="1" ref="N46" ca="1">Notmerged(N17)</f>
        <v>#NAME?</v>
      </c>
      <c r="O46" s="128" t="e" cm="1">
        <f t="array" aca="1" ref="O46" ca="1">Notmerged(O17)</f>
        <v>#NAME?</v>
      </c>
      <c r="P46" s="128" t="e" cm="1">
        <f t="array" aca="1" ref="P46" ca="1">Notmerged(P17)</f>
        <v>#NAME?</v>
      </c>
      <c r="Q46" s="128" t="e" cm="1">
        <f t="array" aca="1" ref="Q46" ca="1">Notmerged(Q17)</f>
        <v>#NAME?</v>
      </c>
      <c r="R46" s="128" t="e" cm="1">
        <f t="array" aca="1" ref="R46" ca="1">Notmerged(R17)</f>
        <v>#NAME?</v>
      </c>
      <c r="S46" s="128" t="e" cm="1">
        <f t="array" aca="1" ref="S46" ca="1">Notmerged(S17)</f>
        <v>#NAME?</v>
      </c>
      <c r="T46" s="128" t="e" cm="1">
        <f t="array" aca="1" ref="T46" ca="1">Notmerged(T17)</f>
        <v>#NAME?</v>
      </c>
      <c r="U46" s="128" t="e" cm="1">
        <f t="array" aca="1" ref="U46" ca="1">Notmerged(U17)</f>
        <v>#NAME?</v>
      </c>
      <c r="V46" s="128" t="e" cm="1">
        <f t="array" aca="1" ref="V46" ca="1">Notmerged(V17)</f>
        <v>#NAME?</v>
      </c>
      <c r="W46" s="128" t="e" cm="1">
        <f t="array" aca="1" ref="W46" ca="1">Notmerged(W17)</f>
        <v>#NAME?</v>
      </c>
      <c r="X46" s="128" t="e" cm="1">
        <f t="array" aca="1" ref="X46" ca="1">Notmerged(X17)</f>
        <v>#NAME?</v>
      </c>
      <c r="Y46" s="128" t="e" cm="1">
        <f t="array" aca="1" ref="Y46" ca="1">Notmerged(Y17)</f>
        <v>#NAME?</v>
      </c>
      <c r="Z46" s="128" t="e" cm="1">
        <f t="array" aca="1" ref="Z46" ca="1">Notmerged(Z17)</f>
        <v>#NAME?</v>
      </c>
      <c r="AA46" s="128" t="e" cm="1">
        <f t="array" aca="1" ref="AA46" ca="1">Notmerged(AA17)</f>
        <v>#NAME?</v>
      </c>
      <c r="AB46" s="128" t="e" cm="1">
        <f t="array" aca="1" ref="AB46" ca="1">Notmerged(AB17)</f>
        <v>#NAME?</v>
      </c>
      <c r="AC46" s="128" t="e" cm="1">
        <f t="array" aca="1" ref="AC46" ca="1">Notmerged(AC17)</f>
        <v>#NAME?</v>
      </c>
      <c r="AD46" s="128" t="e" cm="1">
        <f t="array" aca="1" ref="AD46" ca="1">Notmerged(AD17)</f>
        <v>#NAME?</v>
      </c>
      <c r="AE46" s="128" t="e" cm="1">
        <f t="array" aca="1" ref="AE46" ca="1">Notmerged(AE17)</f>
        <v>#NAME?</v>
      </c>
      <c r="AF46" s="128" t="e" cm="1">
        <f t="array" aca="1" ref="AF46" ca="1">Notmerged(AF17)</f>
        <v>#NAME?</v>
      </c>
      <c r="AG46" s="128" t="e" cm="1">
        <f t="array" aca="1" ref="AG46" ca="1">Notmerged(AG17)</f>
        <v>#NAME?</v>
      </c>
      <c r="AH46" s="128" t="e" cm="1">
        <f t="array" aca="1" ref="AH46" ca="1">Notmerged(AH17)</f>
        <v>#NAME?</v>
      </c>
      <c r="AI46" s="128" t="e" cm="1">
        <f t="array" aca="1" ref="AI46" ca="1">Notmerged(AI17)</f>
        <v>#NAME?</v>
      </c>
      <c r="AJ46" s="128" t="e" cm="1">
        <f t="array" aca="1" ref="AJ46" ca="1">Notmerged(AJ17)</f>
        <v>#NAME?</v>
      </c>
      <c r="AK46" s="128" t="e" cm="1">
        <f t="array" aca="1" ref="AK46" ca="1">Notmerged(AK17)</f>
        <v>#NAME?</v>
      </c>
      <c r="AL46" s="128" t="e" cm="1">
        <f t="array" aca="1" ref="AL46" ca="1">Notmerged(AL17)</f>
        <v>#NAME?</v>
      </c>
      <c r="AM46" s="128" t="e" cm="1">
        <f t="array" aca="1" ref="AM46" ca="1">Notmerged(AM17)</f>
        <v>#NAME?</v>
      </c>
      <c r="AN46" s="128" t="e" cm="1">
        <f t="array" aca="1" ref="AN46" ca="1">Notmerged(AN17)</f>
        <v>#NAME?</v>
      </c>
      <c r="AO46" s="128" t="e" cm="1">
        <f t="array" aca="1" ref="AO46" ca="1">Notmerged(AO17)</f>
        <v>#NAME?</v>
      </c>
      <c r="AP46" s="128" t="e" cm="1">
        <f t="array" aca="1" ref="AP46" ca="1">Notmerged(AP17)</f>
        <v>#NAME?</v>
      </c>
      <c r="AQ46" s="128" t="e" cm="1">
        <f t="array" aca="1" ref="AQ46" ca="1">Notmerged(AQ17)</f>
        <v>#NAME?</v>
      </c>
      <c r="AR46" s="128" t="e" cm="1">
        <f t="array" aca="1" ref="AR46" ca="1">Notmerged(AR17)</f>
        <v>#NAME?</v>
      </c>
      <c r="AS46" s="128" t="e" cm="1">
        <f t="array" aca="1" ref="AS46" ca="1">Notmerged(AS17)</f>
        <v>#NAME?</v>
      </c>
      <c r="AT46" s="128" t="e" cm="1">
        <f t="array" aca="1" ref="AT46" ca="1">Notmerged(AT17)</f>
        <v>#NAME?</v>
      </c>
      <c r="AU46" s="128" t="e" cm="1">
        <f t="array" aca="1" ref="AU46" ca="1">Notmerged(AU17)</f>
        <v>#NAME?</v>
      </c>
      <c r="AV46" s="128" t="e" cm="1">
        <f t="array" aca="1" ref="AV46" ca="1">Notmerged(AV17)</f>
        <v>#NAME?</v>
      </c>
      <c r="AW46" s="128" t="e" cm="1">
        <f t="array" aca="1" ref="AW46" ca="1">Notmerged(AW17)</f>
        <v>#NAME?</v>
      </c>
      <c r="AX46" s="128" t="e" cm="1">
        <f t="array" aca="1" ref="AX46" ca="1">Notmerged(AX17)</f>
        <v>#NAME?</v>
      </c>
      <c r="AY46" s="128" t="e" cm="1">
        <f t="array" aca="1" ref="AY46" ca="1">Notmerged(AY17)</f>
        <v>#NAME?</v>
      </c>
      <c r="AZ46" s="128" t="e" cm="1">
        <f t="array" aca="1" ref="AZ46" ca="1">Notmerged(AZ17)</f>
        <v>#NAME?</v>
      </c>
      <c r="BA46" s="128" t="e" cm="1">
        <f t="array" aca="1" ref="BA46" ca="1">Notmerged(BA17)</f>
        <v>#NAME?</v>
      </c>
      <c r="BB46" s="128" t="e" cm="1">
        <f t="array" aca="1" ref="BB46" ca="1">Notmerged(BB17)</f>
        <v>#NAME?</v>
      </c>
      <c r="BC46" s="128" t="e" cm="1">
        <f t="array" aca="1" ref="BC46" ca="1">Notmerged(BC17)</f>
        <v>#NAME?</v>
      </c>
      <c r="BD46" s="128" t="e" cm="1">
        <f t="array" aca="1" ref="BD46" ca="1">Notmerged(BD17)</f>
        <v>#NAME?</v>
      </c>
      <c r="BE46" s="128" t="e" cm="1">
        <f t="array" aca="1" ref="BE46" ca="1">Notmerged(BE17)</f>
        <v>#NAME?</v>
      </c>
      <c r="BF46" s="128" t="e" cm="1">
        <f t="array" aca="1" ref="BF46" ca="1">Notmerged(BF17)</f>
        <v>#NAME?</v>
      </c>
      <c r="BG46" s="128" t="e" cm="1">
        <f t="array" aca="1" ref="BG46" ca="1">Notmerged(BG17)</f>
        <v>#NAME?</v>
      </c>
      <c r="BH46" s="128" t="e" cm="1">
        <f t="array" aca="1" ref="BH46" ca="1">Notmerged(BH17)</f>
        <v>#NAME?</v>
      </c>
      <c r="BI46" s="128" t="e" cm="1">
        <f t="array" aca="1" ref="BI46" ca="1">Notmerged(BI17)</f>
        <v>#NAME?</v>
      </c>
      <c r="BJ46" s="128" t="e" cm="1">
        <f t="array" aca="1" ref="BJ46" ca="1">Notmerged(BJ17)</f>
        <v>#NAME?</v>
      </c>
      <c r="BK46" s="128" t="e" cm="1">
        <f t="array" aca="1" ref="BK46" ca="1">Notmerged(BK17)</f>
        <v>#NAME?</v>
      </c>
    </row>
    <row r="47" spans="2:63" x14ac:dyDescent="0.3">
      <c r="B47" s="128" t="e" cm="1">
        <f t="array" aca="1" ref="B47" ca="1">Notmerged(B18)</f>
        <v>#NAME?</v>
      </c>
      <c r="C47" s="128" t="e" cm="1">
        <f t="array" aca="1" ref="C47" ca="1">Notmerged(C18)</f>
        <v>#NAME?</v>
      </c>
      <c r="D47" s="128" t="e" cm="1">
        <f t="array" aca="1" ref="D47" ca="1">Notmerged(D18)</f>
        <v>#NAME?</v>
      </c>
      <c r="E47" s="128" t="e" cm="1">
        <f t="array" aca="1" ref="E47" ca="1">Notmerged(E18)</f>
        <v>#NAME?</v>
      </c>
      <c r="F47" s="128" t="e" cm="1">
        <f t="array" aca="1" ref="F47" ca="1">Notmerged(F18)</f>
        <v>#NAME?</v>
      </c>
      <c r="G47" s="128" t="e" cm="1">
        <f t="array" aca="1" ref="G47" ca="1">Notmerged(G18)</f>
        <v>#NAME?</v>
      </c>
      <c r="H47" s="128" t="e" cm="1">
        <f t="array" aca="1" ref="H47" ca="1">Notmerged(H18)</f>
        <v>#NAME?</v>
      </c>
      <c r="I47" s="128" t="e" cm="1">
        <f t="array" aca="1" ref="I47" ca="1">Notmerged(I18)</f>
        <v>#NAME?</v>
      </c>
      <c r="J47" s="128" t="e" cm="1">
        <f t="array" aca="1" ref="J47" ca="1">Notmerged(J18)</f>
        <v>#NAME?</v>
      </c>
      <c r="K47" s="128" t="e" cm="1">
        <f t="array" aca="1" ref="K47" ca="1">Notmerged(K18)</f>
        <v>#NAME?</v>
      </c>
      <c r="L47" s="128" t="e" cm="1">
        <f t="array" aca="1" ref="L47" ca="1">Notmerged(L18)</f>
        <v>#NAME?</v>
      </c>
      <c r="M47" s="128" t="e" cm="1">
        <f t="array" aca="1" ref="M47" ca="1">Notmerged(M18)</f>
        <v>#NAME?</v>
      </c>
      <c r="N47" s="128" t="e" cm="1">
        <f t="array" aca="1" ref="N47" ca="1">Notmerged(N18)</f>
        <v>#NAME?</v>
      </c>
      <c r="O47" s="128" t="e" cm="1">
        <f t="array" aca="1" ref="O47" ca="1">Notmerged(O18)</f>
        <v>#NAME?</v>
      </c>
      <c r="P47" s="128" t="e" cm="1">
        <f t="array" aca="1" ref="P47" ca="1">Notmerged(P18)</f>
        <v>#NAME?</v>
      </c>
      <c r="Q47" s="128" t="e" cm="1">
        <f t="array" aca="1" ref="Q47" ca="1">Notmerged(Q18)</f>
        <v>#NAME?</v>
      </c>
      <c r="R47" s="128" t="e" cm="1">
        <f t="array" aca="1" ref="R47" ca="1">Notmerged(R18)</f>
        <v>#NAME?</v>
      </c>
      <c r="S47" s="128" t="e" cm="1">
        <f t="array" aca="1" ref="S47" ca="1">Notmerged(S18)</f>
        <v>#NAME?</v>
      </c>
      <c r="T47" s="128" t="e" cm="1">
        <f t="array" aca="1" ref="T47" ca="1">Notmerged(T18)</f>
        <v>#NAME?</v>
      </c>
      <c r="U47" s="128" t="e" cm="1">
        <f t="array" aca="1" ref="U47" ca="1">Notmerged(U18)</f>
        <v>#NAME?</v>
      </c>
      <c r="V47" s="128" t="e" cm="1">
        <f t="array" aca="1" ref="V47" ca="1">Notmerged(V18)</f>
        <v>#NAME?</v>
      </c>
      <c r="W47" s="128" t="e" cm="1">
        <f t="array" aca="1" ref="W47" ca="1">Notmerged(W18)</f>
        <v>#NAME?</v>
      </c>
      <c r="X47" s="128" t="e" cm="1">
        <f t="array" aca="1" ref="X47" ca="1">Notmerged(X18)</f>
        <v>#NAME?</v>
      </c>
      <c r="Y47" s="128" t="e" cm="1">
        <f t="array" aca="1" ref="Y47" ca="1">Notmerged(Y18)</f>
        <v>#NAME?</v>
      </c>
      <c r="Z47" s="128" t="e" cm="1">
        <f t="array" aca="1" ref="Z47" ca="1">Notmerged(Z18)</f>
        <v>#NAME?</v>
      </c>
      <c r="AA47" s="128" t="e" cm="1">
        <f t="array" aca="1" ref="AA47" ca="1">Notmerged(AA18)</f>
        <v>#NAME?</v>
      </c>
      <c r="AB47" s="128" t="e" cm="1">
        <f t="array" aca="1" ref="AB47" ca="1">Notmerged(AB18)</f>
        <v>#NAME?</v>
      </c>
      <c r="AC47" s="128" t="e" cm="1">
        <f t="array" aca="1" ref="AC47" ca="1">Notmerged(AC18)</f>
        <v>#NAME?</v>
      </c>
      <c r="AD47" s="128" t="e" cm="1">
        <f t="array" aca="1" ref="AD47" ca="1">Notmerged(AD18)</f>
        <v>#NAME?</v>
      </c>
      <c r="AE47" s="128" t="e" cm="1">
        <f t="array" aca="1" ref="AE47" ca="1">Notmerged(AE18)</f>
        <v>#NAME?</v>
      </c>
      <c r="AF47" s="128" t="e" cm="1">
        <f t="array" aca="1" ref="AF47" ca="1">Notmerged(AF18)</f>
        <v>#NAME?</v>
      </c>
      <c r="AG47" s="128" t="e" cm="1">
        <f t="array" aca="1" ref="AG47" ca="1">Notmerged(AG18)</f>
        <v>#NAME?</v>
      </c>
      <c r="AH47" s="128" t="e" cm="1">
        <f t="array" aca="1" ref="AH47" ca="1">Notmerged(AH18)</f>
        <v>#NAME?</v>
      </c>
      <c r="AI47" s="128" t="e" cm="1">
        <f t="array" aca="1" ref="AI47" ca="1">Notmerged(AI18)</f>
        <v>#NAME?</v>
      </c>
      <c r="AJ47" s="128" t="e" cm="1">
        <f t="array" aca="1" ref="AJ47" ca="1">Notmerged(AJ18)</f>
        <v>#NAME?</v>
      </c>
      <c r="AK47" s="128" t="e" cm="1">
        <f t="array" aca="1" ref="AK47" ca="1">Notmerged(AK18)</f>
        <v>#NAME?</v>
      </c>
      <c r="AL47" s="128" t="e" cm="1">
        <f t="array" aca="1" ref="AL47" ca="1">Notmerged(AL18)</f>
        <v>#NAME?</v>
      </c>
      <c r="AM47" s="128" t="e" cm="1">
        <f t="array" aca="1" ref="AM47" ca="1">Notmerged(AM18)</f>
        <v>#NAME?</v>
      </c>
      <c r="AN47" s="128" t="e" cm="1">
        <f t="array" aca="1" ref="AN47" ca="1">Notmerged(AN18)</f>
        <v>#NAME?</v>
      </c>
      <c r="AO47" s="128" t="e" cm="1">
        <f t="array" aca="1" ref="AO47" ca="1">Notmerged(AO18)</f>
        <v>#NAME?</v>
      </c>
      <c r="AP47" s="128" t="e" cm="1">
        <f t="array" aca="1" ref="AP47" ca="1">Notmerged(AP18)</f>
        <v>#NAME?</v>
      </c>
      <c r="AQ47" s="128" t="e" cm="1">
        <f t="array" aca="1" ref="AQ47" ca="1">Notmerged(AQ18)</f>
        <v>#NAME?</v>
      </c>
      <c r="AR47" s="128" t="e" cm="1">
        <f t="array" aca="1" ref="AR47" ca="1">Notmerged(AR18)</f>
        <v>#NAME?</v>
      </c>
      <c r="AS47" s="128" t="e" cm="1">
        <f t="array" aca="1" ref="AS47" ca="1">Notmerged(AS18)</f>
        <v>#NAME?</v>
      </c>
      <c r="AT47" s="128" t="e" cm="1">
        <f t="array" aca="1" ref="AT47" ca="1">Notmerged(AT18)</f>
        <v>#NAME?</v>
      </c>
      <c r="AU47" s="128" t="e" cm="1">
        <f t="array" aca="1" ref="AU47" ca="1">Notmerged(AU18)</f>
        <v>#NAME?</v>
      </c>
      <c r="AV47" s="128" t="e" cm="1">
        <f t="array" aca="1" ref="AV47" ca="1">Notmerged(AV18)</f>
        <v>#NAME?</v>
      </c>
      <c r="AW47" s="128" t="e" cm="1">
        <f t="array" aca="1" ref="AW47" ca="1">Notmerged(AW18)</f>
        <v>#NAME?</v>
      </c>
      <c r="AX47" s="128" t="e" cm="1">
        <f t="array" aca="1" ref="AX47" ca="1">Notmerged(AX18)</f>
        <v>#NAME?</v>
      </c>
      <c r="AY47" s="128" t="e" cm="1">
        <f t="array" aca="1" ref="AY47" ca="1">Notmerged(AY18)</f>
        <v>#NAME?</v>
      </c>
      <c r="AZ47" s="128" t="e" cm="1">
        <f t="array" aca="1" ref="AZ47" ca="1">Notmerged(AZ18)</f>
        <v>#NAME?</v>
      </c>
      <c r="BA47" s="128" t="e" cm="1">
        <f t="array" aca="1" ref="BA47" ca="1">Notmerged(BA18)</f>
        <v>#NAME?</v>
      </c>
      <c r="BB47" s="128" t="e" cm="1">
        <f t="array" aca="1" ref="BB47" ca="1">Notmerged(BB18)</f>
        <v>#NAME?</v>
      </c>
      <c r="BC47" s="128" t="e" cm="1">
        <f t="array" aca="1" ref="BC47" ca="1">Notmerged(BC18)</f>
        <v>#NAME?</v>
      </c>
      <c r="BD47" s="128" t="e" cm="1">
        <f t="array" aca="1" ref="BD47" ca="1">Notmerged(BD18)</f>
        <v>#NAME?</v>
      </c>
      <c r="BE47" s="128" t="e" cm="1">
        <f t="array" aca="1" ref="BE47" ca="1">Notmerged(BE18)</f>
        <v>#NAME?</v>
      </c>
      <c r="BF47" s="128" t="e" cm="1">
        <f t="array" aca="1" ref="BF47" ca="1">Notmerged(BF18)</f>
        <v>#NAME?</v>
      </c>
      <c r="BG47" s="128" t="e" cm="1">
        <f t="array" aca="1" ref="BG47" ca="1">Notmerged(BG18)</f>
        <v>#NAME?</v>
      </c>
      <c r="BH47" s="128" t="e" cm="1">
        <f t="array" aca="1" ref="BH47" ca="1">Notmerged(BH18)</f>
        <v>#NAME?</v>
      </c>
      <c r="BI47" s="128" t="e" cm="1">
        <f t="array" aca="1" ref="BI47" ca="1">Notmerged(BI18)</f>
        <v>#NAME?</v>
      </c>
      <c r="BJ47" s="128" t="e" cm="1">
        <f t="array" aca="1" ref="BJ47" ca="1">Notmerged(BJ18)</f>
        <v>#NAME?</v>
      </c>
      <c r="BK47" s="128" t="e" cm="1">
        <f t="array" aca="1" ref="BK47" ca="1">Notmerged(BK18)</f>
        <v>#NAME?</v>
      </c>
    </row>
    <row r="48" spans="2:63" x14ac:dyDescent="0.3">
      <c r="B48" s="128" t="e" cm="1">
        <f t="array" aca="1" ref="B48" ca="1">Notmerged(B19)</f>
        <v>#NAME?</v>
      </c>
      <c r="C48" s="128" t="e" cm="1">
        <f t="array" aca="1" ref="C48" ca="1">Notmerged(C19)</f>
        <v>#NAME?</v>
      </c>
      <c r="D48" s="128" t="e" cm="1">
        <f t="array" aca="1" ref="D48" ca="1">Notmerged(D19)</f>
        <v>#NAME?</v>
      </c>
      <c r="E48" s="128" t="e" cm="1">
        <f t="array" aca="1" ref="E48" ca="1">Notmerged(E19)</f>
        <v>#NAME?</v>
      </c>
      <c r="F48" s="128" t="e" cm="1">
        <f t="array" aca="1" ref="F48" ca="1">Notmerged(F19)</f>
        <v>#NAME?</v>
      </c>
      <c r="G48" s="128" t="e" cm="1">
        <f t="array" aca="1" ref="G48" ca="1">Notmerged(G19)</f>
        <v>#NAME?</v>
      </c>
      <c r="H48" s="128" t="e" cm="1">
        <f t="array" aca="1" ref="H48" ca="1">Notmerged(H19)</f>
        <v>#NAME?</v>
      </c>
      <c r="I48" s="128" t="e" cm="1">
        <f t="array" aca="1" ref="I48" ca="1">Notmerged(I19)</f>
        <v>#NAME?</v>
      </c>
      <c r="J48" s="128" t="e" cm="1">
        <f t="array" aca="1" ref="J48" ca="1">Notmerged(J19)</f>
        <v>#NAME?</v>
      </c>
      <c r="K48" s="128" t="e" cm="1">
        <f t="array" aca="1" ref="K48" ca="1">Notmerged(K19)</f>
        <v>#NAME?</v>
      </c>
      <c r="L48" s="128" t="e" cm="1">
        <f t="array" aca="1" ref="L48" ca="1">Notmerged(L19)</f>
        <v>#NAME?</v>
      </c>
      <c r="M48" s="128" t="e" cm="1">
        <f t="array" aca="1" ref="M48" ca="1">Notmerged(M19)</f>
        <v>#NAME?</v>
      </c>
      <c r="N48" s="128" t="e" cm="1">
        <f t="array" aca="1" ref="N48" ca="1">Notmerged(N19)</f>
        <v>#NAME?</v>
      </c>
      <c r="O48" s="128" t="e" cm="1">
        <f t="array" aca="1" ref="O48" ca="1">Notmerged(O19)</f>
        <v>#NAME?</v>
      </c>
      <c r="P48" s="128" t="e" cm="1">
        <f t="array" aca="1" ref="P48" ca="1">Notmerged(P19)</f>
        <v>#NAME?</v>
      </c>
      <c r="Q48" s="128" t="e" cm="1">
        <f t="array" aca="1" ref="Q48" ca="1">Notmerged(Q19)</f>
        <v>#NAME?</v>
      </c>
      <c r="R48" s="128" t="e" cm="1">
        <f t="array" aca="1" ref="R48" ca="1">Notmerged(R19)</f>
        <v>#NAME?</v>
      </c>
      <c r="S48" s="128" t="e" cm="1">
        <f t="array" aca="1" ref="S48" ca="1">Notmerged(S19)</f>
        <v>#NAME?</v>
      </c>
      <c r="T48" s="128" t="e" cm="1">
        <f t="array" aca="1" ref="T48" ca="1">Notmerged(T19)</f>
        <v>#NAME?</v>
      </c>
      <c r="U48" s="128" t="e" cm="1">
        <f t="array" aca="1" ref="U48" ca="1">Notmerged(U19)</f>
        <v>#NAME?</v>
      </c>
      <c r="V48" s="128" t="e" cm="1">
        <f t="array" aca="1" ref="V48" ca="1">Notmerged(V19)</f>
        <v>#NAME?</v>
      </c>
      <c r="W48" s="128" t="e" cm="1">
        <f t="array" aca="1" ref="W48" ca="1">Notmerged(W19)</f>
        <v>#NAME?</v>
      </c>
      <c r="X48" s="128" t="e" cm="1">
        <f t="array" aca="1" ref="X48" ca="1">Notmerged(X19)</f>
        <v>#NAME?</v>
      </c>
      <c r="Y48" s="128" t="e" cm="1">
        <f t="array" aca="1" ref="Y48" ca="1">Notmerged(Y19)</f>
        <v>#NAME?</v>
      </c>
      <c r="Z48" s="128" t="e" cm="1">
        <f t="array" aca="1" ref="Z48" ca="1">Notmerged(Z19)</f>
        <v>#NAME?</v>
      </c>
      <c r="AA48" s="128" t="e" cm="1">
        <f t="array" aca="1" ref="AA48" ca="1">Notmerged(AA19)</f>
        <v>#NAME?</v>
      </c>
      <c r="AB48" s="128" t="e" cm="1">
        <f t="array" aca="1" ref="AB48" ca="1">Notmerged(AB19)</f>
        <v>#NAME?</v>
      </c>
      <c r="AC48" s="128" t="e" cm="1">
        <f t="array" aca="1" ref="AC48" ca="1">Notmerged(AC19)</f>
        <v>#NAME?</v>
      </c>
      <c r="AD48" s="128" t="e" cm="1">
        <f t="array" aca="1" ref="AD48" ca="1">Notmerged(AD19)</f>
        <v>#NAME?</v>
      </c>
      <c r="AE48" s="128" t="e" cm="1">
        <f t="array" aca="1" ref="AE48" ca="1">Notmerged(AE19)</f>
        <v>#NAME?</v>
      </c>
      <c r="AF48" s="128" t="e" cm="1">
        <f t="array" aca="1" ref="AF48" ca="1">Notmerged(AF19)</f>
        <v>#NAME?</v>
      </c>
      <c r="AG48" s="128" t="e" cm="1">
        <f t="array" aca="1" ref="AG48" ca="1">Notmerged(AG19)</f>
        <v>#NAME?</v>
      </c>
      <c r="AH48" s="128" t="e" cm="1">
        <f t="array" aca="1" ref="AH48" ca="1">Notmerged(AH19)</f>
        <v>#NAME?</v>
      </c>
      <c r="AI48" s="128" t="e" cm="1">
        <f t="array" aca="1" ref="AI48" ca="1">Notmerged(AI19)</f>
        <v>#NAME?</v>
      </c>
      <c r="AJ48" s="128" t="e" cm="1">
        <f t="array" aca="1" ref="AJ48" ca="1">Notmerged(AJ19)</f>
        <v>#NAME?</v>
      </c>
      <c r="AK48" s="128" t="e" cm="1">
        <f t="array" aca="1" ref="AK48" ca="1">Notmerged(AK19)</f>
        <v>#NAME?</v>
      </c>
      <c r="AL48" s="128" t="e" cm="1">
        <f t="array" aca="1" ref="AL48" ca="1">Notmerged(AL19)</f>
        <v>#NAME?</v>
      </c>
      <c r="AM48" s="128" t="e" cm="1">
        <f t="array" aca="1" ref="AM48" ca="1">Notmerged(AM19)</f>
        <v>#NAME?</v>
      </c>
      <c r="AN48" s="128" t="e" cm="1">
        <f t="array" aca="1" ref="AN48" ca="1">Notmerged(AN19)</f>
        <v>#NAME?</v>
      </c>
      <c r="AO48" s="128" t="e" cm="1">
        <f t="array" aca="1" ref="AO48" ca="1">Notmerged(AO19)</f>
        <v>#NAME?</v>
      </c>
      <c r="AP48" s="128" t="e" cm="1">
        <f t="array" aca="1" ref="AP48" ca="1">Notmerged(AP19)</f>
        <v>#NAME?</v>
      </c>
      <c r="AQ48" s="128" t="e" cm="1">
        <f t="array" aca="1" ref="AQ48" ca="1">Notmerged(AQ19)</f>
        <v>#NAME?</v>
      </c>
      <c r="AR48" s="128" t="e" cm="1">
        <f t="array" aca="1" ref="AR48" ca="1">Notmerged(AR19)</f>
        <v>#NAME?</v>
      </c>
      <c r="AS48" s="128" t="e" cm="1">
        <f t="array" aca="1" ref="AS48" ca="1">Notmerged(AS19)</f>
        <v>#NAME?</v>
      </c>
      <c r="AT48" s="128" t="e" cm="1">
        <f t="array" aca="1" ref="AT48" ca="1">Notmerged(AT19)</f>
        <v>#NAME?</v>
      </c>
      <c r="AU48" s="128" t="e" cm="1">
        <f t="array" aca="1" ref="AU48" ca="1">Notmerged(AU19)</f>
        <v>#NAME?</v>
      </c>
      <c r="AV48" s="128" t="e" cm="1">
        <f t="array" aca="1" ref="AV48" ca="1">Notmerged(AV19)</f>
        <v>#NAME?</v>
      </c>
      <c r="AW48" s="128" t="e" cm="1">
        <f t="array" aca="1" ref="AW48" ca="1">Notmerged(AW19)</f>
        <v>#NAME?</v>
      </c>
      <c r="AX48" s="128" t="e" cm="1">
        <f t="array" aca="1" ref="AX48" ca="1">Notmerged(AX19)</f>
        <v>#NAME?</v>
      </c>
      <c r="AY48" s="128" t="e" cm="1">
        <f t="array" aca="1" ref="AY48" ca="1">Notmerged(AY19)</f>
        <v>#NAME?</v>
      </c>
      <c r="AZ48" s="128" t="e" cm="1">
        <f t="array" aca="1" ref="AZ48" ca="1">Notmerged(AZ19)</f>
        <v>#NAME?</v>
      </c>
      <c r="BA48" s="128" t="e" cm="1">
        <f t="array" aca="1" ref="BA48" ca="1">Notmerged(BA19)</f>
        <v>#NAME?</v>
      </c>
      <c r="BB48" s="128" t="e" cm="1">
        <f t="array" aca="1" ref="BB48" ca="1">Notmerged(BB19)</f>
        <v>#NAME?</v>
      </c>
      <c r="BC48" s="128" t="e" cm="1">
        <f t="array" aca="1" ref="BC48" ca="1">Notmerged(BC19)</f>
        <v>#NAME?</v>
      </c>
      <c r="BD48" s="128" t="e" cm="1">
        <f t="array" aca="1" ref="BD48" ca="1">Notmerged(BD19)</f>
        <v>#NAME?</v>
      </c>
      <c r="BE48" s="128" t="e" cm="1">
        <f t="array" aca="1" ref="BE48" ca="1">Notmerged(BE19)</f>
        <v>#NAME?</v>
      </c>
      <c r="BF48" s="128" t="e" cm="1">
        <f t="array" aca="1" ref="BF48" ca="1">Notmerged(BF19)</f>
        <v>#NAME?</v>
      </c>
      <c r="BG48" s="128" t="e" cm="1">
        <f t="array" aca="1" ref="BG48" ca="1">Notmerged(BG19)</f>
        <v>#NAME?</v>
      </c>
      <c r="BH48" s="128" t="e" cm="1">
        <f t="array" aca="1" ref="BH48" ca="1">Notmerged(BH19)</f>
        <v>#NAME?</v>
      </c>
      <c r="BI48" s="128" t="e" cm="1">
        <f t="array" aca="1" ref="BI48" ca="1">Notmerged(BI19)</f>
        <v>#NAME?</v>
      </c>
      <c r="BJ48" s="128" t="e" cm="1">
        <f t="array" aca="1" ref="BJ48" ca="1">Notmerged(BJ19)</f>
        <v>#NAME?</v>
      </c>
      <c r="BK48" s="128" t="e" cm="1">
        <f t="array" aca="1" ref="BK48" ca="1">Notmerged(BK19)</f>
        <v>#NAME?</v>
      </c>
    </row>
    <row r="49" spans="2:63" x14ac:dyDescent="0.3">
      <c r="B49" s="128" t="e" cm="1">
        <f t="array" aca="1" ref="B49" ca="1">Notmerged(B20)</f>
        <v>#NAME?</v>
      </c>
      <c r="C49" s="128" t="e" cm="1">
        <f t="array" aca="1" ref="C49" ca="1">Notmerged(C20)</f>
        <v>#NAME?</v>
      </c>
      <c r="D49" s="128" t="e" cm="1">
        <f t="array" aca="1" ref="D49" ca="1">Notmerged(D20)</f>
        <v>#NAME?</v>
      </c>
      <c r="E49" s="128" t="e" cm="1">
        <f t="array" aca="1" ref="E49" ca="1">Notmerged(E20)</f>
        <v>#NAME?</v>
      </c>
      <c r="F49" s="128" t="e" cm="1">
        <f t="array" aca="1" ref="F49" ca="1">Notmerged(F20)</f>
        <v>#NAME?</v>
      </c>
      <c r="G49" s="128" t="e" cm="1">
        <f t="array" aca="1" ref="G49" ca="1">Notmerged(G20)</f>
        <v>#NAME?</v>
      </c>
      <c r="H49" s="128" t="e" cm="1">
        <f t="array" aca="1" ref="H49" ca="1">Notmerged(H20)</f>
        <v>#NAME?</v>
      </c>
      <c r="I49" s="128" t="e" cm="1">
        <f t="array" aca="1" ref="I49" ca="1">Notmerged(I20)</f>
        <v>#NAME?</v>
      </c>
      <c r="J49" s="128" t="e" cm="1">
        <f t="array" aca="1" ref="J49" ca="1">Notmerged(J20)</f>
        <v>#NAME?</v>
      </c>
      <c r="K49" s="128" t="e" cm="1">
        <f t="array" aca="1" ref="K49" ca="1">Notmerged(K20)</f>
        <v>#NAME?</v>
      </c>
      <c r="L49" s="128" t="e" cm="1">
        <f t="array" aca="1" ref="L49" ca="1">Notmerged(L20)</f>
        <v>#NAME?</v>
      </c>
      <c r="M49" s="128" t="e" cm="1">
        <f t="array" aca="1" ref="M49" ca="1">Notmerged(M20)</f>
        <v>#NAME?</v>
      </c>
      <c r="N49" s="128" t="e" cm="1">
        <f t="array" aca="1" ref="N49" ca="1">Notmerged(N20)</f>
        <v>#NAME?</v>
      </c>
      <c r="O49" s="128" t="e" cm="1">
        <f t="array" aca="1" ref="O49" ca="1">Notmerged(O20)</f>
        <v>#NAME?</v>
      </c>
      <c r="P49" s="128" t="e" cm="1">
        <f t="array" aca="1" ref="P49" ca="1">Notmerged(P20)</f>
        <v>#NAME?</v>
      </c>
      <c r="Q49" s="128" t="e" cm="1">
        <f t="array" aca="1" ref="Q49" ca="1">Notmerged(Q20)</f>
        <v>#NAME?</v>
      </c>
      <c r="R49" s="128" t="e" cm="1">
        <f t="array" aca="1" ref="R49" ca="1">Notmerged(R20)</f>
        <v>#NAME?</v>
      </c>
      <c r="S49" s="128" t="e" cm="1">
        <f t="array" aca="1" ref="S49" ca="1">Notmerged(S20)</f>
        <v>#NAME?</v>
      </c>
      <c r="T49" s="128" t="e" cm="1">
        <f t="array" aca="1" ref="T49" ca="1">Notmerged(T20)</f>
        <v>#NAME?</v>
      </c>
      <c r="U49" s="128" t="e" cm="1">
        <f t="array" aca="1" ref="U49" ca="1">Notmerged(U20)</f>
        <v>#NAME?</v>
      </c>
      <c r="V49" s="128" t="e" cm="1">
        <f t="array" aca="1" ref="V49" ca="1">Notmerged(V20)</f>
        <v>#NAME?</v>
      </c>
      <c r="W49" s="128" t="e" cm="1">
        <f t="array" aca="1" ref="W49" ca="1">Notmerged(W20)</f>
        <v>#NAME?</v>
      </c>
      <c r="X49" s="128" t="e" cm="1">
        <f t="array" aca="1" ref="X49" ca="1">Notmerged(X20)</f>
        <v>#NAME?</v>
      </c>
      <c r="Y49" s="128" t="e" cm="1">
        <f t="array" aca="1" ref="Y49" ca="1">Notmerged(Y20)</f>
        <v>#NAME?</v>
      </c>
      <c r="Z49" s="128" t="e" cm="1">
        <f t="array" aca="1" ref="Z49" ca="1">Notmerged(Z20)</f>
        <v>#NAME?</v>
      </c>
      <c r="AA49" s="128" t="e" cm="1">
        <f t="array" aca="1" ref="AA49" ca="1">Notmerged(AA20)</f>
        <v>#NAME?</v>
      </c>
      <c r="AB49" s="128" t="e" cm="1">
        <f t="array" aca="1" ref="AB49" ca="1">Notmerged(AB20)</f>
        <v>#NAME?</v>
      </c>
      <c r="AC49" s="128" t="e" cm="1">
        <f t="array" aca="1" ref="AC49" ca="1">Notmerged(AC20)</f>
        <v>#NAME?</v>
      </c>
      <c r="AD49" s="128" t="e" cm="1">
        <f t="array" aca="1" ref="AD49" ca="1">Notmerged(AD20)</f>
        <v>#NAME?</v>
      </c>
      <c r="AE49" s="128" t="e" cm="1">
        <f t="array" aca="1" ref="AE49" ca="1">Notmerged(AE20)</f>
        <v>#NAME?</v>
      </c>
      <c r="AF49" s="128" t="e" cm="1">
        <f t="array" aca="1" ref="AF49" ca="1">Notmerged(AF20)</f>
        <v>#NAME?</v>
      </c>
      <c r="AG49" s="128" t="e" cm="1">
        <f t="array" aca="1" ref="AG49" ca="1">Notmerged(AG20)</f>
        <v>#NAME?</v>
      </c>
      <c r="AH49" s="128" t="e" cm="1">
        <f t="array" aca="1" ref="AH49" ca="1">Notmerged(AH20)</f>
        <v>#NAME?</v>
      </c>
      <c r="AI49" s="128" t="e" cm="1">
        <f t="array" aca="1" ref="AI49" ca="1">Notmerged(AI20)</f>
        <v>#NAME?</v>
      </c>
      <c r="AJ49" s="128" t="e" cm="1">
        <f t="array" aca="1" ref="AJ49" ca="1">Notmerged(AJ20)</f>
        <v>#NAME?</v>
      </c>
      <c r="AK49" s="128" t="e" cm="1">
        <f t="array" aca="1" ref="AK49" ca="1">Notmerged(AK20)</f>
        <v>#NAME?</v>
      </c>
      <c r="AL49" s="128" t="e" cm="1">
        <f t="array" aca="1" ref="AL49" ca="1">Notmerged(AL20)</f>
        <v>#NAME?</v>
      </c>
      <c r="AM49" s="128" t="e" cm="1">
        <f t="array" aca="1" ref="AM49" ca="1">Notmerged(AM20)</f>
        <v>#NAME?</v>
      </c>
      <c r="AN49" s="128" t="e" cm="1">
        <f t="array" aca="1" ref="AN49" ca="1">Notmerged(AN20)</f>
        <v>#NAME?</v>
      </c>
      <c r="AO49" s="128" t="e" cm="1">
        <f t="array" aca="1" ref="AO49" ca="1">Notmerged(AO20)</f>
        <v>#NAME?</v>
      </c>
      <c r="AP49" s="128" t="e" cm="1">
        <f t="array" aca="1" ref="AP49" ca="1">Notmerged(AP20)</f>
        <v>#NAME?</v>
      </c>
      <c r="AQ49" s="128" t="e" cm="1">
        <f t="array" aca="1" ref="AQ49" ca="1">Notmerged(AQ20)</f>
        <v>#NAME?</v>
      </c>
      <c r="AR49" s="128" t="e" cm="1">
        <f t="array" aca="1" ref="AR49" ca="1">Notmerged(AR20)</f>
        <v>#NAME?</v>
      </c>
      <c r="AS49" s="128" t="e" cm="1">
        <f t="array" aca="1" ref="AS49" ca="1">Notmerged(AS20)</f>
        <v>#NAME?</v>
      </c>
      <c r="AT49" s="128" t="e" cm="1">
        <f t="array" aca="1" ref="AT49" ca="1">Notmerged(AT20)</f>
        <v>#NAME?</v>
      </c>
      <c r="AU49" s="128" t="e" cm="1">
        <f t="array" aca="1" ref="AU49" ca="1">Notmerged(AU20)</f>
        <v>#NAME?</v>
      </c>
      <c r="AV49" s="128" t="e" cm="1">
        <f t="array" aca="1" ref="AV49" ca="1">Notmerged(AV20)</f>
        <v>#NAME?</v>
      </c>
      <c r="AW49" s="128" t="e" cm="1">
        <f t="array" aca="1" ref="AW49" ca="1">Notmerged(AW20)</f>
        <v>#NAME?</v>
      </c>
      <c r="AX49" s="128" t="e" cm="1">
        <f t="array" aca="1" ref="AX49" ca="1">Notmerged(AX20)</f>
        <v>#NAME?</v>
      </c>
      <c r="AY49" s="128" t="e" cm="1">
        <f t="array" aca="1" ref="AY49" ca="1">Notmerged(AY20)</f>
        <v>#NAME?</v>
      </c>
      <c r="AZ49" s="128" t="e" cm="1">
        <f t="array" aca="1" ref="AZ49" ca="1">Notmerged(AZ20)</f>
        <v>#NAME?</v>
      </c>
      <c r="BA49" s="128" t="e" cm="1">
        <f t="array" aca="1" ref="BA49" ca="1">Notmerged(BA20)</f>
        <v>#NAME?</v>
      </c>
      <c r="BB49" s="128" t="e" cm="1">
        <f t="array" aca="1" ref="BB49" ca="1">Notmerged(BB20)</f>
        <v>#NAME?</v>
      </c>
      <c r="BC49" s="128" t="e" cm="1">
        <f t="array" aca="1" ref="BC49" ca="1">Notmerged(BC20)</f>
        <v>#NAME?</v>
      </c>
      <c r="BD49" s="128" t="e" cm="1">
        <f t="array" aca="1" ref="BD49" ca="1">Notmerged(BD20)</f>
        <v>#NAME?</v>
      </c>
      <c r="BE49" s="128" t="e" cm="1">
        <f t="array" aca="1" ref="BE49" ca="1">Notmerged(BE20)</f>
        <v>#NAME?</v>
      </c>
      <c r="BF49" s="128" t="e" cm="1">
        <f t="array" aca="1" ref="BF49" ca="1">Notmerged(BF20)</f>
        <v>#NAME?</v>
      </c>
      <c r="BG49" s="128" t="e" cm="1">
        <f t="array" aca="1" ref="BG49" ca="1">Notmerged(BG20)</f>
        <v>#NAME?</v>
      </c>
      <c r="BH49" s="128" t="e" cm="1">
        <f t="array" aca="1" ref="BH49" ca="1">Notmerged(BH20)</f>
        <v>#NAME?</v>
      </c>
      <c r="BI49" s="128" t="e" cm="1">
        <f t="array" aca="1" ref="BI49" ca="1">Notmerged(BI20)</f>
        <v>#NAME?</v>
      </c>
      <c r="BJ49" s="128" t="e" cm="1">
        <f t="array" aca="1" ref="BJ49" ca="1">Notmerged(BJ20)</f>
        <v>#NAME?</v>
      </c>
      <c r="BK49" s="128" t="e" cm="1">
        <f t="array" aca="1" ref="BK49" ca="1">Notmerged(BK20)</f>
        <v>#NAME?</v>
      </c>
    </row>
    <row r="50" spans="2:63" x14ac:dyDescent="0.3">
      <c r="B50" s="128" t="e" cm="1">
        <f t="array" aca="1" ref="B50" ca="1">Notmerged(B21)</f>
        <v>#NAME?</v>
      </c>
      <c r="C50" s="128" t="e" cm="1">
        <f t="array" aca="1" ref="C50" ca="1">Notmerged(C21)</f>
        <v>#NAME?</v>
      </c>
      <c r="D50" s="128" t="e" cm="1">
        <f t="array" aca="1" ref="D50" ca="1">Notmerged(D21)</f>
        <v>#NAME?</v>
      </c>
      <c r="E50" s="128" t="e" cm="1">
        <f t="array" aca="1" ref="E50" ca="1">Notmerged(E21)</f>
        <v>#NAME?</v>
      </c>
      <c r="F50" s="128" t="e" cm="1">
        <f t="array" aca="1" ref="F50" ca="1">Notmerged(F21)</f>
        <v>#NAME?</v>
      </c>
      <c r="G50" s="128" t="e" cm="1">
        <f t="array" aca="1" ref="G50" ca="1">Notmerged(G21)</f>
        <v>#NAME?</v>
      </c>
      <c r="H50" s="128" t="e" cm="1">
        <f t="array" aca="1" ref="H50" ca="1">Notmerged(H21)</f>
        <v>#NAME?</v>
      </c>
      <c r="I50" s="128" t="e" cm="1">
        <f t="array" aca="1" ref="I50" ca="1">Notmerged(I21)</f>
        <v>#NAME?</v>
      </c>
      <c r="J50" s="128" t="e" cm="1">
        <f t="array" aca="1" ref="J50" ca="1">Notmerged(J21)</f>
        <v>#NAME?</v>
      </c>
      <c r="K50" s="128" t="e" cm="1">
        <f t="array" aca="1" ref="K50" ca="1">Notmerged(K21)</f>
        <v>#NAME?</v>
      </c>
      <c r="L50" s="128" t="e" cm="1">
        <f t="array" aca="1" ref="L50" ca="1">Notmerged(L21)</f>
        <v>#NAME?</v>
      </c>
      <c r="M50" s="128" t="e" cm="1">
        <f t="array" aca="1" ref="M50" ca="1">Notmerged(M21)</f>
        <v>#NAME?</v>
      </c>
      <c r="N50" s="128" t="e" cm="1">
        <f t="array" aca="1" ref="N50" ca="1">Notmerged(N21)</f>
        <v>#NAME?</v>
      </c>
      <c r="O50" s="128" t="e" cm="1">
        <f t="array" aca="1" ref="O50" ca="1">Notmerged(O21)</f>
        <v>#NAME?</v>
      </c>
      <c r="P50" s="128" t="e" cm="1">
        <f t="array" aca="1" ref="P50" ca="1">Notmerged(P21)</f>
        <v>#NAME?</v>
      </c>
      <c r="Q50" s="128" t="e" cm="1">
        <f t="array" aca="1" ref="Q50" ca="1">Notmerged(Q21)</f>
        <v>#NAME?</v>
      </c>
      <c r="R50" s="128" t="e" cm="1">
        <f t="array" aca="1" ref="R50" ca="1">Notmerged(R21)</f>
        <v>#NAME?</v>
      </c>
      <c r="S50" s="128" t="e" cm="1">
        <f t="array" aca="1" ref="S50" ca="1">Notmerged(S21)</f>
        <v>#NAME?</v>
      </c>
      <c r="T50" s="128" t="e" cm="1">
        <f t="array" aca="1" ref="T50" ca="1">Notmerged(T21)</f>
        <v>#NAME?</v>
      </c>
      <c r="U50" s="128" t="e" cm="1">
        <f t="array" aca="1" ref="U50" ca="1">Notmerged(U21)</f>
        <v>#NAME?</v>
      </c>
      <c r="V50" s="128" t="e" cm="1">
        <f t="array" aca="1" ref="V50" ca="1">Notmerged(V21)</f>
        <v>#NAME?</v>
      </c>
      <c r="W50" s="128" t="e" cm="1">
        <f t="array" aca="1" ref="W50" ca="1">Notmerged(W21)</f>
        <v>#NAME?</v>
      </c>
      <c r="X50" s="128" t="e" cm="1">
        <f t="array" aca="1" ref="X50" ca="1">Notmerged(X21)</f>
        <v>#NAME?</v>
      </c>
      <c r="Y50" s="128" t="e" cm="1">
        <f t="array" aca="1" ref="Y50" ca="1">Notmerged(Y21)</f>
        <v>#NAME?</v>
      </c>
      <c r="Z50" s="128" t="e" cm="1">
        <f t="array" aca="1" ref="Z50" ca="1">Notmerged(Z21)</f>
        <v>#NAME?</v>
      </c>
      <c r="AA50" s="128" t="e" cm="1">
        <f t="array" aca="1" ref="AA50" ca="1">Notmerged(AA21)</f>
        <v>#NAME?</v>
      </c>
      <c r="AB50" s="128" t="e" cm="1">
        <f t="array" aca="1" ref="AB50" ca="1">Notmerged(AB21)</f>
        <v>#NAME?</v>
      </c>
      <c r="AC50" s="128" t="e" cm="1">
        <f t="array" aca="1" ref="AC50" ca="1">Notmerged(AC21)</f>
        <v>#NAME?</v>
      </c>
      <c r="AD50" s="128" t="e" cm="1">
        <f t="array" aca="1" ref="AD50" ca="1">Notmerged(AD21)</f>
        <v>#NAME?</v>
      </c>
      <c r="AE50" s="128" t="e" cm="1">
        <f t="array" aca="1" ref="AE50" ca="1">Notmerged(AE21)</f>
        <v>#NAME?</v>
      </c>
      <c r="AF50" s="128" t="e" cm="1">
        <f t="array" aca="1" ref="AF50" ca="1">Notmerged(AF21)</f>
        <v>#NAME?</v>
      </c>
      <c r="AG50" s="128" t="e" cm="1">
        <f t="array" aca="1" ref="AG50" ca="1">Notmerged(AG21)</f>
        <v>#NAME?</v>
      </c>
      <c r="AH50" s="128" t="e" cm="1">
        <f t="array" aca="1" ref="AH50" ca="1">Notmerged(AH21)</f>
        <v>#NAME?</v>
      </c>
      <c r="AI50" s="128" t="e" cm="1">
        <f t="array" aca="1" ref="AI50" ca="1">Notmerged(AI21)</f>
        <v>#NAME?</v>
      </c>
      <c r="AJ50" s="128" t="e" cm="1">
        <f t="array" aca="1" ref="AJ50" ca="1">Notmerged(AJ21)</f>
        <v>#NAME?</v>
      </c>
      <c r="AK50" s="128" t="e" cm="1">
        <f t="array" aca="1" ref="AK50" ca="1">Notmerged(AK21)</f>
        <v>#NAME?</v>
      </c>
      <c r="AL50" s="128" t="e" cm="1">
        <f t="array" aca="1" ref="AL50" ca="1">Notmerged(AL21)</f>
        <v>#NAME?</v>
      </c>
      <c r="AM50" s="128" t="e" cm="1">
        <f t="array" aca="1" ref="AM50" ca="1">Notmerged(AM21)</f>
        <v>#NAME?</v>
      </c>
      <c r="AN50" s="128" t="e" cm="1">
        <f t="array" aca="1" ref="AN50" ca="1">Notmerged(AN21)</f>
        <v>#NAME?</v>
      </c>
      <c r="AO50" s="128" t="e" cm="1">
        <f t="array" aca="1" ref="AO50" ca="1">Notmerged(AO21)</f>
        <v>#NAME?</v>
      </c>
      <c r="AP50" s="128" t="e" cm="1">
        <f t="array" aca="1" ref="AP50" ca="1">Notmerged(AP21)</f>
        <v>#NAME?</v>
      </c>
      <c r="AQ50" s="128" t="e" cm="1">
        <f t="array" aca="1" ref="AQ50" ca="1">Notmerged(AQ21)</f>
        <v>#NAME?</v>
      </c>
      <c r="AR50" s="128" t="e" cm="1">
        <f t="array" aca="1" ref="AR50" ca="1">Notmerged(AR21)</f>
        <v>#NAME?</v>
      </c>
      <c r="AS50" s="128" t="e" cm="1">
        <f t="array" aca="1" ref="AS50" ca="1">Notmerged(AS21)</f>
        <v>#NAME?</v>
      </c>
      <c r="AT50" s="128" t="e" cm="1">
        <f t="array" aca="1" ref="AT50" ca="1">Notmerged(AT21)</f>
        <v>#NAME?</v>
      </c>
      <c r="AU50" s="128" t="e" cm="1">
        <f t="array" aca="1" ref="AU50" ca="1">Notmerged(AU21)</f>
        <v>#NAME?</v>
      </c>
      <c r="AV50" s="128" t="e" cm="1">
        <f t="array" aca="1" ref="AV50" ca="1">Notmerged(AV21)</f>
        <v>#NAME?</v>
      </c>
      <c r="AW50" s="128" t="e" cm="1">
        <f t="array" aca="1" ref="AW50" ca="1">Notmerged(AW21)</f>
        <v>#NAME?</v>
      </c>
      <c r="AX50" s="128" t="e" cm="1">
        <f t="array" aca="1" ref="AX50" ca="1">Notmerged(AX21)</f>
        <v>#NAME?</v>
      </c>
      <c r="AY50" s="128" t="e" cm="1">
        <f t="array" aca="1" ref="AY50" ca="1">Notmerged(AY21)</f>
        <v>#NAME?</v>
      </c>
      <c r="AZ50" s="128" t="e" cm="1">
        <f t="array" aca="1" ref="AZ50" ca="1">Notmerged(AZ21)</f>
        <v>#NAME?</v>
      </c>
      <c r="BA50" s="128" t="e" cm="1">
        <f t="array" aca="1" ref="BA50" ca="1">Notmerged(BA21)</f>
        <v>#NAME?</v>
      </c>
      <c r="BB50" s="128" t="e" cm="1">
        <f t="array" aca="1" ref="BB50" ca="1">Notmerged(BB21)</f>
        <v>#NAME?</v>
      </c>
      <c r="BC50" s="128" t="e" cm="1">
        <f t="array" aca="1" ref="BC50" ca="1">Notmerged(BC21)</f>
        <v>#NAME?</v>
      </c>
      <c r="BD50" s="128" t="e" cm="1">
        <f t="array" aca="1" ref="BD50" ca="1">Notmerged(BD21)</f>
        <v>#NAME?</v>
      </c>
      <c r="BE50" s="128" t="e" cm="1">
        <f t="array" aca="1" ref="BE50" ca="1">Notmerged(BE21)</f>
        <v>#NAME?</v>
      </c>
      <c r="BF50" s="128" t="e" cm="1">
        <f t="array" aca="1" ref="BF50" ca="1">Notmerged(BF21)</f>
        <v>#NAME?</v>
      </c>
      <c r="BG50" s="128" t="e" cm="1">
        <f t="array" aca="1" ref="BG50" ca="1">Notmerged(BG21)</f>
        <v>#NAME?</v>
      </c>
      <c r="BH50" s="128" t="e" cm="1">
        <f t="array" aca="1" ref="BH50" ca="1">Notmerged(BH21)</f>
        <v>#NAME?</v>
      </c>
      <c r="BI50" s="128" t="e" cm="1">
        <f t="array" aca="1" ref="BI50" ca="1">Notmerged(BI21)</f>
        <v>#NAME?</v>
      </c>
      <c r="BJ50" s="128" t="e" cm="1">
        <f t="array" aca="1" ref="BJ50" ca="1">Notmerged(BJ21)</f>
        <v>#NAME?</v>
      </c>
      <c r="BK50" s="128" t="e" cm="1">
        <f t="array" aca="1" ref="BK50" ca="1">Notmerged(BK21)</f>
        <v>#NAME?</v>
      </c>
    </row>
    <row r="51" spans="2:63" x14ac:dyDescent="0.3">
      <c r="B51" s="128" t="e" cm="1">
        <f t="array" aca="1" ref="B51" ca="1">Notmerged(#REF!)</f>
        <v>#NAME?</v>
      </c>
      <c r="C51" s="128" t="e" cm="1">
        <f t="array" aca="1" ref="C51" ca="1">Notmerged(C22)</f>
        <v>#NAME?</v>
      </c>
      <c r="D51" s="128" t="e" cm="1">
        <f t="array" aca="1" ref="D51" ca="1">Notmerged(D22)</f>
        <v>#NAME?</v>
      </c>
      <c r="E51" s="128" t="e" cm="1">
        <f t="array" aca="1" ref="E51" ca="1">Notmerged(E22)</f>
        <v>#NAME?</v>
      </c>
      <c r="F51" s="128" t="e" cm="1">
        <f t="array" aca="1" ref="F51" ca="1">Notmerged(F22)</f>
        <v>#NAME?</v>
      </c>
      <c r="G51" s="128" t="e" cm="1">
        <f t="array" aca="1" ref="G51" ca="1">Notmerged(G22)</f>
        <v>#NAME?</v>
      </c>
      <c r="H51" s="128" t="e" cm="1">
        <f t="array" aca="1" ref="H51" ca="1">Notmerged(H22)</f>
        <v>#NAME?</v>
      </c>
      <c r="I51" s="128" t="e" cm="1">
        <f t="array" aca="1" ref="I51" ca="1">Notmerged(I22)</f>
        <v>#NAME?</v>
      </c>
      <c r="J51" s="128" t="e" cm="1">
        <f t="array" aca="1" ref="J51" ca="1">Notmerged(J22)</f>
        <v>#NAME?</v>
      </c>
      <c r="K51" s="128" t="e" cm="1">
        <f t="array" aca="1" ref="K51" ca="1">Notmerged(K22)</f>
        <v>#NAME?</v>
      </c>
      <c r="L51" s="128" t="e" cm="1">
        <f t="array" aca="1" ref="L51" ca="1">Notmerged(L22)</f>
        <v>#NAME?</v>
      </c>
      <c r="M51" s="128" t="e" cm="1">
        <f t="array" aca="1" ref="M51" ca="1">Notmerged(M22)</f>
        <v>#NAME?</v>
      </c>
      <c r="N51" s="128" t="e" cm="1">
        <f t="array" aca="1" ref="N51" ca="1">Notmerged(N22)</f>
        <v>#NAME?</v>
      </c>
      <c r="O51" s="128" t="e" cm="1">
        <f t="array" aca="1" ref="O51" ca="1">Notmerged(O22)</f>
        <v>#NAME?</v>
      </c>
      <c r="P51" s="128" t="e" cm="1">
        <f t="array" aca="1" ref="P51" ca="1">Notmerged(P22)</f>
        <v>#NAME?</v>
      </c>
      <c r="Q51" s="128" t="e" cm="1">
        <f t="array" aca="1" ref="Q51" ca="1">Notmerged(Q22)</f>
        <v>#NAME?</v>
      </c>
      <c r="R51" s="128" t="e" cm="1">
        <f t="array" aca="1" ref="R51" ca="1">Notmerged(R22)</f>
        <v>#NAME?</v>
      </c>
      <c r="S51" s="128" t="e" cm="1">
        <f t="array" aca="1" ref="S51" ca="1">Notmerged(S22)</f>
        <v>#NAME?</v>
      </c>
      <c r="T51" s="128" t="e" cm="1">
        <f t="array" aca="1" ref="T51" ca="1">Notmerged(T22)</f>
        <v>#NAME?</v>
      </c>
      <c r="U51" s="128" t="e" cm="1">
        <f t="array" aca="1" ref="U51" ca="1">Notmerged(U22)</f>
        <v>#NAME?</v>
      </c>
      <c r="V51" s="128" t="e" cm="1">
        <f t="array" aca="1" ref="V51" ca="1">Notmerged(V22)</f>
        <v>#NAME?</v>
      </c>
      <c r="W51" s="128" t="e" cm="1">
        <f t="array" aca="1" ref="W51" ca="1">Notmerged(W22)</f>
        <v>#NAME?</v>
      </c>
      <c r="X51" s="128" t="e" cm="1">
        <f t="array" aca="1" ref="X51" ca="1">Notmerged(X22)</f>
        <v>#NAME?</v>
      </c>
      <c r="Y51" s="128" t="e" cm="1">
        <f t="array" aca="1" ref="Y51" ca="1">Notmerged(Y22)</f>
        <v>#NAME?</v>
      </c>
      <c r="Z51" s="128" t="e" cm="1">
        <f t="array" aca="1" ref="Z51" ca="1">Notmerged(Z22)</f>
        <v>#NAME?</v>
      </c>
      <c r="AA51" s="128" t="e" cm="1">
        <f t="array" aca="1" ref="AA51" ca="1">Notmerged(AA22)</f>
        <v>#NAME?</v>
      </c>
      <c r="AB51" s="128" t="e" cm="1">
        <f t="array" aca="1" ref="AB51" ca="1">Notmerged(AB22)</f>
        <v>#NAME?</v>
      </c>
      <c r="AC51" s="128" t="e" cm="1">
        <f t="array" aca="1" ref="AC51" ca="1">Notmerged(AC22)</f>
        <v>#NAME?</v>
      </c>
      <c r="AD51" s="128" t="e" cm="1">
        <f t="array" aca="1" ref="AD51" ca="1">Notmerged(AD22)</f>
        <v>#NAME?</v>
      </c>
      <c r="AE51" s="128" t="e" cm="1">
        <f t="array" aca="1" ref="AE51" ca="1">Notmerged(AE22)</f>
        <v>#NAME?</v>
      </c>
      <c r="AF51" s="128" t="e" cm="1">
        <f t="array" aca="1" ref="AF51" ca="1">Notmerged(AF22)</f>
        <v>#NAME?</v>
      </c>
      <c r="AG51" s="128" t="e" cm="1">
        <f t="array" aca="1" ref="AG51" ca="1">Notmerged(AG22)</f>
        <v>#NAME?</v>
      </c>
      <c r="AH51" s="128" t="e" cm="1">
        <f t="array" aca="1" ref="AH51" ca="1">Notmerged(AH22)</f>
        <v>#NAME?</v>
      </c>
      <c r="AI51" s="128" t="e" cm="1">
        <f t="array" aca="1" ref="AI51" ca="1">Notmerged(AI22)</f>
        <v>#NAME?</v>
      </c>
      <c r="AJ51" s="128" t="e" cm="1">
        <f t="array" aca="1" ref="AJ51" ca="1">Notmerged(AJ22)</f>
        <v>#NAME?</v>
      </c>
      <c r="AK51" s="128" t="e" cm="1">
        <f t="array" aca="1" ref="AK51" ca="1">Notmerged(AK22)</f>
        <v>#NAME?</v>
      </c>
      <c r="AL51" s="128" t="e" cm="1">
        <f t="array" aca="1" ref="AL51" ca="1">Notmerged(AL22)</f>
        <v>#NAME?</v>
      </c>
      <c r="AM51" s="128" t="e" cm="1">
        <f t="array" aca="1" ref="AM51" ca="1">Notmerged(AM22)</f>
        <v>#NAME?</v>
      </c>
      <c r="AN51" s="128" t="e" cm="1">
        <f t="array" aca="1" ref="AN51" ca="1">Notmerged(AN22)</f>
        <v>#NAME?</v>
      </c>
      <c r="AO51" s="128" t="e" cm="1">
        <f t="array" aca="1" ref="AO51" ca="1">Notmerged(AO22)</f>
        <v>#NAME?</v>
      </c>
      <c r="AP51" s="128" t="e" cm="1">
        <f t="array" aca="1" ref="AP51" ca="1">Notmerged(AP22)</f>
        <v>#NAME?</v>
      </c>
      <c r="AQ51" s="128" t="e" cm="1">
        <f t="array" aca="1" ref="AQ51" ca="1">Notmerged(AQ22)</f>
        <v>#NAME?</v>
      </c>
      <c r="AR51" s="128" t="e" cm="1">
        <f t="array" aca="1" ref="AR51" ca="1">Notmerged(AR22)</f>
        <v>#NAME?</v>
      </c>
      <c r="AS51" s="128" t="e" cm="1">
        <f t="array" aca="1" ref="AS51" ca="1">Notmerged(AS22)</f>
        <v>#NAME?</v>
      </c>
      <c r="AT51" s="128" t="e" cm="1">
        <f t="array" aca="1" ref="AT51" ca="1">Notmerged(AT22)</f>
        <v>#NAME?</v>
      </c>
      <c r="AU51" s="128" t="e" cm="1">
        <f t="array" aca="1" ref="AU51" ca="1">Notmerged(AU22)</f>
        <v>#NAME?</v>
      </c>
      <c r="AV51" s="128" t="e" cm="1">
        <f t="array" aca="1" ref="AV51" ca="1">Notmerged(AV22)</f>
        <v>#NAME?</v>
      </c>
      <c r="AW51" s="128" t="e" cm="1">
        <f t="array" aca="1" ref="AW51" ca="1">Notmerged(AW22)</f>
        <v>#NAME?</v>
      </c>
      <c r="AX51" s="128" t="e" cm="1">
        <f t="array" aca="1" ref="AX51" ca="1">Notmerged(AX22)</f>
        <v>#NAME?</v>
      </c>
      <c r="AY51" s="128" t="e" cm="1">
        <f t="array" aca="1" ref="AY51" ca="1">Notmerged(AY22)</f>
        <v>#NAME?</v>
      </c>
      <c r="AZ51" s="128" t="e" cm="1">
        <f t="array" aca="1" ref="AZ51" ca="1">Notmerged(AZ22)</f>
        <v>#NAME?</v>
      </c>
      <c r="BA51" s="128" t="e" cm="1">
        <f t="array" aca="1" ref="BA51" ca="1">Notmerged(BA22)</f>
        <v>#NAME?</v>
      </c>
      <c r="BB51" s="128" t="e" cm="1">
        <f t="array" aca="1" ref="BB51" ca="1">Notmerged(BB22)</f>
        <v>#NAME?</v>
      </c>
      <c r="BC51" s="128" t="e" cm="1">
        <f t="array" aca="1" ref="BC51" ca="1">Notmerged(BC22)</f>
        <v>#NAME?</v>
      </c>
      <c r="BD51" s="128" t="e" cm="1">
        <f t="array" aca="1" ref="BD51" ca="1">Notmerged(BD22)</f>
        <v>#NAME?</v>
      </c>
      <c r="BE51" s="128" t="e" cm="1">
        <f t="array" aca="1" ref="BE51" ca="1">Notmerged(BE22)</f>
        <v>#NAME?</v>
      </c>
      <c r="BF51" s="128" t="e" cm="1">
        <f t="array" aca="1" ref="BF51" ca="1">Notmerged(BF22)</f>
        <v>#NAME?</v>
      </c>
      <c r="BG51" s="128" t="e" cm="1">
        <f t="array" aca="1" ref="BG51" ca="1">Notmerged(BG22)</f>
        <v>#NAME?</v>
      </c>
      <c r="BH51" s="128" t="e" cm="1">
        <f t="array" aca="1" ref="BH51" ca="1">Notmerged(BH22)</f>
        <v>#NAME?</v>
      </c>
      <c r="BI51" s="128" t="e" cm="1">
        <f t="array" aca="1" ref="BI51" ca="1">Notmerged(BI22)</f>
        <v>#NAME?</v>
      </c>
      <c r="BJ51" s="128" t="e" cm="1">
        <f t="array" aca="1" ref="BJ51" ca="1">Notmerged(BJ22)</f>
        <v>#NAME?</v>
      </c>
      <c r="BK51" s="128" t="e" cm="1">
        <f t="array" aca="1" ref="BK51" ca="1">Notmerged(BK22)</f>
        <v>#NAME?</v>
      </c>
    </row>
    <row r="52" spans="2:63" x14ac:dyDescent="0.3">
      <c r="B52" s="128" t="e" cm="1">
        <f t="array" aca="1" ref="B52" ca="1">Notmerged(B23)</f>
        <v>#NAME?</v>
      </c>
      <c r="C52" s="128" t="e" cm="1">
        <f t="array" aca="1" ref="C52" ca="1">Notmerged(#REF!)</f>
        <v>#NAME?</v>
      </c>
      <c r="D52" s="128" t="e" cm="1">
        <f t="array" aca="1" ref="D52" ca="1">Notmerged(D23)</f>
        <v>#NAME?</v>
      </c>
      <c r="E52" s="128" t="e" cm="1">
        <f t="array" aca="1" ref="E52" ca="1">Notmerged(E23)</f>
        <v>#NAME?</v>
      </c>
      <c r="F52" s="128" t="e" cm="1">
        <f t="array" aca="1" ref="F52" ca="1">Notmerged(F23)</f>
        <v>#NAME?</v>
      </c>
      <c r="G52" s="128" t="e" cm="1">
        <f t="array" aca="1" ref="G52" ca="1">Notmerged(G23)</f>
        <v>#NAME?</v>
      </c>
      <c r="H52" s="128" t="e" cm="1">
        <f t="array" aca="1" ref="H52" ca="1">Notmerged(H23)</f>
        <v>#NAME?</v>
      </c>
      <c r="I52" s="128" t="e" cm="1">
        <f t="array" aca="1" ref="I52" ca="1">Notmerged(I23)</f>
        <v>#NAME?</v>
      </c>
      <c r="J52" s="128" t="e" cm="1">
        <f t="array" aca="1" ref="J52" ca="1">Notmerged(J23)</f>
        <v>#NAME?</v>
      </c>
      <c r="K52" s="128" t="e" cm="1">
        <f t="array" aca="1" ref="K52" ca="1">Notmerged(K23)</f>
        <v>#NAME?</v>
      </c>
      <c r="L52" s="128" t="e" cm="1">
        <f t="array" aca="1" ref="L52" ca="1">Notmerged(L23)</f>
        <v>#NAME?</v>
      </c>
      <c r="M52" s="128" t="e" cm="1">
        <f t="array" aca="1" ref="M52" ca="1">Notmerged(M23)</f>
        <v>#NAME?</v>
      </c>
      <c r="N52" s="128" t="e" cm="1">
        <f t="array" aca="1" ref="N52" ca="1">Notmerged(N23)</f>
        <v>#NAME?</v>
      </c>
      <c r="O52" s="128" t="e" cm="1">
        <f t="array" aca="1" ref="O52" ca="1">Notmerged(O23)</f>
        <v>#NAME?</v>
      </c>
      <c r="P52" s="128" t="e" cm="1">
        <f t="array" aca="1" ref="P52" ca="1">Notmerged(P23)</f>
        <v>#NAME?</v>
      </c>
      <c r="Q52" s="128" t="e" cm="1">
        <f t="array" aca="1" ref="Q52" ca="1">Notmerged(Q23)</f>
        <v>#NAME?</v>
      </c>
      <c r="R52" s="128" t="e" cm="1">
        <f t="array" aca="1" ref="R52" ca="1">Notmerged(R23)</f>
        <v>#NAME?</v>
      </c>
      <c r="S52" s="128" t="e" cm="1">
        <f t="array" aca="1" ref="S52" ca="1">Notmerged(S23)</f>
        <v>#NAME?</v>
      </c>
      <c r="T52" s="128" t="e" cm="1">
        <f t="array" aca="1" ref="T52" ca="1">Notmerged(T23)</f>
        <v>#NAME?</v>
      </c>
      <c r="U52" s="128" t="e" cm="1">
        <f t="array" aca="1" ref="U52" ca="1">Notmerged(U23)</f>
        <v>#NAME?</v>
      </c>
      <c r="V52" s="128" t="e" cm="1">
        <f t="array" aca="1" ref="V52" ca="1">Notmerged(V23)</f>
        <v>#NAME?</v>
      </c>
      <c r="W52" s="128" t="e" cm="1">
        <f t="array" aca="1" ref="W52" ca="1">Notmerged(W23)</f>
        <v>#NAME?</v>
      </c>
      <c r="X52" s="128" t="e" cm="1">
        <f t="array" aca="1" ref="X52" ca="1">Notmerged(X23)</f>
        <v>#NAME?</v>
      </c>
      <c r="Y52" s="128" t="e" cm="1">
        <f t="array" aca="1" ref="Y52" ca="1">Notmerged(Y23)</f>
        <v>#NAME?</v>
      </c>
      <c r="Z52" s="128" t="e" cm="1">
        <f t="array" aca="1" ref="Z52" ca="1">Notmerged(Z23)</f>
        <v>#NAME?</v>
      </c>
      <c r="AA52" s="128" t="e" cm="1">
        <f t="array" aca="1" ref="AA52" ca="1">Notmerged(AA23)</f>
        <v>#NAME?</v>
      </c>
      <c r="AB52" s="128" t="e" cm="1">
        <f t="array" aca="1" ref="AB52" ca="1">Notmerged(AB23)</f>
        <v>#NAME?</v>
      </c>
      <c r="AC52" s="128" t="e" cm="1">
        <f t="array" aca="1" ref="AC52" ca="1">Notmerged(AC23)</f>
        <v>#NAME?</v>
      </c>
      <c r="AD52" s="128" t="e" cm="1">
        <f t="array" aca="1" ref="AD52" ca="1">Notmerged(AD23)</f>
        <v>#NAME?</v>
      </c>
      <c r="AE52" s="128" t="e" cm="1">
        <f t="array" aca="1" ref="AE52" ca="1">Notmerged(AE23)</f>
        <v>#NAME?</v>
      </c>
      <c r="AF52" s="128" t="e" cm="1">
        <f t="array" aca="1" ref="AF52" ca="1">Notmerged(AF23)</f>
        <v>#NAME?</v>
      </c>
      <c r="AG52" s="128" t="e" cm="1">
        <f t="array" aca="1" ref="AG52" ca="1">Notmerged(AG23)</f>
        <v>#NAME?</v>
      </c>
      <c r="AH52" s="128" t="e" cm="1">
        <f t="array" aca="1" ref="AH52" ca="1">Notmerged(AH23)</f>
        <v>#NAME?</v>
      </c>
      <c r="AI52" s="128" t="e" cm="1">
        <f t="array" aca="1" ref="AI52" ca="1">Notmerged(AI23)</f>
        <v>#NAME?</v>
      </c>
      <c r="AJ52" s="128" t="e" cm="1">
        <f t="array" aca="1" ref="AJ52" ca="1">Notmerged(AJ23)</f>
        <v>#NAME?</v>
      </c>
      <c r="AK52" s="128" t="e" cm="1">
        <f t="array" aca="1" ref="AK52" ca="1">Notmerged(AK23)</f>
        <v>#NAME?</v>
      </c>
      <c r="AL52" s="128" t="e" cm="1">
        <f t="array" aca="1" ref="AL52" ca="1">Notmerged(AL23)</f>
        <v>#NAME?</v>
      </c>
      <c r="AM52" s="128" t="e" cm="1">
        <f t="array" aca="1" ref="AM52" ca="1">Notmerged(AM23)</f>
        <v>#NAME?</v>
      </c>
      <c r="AN52" s="128" t="e" cm="1">
        <f t="array" aca="1" ref="AN52" ca="1">Notmerged(AN23)</f>
        <v>#NAME?</v>
      </c>
      <c r="AO52" s="128" t="e" cm="1">
        <f t="array" aca="1" ref="AO52" ca="1">Notmerged(AO23)</f>
        <v>#NAME?</v>
      </c>
      <c r="AP52" s="128" t="e" cm="1">
        <f t="array" aca="1" ref="AP52" ca="1">Notmerged(AP23)</f>
        <v>#NAME?</v>
      </c>
      <c r="AQ52" s="128" t="e" cm="1">
        <f t="array" aca="1" ref="AQ52" ca="1">Notmerged(AQ23)</f>
        <v>#NAME?</v>
      </c>
      <c r="AR52" s="128" t="e" cm="1">
        <f t="array" aca="1" ref="AR52" ca="1">Notmerged(AR23)</f>
        <v>#NAME?</v>
      </c>
      <c r="AS52" s="128" t="e" cm="1">
        <f t="array" aca="1" ref="AS52" ca="1">Notmerged(AS23)</f>
        <v>#NAME?</v>
      </c>
      <c r="AT52" s="128" t="e" cm="1">
        <f t="array" aca="1" ref="AT52" ca="1">Notmerged(AT23)</f>
        <v>#NAME?</v>
      </c>
      <c r="AU52" s="128" t="e" cm="1">
        <f t="array" aca="1" ref="AU52" ca="1">Notmerged(AU23)</f>
        <v>#NAME?</v>
      </c>
      <c r="AV52" s="128" t="e" cm="1">
        <f t="array" aca="1" ref="AV52" ca="1">Notmerged(AV23)</f>
        <v>#NAME?</v>
      </c>
      <c r="AW52" s="128" t="e" cm="1">
        <f t="array" aca="1" ref="AW52" ca="1">Notmerged(AW23)</f>
        <v>#NAME?</v>
      </c>
      <c r="AX52" s="128" t="e" cm="1">
        <f t="array" aca="1" ref="AX52" ca="1">Notmerged(AX23)</f>
        <v>#NAME?</v>
      </c>
      <c r="AY52" s="128" t="e" cm="1">
        <f t="array" aca="1" ref="AY52" ca="1">Notmerged(AY23)</f>
        <v>#NAME?</v>
      </c>
      <c r="AZ52" s="128" t="e" cm="1">
        <f t="array" aca="1" ref="AZ52" ca="1">Notmerged(AZ23)</f>
        <v>#NAME?</v>
      </c>
      <c r="BA52" s="128" t="e" cm="1">
        <f t="array" aca="1" ref="BA52" ca="1">Notmerged(BA23)</f>
        <v>#NAME?</v>
      </c>
      <c r="BB52" s="128" t="e" cm="1">
        <f t="array" aca="1" ref="BB52" ca="1">Notmerged(BB23)</f>
        <v>#NAME?</v>
      </c>
      <c r="BC52" s="128" t="e" cm="1">
        <f t="array" aca="1" ref="BC52" ca="1">Notmerged(BC23)</f>
        <v>#NAME?</v>
      </c>
      <c r="BD52" s="128" t="e" cm="1">
        <f t="array" aca="1" ref="BD52" ca="1">Notmerged(BD23)</f>
        <v>#NAME?</v>
      </c>
      <c r="BE52" s="128" t="e" cm="1">
        <f t="array" aca="1" ref="BE52" ca="1">Notmerged(BE23)</f>
        <v>#NAME?</v>
      </c>
      <c r="BF52" s="128" t="e" cm="1">
        <f t="array" aca="1" ref="BF52" ca="1">Notmerged(BF23)</f>
        <v>#NAME?</v>
      </c>
      <c r="BG52" s="128" t="e" cm="1">
        <f t="array" aca="1" ref="BG52" ca="1">Notmerged(BG23)</f>
        <v>#NAME?</v>
      </c>
      <c r="BH52" s="128" t="e" cm="1">
        <f t="array" aca="1" ref="BH52" ca="1">Notmerged(BH23)</f>
        <v>#NAME?</v>
      </c>
      <c r="BI52" s="128" t="e" cm="1">
        <f t="array" aca="1" ref="BI52" ca="1">Notmerged(BI23)</f>
        <v>#NAME?</v>
      </c>
      <c r="BJ52" s="128" t="e" cm="1">
        <f t="array" aca="1" ref="BJ52" ca="1">Notmerged(BJ23)</f>
        <v>#NAME?</v>
      </c>
      <c r="BK52" s="128" t="e" cm="1">
        <f t="array" aca="1" ref="BK52" ca="1">Notmerged(BK23)</f>
        <v>#NAME?</v>
      </c>
    </row>
    <row r="53" spans="2:63" x14ac:dyDescent="0.3">
      <c r="B53" s="128" t="e" cm="1">
        <f t="array" aca="1" ref="B53" ca="1">Notmerged(B22)</f>
        <v>#NAME?</v>
      </c>
      <c r="C53" s="128" t="e" cm="1">
        <f t="array" aca="1" ref="C53" ca="1">Notmerged(C23)</f>
        <v>#NAME?</v>
      </c>
      <c r="D53" s="128" t="e" cm="1">
        <f t="array" aca="1" ref="D53" ca="1">Notmerged(D24)</f>
        <v>#NAME?</v>
      </c>
      <c r="E53" s="128" t="e" cm="1">
        <f t="array" aca="1" ref="E53" ca="1">Notmerged(E24)</f>
        <v>#NAME?</v>
      </c>
      <c r="F53" s="128" t="e" cm="1">
        <f t="array" aca="1" ref="F53" ca="1">Notmerged(F24)</f>
        <v>#NAME?</v>
      </c>
      <c r="G53" s="128" t="e" cm="1">
        <f t="array" aca="1" ref="G53" ca="1">Notmerged(G24)</f>
        <v>#NAME?</v>
      </c>
      <c r="H53" s="128" t="e" cm="1">
        <f t="array" aca="1" ref="H53" ca="1">Notmerged(H24)</f>
        <v>#NAME?</v>
      </c>
      <c r="I53" s="128" t="e" cm="1">
        <f t="array" aca="1" ref="I53" ca="1">Notmerged(I24)</f>
        <v>#NAME?</v>
      </c>
      <c r="J53" s="128" t="e" cm="1">
        <f t="array" aca="1" ref="J53" ca="1">Notmerged(J24)</f>
        <v>#NAME?</v>
      </c>
      <c r="K53" s="128" t="e" cm="1">
        <f t="array" aca="1" ref="K53" ca="1">Notmerged(K24)</f>
        <v>#NAME?</v>
      </c>
      <c r="L53" s="128" t="e" cm="1">
        <f t="array" aca="1" ref="L53" ca="1">Notmerged(L24)</f>
        <v>#NAME?</v>
      </c>
      <c r="M53" s="128" t="e" cm="1">
        <f t="array" aca="1" ref="M53" ca="1">Notmerged(M24)</f>
        <v>#NAME?</v>
      </c>
      <c r="N53" s="128" t="e" cm="1">
        <f t="array" aca="1" ref="N53" ca="1">Notmerged(N24)</f>
        <v>#NAME?</v>
      </c>
      <c r="O53" s="128" t="e" cm="1">
        <f t="array" aca="1" ref="O53" ca="1">Notmerged(O24)</f>
        <v>#NAME?</v>
      </c>
      <c r="P53" s="128" t="e" cm="1">
        <f t="array" aca="1" ref="P53" ca="1">Notmerged(P24)</f>
        <v>#NAME?</v>
      </c>
      <c r="Q53" s="128" t="e" cm="1">
        <f t="array" aca="1" ref="Q53" ca="1">Notmerged(Q24)</f>
        <v>#NAME?</v>
      </c>
      <c r="R53" s="128" t="e" cm="1">
        <f t="array" aca="1" ref="R53" ca="1">Notmerged(R24)</f>
        <v>#NAME?</v>
      </c>
      <c r="S53" s="128" t="e" cm="1">
        <f t="array" aca="1" ref="S53" ca="1">Notmerged(S24)</f>
        <v>#NAME?</v>
      </c>
      <c r="T53" s="128" t="e" cm="1">
        <f t="array" aca="1" ref="T53" ca="1">Notmerged(T24)</f>
        <v>#NAME?</v>
      </c>
      <c r="U53" s="128" t="e" cm="1">
        <f t="array" aca="1" ref="U53" ca="1">Notmerged(U24)</f>
        <v>#NAME?</v>
      </c>
      <c r="V53" s="128" t="e" cm="1">
        <f t="array" aca="1" ref="V53" ca="1">Notmerged(V24)</f>
        <v>#NAME?</v>
      </c>
      <c r="W53" s="128" t="e" cm="1">
        <f t="array" aca="1" ref="W53" ca="1">Notmerged(W24)</f>
        <v>#NAME?</v>
      </c>
      <c r="X53" s="128" t="e" cm="1">
        <f t="array" aca="1" ref="X53" ca="1">Notmerged(X24)</f>
        <v>#NAME?</v>
      </c>
      <c r="Y53" s="128" t="e" cm="1">
        <f t="array" aca="1" ref="Y53" ca="1">Notmerged(Y24)</f>
        <v>#NAME?</v>
      </c>
      <c r="Z53" s="128" t="e" cm="1">
        <f t="array" aca="1" ref="Z53" ca="1">Notmerged(Z24)</f>
        <v>#NAME?</v>
      </c>
      <c r="AA53" s="128" t="e" cm="1">
        <f t="array" aca="1" ref="AA53" ca="1">Notmerged(AA24)</f>
        <v>#NAME?</v>
      </c>
      <c r="AB53" s="128" t="e" cm="1">
        <f t="array" aca="1" ref="AB53" ca="1">Notmerged(AB24)</f>
        <v>#NAME?</v>
      </c>
      <c r="AC53" s="128" t="e" cm="1">
        <f t="array" aca="1" ref="AC53" ca="1">Notmerged(AC24)</f>
        <v>#NAME?</v>
      </c>
      <c r="AD53" s="128" t="e" cm="1">
        <f t="array" aca="1" ref="AD53" ca="1">Notmerged(AD24)</f>
        <v>#NAME?</v>
      </c>
      <c r="AE53" s="128" t="e" cm="1">
        <f t="array" aca="1" ref="AE53" ca="1">Notmerged(AE24)</f>
        <v>#NAME?</v>
      </c>
      <c r="AF53" s="128" t="e" cm="1">
        <f t="array" aca="1" ref="AF53" ca="1">Notmerged(AF24)</f>
        <v>#NAME?</v>
      </c>
      <c r="AG53" s="128" t="e" cm="1">
        <f t="array" aca="1" ref="AG53" ca="1">Notmerged(AG24)</f>
        <v>#NAME?</v>
      </c>
      <c r="AH53" s="128" t="e" cm="1">
        <f t="array" aca="1" ref="AH53" ca="1">Notmerged(AH24)</f>
        <v>#NAME?</v>
      </c>
      <c r="AI53" s="128" t="e" cm="1">
        <f t="array" aca="1" ref="AI53" ca="1">Notmerged(AI24)</f>
        <v>#NAME?</v>
      </c>
      <c r="AJ53" s="128" t="e" cm="1">
        <f t="array" aca="1" ref="AJ53" ca="1">Notmerged(AJ24)</f>
        <v>#NAME?</v>
      </c>
      <c r="AK53" s="128" t="e" cm="1">
        <f t="array" aca="1" ref="AK53" ca="1">Notmerged(AK24)</f>
        <v>#NAME?</v>
      </c>
      <c r="AL53" s="128" t="e" cm="1">
        <f t="array" aca="1" ref="AL53" ca="1">Notmerged(AL24)</f>
        <v>#NAME?</v>
      </c>
      <c r="AM53" s="128" t="e" cm="1">
        <f t="array" aca="1" ref="AM53" ca="1">Notmerged(AM24)</f>
        <v>#NAME?</v>
      </c>
      <c r="AN53" s="128" t="e" cm="1">
        <f t="array" aca="1" ref="AN53" ca="1">Notmerged(AN24)</f>
        <v>#NAME?</v>
      </c>
      <c r="AO53" s="128" t="e" cm="1">
        <f t="array" aca="1" ref="AO53" ca="1">Notmerged(AO24)</f>
        <v>#NAME?</v>
      </c>
      <c r="AP53" s="128" t="e" cm="1">
        <f t="array" aca="1" ref="AP53" ca="1">Notmerged(AP24)</f>
        <v>#NAME?</v>
      </c>
      <c r="AQ53" s="128" t="e" cm="1">
        <f t="array" aca="1" ref="AQ53" ca="1">Notmerged(AQ24)</f>
        <v>#NAME?</v>
      </c>
      <c r="AR53" s="128" t="e" cm="1">
        <f t="array" aca="1" ref="AR53" ca="1">Notmerged(AR24)</f>
        <v>#NAME?</v>
      </c>
      <c r="AS53" s="128" t="e" cm="1">
        <f t="array" aca="1" ref="AS53" ca="1">Notmerged(AS24)</f>
        <v>#NAME?</v>
      </c>
      <c r="AT53" s="128" t="e" cm="1">
        <f t="array" aca="1" ref="AT53" ca="1">Notmerged(AT24)</f>
        <v>#NAME?</v>
      </c>
      <c r="AU53" s="128" t="e" cm="1">
        <f t="array" aca="1" ref="AU53" ca="1">Notmerged(AU24)</f>
        <v>#NAME?</v>
      </c>
      <c r="AV53" s="128" t="e" cm="1">
        <f t="array" aca="1" ref="AV53" ca="1">Notmerged(AV24)</f>
        <v>#NAME?</v>
      </c>
      <c r="AW53" s="128" t="e" cm="1">
        <f t="array" aca="1" ref="AW53" ca="1">Notmerged(AW24)</f>
        <v>#NAME?</v>
      </c>
      <c r="AX53" s="128" t="e" cm="1">
        <f t="array" aca="1" ref="AX53" ca="1">Notmerged(AX24)</f>
        <v>#NAME?</v>
      </c>
      <c r="AY53" s="128" t="e" cm="1">
        <f t="array" aca="1" ref="AY53" ca="1">Notmerged(AY24)</f>
        <v>#NAME?</v>
      </c>
      <c r="AZ53" s="128" t="e" cm="1">
        <f t="array" aca="1" ref="AZ53" ca="1">Notmerged(AZ24)</f>
        <v>#NAME?</v>
      </c>
      <c r="BA53" s="128" t="e" cm="1">
        <f t="array" aca="1" ref="BA53" ca="1">Notmerged(BA24)</f>
        <v>#NAME?</v>
      </c>
      <c r="BB53" s="128" t="e" cm="1">
        <f t="array" aca="1" ref="BB53" ca="1">Notmerged(BB24)</f>
        <v>#NAME?</v>
      </c>
      <c r="BC53" s="128" t="e" cm="1">
        <f t="array" aca="1" ref="BC53" ca="1">Notmerged(BC24)</f>
        <v>#NAME?</v>
      </c>
      <c r="BD53" s="128" t="e" cm="1">
        <f t="array" aca="1" ref="BD53" ca="1">Notmerged(BD24)</f>
        <v>#NAME?</v>
      </c>
      <c r="BE53" s="128" t="e" cm="1">
        <f t="array" aca="1" ref="BE53" ca="1">Notmerged(BE24)</f>
        <v>#NAME?</v>
      </c>
      <c r="BF53" s="128" t="e" cm="1">
        <f t="array" aca="1" ref="BF53" ca="1">Notmerged(BF24)</f>
        <v>#NAME?</v>
      </c>
      <c r="BG53" s="128" t="e" cm="1">
        <f t="array" aca="1" ref="BG53" ca="1">Notmerged(BG24)</f>
        <v>#NAME?</v>
      </c>
      <c r="BH53" s="128" t="e" cm="1">
        <f t="array" aca="1" ref="BH53" ca="1">Notmerged(BH24)</f>
        <v>#NAME?</v>
      </c>
      <c r="BI53" s="128" t="e" cm="1">
        <f t="array" aca="1" ref="BI53" ca="1">Notmerged(BI24)</f>
        <v>#NAME?</v>
      </c>
      <c r="BJ53" s="128" t="e" cm="1">
        <f t="array" aca="1" ref="BJ53" ca="1">Notmerged(BJ24)</f>
        <v>#NAME?</v>
      </c>
      <c r="BK53" s="128" t="e" cm="1">
        <f t="array" aca="1" ref="BK53" ca="1">Notmerged(BK24)</f>
        <v>#NAME?</v>
      </c>
    </row>
    <row r="54" spans="2:63" x14ac:dyDescent="0.3">
      <c r="B54" s="128" t="e" cm="1">
        <f t="array" aca="1" ref="B54" ca="1">Notmerged(#REF!)</f>
        <v>#NAME?</v>
      </c>
      <c r="C54" s="128" t="e" cm="1">
        <f t="array" aca="1" ref="C54" ca="1">Notmerged(C25)</f>
        <v>#NAME?</v>
      </c>
      <c r="D54" s="128" t="e" cm="1">
        <f t="array" aca="1" ref="D54" ca="1">Notmerged(D25)</f>
        <v>#NAME?</v>
      </c>
      <c r="E54" s="128" t="e" cm="1">
        <f t="array" aca="1" ref="E54" ca="1">Notmerged(E25)</f>
        <v>#NAME?</v>
      </c>
      <c r="F54" s="128" t="e" cm="1">
        <f t="array" aca="1" ref="F54" ca="1">Notmerged(F25)</f>
        <v>#NAME?</v>
      </c>
      <c r="G54" s="128" t="e" cm="1">
        <f t="array" aca="1" ref="G54" ca="1">Notmerged(G25)</f>
        <v>#NAME?</v>
      </c>
      <c r="H54" s="128" t="e" cm="1">
        <f t="array" aca="1" ref="H54" ca="1">Notmerged(H25)</f>
        <v>#NAME?</v>
      </c>
      <c r="I54" s="128" t="e" cm="1">
        <f t="array" aca="1" ref="I54" ca="1">Notmerged(I25)</f>
        <v>#NAME?</v>
      </c>
      <c r="J54" s="128" t="e" cm="1">
        <f t="array" aca="1" ref="J54" ca="1">Notmerged(J25)</f>
        <v>#NAME?</v>
      </c>
      <c r="K54" s="128" t="e" cm="1">
        <f t="array" aca="1" ref="K54" ca="1">Notmerged(K25)</f>
        <v>#NAME?</v>
      </c>
      <c r="L54" s="128" t="e" cm="1">
        <f t="array" aca="1" ref="L54" ca="1">Notmerged(L25)</f>
        <v>#NAME?</v>
      </c>
      <c r="M54" s="128" t="e" cm="1">
        <f t="array" aca="1" ref="M54" ca="1">Notmerged(M25)</f>
        <v>#NAME?</v>
      </c>
      <c r="N54" s="128" t="e" cm="1">
        <f t="array" aca="1" ref="N54" ca="1">Notmerged(N25)</f>
        <v>#NAME?</v>
      </c>
      <c r="O54" s="128" t="e" cm="1">
        <f t="array" aca="1" ref="O54" ca="1">Notmerged(O25)</f>
        <v>#NAME?</v>
      </c>
      <c r="P54" s="128" t="e" cm="1">
        <f t="array" aca="1" ref="P54" ca="1">Notmerged(P25)</f>
        <v>#NAME?</v>
      </c>
      <c r="Q54" s="128" t="e" cm="1">
        <f t="array" aca="1" ref="Q54" ca="1">Notmerged(Q25)</f>
        <v>#NAME?</v>
      </c>
      <c r="R54" s="128" t="e" cm="1">
        <f t="array" aca="1" ref="R54" ca="1">Notmerged(R25)</f>
        <v>#NAME?</v>
      </c>
      <c r="S54" s="128" t="e" cm="1">
        <f t="array" aca="1" ref="S54" ca="1">Notmerged(S25)</f>
        <v>#NAME?</v>
      </c>
      <c r="T54" s="128" t="e" cm="1">
        <f t="array" aca="1" ref="T54" ca="1">Notmerged(T25)</f>
        <v>#NAME?</v>
      </c>
      <c r="U54" s="128" t="e" cm="1">
        <f t="array" aca="1" ref="U54" ca="1">Notmerged(U25)</f>
        <v>#NAME?</v>
      </c>
      <c r="V54" s="128" t="e" cm="1">
        <f t="array" aca="1" ref="V54" ca="1">Notmerged(V25)</f>
        <v>#NAME?</v>
      </c>
      <c r="W54" s="128" t="e" cm="1">
        <f t="array" aca="1" ref="W54" ca="1">Notmerged(W25)</f>
        <v>#NAME?</v>
      </c>
      <c r="X54" s="128" t="e" cm="1">
        <f t="array" aca="1" ref="X54" ca="1">Notmerged(X25)</f>
        <v>#NAME?</v>
      </c>
      <c r="Y54" s="128" t="e" cm="1">
        <f t="array" aca="1" ref="Y54" ca="1">Notmerged(Y25)</f>
        <v>#NAME?</v>
      </c>
      <c r="Z54" s="128" t="e" cm="1">
        <f t="array" aca="1" ref="Z54" ca="1">Notmerged(Z25)</f>
        <v>#NAME?</v>
      </c>
      <c r="AA54" s="128" t="e" cm="1">
        <f t="array" aca="1" ref="AA54" ca="1">Notmerged(AA25)</f>
        <v>#NAME?</v>
      </c>
      <c r="AB54" s="128" t="e" cm="1">
        <f t="array" aca="1" ref="AB54" ca="1">Notmerged(AB25)</f>
        <v>#NAME?</v>
      </c>
      <c r="AC54" s="128" t="e" cm="1">
        <f t="array" aca="1" ref="AC54" ca="1">Notmerged(AC25)</f>
        <v>#NAME?</v>
      </c>
      <c r="AD54" s="128" t="e" cm="1">
        <f t="array" aca="1" ref="AD54" ca="1">Notmerged(AD25)</f>
        <v>#NAME?</v>
      </c>
      <c r="AE54" s="128" t="e" cm="1">
        <f t="array" aca="1" ref="AE54" ca="1">Notmerged(AE25)</f>
        <v>#NAME?</v>
      </c>
      <c r="AF54" s="128" t="e" cm="1">
        <f t="array" aca="1" ref="AF54" ca="1">Notmerged(AF25)</f>
        <v>#NAME?</v>
      </c>
      <c r="AG54" s="128" t="e" cm="1">
        <f t="array" aca="1" ref="AG54" ca="1">Notmerged(AG25)</f>
        <v>#NAME?</v>
      </c>
      <c r="AH54" s="128" t="e" cm="1">
        <f t="array" aca="1" ref="AH54" ca="1">Notmerged(AH25)</f>
        <v>#NAME?</v>
      </c>
      <c r="AI54" s="128" t="e" cm="1">
        <f t="array" aca="1" ref="AI54" ca="1">Notmerged(AI25)</f>
        <v>#NAME?</v>
      </c>
      <c r="AJ54" s="128" t="e" cm="1">
        <f t="array" aca="1" ref="AJ54" ca="1">Notmerged(AJ25)</f>
        <v>#NAME?</v>
      </c>
      <c r="AK54" s="128" t="e" cm="1">
        <f t="array" aca="1" ref="AK54" ca="1">Notmerged(AK25)</f>
        <v>#NAME?</v>
      </c>
      <c r="AL54" s="128" t="e" cm="1">
        <f t="array" aca="1" ref="AL54" ca="1">Notmerged(AL25)</f>
        <v>#NAME?</v>
      </c>
      <c r="AM54" s="128" t="e" cm="1">
        <f t="array" aca="1" ref="AM54" ca="1">Notmerged(AM25)</f>
        <v>#NAME?</v>
      </c>
      <c r="AN54" s="128" t="e" cm="1">
        <f t="array" aca="1" ref="AN54" ca="1">Notmerged(AN25)</f>
        <v>#NAME?</v>
      </c>
      <c r="AO54" s="128" t="e" cm="1">
        <f t="array" aca="1" ref="AO54" ca="1">Notmerged(AO25)</f>
        <v>#NAME?</v>
      </c>
      <c r="AP54" s="128" t="e" cm="1">
        <f t="array" aca="1" ref="AP54" ca="1">Notmerged(AP25)</f>
        <v>#NAME?</v>
      </c>
      <c r="AQ54" s="128" t="e" cm="1">
        <f t="array" aca="1" ref="AQ54" ca="1">Notmerged(AQ25)</f>
        <v>#NAME?</v>
      </c>
      <c r="AR54" s="128" t="e" cm="1">
        <f t="array" aca="1" ref="AR54" ca="1">Notmerged(AR25)</f>
        <v>#NAME?</v>
      </c>
      <c r="AS54" s="128" t="e" cm="1">
        <f t="array" aca="1" ref="AS54" ca="1">Notmerged(AS25)</f>
        <v>#NAME?</v>
      </c>
      <c r="AT54" s="128" t="e" cm="1">
        <f t="array" aca="1" ref="AT54" ca="1">Notmerged(AT25)</f>
        <v>#NAME?</v>
      </c>
      <c r="AU54" s="128" t="e" cm="1">
        <f t="array" aca="1" ref="AU54" ca="1">Notmerged(AU25)</f>
        <v>#NAME?</v>
      </c>
      <c r="AV54" s="128" t="e" cm="1">
        <f t="array" aca="1" ref="AV54" ca="1">Notmerged(AV25)</f>
        <v>#NAME?</v>
      </c>
      <c r="AW54" s="128" t="e" cm="1">
        <f t="array" aca="1" ref="AW54" ca="1">Notmerged(AW25)</f>
        <v>#NAME?</v>
      </c>
      <c r="AX54" s="128" t="e" cm="1">
        <f t="array" aca="1" ref="AX54" ca="1">Notmerged(AX25)</f>
        <v>#NAME?</v>
      </c>
      <c r="AY54" s="128" t="e" cm="1">
        <f t="array" aca="1" ref="AY54" ca="1">Notmerged(AY25)</f>
        <v>#NAME?</v>
      </c>
      <c r="AZ54" s="128" t="e" cm="1">
        <f t="array" aca="1" ref="AZ54" ca="1">Notmerged(AZ25)</f>
        <v>#NAME?</v>
      </c>
      <c r="BA54" s="128" t="e" cm="1">
        <f t="array" aca="1" ref="BA54" ca="1">Notmerged(BA25)</f>
        <v>#NAME?</v>
      </c>
      <c r="BB54" s="128" t="e" cm="1">
        <f t="array" aca="1" ref="BB54" ca="1">Notmerged(BB25)</f>
        <v>#NAME?</v>
      </c>
      <c r="BC54" s="128" t="e" cm="1">
        <f t="array" aca="1" ref="BC54" ca="1">Notmerged(BC25)</f>
        <v>#NAME?</v>
      </c>
      <c r="BD54" s="128" t="e" cm="1">
        <f t="array" aca="1" ref="BD54" ca="1">Notmerged(BD25)</f>
        <v>#NAME?</v>
      </c>
      <c r="BE54" s="128" t="e" cm="1">
        <f t="array" aca="1" ref="BE54" ca="1">Notmerged(BE25)</f>
        <v>#NAME?</v>
      </c>
      <c r="BF54" s="128" t="e" cm="1">
        <f t="array" aca="1" ref="BF54" ca="1">Notmerged(BF25)</f>
        <v>#NAME?</v>
      </c>
      <c r="BG54" s="128" t="e" cm="1">
        <f t="array" aca="1" ref="BG54" ca="1">Notmerged(BG25)</f>
        <v>#NAME?</v>
      </c>
      <c r="BH54" s="128" t="e" cm="1">
        <f t="array" aca="1" ref="BH54" ca="1">Notmerged(BH25)</f>
        <v>#NAME?</v>
      </c>
      <c r="BI54" s="128" t="e" cm="1">
        <f t="array" aca="1" ref="BI54" ca="1">Notmerged(BI25)</f>
        <v>#NAME?</v>
      </c>
      <c r="BJ54" s="128" t="e" cm="1">
        <f t="array" aca="1" ref="BJ54" ca="1">Notmerged(BJ25)</f>
        <v>#NAME?</v>
      </c>
      <c r="BK54" s="128" t="e" cm="1">
        <f t="array" aca="1" ref="BK54" ca="1">Notmerged(BK25)</f>
        <v>#NAME?</v>
      </c>
    </row>
    <row r="55" spans="2:63" x14ac:dyDescent="0.3">
      <c r="B55" s="128" t="e" cm="1">
        <f t="array" aca="1" ref="B55" ca="1">Notmerged(B26)</f>
        <v>#NAME?</v>
      </c>
      <c r="C55" s="128" t="e" cm="1">
        <f t="array" aca="1" ref="C55" ca="1">Notmerged(C26)</f>
        <v>#NAME?</v>
      </c>
      <c r="D55" s="128" t="e" cm="1">
        <f t="array" aca="1" ref="D55" ca="1">Notmerged(D26)</f>
        <v>#NAME?</v>
      </c>
      <c r="E55" s="128" t="e" cm="1">
        <f t="array" aca="1" ref="E55" ca="1">Notmerged(E26)</f>
        <v>#NAME?</v>
      </c>
      <c r="F55" s="128" t="e" cm="1">
        <f t="array" aca="1" ref="F55" ca="1">Notmerged(F26)</f>
        <v>#NAME?</v>
      </c>
      <c r="G55" s="128" t="e" cm="1">
        <f t="array" aca="1" ref="G55" ca="1">Notmerged(G26)</f>
        <v>#NAME?</v>
      </c>
      <c r="H55" s="128" t="e" cm="1">
        <f t="array" aca="1" ref="H55" ca="1">Notmerged(H26)</f>
        <v>#NAME?</v>
      </c>
      <c r="I55" s="128" t="e" cm="1">
        <f t="array" aca="1" ref="I55" ca="1">Notmerged(I26)</f>
        <v>#NAME?</v>
      </c>
      <c r="J55" s="128" t="e" cm="1">
        <f t="array" aca="1" ref="J55" ca="1">Notmerged(J26)</f>
        <v>#NAME?</v>
      </c>
      <c r="K55" s="128" t="e" cm="1">
        <f t="array" aca="1" ref="K55" ca="1">Notmerged(K26)</f>
        <v>#NAME?</v>
      </c>
      <c r="L55" s="128" t="e" cm="1">
        <f t="array" aca="1" ref="L55" ca="1">Notmerged(L26)</f>
        <v>#NAME?</v>
      </c>
      <c r="M55" s="128" t="e" cm="1">
        <f t="array" aca="1" ref="M55" ca="1">Notmerged(M26)</f>
        <v>#NAME?</v>
      </c>
      <c r="N55" s="128" t="e" cm="1">
        <f t="array" aca="1" ref="N55" ca="1">Notmerged(N26)</f>
        <v>#NAME?</v>
      </c>
      <c r="O55" s="128" t="e" cm="1">
        <f t="array" aca="1" ref="O55" ca="1">Notmerged(O26)</f>
        <v>#NAME?</v>
      </c>
      <c r="P55" s="128" t="e" cm="1">
        <f t="array" aca="1" ref="P55" ca="1">Notmerged(P26)</f>
        <v>#NAME?</v>
      </c>
      <c r="Q55" s="128" t="e" cm="1">
        <f t="array" aca="1" ref="Q55" ca="1">Notmerged(Q26)</f>
        <v>#NAME?</v>
      </c>
      <c r="R55" s="128" t="e" cm="1">
        <f t="array" aca="1" ref="R55" ca="1">Notmerged(R26)</f>
        <v>#NAME?</v>
      </c>
      <c r="S55" s="128" t="e" cm="1">
        <f t="array" aca="1" ref="S55" ca="1">Notmerged(S26)</f>
        <v>#NAME?</v>
      </c>
      <c r="T55" s="128" t="e" cm="1">
        <f t="array" aca="1" ref="T55" ca="1">Notmerged(T26)</f>
        <v>#NAME?</v>
      </c>
      <c r="U55" s="128" t="e" cm="1">
        <f t="array" aca="1" ref="U55" ca="1">Notmerged(U26)</f>
        <v>#NAME?</v>
      </c>
      <c r="V55" s="128" t="e" cm="1">
        <f t="array" aca="1" ref="V55" ca="1">Notmerged(V26)</f>
        <v>#NAME?</v>
      </c>
      <c r="W55" s="128" t="e" cm="1">
        <f t="array" aca="1" ref="W55" ca="1">Notmerged(W26)</f>
        <v>#NAME?</v>
      </c>
      <c r="X55" s="128" t="e" cm="1">
        <f t="array" aca="1" ref="X55" ca="1">Notmerged(X26)</f>
        <v>#NAME?</v>
      </c>
      <c r="Y55" s="128" t="e" cm="1">
        <f t="array" aca="1" ref="Y55" ca="1">Notmerged(Y26)</f>
        <v>#NAME?</v>
      </c>
      <c r="Z55" s="128" t="e" cm="1">
        <f t="array" aca="1" ref="Z55" ca="1">Notmerged(Z26)</f>
        <v>#NAME?</v>
      </c>
      <c r="AA55" s="128" t="e" cm="1">
        <f t="array" aca="1" ref="AA55" ca="1">Notmerged(AA26)</f>
        <v>#NAME?</v>
      </c>
      <c r="AB55" s="128" t="e" cm="1">
        <f t="array" aca="1" ref="AB55" ca="1">Notmerged(AB26)</f>
        <v>#NAME?</v>
      </c>
      <c r="AC55" s="128" t="e" cm="1">
        <f t="array" aca="1" ref="AC55" ca="1">Notmerged(AC26)</f>
        <v>#NAME?</v>
      </c>
      <c r="AD55" s="128" t="e" cm="1">
        <f t="array" aca="1" ref="AD55" ca="1">Notmerged(AD26)</f>
        <v>#NAME?</v>
      </c>
      <c r="AE55" s="128" t="e" cm="1">
        <f t="array" aca="1" ref="AE55" ca="1">Notmerged(AE26)</f>
        <v>#NAME?</v>
      </c>
      <c r="AF55" s="128" t="e" cm="1">
        <f t="array" aca="1" ref="AF55" ca="1">Notmerged(AF26)</f>
        <v>#NAME?</v>
      </c>
      <c r="AG55" s="128" t="e" cm="1">
        <f t="array" aca="1" ref="AG55" ca="1">Notmerged(AG26)</f>
        <v>#NAME?</v>
      </c>
      <c r="AH55" s="128" t="e" cm="1">
        <f t="array" aca="1" ref="AH55" ca="1">Notmerged(AH26)</f>
        <v>#NAME?</v>
      </c>
      <c r="AI55" s="128" t="e" cm="1">
        <f t="array" aca="1" ref="AI55" ca="1">Notmerged(AI26)</f>
        <v>#NAME?</v>
      </c>
      <c r="AJ55" s="128" t="e" cm="1">
        <f t="array" aca="1" ref="AJ55" ca="1">Notmerged(AJ26)</f>
        <v>#NAME?</v>
      </c>
      <c r="AK55" s="128" t="e" cm="1">
        <f t="array" aca="1" ref="AK55" ca="1">Notmerged(AK26)</f>
        <v>#NAME?</v>
      </c>
      <c r="AL55" s="128" t="e" cm="1">
        <f t="array" aca="1" ref="AL55" ca="1">Notmerged(AL26)</f>
        <v>#NAME?</v>
      </c>
      <c r="AM55" s="128" t="e" cm="1">
        <f t="array" aca="1" ref="AM55" ca="1">Notmerged(AM26)</f>
        <v>#NAME?</v>
      </c>
      <c r="AN55" s="128" t="e" cm="1">
        <f t="array" aca="1" ref="AN55" ca="1">Notmerged(AN26)</f>
        <v>#NAME?</v>
      </c>
      <c r="AO55" s="128" t="e" cm="1">
        <f t="array" aca="1" ref="AO55" ca="1">Notmerged(AO26)</f>
        <v>#NAME?</v>
      </c>
      <c r="AP55" s="128" t="e" cm="1">
        <f t="array" aca="1" ref="AP55" ca="1">Notmerged(AP26)</f>
        <v>#NAME?</v>
      </c>
      <c r="AQ55" s="128" t="e" cm="1">
        <f t="array" aca="1" ref="AQ55" ca="1">Notmerged(AQ26)</f>
        <v>#NAME?</v>
      </c>
      <c r="AR55" s="128" t="e" cm="1">
        <f t="array" aca="1" ref="AR55" ca="1">Notmerged(AR26)</f>
        <v>#NAME?</v>
      </c>
      <c r="AS55" s="128" t="e" cm="1">
        <f t="array" aca="1" ref="AS55" ca="1">Notmerged(AS26)</f>
        <v>#NAME?</v>
      </c>
      <c r="AT55" s="128" t="e" cm="1">
        <f t="array" aca="1" ref="AT55" ca="1">Notmerged(AT26)</f>
        <v>#NAME?</v>
      </c>
      <c r="AU55" s="128" t="e" cm="1">
        <f t="array" aca="1" ref="AU55" ca="1">Notmerged(AU26)</f>
        <v>#NAME?</v>
      </c>
      <c r="AV55" s="128" t="e" cm="1">
        <f t="array" aca="1" ref="AV55" ca="1">Notmerged(AV26)</f>
        <v>#NAME?</v>
      </c>
      <c r="AW55" s="128" t="e" cm="1">
        <f t="array" aca="1" ref="AW55" ca="1">Notmerged(AW26)</f>
        <v>#NAME?</v>
      </c>
      <c r="AX55" s="128" t="e" cm="1">
        <f t="array" aca="1" ref="AX55" ca="1">Notmerged(AX26)</f>
        <v>#NAME?</v>
      </c>
      <c r="AY55" s="128" t="e" cm="1">
        <f t="array" aca="1" ref="AY55" ca="1">Notmerged(AY26)</f>
        <v>#NAME?</v>
      </c>
      <c r="AZ55" s="128" t="e" cm="1">
        <f t="array" aca="1" ref="AZ55" ca="1">Notmerged(AZ26)</f>
        <v>#NAME?</v>
      </c>
      <c r="BA55" s="128" t="e" cm="1">
        <f t="array" aca="1" ref="BA55" ca="1">Notmerged(BA26)</f>
        <v>#NAME?</v>
      </c>
      <c r="BB55" s="128" t="e" cm="1">
        <f t="array" aca="1" ref="BB55" ca="1">Notmerged(BB26)</f>
        <v>#NAME?</v>
      </c>
      <c r="BC55" s="128" t="e" cm="1">
        <f t="array" aca="1" ref="BC55" ca="1">Notmerged(BC26)</f>
        <v>#NAME?</v>
      </c>
      <c r="BD55" s="128" t="e" cm="1">
        <f t="array" aca="1" ref="BD55" ca="1">Notmerged(BD26)</f>
        <v>#NAME?</v>
      </c>
      <c r="BE55" s="128" t="e" cm="1">
        <f t="array" aca="1" ref="BE55" ca="1">Notmerged(BE26)</f>
        <v>#NAME?</v>
      </c>
      <c r="BF55" s="128" t="e" cm="1">
        <f t="array" aca="1" ref="BF55" ca="1">Notmerged(BF26)</f>
        <v>#NAME?</v>
      </c>
      <c r="BG55" s="128" t="e" cm="1">
        <f t="array" aca="1" ref="BG55" ca="1">Notmerged(BG26)</f>
        <v>#NAME?</v>
      </c>
      <c r="BH55" s="128" t="e" cm="1">
        <f t="array" aca="1" ref="BH55" ca="1">Notmerged(BH26)</f>
        <v>#NAME?</v>
      </c>
      <c r="BI55" s="128" t="e" cm="1">
        <f t="array" aca="1" ref="BI55" ca="1">Notmerged(BI26)</f>
        <v>#NAME?</v>
      </c>
      <c r="BJ55" s="128" t="e" cm="1">
        <f t="array" aca="1" ref="BJ55" ca="1">Notmerged(BJ26)</f>
        <v>#NAME?</v>
      </c>
      <c r="BK55" s="128" t="e" cm="1">
        <f t="array" aca="1" ref="BK55" ca="1">Notmerged(BK26)</f>
        <v>#NAME?</v>
      </c>
    </row>
    <row r="56" spans="2:63" x14ac:dyDescent="0.3">
      <c r="B56" s="128" t="e" cm="1">
        <f t="array" aca="1" ref="B56" ca="1">Notmerged(B25)</f>
        <v>#NAME?</v>
      </c>
      <c r="C56" s="128" t="e" cm="1">
        <f t="array" aca="1" ref="C56" ca="1">Notmerged(C27)</f>
        <v>#NAME?</v>
      </c>
      <c r="D56" s="128" t="e" cm="1">
        <f t="array" aca="1" ref="D56" ca="1">Notmerged(D27)</f>
        <v>#NAME?</v>
      </c>
      <c r="E56" s="128" t="e" cm="1">
        <f t="array" aca="1" ref="E56" ca="1">Notmerged(E27)</f>
        <v>#NAME?</v>
      </c>
      <c r="F56" s="128" t="e" cm="1">
        <f t="array" aca="1" ref="F56" ca="1">Notmerged(F27)</f>
        <v>#NAME?</v>
      </c>
      <c r="G56" s="128" t="e" cm="1">
        <f t="array" aca="1" ref="G56" ca="1">Notmerged(G27)</f>
        <v>#NAME?</v>
      </c>
      <c r="H56" s="128" t="e" cm="1">
        <f t="array" aca="1" ref="H56" ca="1">Notmerged(H27)</f>
        <v>#NAME?</v>
      </c>
      <c r="I56" s="128" t="e" cm="1">
        <f t="array" aca="1" ref="I56" ca="1">Notmerged(I27)</f>
        <v>#NAME?</v>
      </c>
      <c r="J56" s="128" t="e" cm="1">
        <f t="array" aca="1" ref="J56" ca="1">Notmerged(J27)</f>
        <v>#NAME?</v>
      </c>
      <c r="K56" s="128" t="e" cm="1">
        <f t="array" aca="1" ref="K56" ca="1">Notmerged(K27)</f>
        <v>#NAME?</v>
      </c>
      <c r="L56" s="128" t="e" cm="1">
        <f t="array" aca="1" ref="L56" ca="1">Notmerged(L27)</f>
        <v>#NAME?</v>
      </c>
      <c r="M56" s="128" t="e" cm="1">
        <f t="array" aca="1" ref="M56" ca="1">Notmerged(M27)</f>
        <v>#NAME?</v>
      </c>
      <c r="N56" s="128" t="e" cm="1">
        <f t="array" aca="1" ref="N56" ca="1">Notmerged(N27)</f>
        <v>#NAME?</v>
      </c>
      <c r="O56" s="128" t="e" cm="1">
        <f t="array" aca="1" ref="O56" ca="1">Notmerged(O27)</f>
        <v>#NAME?</v>
      </c>
      <c r="P56" s="128" t="e" cm="1">
        <f t="array" aca="1" ref="P56" ca="1">Notmerged(P27)</f>
        <v>#NAME?</v>
      </c>
      <c r="Q56" s="128" t="e" cm="1">
        <f t="array" aca="1" ref="Q56" ca="1">Notmerged(Q27)</f>
        <v>#NAME?</v>
      </c>
      <c r="R56" s="128" t="e" cm="1">
        <f t="array" aca="1" ref="R56" ca="1">Notmerged(R27)</f>
        <v>#NAME?</v>
      </c>
      <c r="S56" s="128" t="e" cm="1">
        <f t="array" aca="1" ref="S56" ca="1">Notmerged(S27)</f>
        <v>#NAME?</v>
      </c>
      <c r="T56" s="128" t="e" cm="1">
        <f t="array" aca="1" ref="T56" ca="1">Notmerged(T27)</f>
        <v>#NAME?</v>
      </c>
      <c r="U56" s="128" t="e" cm="1">
        <f t="array" aca="1" ref="U56" ca="1">Notmerged(U27)</f>
        <v>#NAME?</v>
      </c>
      <c r="V56" s="128" t="e" cm="1">
        <f t="array" aca="1" ref="V56" ca="1">Notmerged(V27)</f>
        <v>#NAME?</v>
      </c>
      <c r="W56" s="128" t="e" cm="1">
        <f t="array" aca="1" ref="W56" ca="1">Notmerged(W27)</f>
        <v>#NAME?</v>
      </c>
      <c r="X56" s="128" t="e" cm="1">
        <f t="array" aca="1" ref="X56" ca="1">Notmerged(X27)</f>
        <v>#NAME?</v>
      </c>
      <c r="Y56" s="128" t="e" cm="1">
        <f t="array" aca="1" ref="Y56" ca="1">Notmerged(Y27)</f>
        <v>#NAME?</v>
      </c>
      <c r="Z56" s="128" t="e" cm="1">
        <f t="array" aca="1" ref="Z56" ca="1">Notmerged(Z27)</f>
        <v>#NAME?</v>
      </c>
      <c r="AA56" s="128" t="e" cm="1">
        <f t="array" aca="1" ref="AA56" ca="1">Notmerged(AA27)</f>
        <v>#NAME?</v>
      </c>
      <c r="AB56" s="128" t="e" cm="1">
        <f t="array" aca="1" ref="AB56" ca="1">Notmerged(AB27)</f>
        <v>#NAME?</v>
      </c>
      <c r="AC56" s="128" t="e" cm="1">
        <f t="array" aca="1" ref="AC56" ca="1">Notmerged(AC27)</f>
        <v>#NAME?</v>
      </c>
      <c r="AD56" s="128" t="e" cm="1">
        <f t="array" aca="1" ref="AD56" ca="1">Notmerged(AD27)</f>
        <v>#NAME?</v>
      </c>
      <c r="AE56" s="128" t="e" cm="1">
        <f t="array" aca="1" ref="AE56" ca="1">Notmerged(AE27)</f>
        <v>#NAME?</v>
      </c>
      <c r="AF56" s="128" t="e" cm="1">
        <f t="array" aca="1" ref="AF56" ca="1">Notmerged(AF27)</f>
        <v>#NAME?</v>
      </c>
      <c r="AG56" s="128" t="e" cm="1">
        <f t="array" aca="1" ref="AG56" ca="1">Notmerged(AG27)</f>
        <v>#NAME?</v>
      </c>
      <c r="AH56" s="128" t="e" cm="1">
        <f t="array" aca="1" ref="AH56" ca="1">Notmerged(AH27)</f>
        <v>#NAME?</v>
      </c>
      <c r="AI56" s="128" t="e" cm="1">
        <f t="array" aca="1" ref="AI56" ca="1">Notmerged(AI27)</f>
        <v>#NAME?</v>
      </c>
      <c r="AJ56" s="128" t="e" cm="1">
        <f t="array" aca="1" ref="AJ56" ca="1">Notmerged(AJ27)</f>
        <v>#NAME?</v>
      </c>
      <c r="AK56" s="128" t="e" cm="1">
        <f t="array" aca="1" ref="AK56" ca="1">Notmerged(AK27)</f>
        <v>#NAME?</v>
      </c>
      <c r="AL56" s="128" t="e" cm="1">
        <f t="array" aca="1" ref="AL56" ca="1">Notmerged(AL27)</f>
        <v>#NAME?</v>
      </c>
      <c r="AM56" s="128" t="e" cm="1">
        <f t="array" aca="1" ref="AM56" ca="1">Notmerged(AM27)</f>
        <v>#NAME?</v>
      </c>
      <c r="AN56" s="128" t="e" cm="1">
        <f t="array" aca="1" ref="AN56" ca="1">Notmerged(AN27)</f>
        <v>#NAME?</v>
      </c>
      <c r="AO56" s="128" t="e" cm="1">
        <f t="array" aca="1" ref="AO56" ca="1">Notmerged(AO27)</f>
        <v>#NAME?</v>
      </c>
      <c r="AP56" s="128" t="e" cm="1">
        <f t="array" aca="1" ref="AP56" ca="1">Notmerged(AP27)</f>
        <v>#NAME?</v>
      </c>
      <c r="AQ56" s="128" t="e" cm="1">
        <f t="array" aca="1" ref="AQ56" ca="1">Notmerged(AQ27)</f>
        <v>#NAME?</v>
      </c>
      <c r="AR56" s="128" t="e" cm="1">
        <f t="array" aca="1" ref="AR56" ca="1">Notmerged(AR27)</f>
        <v>#NAME?</v>
      </c>
      <c r="AS56" s="128" t="e" cm="1">
        <f t="array" aca="1" ref="AS56" ca="1">Notmerged(AS27)</f>
        <v>#NAME?</v>
      </c>
      <c r="AT56" s="128" t="e" cm="1">
        <f t="array" aca="1" ref="AT56" ca="1">Notmerged(AT27)</f>
        <v>#NAME?</v>
      </c>
      <c r="AU56" s="128" t="e" cm="1">
        <f t="array" aca="1" ref="AU56" ca="1">Notmerged(AU27)</f>
        <v>#NAME?</v>
      </c>
      <c r="AV56" s="128" t="e" cm="1">
        <f t="array" aca="1" ref="AV56" ca="1">Notmerged(AV27)</f>
        <v>#NAME?</v>
      </c>
      <c r="AW56" s="128" t="e" cm="1">
        <f t="array" aca="1" ref="AW56" ca="1">Notmerged(AW27)</f>
        <v>#NAME?</v>
      </c>
      <c r="AX56" s="128" t="e" cm="1">
        <f t="array" aca="1" ref="AX56" ca="1">Notmerged(AX27)</f>
        <v>#NAME?</v>
      </c>
      <c r="AY56" s="128" t="e" cm="1">
        <f t="array" aca="1" ref="AY56" ca="1">Notmerged(AY27)</f>
        <v>#NAME?</v>
      </c>
      <c r="AZ56" s="128" t="e" cm="1">
        <f t="array" aca="1" ref="AZ56" ca="1">Notmerged(AZ27)</f>
        <v>#NAME?</v>
      </c>
      <c r="BA56" s="128" t="e" cm="1">
        <f t="array" aca="1" ref="BA56" ca="1">Notmerged(BA27)</f>
        <v>#NAME?</v>
      </c>
      <c r="BB56" s="128" t="e" cm="1">
        <f t="array" aca="1" ref="BB56" ca="1">Notmerged(BB27)</f>
        <v>#NAME?</v>
      </c>
      <c r="BC56" s="128" t="e" cm="1">
        <f t="array" aca="1" ref="BC56" ca="1">Notmerged(BC27)</f>
        <v>#NAME?</v>
      </c>
      <c r="BD56" s="128" t="e" cm="1">
        <f t="array" aca="1" ref="BD56" ca="1">Notmerged(BD27)</f>
        <v>#NAME?</v>
      </c>
      <c r="BE56" s="128" t="e" cm="1">
        <f t="array" aca="1" ref="BE56" ca="1">Notmerged(BE27)</f>
        <v>#NAME?</v>
      </c>
      <c r="BF56" s="128" t="e" cm="1">
        <f t="array" aca="1" ref="BF56" ca="1">Notmerged(BF27)</f>
        <v>#NAME?</v>
      </c>
      <c r="BG56" s="128" t="e" cm="1">
        <f t="array" aca="1" ref="BG56" ca="1">Notmerged(BG27)</f>
        <v>#NAME?</v>
      </c>
      <c r="BH56" s="128" t="e" cm="1">
        <f t="array" aca="1" ref="BH56" ca="1">Notmerged(BH27)</f>
        <v>#NAME?</v>
      </c>
      <c r="BI56" s="128" t="e" cm="1">
        <f t="array" aca="1" ref="BI56" ca="1">Notmerged(BI27)</f>
        <v>#NAME?</v>
      </c>
      <c r="BJ56" s="128" t="e" cm="1">
        <f t="array" aca="1" ref="BJ56" ca="1">Notmerged(BJ27)</f>
        <v>#NAME?</v>
      </c>
      <c r="BK56" s="128" t="e" cm="1">
        <f t="array" aca="1" ref="BK56" ca="1">Notmerged(BK27)</f>
        <v>#NAME?</v>
      </c>
    </row>
    <row r="57" spans="2:63" x14ac:dyDescent="0.3">
      <c r="B57" s="128" t="e" cm="1">
        <f t="array" aca="1" ref="B57" ca="1">Notmerged(B28)</f>
        <v>#NAME?</v>
      </c>
      <c r="C57" s="128" t="e" cm="1">
        <f t="array" aca="1" ref="C57" ca="1">Notmerged(C28)</f>
        <v>#NAME?</v>
      </c>
      <c r="D57" s="128" t="e" cm="1">
        <f t="array" aca="1" ref="D57" ca="1">Notmerged(D28)</f>
        <v>#NAME?</v>
      </c>
      <c r="E57" s="128" t="e" cm="1">
        <f t="array" aca="1" ref="E57" ca="1">Notmerged(E28)</f>
        <v>#NAME?</v>
      </c>
      <c r="F57" s="128" t="e" cm="1">
        <f t="array" aca="1" ref="F57" ca="1">Notmerged(F28)</f>
        <v>#NAME?</v>
      </c>
      <c r="G57" s="128" t="e" cm="1">
        <f t="array" aca="1" ref="G57" ca="1">Notmerged(G28)</f>
        <v>#NAME?</v>
      </c>
      <c r="H57" s="128" t="e" cm="1">
        <f t="array" aca="1" ref="H57" ca="1">Notmerged(H28)</f>
        <v>#NAME?</v>
      </c>
      <c r="I57" s="128" t="e" cm="1">
        <f t="array" aca="1" ref="I57" ca="1">Notmerged(I28)</f>
        <v>#NAME?</v>
      </c>
      <c r="J57" s="128" t="e" cm="1">
        <f t="array" aca="1" ref="J57" ca="1">Notmerged(J28)</f>
        <v>#NAME?</v>
      </c>
      <c r="K57" s="128" t="e" cm="1">
        <f t="array" aca="1" ref="K57" ca="1">Notmerged(K28)</f>
        <v>#NAME?</v>
      </c>
      <c r="L57" s="128" t="e" cm="1">
        <f t="array" aca="1" ref="L57" ca="1">Notmerged(L28)</f>
        <v>#NAME?</v>
      </c>
      <c r="M57" s="128" t="e" cm="1">
        <f t="array" aca="1" ref="M57" ca="1">Notmerged(M28)</f>
        <v>#NAME?</v>
      </c>
      <c r="N57" s="128" t="e" cm="1">
        <f t="array" aca="1" ref="N57" ca="1">Notmerged(N28)</f>
        <v>#NAME?</v>
      </c>
      <c r="O57" s="128" t="e" cm="1">
        <f t="array" aca="1" ref="O57" ca="1">Notmerged(O28)</f>
        <v>#NAME?</v>
      </c>
      <c r="P57" s="128" t="e" cm="1">
        <f t="array" aca="1" ref="P57" ca="1">Notmerged(P28)</f>
        <v>#NAME?</v>
      </c>
      <c r="Q57" s="128" t="e" cm="1">
        <f t="array" aca="1" ref="Q57" ca="1">Notmerged(Q28)</f>
        <v>#NAME?</v>
      </c>
      <c r="R57" s="128" t="e" cm="1">
        <f t="array" aca="1" ref="R57" ca="1">Notmerged(R28)</f>
        <v>#NAME?</v>
      </c>
      <c r="S57" s="128" t="e" cm="1">
        <f t="array" aca="1" ref="S57" ca="1">Notmerged(S28)</f>
        <v>#NAME?</v>
      </c>
      <c r="T57" s="128" t="e" cm="1">
        <f t="array" aca="1" ref="T57" ca="1">Notmerged(T28)</f>
        <v>#NAME?</v>
      </c>
      <c r="U57" s="128" t="e" cm="1">
        <f t="array" aca="1" ref="U57" ca="1">Notmerged(U28)</f>
        <v>#NAME?</v>
      </c>
      <c r="V57" s="128" t="e" cm="1">
        <f t="array" aca="1" ref="V57" ca="1">Notmerged(V28)</f>
        <v>#NAME?</v>
      </c>
      <c r="W57" s="128" t="e" cm="1">
        <f t="array" aca="1" ref="W57" ca="1">Notmerged(W28)</f>
        <v>#NAME?</v>
      </c>
      <c r="X57" s="128" t="e" cm="1">
        <f t="array" aca="1" ref="X57" ca="1">Notmerged(X28)</f>
        <v>#NAME?</v>
      </c>
      <c r="Y57" s="128" t="e" cm="1">
        <f t="array" aca="1" ref="Y57" ca="1">Notmerged(Y28)</f>
        <v>#NAME?</v>
      </c>
      <c r="Z57" s="128" t="e" cm="1">
        <f t="array" aca="1" ref="Z57" ca="1">Notmerged(Z28)</f>
        <v>#NAME?</v>
      </c>
      <c r="AA57" s="128" t="e" cm="1">
        <f t="array" aca="1" ref="AA57" ca="1">Notmerged(AA28)</f>
        <v>#NAME?</v>
      </c>
      <c r="AB57" s="128" t="e" cm="1">
        <f t="array" aca="1" ref="AB57" ca="1">Notmerged(AB28)</f>
        <v>#NAME?</v>
      </c>
      <c r="AC57" s="128" t="e" cm="1">
        <f t="array" aca="1" ref="AC57" ca="1">Notmerged(AC28)</f>
        <v>#NAME?</v>
      </c>
      <c r="AD57" s="128" t="e" cm="1">
        <f t="array" aca="1" ref="AD57" ca="1">Notmerged(AD28)</f>
        <v>#NAME?</v>
      </c>
      <c r="AE57" s="128" t="e" cm="1">
        <f t="array" aca="1" ref="AE57" ca="1">Notmerged(AE28)</f>
        <v>#NAME?</v>
      </c>
      <c r="AF57" s="128" t="e" cm="1">
        <f t="array" aca="1" ref="AF57" ca="1">Notmerged(AF28)</f>
        <v>#NAME?</v>
      </c>
      <c r="AG57" s="128" t="e" cm="1">
        <f t="array" aca="1" ref="AG57" ca="1">Notmerged(AG28)</f>
        <v>#NAME?</v>
      </c>
      <c r="AH57" s="128" t="e" cm="1">
        <f t="array" aca="1" ref="AH57" ca="1">Notmerged(AH28)</f>
        <v>#NAME?</v>
      </c>
      <c r="AI57" s="128" t="e" cm="1">
        <f t="array" aca="1" ref="AI57" ca="1">Notmerged(AI28)</f>
        <v>#NAME?</v>
      </c>
      <c r="AJ57" s="128" t="e" cm="1">
        <f t="array" aca="1" ref="AJ57" ca="1">Notmerged(AJ28)</f>
        <v>#NAME?</v>
      </c>
      <c r="AK57" s="128" t="e" cm="1">
        <f t="array" aca="1" ref="AK57" ca="1">Notmerged(AK28)</f>
        <v>#NAME?</v>
      </c>
      <c r="AL57" s="128" t="e" cm="1">
        <f t="array" aca="1" ref="AL57" ca="1">Notmerged(AL28)</f>
        <v>#NAME?</v>
      </c>
      <c r="AM57" s="128" t="e" cm="1">
        <f t="array" aca="1" ref="AM57" ca="1">Notmerged(AM28)</f>
        <v>#NAME?</v>
      </c>
      <c r="AN57" s="128" t="e" cm="1">
        <f t="array" aca="1" ref="AN57" ca="1">Notmerged(AN28)</f>
        <v>#NAME?</v>
      </c>
      <c r="AO57" s="128" t="e" cm="1">
        <f t="array" aca="1" ref="AO57" ca="1">Notmerged(AO28)</f>
        <v>#NAME?</v>
      </c>
      <c r="AP57" s="128" t="e" cm="1">
        <f t="array" aca="1" ref="AP57" ca="1">Notmerged(AP28)</f>
        <v>#NAME?</v>
      </c>
      <c r="AQ57" s="128" t="e" cm="1">
        <f t="array" aca="1" ref="AQ57" ca="1">Notmerged(AQ28)</f>
        <v>#NAME?</v>
      </c>
      <c r="AR57" s="128" t="e" cm="1">
        <f t="array" aca="1" ref="AR57" ca="1">Notmerged(AR28)</f>
        <v>#NAME?</v>
      </c>
      <c r="AS57" s="128" t="e" cm="1">
        <f t="array" aca="1" ref="AS57" ca="1">Notmerged(AS28)</f>
        <v>#NAME?</v>
      </c>
      <c r="AT57" s="128" t="e" cm="1">
        <f t="array" aca="1" ref="AT57" ca="1">Notmerged(AT28)</f>
        <v>#NAME?</v>
      </c>
      <c r="AU57" s="128" t="e" cm="1">
        <f t="array" aca="1" ref="AU57" ca="1">Notmerged(AU28)</f>
        <v>#NAME?</v>
      </c>
      <c r="AV57" s="128" t="e" cm="1">
        <f t="array" aca="1" ref="AV57" ca="1">Notmerged(AV28)</f>
        <v>#NAME?</v>
      </c>
      <c r="AW57" s="128" t="e" cm="1">
        <f t="array" aca="1" ref="AW57" ca="1">Notmerged(AW28)</f>
        <v>#NAME?</v>
      </c>
      <c r="AX57" s="128" t="e" cm="1">
        <f t="array" aca="1" ref="AX57" ca="1">Notmerged(AX28)</f>
        <v>#NAME?</v>
      </c>
      <c r="AY57" s="128" t="e" cm="1">
        <f t="array" aca="1" ref="AY57" ca="1">Notmerged(AY28)</f>
        <v>#NAME?</v>
      </c>
      <c r="AZ57" s="128" t="e" cm="1">
        <f t="array" aca="1" ref="AZ57" ca="1">Notmerged(AZ28)</f>
        <v>#NAME?</v>
      </c>
      <c r="BA57" s="128" t="e" cm="1">
        <f t="array" aca="1" ref="BA57" ca="1">Notmerged(BA28)</f>
        <v>#NAME?</v>
      </c>
      <c r="BB57" s="128" t="e" cm="1">
        <f t="array" aca="1" ref="BB57" ca="1">Notmerged(BB28)</f>
        <v>#NAME?</v>
      </c>
      <c r="BC57" s="128" t="e" cm="1">
        <f t="array" aca="1" ref="BC57" ca="1">Notmerged(BC28)</f>
        <v>#NAME?</v>
      </c>
      <c r="BD57" s="128" t="e" cm="1">
        <f t="array" aca="1" ref="BD57" ca="1">Notmerged(BD28)</f>
        <v>#NAME?</v>
      </c>
      <c r="BE57" s="128" t="e" cm="1">
        <f t="array" aca="1" ref="BE57" ca="1">Notmerged(BE28)</f>
        <v>#NAME?</v>
      </c>
      <c r="BF57" s="128" t="e" cm="1">
        <f t="array" aca="1" ref="BF57" ca="1">Notmerged(BF28)</f>
        <v>#NAME?</v>
      </c>
      <c r="BG57" s="128" t="e" cm="1">
        <f t="array" aca="1" ref="BG57" ca="1">Notmerged(BG28)</f>
        <v>#NAME?</v>
      </c>
      <c r="BH57" s="128" t="e" cm="1">
        <f t="array" aca="1" ref="BH57" ca="1">Notmerged(BH28)</f>
        <v>#NAME?</v>
      </c>
      <c r="BI57" s="128" t="e" cm="1">
        <f t="array" aca="1" ref="BI57" ca="1">Notmerged(BI28)</f>
        <v>#NAME?</v>
      </c>
      <c r="BJ57" s="128" t="e" cm="1">
        <f t="array" aca="1" ref="BJ57" ca="1">Notmerged(BJ28)</f>
        <v>#NAME?</v>
      </c>
      <c r="BK57" s="128" t="e" cm="1">
        <f t="array" aca="1" ref="BK57" ca="1">Notmerged(BK28)</f>
        <v>#NAME?</v>
      </c>
    </row>
    <row r="58" spans="2:63" x14ac:dyDescent="0.3">
      <c r="B58" s="128" t="e" cm="1">
        <f t="array" aca="1" ref="B58" ca="1">Notmerged(B29)</f>
        <v>#NAME?</v>
      </c>
      <c r="C58" s="128" t="e" cm="1">
        <f t="array" aca="1" ref="C58" ca="1">Notmerged(C29)</f>
        <v>#NAME?</v>
      </c>
      <c r="D58" s="128" t="e" cm="1">
        <f t="array" aca="1" ref="D58" ca="1">Notmerged(D29)</f>
        <v>#NAME?</v>
      </c>
      <c r="E58" s="128" t="e" cm="1">
        <f t="array" aca="1" ref="E58" ca="1">Notmerged(E29)</f>
        <v>#NAME?</v>
      </c>
      <c r="F58" s="128" t="e" cm="1">
        <f t="array" aca="1" ref="F58" ca="1">Notmerged(F29)</f>
        <v>#NAME?</v>
      </c>
      <c r="G58" s="128" t="e" cm="1">
        <f t="array" aca="1" ref="G58" ca="1">Notmerged(G29)</f>
        <v>#NAME?</v>
      </c>
      <c r="H58" s="128" t="e" cm="1">
        <f t="array" aca="1" ref="H58" ca="1">Notmerged(H29)</f>
        <v>#NAME?</v>
      </c>
      <c r="I58" s="128" t="e" cm="1">
        <f t="array" aca="1" ref="I58" ca="1">Notmerged(I29)</f>
        <v>#NAME?</v>
      </c>
      <c r="J58" s="128" t="e" cm="1">
        <f t="array" aca="1" ref="J58" ca="1">Notmerged(J29)</f>
        <v>#NAME?</v>
      </c>
      <c r="K58" s="128" t="e" cm="1">
        <f t="array" aca="1" ref="K58" ca="1">Notmerged(K29)</f>
        <v>#NAME?</v>
      </c>
      <c r="L58" s="128" t="e" cm="1">
        <f t="array" aca="1" ref="L58" ca="1">Notmerged(L29)</f>
        <v>#NAME?</v>
      </c>
      <c r="M58" s="128" t="e" cm="1">
        <f t="array" aca="1" ref="M58" ca="1">Notmerged(M29)</f>
        <v>#NAME?</v>
      </c>
      <c r="N58" s="128" t="e" cm="1">
        <f t="array" aca="1" ref="N58" ca="1">Notmerged(N29)</f>
        <v>#NAME?</v>
      </c>
      <c r="O58" s="128" t="e" cm="1">
        <f t="array" aca="1" ref="O58" ca="1">Notmerged(O29)</f>
        <v>#NAME?</v>
      </c>
      <c r="P58" s="128" t="e" cm="1">
        <f t="array" aca="1" ref="P58" ca="1">Notmerged(P29)</f>
        <v>#NAME?</v>
      </c>
      <c r="Q58" s="128" t="e" cm="1">
        <f t="array" aca="1" ref="Q58" ca="1">Notmerged(Q29)</f>
        <v>#NAME?</v>
      </c>
      <c r="R58" s="128" t="e" cm="1">
        <f t="array" aca="1" ref="R58" ca="1">Notmerged(R29)</f>
        <v>#NAME?</v>
      </c>
      <c r="S58" s="128" t="e" cm="1">
        <f t="array" aca="1" ref="S58" ca="1">Notmerged(S29)</f>
        <v>#NAME?</v>
      </c>
      <c r="T58" s="128" t="e" cm="1">
        <f t="array" aca="1" ref="T58" ca="1">Notmerged(T29)</f>
        <v>#NAME?</v>
      </c>
      <c r="U58" s="128" t="e" cm="1">
        <f t="array" aca="1" ref="U58" ca="1">Notmerged(U29)</f>
        <v>#NAME?</v>
      </c>
      <c r="V58" s="128" t="e" cm="1">
        <f t="array" aca="1" ref="V58" ca="1">Notmerged(V29)</f>
        <v>#NAME?</v>
      </c>
      <c r="W58" s="128" t="e" cm="1">
        <f t="array" aca="1" ref="W58" ca="1">Notmerged(W29)</f>
        <v>#NAME?</v>
      </c>
      <c r="X58" s="128" t="e" cm="1">
        <f t="array" aca="1" ref="X58" ca="1">Notmerged(X29)</f>
        <v>#NAME?</v>
      </c>
      <c r="Y58" s="128" t="e" cm="1">
        <f t="array" aca="1" ref="Y58" ca="1">Notmerged(Y29)</f>
        <v>#NAME?</v>
      </c>
      <c r="Z58" s="128" t="e" cm="1">
        <f t="array" aca="1" ref="Z58" ca="1">Notmerged(Z29)</f>
        <v>#NAME?</v>
      </c>
      <c r="AA58" s="128" t="e" cm="1">
        <f t="array" aca="1" ref="AA58" ca="1">Notmerged(AA29)</f>
        <v>#NAME?</v>
      </c>
      <c r="AB58" s="128" t="e" cm="1">
        <f t="array" aca="1" ref="AB58" ca="1">Notmerged(AB29)</f>
        <v>#NAME?</v>
      </c>
      <c r="AC58" s="128" t="e" cm="1">
        <f t="array" aca="1" ref="AC58" ca="1">Notmerged(AC29)</f>
        <v>#NAME?</v>
      </c>
      <c r="AD58" s="128" t="e" cm="1">
        <f t="array" aca="1" ref="AD58" ca="1">Notmerged(AD29)</f>
        <v>#NAME?</v>
      </c>
      <c r="AE58" s="128" t="e" cm="1">
        <f t="array" aca="1" ref="AE58" ca="1">Notmerged(AE29)</f>
        <v>#NAME?</v>
      </c>
      <c r="AF58" s="128" t="e" cm="1">
        <f t="array" aca="1" ref="AF58" ca="1">Notmerged(AF29)</f>
        <v>#NAME?</v>
      </c>
      <c r="AG58" s="128" t="e" cm="1">
        <f t="array" aca="1" ref="AG58" ca="1">Notmerged(AG29)</f>
        <v>#NAME?</v>
      </c>
      <c r="AH58" s="128" t="e" cm="1">
        <f t="array" aca="1" ref="AH58" ca="1">Notmerged(AH29)</f>
        <v>#NAME?</v>
      </c>
      <c r="AI58" s="128" t="e" cm="1">
        <f t="array" aca="1" ref="AI58" ca="1">Notmerged(AI29)</f>
        <v>#NAME?</v>
      </c>
      <c r="AJ58" s="128" t="e" cm="1">
        <f t="array" aca="1" ref="AJ58" ca="1">Notmerged(AJ29)</f>
        <v>#NAME?</v>
      </c>
      <c r="AK58" s="128" t="e" cm="1">
        <f t="array" aca="1" ref="AK58" ca="1">Notmerged(AK29)</f>
        <v>#NAME?</v>
      </c>
      <c r="AL58" s="128" t="e" cm="1">
        <f t="array" aca="1" ref="AL58" ca="1">Notmerged(AL29)</f>
        <v>#NAME?</v>
      </c>
      <c r="AM58" s="128" t="e" cm="1">
        <f t="array" aca="1" ref="AM58" ca="1">Notmerged(AM29)</f>
        <v>#NAME?</v>
      </c>
      <c r="AN58" s="128" t="e" cm="1">
        <f t="array" aca="1" ref="AN58" ca="1">Notmerged(AN29)</f>
        <v>#NAME?</v>
      </c>
      <c r="AO58" s="128" t="e" cm="1">
        <f t="array" aca="1" ref="AO58" ca="1">Notmerged(AO29)</f>
        <v>#NAME?</v>
      </c>
      <c r="AP58" s="128" t="e" cm="1">
        <f t="array" aca="1" ref="AP58" ca="1">Notmerged(AP29)</f>
        <v>#NAME?</v>
      </c>
      <c r="AQ58" s="128" t="e" cm="1">
        <f t="array" aca="1" ref="AQ58" ca="1">Notmerged(AQ29)</f>
        <v>#NAME?</v>
      </c>
      <c r="AR58" s="128" t="e" cm="1">
        <f t="array" aca="1" ref="AR58" ca="1">Notmerged(AR29)</f>
        <v>#NAME?</v>
      </c>
      <c r="AS58" s="128" t="e" cm="1">
        <f t="array" aca="1" ref="AS58" ca="1">Notmerged(AS29)</f>
        <v>#NAME?</v>
      </c>
      <c r="AT58" s="128" t="e" cm="1">
        <f t="array" aca="1" ref="AT58" ca="1">Notmerged(AT29)</f>
        <v>#NAME?</v>
      </c>
      <c r="AU58" s="128" t="e" cm="1">
        <f t="array" aca="1" ref="AU58" ca="1">Notmerged(AU29)</f>
        <v>#NAME?</v>
      </c>
      <c r="AV58" s="128" t="e" cm="1">
        <f t="array" aca="1" ref="AV58" ca="1">Notmerged(AV29)</f>
        <v>#NAME?</v>
      </c>
      <c r="AW58" s="128" t="e" cm="1">
        <f t="array" aca="1" ref="AW58" ca="1">Notmerged(AW29)</f>
        <v>#NAME?</v>
      </c>
      <c r="AX58" s="128" t="e" cm="1">
        <f t="array" aca="1" ref="AX58" ca="1">Notmerged(AX29)</f>
        <v>#NAME?</v>
      </c>
      <c r="AY58" s="128" t="e" cm="1">
        <f t="array" aca="1" ref="AY58" ca="1">Notmerged(AY29)</f>
        <v>#NAME?</v>
      </c>
      <c r="AZ58" s="128" t="e" cm="1">
        <f t="array" aca="1" ref="AZ58" ca="1">Notmerged(AZ29)</f>
        <v>#NAME?</v>
      </c>
      <c r="BA58" s="128" t="e" cm="1">
        <f t="array" aca="1" ref="BA58" ca="1">Notmerged(BA29)</f>
        <v>#NAME?</v>
      </c>
      <c r="BB58" s="128" t="e" cm="1">
        <f t="array" aca="1" ref="BB58" ca="1">Notmerged(BB29)</f>
        <v>#NAME?</v>
      </c>
      <c r="BC58" s="128" t="e" cm="1">
        <f t="array" aca="1" ref="BC58" ca="1">Notmerged(BC29)</f>
        <v>#NAME?</v>
      </c>
      <c r="BD58" s="128" t="e" cm="1">
        <f t="array" aca="1" ref="BD58" ca="1">Notmerged(BD29)</f>
        <v>#NAME?</v>
      </c>
      <c r="BE58" s="128" t="e" cm="1">
        <f t="array" aca="1" ref="BE58" ca="1">Notmerged(BE29)</f>
        <v>#NAME?</v>
      </c>
      <c r="BF58" s="128" t="e" cm="1">
        <f t="array" aca="1" ref="BF58" ca="1">Notmerged(BF29)</f>
        <v>#NAME?</v>
      </c>
      <c r="BG58" s="128" t="e" cm="1">
        <f t="array" aca="1" ref="BG58" ca="1">Notmerged(BG29)</f>
        <v>#NAME?</v>
      </c>
      <c r="BH58" s="128" t="e" cm="1">
        <f t="array" aca="1" ref="BH58" ca="1">Notmerged(BH29)</f>
        <v>#NAME?</v>
      </c>
      <c r="BI58" s="128" t="e" cm="1">
        <f t="array" aca="1" ref="BI58" ca="1">Notmerged(BI29)</f>
        <v>#NAME?</v>
      </c>
      <c r="BJ58" s="128" t="e" cm="1">
        <f t="array" aca="1" ref="BJ58" ca="1">Notmerged(BJ29)</f>
        <v>#NAME?</v>
      </c>
      <c r="BK58" s="128" t="e" cm="1">
        <f t="array" aca="1" ref="BK58" ca="1">Notmerged(BK29)</f>
        <v>#NAME?</v>
      </c>
    </row>
    <row r="59" spans="2:63" x14ac:dyDescent="0.3">
      <c r="B59" s="128" t="e" cm="1">
        <f t="array" aca="1" ref="B59" ca="1">Notmerged(B30)</f>
        <v>#NAME?</v>
      </c>
      <c r="C59" s="128" t="e" cm="1">
        <f t="array" aca="1" ref="C59" ca="1">Notmerged(C30)</f>
        <v>#NAME?</v>
      </c>
      <c r="D59" s="128" t="e" cm="1">
        <f t="array" aca="1" ref="D59" ca="1">Notmerged(D30)</f>
        <v>#NAME?</v>
      </c>
      <c r="E59" s="128" t="e" cm="1">
        <f t="array" aca="1" ref="E59" ca="1">Notmerged(E30)</f>
        <v>#NAME?</v>
      </c>
      <c r="F59" s="128" t="e" cm="1">
        <f t="array" aca="1" ref="F59" ca="1">Notmerged(F30)</f>
        <v>#NAME?</v>
      </c>
      <c r="G59" s="128" t="e" cm="1">
        <f t="array" aca="1" ref="G59" ca="1">Notmerged(G30)</f>
        <v>#NAME?</v>
      </c>
      <c r="H59" s="128" t="e" cm="1">
        <f t="array" aca="1" ref="H59" ca="1">Notmerged(H30)</f>
        <v>#NAME?</v>
      </c>
      <c r="I59" s="128" t="e" cm="1">
        <f t="array" aca="1" ref="I59" ca="1">Notmerged(I30)</f>
        <v>#NAME?</v>
      </c>
      <c r="J59" s="128" t="e" cm="1">
        <f t="array" aca="1" ref="J59" ca="1">Notmerged(J30)</f>
        <v>#NAME?</v>
      </c>
      <c r="K59" s="128" t="e" cm="1">
        <f t="array" aca="1" ref="K59" ca="1">Notmerged(K30)</f>
        <v>#NAME?</v>
      </c>
      <c r="L59" s="128" t="e" cm="1">
        <f t="array" aca="1" ref="L59" ca="1">Notmerged(L30)</f>
        <v>#NAME?</v>
      </c>
      <c r="M59" s="128" t="e" cm="1">
        <f t="array" aca="1" ref="M59" ca="1">Notmerged(M30)</f>
        <v>#NAME?</v>
      </c>
      <c r="N59" s="128" t="e" cm="1">
        <f t="array" aca="1" ref="N59" ca="1">Notmerged(N30)</f>
        <v>#NAME?</v>
      </c>
      <c r="O59" s="128" t="e" cm="1">
        <f t="array" aca="1" ref="O59" ca="1">Notmerged(O30)</f>
        <v>#NAME?</v>
      </c>
      <c r="P59" s="128" t="e" cm="1">
        <f t="array" aca="1" ref="P59" ca="1">Notmerged(P30)</f>
        <v>#NAME?</v>
      </c>
      <c r="Q59" s="128" t="e" cm="1">
        <f t="array" aca="1" ref="Q59" ca="1">Notmerged(Q30)</f>
        <v>#NAME?</v>
      </c>
      <c r="R59" s="128" t="e" cm="1">
        <f t="array" aca="1" ref="R59" ca="1">Notmerged(R30)</f>
        <v>#NAME?</v>
      </c>
      <c r="S59" s="128" t="e" cm="1">
        <f t="array" aca="1" ref="S59" ca="1">Notmerged(S30)</f>
        <v>#NAME?</v>
      </c>
      <c r="T59" s="128" t="e" cm="1">
        <f t="array" aca="1" ref="T59" ca="1">Notmerged(T30)</f>
        <v>#NAME?</v>
      </c>
      <c r="U59" s="128" t="e" cm="1">
        <f t="array" aca="1" ref="U59" ca="1">Notmerged(U30)</f>
        <v>#NAME?</v>
      </c>
      <c r="V59" s="128" t="e" cm="1">
        <f t="array" aca="1" ref="V59" ca="1">Notmerged(V30)</f>
        <v>#NAME?</v>
      </c>
      <c r="W59" s="128" t="e" cm="1">
        <f t="array" aca="1" ref="W59" ca="1">Notmerged(W30)</f>
        <v>#NAME?</v>
      </c>
      <c r="X59" s="128" t="e" cm="1">
        <f t="array" aca="1" ref="X59" ca="1">Notmerged(X30)</f>
        <v>#NAME?</v>
      </c>
      <c r="Y59" s="128" t="e" cm="1">
        <f t="array" aca="1" ref="Y59" ca="1">Notmerged(Y30)</f>
        <v>#NAME?</v>
      </c>
      <c r="Z59" s="128" t="e" cm="1">
        <f t="array" aca="1" ref="Z59" ca="1">Notmerged(Z30)</f>
        <v>#NAME?</v>
      </c>
      <c r="AA59" s="128" t="e" cm="1">
        <f t="array" aca="1" ref="AA59" ca="1">Notmerged(AA30)</f>
        <v>#NAME?</v>
      </c>
      <c r="AB59" s="128" t="e" cm="1">
        <f t="array" aca="1" ref="AB59" ca="1">Notmerged(AB30)</f>
        <v>#NAME?</v>
      </c>
      <c r="AC59" s="128" t="e" cm="1">
        <f t="array" aca="1" ref="AC59" ca="1">Notmerged(AC30)</f>
        <v>#NAME?</v>
      </c>
      <c r="AD59" s="128" t="e" cm="1">
        <f t="array" aca="1" ref="AD59" ca="1">Notmerged(AD30)</f>
        <v>#NAME?</v>
      </c>
      <c r="AE59" s="128" t="e" cm="1">
        <f t="array" aca="1" ref="AE59" ca="1">Notmerged(AE30)</f>
        <v>#NAME?</v>
      </c>
      <c r="AF59" s="128" t="e" cm="1">
        <f t="array" aca="1" ref="AF59" ca="1">Notmerged(AF30)</f>
        <v>#NAME?</v>
      </c>
      <c r="AG59" s="128" t="e" cm="1">
        <f t="array" aca="1" ref="AG59" ca="1">Notmerged(AG30)</f>
        <v>#NAME?</v>
      </c>
      <c r="AH59" s="128" t="e" cm="1">
        <f t="array" aca="1" ref="AH59" ca="1">Notmerged(AH30)</f>
        <v>#NAME?</v>
      </c>
      <c r="AI59" s="128" t="e" cm="1">
        <f t="array" aca="1" ref="AI59" ca="1">Notmerged(AI30)</f>
        <v>#NAME?</v>
      </c>
      <c r="AJ59" s="128" t="e" cm="1">
        <f t="array" aca="1" ref="AJ59" ca="1">Notmerged(AJ30)</f>
        <v>#NAME?</v>
      </c>
      <c r="AK59" s="128" t="e" cm="1">
        <f t="array" aca="1" ref="AK59" ca="1">Notmerged(AK30)</f>
        <v>#NAME?</v>
      </c>
      <c r="AL59" s="128" t="e" cm="1">
        <f t="array" aca="1" ref="AL59" ca="1">Notmerged(AL30)</f>
        <v>#NAME?</v>
      </c>
      <c r="AM59" s="128" t="e" cm="1">
        <f t="array" aca="1" ref="AM59" ca="1">Notmerged(AM30)</f>
        <v>#NAME?</v>
      </c>
      <c r="AN59" s="128" t="e" cm="1">
        <f t="array" aca="1" ref="AN59" ca="1">Notmerged(AN30)</f>
        <v>#NAME?</v>
      </c>
      <c r="AO59" s="128" t="e" cm="1">
        <f t="array" aca="1" ref="AO59" ca="1">Notmerged(AO30)</f>
        <v>#NAME?</v>
      </c>
      <c r="AP59" s="128" t="e" cm="1">
        <f t="array" aca="1" ref="AP59" ca="1">Notmerged(AP30)</f>
        <v>#NAME?</v>
      </c>
      <c r="AQ59" s="128" t="e" cm="1">
        <f t="array" aca="1" ref="AQ59" ca="1">Notmerged(AQ30)</f>
        <v>#NAME?</v>
      </c>
      <c r="AR59" s="128" t="e" cm="1">
        <f t="array" aca="1" ref="AR59" ca="1">Notmerged(AR30)</f>
        <v>#NAME?</v>
      </c>
      <c r="AS59" s="128" t="e" cm="1">
        <f t="array" aca="1" ref="AS59" ca="1">Notmerged(AS30)</f>
        <v>#NAME?</v>
      </c>
      <c r="AT59" s="128" t="e" cm="1">
        <f t="array" aca="1" ref="AT59" ca="1">Notmerged(AT30)</f>
        <v>#NAME?</v>
      </c>
      <c r="AU59" s="128" t="e" cm="1">
        <f t="array" aca="1" ref="AU59" ca="1">Notmerged(AU30)</f>
        <v>#NAME?</v>
      </c>
      <c r="AV59" s="128" t="e" cm="1">
        <f t="array" aca="1" ref="AV59" ca="1">Notmerged(AV30)</f>
        <v>#NAME?</v>
      </c>
      <c r="AW59" s="128" t="e" cm="1">
        <f t="array" aca="1" ref="AW59" ca="1">Notmerged(AW30)</f>
        <v>#NAME?</v>
      </c>
      <c r="AX59" s="128" t="e" cm="1">
        <f t="array" aca="1" ref="AX59" ca="1">Notmerged(AX30)</f>
        <v>#NAME?</v>
      </c>
      <c r="AY59" s="128" t="e" cm="1">
        <f t="array" aca="1" ref="AY59" ca="1">Notmerged(AY30)</f>
        <v>#NAME?</v>
      </c>
      <c r="AZ59" s="128" t="e" cm="1">
        <f t="array" aca="1" ref="AZ59" ca="1">Notmerged(AZ30)</f>
        <v>#NAME?</v>
      </c>
      <c r="BA59" s="128" t="e" cm="1">
        <f t="array" aca="1" ref="BA59" ca="1">Notmerged(BA30)</f>
        <v>#NAME?</v>
      </c>
      <c r="BB59" s="128" t="e" cm="1">
        <f t="array" aca="1" ref="BB59" ca="1">Notmerged(BB30)</f>
        <v>#NAME?</v>
      </c>
      <c r="BC59" s="128" t="e" cm="1">
        <f t="array" aca="1" ref="BC59" ca="1">Notmerged(BC30)</f>
        <v>#NAME?</v>
      </c>
      <c r="BD59" s="128" t="e" cm="1">
        <f t="array" aca="1" ref="BD59" ca="1">Notmerged(BD30)</f>
        <v>#NAME?</v>
      </c>
      <c r="BE59" s="128" t="e" cm="1">
        <f t="array" aca="1" ref="BE59" ca="1">Notmerged(BE30)</f>
        <v>#NAME?</v>
      </c>
      <c r="BF59" s="128" t="e" cm="1">
        <f t="array" aca="1" ref="BF59" ca="1">Notmerged(BF30)</f>
        <v>#NAME?</v>
      </c>
      <c r="BG59" s="128" t="e" cm="1">
        <f t="array" aca="1" ref="BG59" ca="1">Notmerged(BG30)</f>
        <v>#NAME?</v>
      </c>
      <c r="BH59" s="128" t="e" cm="1">
        <f t="array" aca="1" ref="BH59" ca="1">Notmerged(BH30)</f>
        <v>#NAME?</v>
      </c>
      <c r="BI59" s="128" t="e" cm="1">
        <f t="array" aca="1" ref="BI59" ca="1">Notmerged(BI30)</f>
        <v>#NAME?</v>
      </c>
      <c r="BJ59" s="128" t="e" cm="1">
        <f t="array" aca="1" ref="BJ59" ca="1">Notmerged(BJ30)</f>
        <v>#NAME?</v>
      </c>
      <c r="BK59" s="128" t="e" cm="1">
        <f t="array" aca="1" ref="BK59" ca="1">Notmerged(BK30)</f>
        <v>#NAME?</v>
      </c>
    </row>
    <row r="60" spans="2:63" x14ac:dyDescent="0.3">
      <c r="B60" s="128" t="e" cm="1">
        <f t="array" aca="1" ref="B60" ca="1">Notmerged(B31)</f>
        <v>#NAME?</v>
      </c>
      <c r="C60" s="128" t="e" cm="1">
        <f t="array" aca="1" ref="C60" ca="1">Notmerged(C31)</f>
        <v>#NAME?</v>
      </c>
      <c r="D60" s="128" t="e" cm="1">
        <f t="array" aca="1" ref="D60" ca="1">Notmerged(D31)</f>
        <v>#NAME?</v>
      </c>
      <c r="E60" s="128" t="e" cm="1">
        <f t="array" aca="1" ref="E60" ca="1">Notmerged(E31)</f>
        <v>#NAME?</v>
      </c>
      <c r="F60" s="128" t="e" cm="1">
        <f t="array" aca="1" ref="F60" ca="1">Notmerged(F31)</f>
        <v>#NAME?</v>
      </c>
      <c r="G60" s="128" t="e" cm="1">
        <f t="array" aca="1" ref="G60" ca="1">Notmerged(G31)</f>
        <v>#NAME?</v>
      </c>
      <c r="H60" s="128" t="e" cm="1">
        <f t="array" aca="1" ref="H60" ca="1">Notmerged(H31)</f>
        <v>#NAME?</v>
      </c>
      <c r="I60" s="128" t="e" cm="1">
        <f t="array" aca="1" ref="I60" ca="1">Notmerged(I31)</f>
        <v>#NAME?</v>
      </c>
      <c r="J60" s="128" t="e" cm="1">
        <f t="array" aca="1" ref="J60" ca="1">Notmerged(J31)</f>
        <v>#NAME?</v>
      </c>
      <c r="K60" s="128" t="e" cm="1">
        <f t="array" aca="1" ref="K60" ca="1">Notmerged(K31)</f>
        <v>#NAME?</v>
      </c>
      <c r="L60" s="128" t="e" cm="1">
        <f t="array" aca="1" ref="L60" ca="1">Notmerged(L31)</f>
        <v>#NAME?</v>
      </c>
      <c r="M60" s="128" t="e" cm="1">
        <f t="array" aca="1" ref="M60" ca="1">Notmerged(M31)</f>
        <v>#NAME?</v>
      </c>
      <c r="N60" s="128" t="e" cm="1">
        <f t="array" aca="1" ref="N60" ca="1">Notmerged(N31)</f>
        <v>#NAME?</v>
      </c>
      <c r="O60" s="128" t="e" cm="1">
        <f t="array" aca="1" ref="O60" ca="1">Notmerged(O31)</f>
        <v>#NAME?</v>
      </c>
      <c r="P60" s="128" t="e" cm="1">
        <f t="array" aca="1" ref="P60" ca="1">Notmerged(P31)</f>
        <v>#NAME?</v>
      </c>
      <c r="Q60" s="128" t="e" cm="1">
        <f t="array" aca="1" ref="Q60" ca="1">Notmerged(Q31)</f>
        <v>#NAME?</v>
      </c>
      <c r="R60" s="128" t="e" cm="1">
        <f t="array" aca="1" ref="R60" ca="1">Notmerged(R31)</f>
        <v>#NAME?</v>
      </c>
      <c r="S60" s="128" t="e" cm="1">
        <f t="array" aca="1" ref="S60" ca="1">Notmerged(S31)</f>
        <v>#NAME?</v>
      </c>
      <c r="T60" s="128" t="e" cm="1">
        <f t="array" aca="1" ref="T60" ca="1">Notmerged(T31)</f>
        <v>#NAME?</v>
      </c>
      <c r="U60" s="128" t="e" cm="1">
        <f t="array" aca="1" ref="U60" ca="1">Notmerged(U31)</f>
        <v>#NAME?</v>
      </c>
      <c r="V60" s="128" t="e" cm="1">
        <f t="array" aca="1" ref="V60" ca="1">Notmerged(V31)</f>
        <v>#NAME?</v>
      </c>
      <c r="W60" s="128" t="e" cm="1">
        <f t="array" aca="1" ref="W60" ca="1">Notmerged(W31)</f>
        <v>#NAME?</v>
      </c>
      <c r="X60" s="128" t="e" cm="1">
        <f t="array" aca="1" ref="X60" ca="1">Notmerged(X31)</f>
        <v>#NAME?</v>
      </c>
      <c r="Y60" s="128" t="e" cm="1">
        <f t="array" aca="1" ref="Y60" ca="1">Notmerged(Y31)</f>
        <v>#NAME?</v>
      </c>
      <c r="Z60" s="128" t="e" cm="1">
        <f t="array" aca="1" ref="Z60" ca="1">Notmerged(Z31)</f>
        <v>#NAME?</v>
      </c>
      <c r="AA60" s="128" t="e" cm="1">
        <f t="array" aca="1" ref="AA60" ca="1">Notmerged(AA31)</f>
        <v>#NAME?</v>
      </c>
      <c r="AB60" s="128" t="e" cm="1">
        <f t="array" aca="1" ref="AB60" ca="1">Notmerged(AB31)</f>
        <v>#NAME?</v>
      </c>
      <c r="AC60" s="128" t="e" cm="1">
        <f t="array" aca="1" ref="AC60" ca="1">Notmerged(AC31)</f>
        <v>#NAME?</v>
      </c>
      <c r="AD60" s="128" t="e" cm="1">
        <f t="array" aca="1" ref="AD60" ca="1">Notmerged(AD31)</f>
        <v>#NAME?</v>
      </c>
      <c r="AE60" s="128" t="e" cm="1">
        <f t="array" aca="1" ref="AE60" ca="1">Notmerged(AE31)</f>
        <v>#NAME?</v>
      </c>
      <c r="AF60" s="128" t="e" cm="1">
        <f t="array" aca="1" ref="AF60" ca="1">Notmerged(AF31)</f>
        <v>#NAME?</v>
      </c>
      <c r="AG60" s="128" t="e" cm="1">
        <f t="array" aca="1" ref="AG60" ca="1">Notmerged(AG31)</f>
        <v>#NAME?</v>
      </c>
      <c r="AH60" s="128" t="e" cm="1">
        <f t="array" aca="1" ref="AH60" ca="1">Notmerged(AH31)</f>
        <v>#NAME?</v>
      </c>
      <c r="AI60" s="128" t="e" cm="1">
        <f t="array" aca="1" ref="AI60" ca="1">Notmerged(AI31)</f>
        <v>#NAME?</v>
      </c>
      <c r="AJ60" s="128" t="e" cm="1">
        <f t="array" aca="1" ref="AJ60" ca="1">Notmerged(AJ31)</f>
        <v>#NAME?</v>
      </c>
      <c r="AK60" s="128" t="e" cm="1">
        <f t="array" aca="1" ref="AK60" ca="1">Notmerged(AK31)</f>
        <v>#NAME?</v>
      </c>
      <c r="AL60" s="128" t="e" cm="1">
        <f t="array" aca="1" ref="AL60" ca="1">Notmerged(AL31)</f>
        <v>#NAME?</v>
      </c>
      <c r="AM60" s="128" t="e" cm="1">
        <f t="array" aca="1" ref="AM60" ca="1">Notmerged(AM31)</f>
        <v>#NAME?</v>
      </c>
      <c r="AN60" s="128" t="e" cm="1">
        <f t="array" aca="1" ref="AN60" ca="1">Notmerged(AN31)</f>
        <v>#NAME?</v>
      </c>
      <c r="AO60" s="128" t="e" cm="1">
        <f t="array" aca="1" ref="AO60" ca="1">Notmerged(AO31)</f>
        <v>#NAME?</v>
      </c>
      <c r="AP60" s="128" t="e" cm="1">
        <f t="array" aca="1" ref="AP60" ca="1">Notmerged(AP31)</f>
        <v>#NAME?</v>
      </c>
      <c r="AQ60" s="128" t="e" cm="1">
        <f t="array" aca="1" ref="AQ60" ca="1">Notmerged(AQ31)</f>
        <v>#NAME?</v>
      </c>
      <c r="AR60" s="128" t="e" cm="1">
        <f t="array" aca="1" ref="AR60" ca="1">Notmerged(AR31)</f>
        <v>#NAME?</v>
      </c>
      <c r="AS60" s="128" t="e" cm="1">
        <f t="array" aca="1" ref="AS60" ca="1">Notmerged(AS31)</f>
        <v>#NAME?</v>
      </c>
      <c r="AT60" s="128" t="e" cm="1">
        <f t="array" aca="1" ref="AT60" ca="1">Notmerged(AT31)</f>
        <v>#NAME?</v>
      </c>
      <c r="AU60" s="128" t="e" cm="1">
        <f t="array" aca="1" ref="AU60" ca="1">Notmerged(AU31)</f>
        <v>#NAME?</v>
      </c>
      <c r="AV60" s="128" t="e" cm="1">
        <f t="array" aca="1" ref="AV60" ca="1">Notmerged(AV31)</f>
        <v>#NAME?</v>
      </c>
      <c r="AW60" s="128" t="e" cm="1">
        <f t="array" aca="1" ref="AW60" ca="1">Notmerged(AW31)</f>
        <v>#NAME?</v>
      </c>
      <c r="AX60" s="128" t="e" cm="1">
        <f t="array" aca="1" ref="AX60" ca="1">Notmerged(AX31)</f>
        <v>#NAME?</v>
      </c>
      <c r="AY60" s="128" t="e" cm="1">
        <f t="array" aca="1" ref="AY60" ca="1">Notmerged(AY31)</f>
        <v>#NAME?</v>
      </c>
      <c r="AZ60" s="128" t="e" cm="1">
        <f t="array" aca="1" ref="AZ60" ca="1">Notmerged(AZ31)</f>
        <v>#NAME?</v>
      </c>
      <c r="BA60" s="128" t="e" cm="1">
        <f t="array" aca="1" ref="BA60" ca="1">Notmerged(BA31)</f>
        <v>#NAME?</v>
      </c>
      <c r="BB60" s="128" t="e" cm="1">
        <f t="array" aca="1" ref="BB60" ca="1">Notmerged(BB31)</f>
        <v>#NAME?</v>
      </c>
      <c r="BC60" s="128" t="e" cm="1">
        <f t="array" aca="1" ref="BC60" ca="1">Notmerged(BC31)</f>
        <v>#NAME?</v>
      </c>
      <c r="BD60" s="128" t="e" cm="1">
        <f t="array" aca="1" ref="BD60" ca="1">Notmerged(BD31)</f>
        <v>#NAME?</v>
      </c>
      <c r="BE60" s="128" t="e" cm="1">
        <f t="array" aca="1" ref="BE60" ca="1">Notmerged(BE31)</f>
        <v>#NAME?</v>
      </c>
      <c r="BF60" s="128" t="e" cm="1">
        <f t="array" aca="1" ref="BF60" ca="1">Notmerged(BF31)</f>
        <v>#NAME?</v>
      </c>
      <c r="BG60" s="128" t="e" cm="1">
        <f t="array" aca="1" ref="BG60" ca="1">Notmerged(BG31)</f>
        <v>#NAME?</v>
      </c>
      <c r="BH60" s="128" t="e" cm="1">
        <f t="array" aca="1" ref="BH60" ca="1">Notmerged(BH31)</f>
        <v>#NAME?</v>
      </c>
      <c r="BI60" s="128" t="e" cm="1">
        <f t="array" aca="1" ref="BI60" ca="1">Notmerged(BI31)</f>
        <v>#NAME?</v>
      </c>
      <c r="BJ60" s="128" t="e" cm="1">
        <f t="array" aca="1" ref="BJ60" ca="1">Notmerged(BJ31)</f>
        <v>#NAME?</v>
      </c>
      <c r="BK60" s="128" t="e" cm="1">
        <f t="array" aca="1" ref="BK60" ca="1">Notmerged(BK31)</f>
        <v>#NAME?</v>
      </c>
    </row>
  </sheetData>
  <sheetProtection algorithmName="SHA-512" hashValue="vomp5pflvBGUjtQSejRXStXrJPMe3wZwZ9MYLVk1wrZnPVvIvaRgvxQmRR3hl2nD1zjwRYc1HIHoyGhl9zakfA==" saltValue="Au1T0VdVOWK0vnYUxJHpzg==" spinCount="100000" sheet="1" objects="1" scenarios="1" formatCells="0"/>
  <mergeCells count="261">
    <mergeCell ref="BC22:BC24"/>
    <mergeCell ref="BD4:BD6"/>
    <mergeCell ref="BD7:BD9"/>
    <mergeCell ref="BD10:BD12"/>
    <mergeCell ref="BD13:BD15"/>
    <mergeCell ref="BD16:BD18"/>
    <mergeCell ref="BD19:BD21"/>
    <mergeCell ref="BD22:BD24"/>
    <mergeCell ref="BB4:BB6"/>
    <mergeCell ref="BB7:BB9"/>
    <mergeCell ref="BB10:BB12"/>
    <mergeCell ref="BB13:BB15"/>
    <mergeCell ref="BB16:BB18"/>
    <mergeCell ref="BB19:BB21"/>
    <mergeCell ref="BC4:BC6"/>
    <mergeCell ref="BC7:BC9"/>
    <mergeCell ref="BC10:BC12"/>
    <mergeCell ref="BC13:BC15"/>
    <mergeCell ref="BC16:BC18"/>
    <mergeCell ref="BC19:BC21"/>
    <mergeCell ref="AY4:AY9"/>
    <mergeCell ref="AY10:AY15"/>
    <mergeCell ref="AY16:AY21"/>
    <mergeCell ref="AY22:AY27"/>
    <mergeCell ref="AZ4:AZ9"/>
    <mergeCell ref="AZ10:AZ15"/>
    <mergeCell ref="AZ16:AZ21"/>
    <mergeCell ref="AZ22:AZ27"/>
    <mergeCell ref="BA4:BA9"/>
    <mergeCell ref="BA16:BA21"/>
    <mergeCell ref="BA22:BA27"/>
    <mergeCell ref="BA10:BA12"/>
    <mergeCell ref="BA13:BA15"/>
    <mergeCell ref="AU6:AU9"/>
    <mergeCell ref="AU12:AU15"/>
    <mergeCell ref="AU16:AU18"/>
    <mergeCell ref="AW4:AW9"/>
    <mergeCell ref="AW10:AW15"/>
    <mergeCell ref="AW16:AW21"/>
    <mergeCell ref="AW22:AW27"/>
    <mergeCell ref="AX4:AX9"/>
    <mergeCell ref="AX10:AX15"/>
    <mergeCell ref="AX16:AX21"/>
    <mergeCell ref="AX22:AX27"/>
    <mergeCell ref="U4:U6"/>
    <mergeCell ref="U7:U9"/>
    <mergeCell ref="U16:U18"/>
    <mergeCell ref="U19:U21"/>
    <mergeCell ref="U22:U24"/>
    <mergeCell ref="U10:U11"/>
    <mergeCell ref="U12:U15"/>
    <mergeCell ref="S4:S6"/>
    <mergeCell ref="S7:S9"/>
    <mergeCell ref="S10:S12"/>
    <mergeCell ref="S13:S15"/>
    <mergeCell ref="S16:S18"/>
    <mergeCell ref="S19:S21"/>
    <mergeCell ref="S22:S24"/>
    <mergeCell ref="T4:T6"/>
    <mergeCell ref="T7:T9"/>
    <mergeCell ref="T10:T12"/>
    <mergeCell ref="T13:T15"/>
    <mergeCell ref="T16:T18"/>
    <mergeCell ref="T19:T21"/>
    <mergeCell ref="T22:T24"/>
    <mergeCell ref="Q4:Q6"/>
    <mergeCell ref="Q7:Q9"/>
    <mergeCell ref="Q10:Q12"/>
    <mergeCell ref="Q13:Q15"/>
    <mergeCell ref="Q16:Q18"/>
    <mergeCell ref="Q19:Q21"/>
    <mergeCell ref="Q22:Q24"/>
    <mergeCell ref="R4:R6"/>
    <mergeCell ref="R7:R9"/>
    <mergeCell ref="R10:R12"/>
    <mergeCell ref="R13:R15"/>
    <mergeCell ref="R16:R18"/>
    <mergeCell ref="R19:R21"/>
    <mergeCell ref="R22:R24"/>
    <mergeCell ref="O4:O6"/>
    <mergeCell ref="O7:O9"/>
    <mergeCell ref="O10:O12"/>
    <mergeCell ref="O13:O15"/>
    <mergeCell ref="O16:O18"/>
    <mergeCell ref="O19:O21"/>
    <mergeCell ref="O22:O24"/>
    <mergeCell ref="O25:O26"/>
    <mergeCell ref="P4:P6"/>
    <mergeCell ref="P7:P9"/>
    <mergeCell ref="P10:P12"/>
    <mergeCell ref="P13:P15"/>
    <mergeCell ref="P16:P18"/>
    <mergeCell ref="P19:P21"/>
    <mergeCell ref="P22:P24"/>
    <mergeCell ref="N7:N9"/>
    <mergeCell ref="N10:N12"/>
    <mergeCell ref="N13:N15"/>
    <mergeCell ref="N16:N18"/>
    <mergeCell ref="N19:N21"/>
    <mergeCell ref="N22:N24"/>
    <mergeCell ref="L6:L8"/>
    <mergeCell ref="L9:L11"/>
    <mergeCell ref="L12:L14"/>
    <mergeCell ref="L15:L17"/>
    <mergeCell ref="L20:L25"/>
    <mergeCell ref="M4:M7"/>
    <mergeCell ref="M8:M9"/>
    <mergeCell ref="M10:M13"/>
    <mergeCell ref="M16:M18"/>
    <mergeCell ref="M19:M21"/>
    <mergeCell ref="M22:M25"/>
    <mergeCell ref="E6:E9"/>
    <mergeCell ref="E10:E13"/>
    <mergeCell ref="E16:E18"/>
    <mergeCell ref="E19:E21"/>
    <mergeCell ref="F7:F9"/>
    <mergeCell ref="F10:F13"/>
    <mergeCell ref="F14:F17"/>
    <mergeCell ref="F18:F21"/>
    <mergeCell ref="C6:C9"/>
    <mergeCell ref="C4:C5"/>
    <mergeCell ref="C10:C13"/>
    <mergeCell ref="C14:C16"/>
    <mergeCell ref="C18:C21"/>
    <mergeCell ref="C22:C25"/>
    <mergeCell ref="D6:D9"/>
    <mergeCell ref="D10:D13"/>
    <mergeCell ref="D15:D17"/>
    <mergeCell ref="D18:D21"/>
    <mergeCell ref="D22:D25"/>
    <mergeCell ref="AK4:AK6"/>
    <mergeCell ref="AK7:AK9"/>
    <mergeCell ref="AK10:AK12"/>
    <mergeCell ref="AK13:AK15"/>
    <mergeCell ref="AK16:AK18"/>
    <mergeCell ref="AK19:AK21"/>
    <mergeCell ref="AL7:AL9"/>
    <mergeCell ref="AL16:AL18"/>
    <mergeCell ref="AM4:AM6"/>
    <mergeCell ref="AM7:AM9"/>
    <mergeCell ref="AM10:AM12"/>
    <mergeCell ref="AM13:AM15"/>
    <mergeCell ref="AH4:AH6"/>
    <mergeCell ref="AH7:AH9"/>
    <mergeCell ref="AH10:AH12"/>
    <mergeCell ref="AH13:AH15"/>
    <mergeCell ref="AH16:AH18"/>
    <mergeCell ref="AI19:AI21"/>
    <mergeCell ref="AJ7:AJ9"/>
    <mergeCell ref="AJ10:AJ12"/>
    <mergeCell ref="AJ13:AJ15"/>
    <mergeCell ref="AJ16:AJ18"/>
    <mergeCell ref="AJ19:AJ21"/>
    <mergeCell ref="AI7:AI9"/>
    <mergeCell ref="AI10:AI12"/>
    <mergeCell ref="AI13:AI15"/>
    <mergeCell ref="AI16:AI18"/>
    <mergeCell ref="AD4:AD6"/>
    <mergeCell ref="AD7:AD9"/>
    <mergeCell ref="AD10:AD12"/>
    <mergeCell ref="AD13:AD15"/>
    <mergeCell ref="AD16:AD18"/>
    <mergeCell ref="AE19:AE21"/>
    <mergeCell ref="AF4:AF6"/>
    <mergeCell ref="AF7:AF9"/>
    <mergeCell ref="AF10:AF12"/>
    <mergeCell ref="AF13:AF15"/>
    <mergeCell ref="AF16:AF18"/>
    <mergeCell ref="AF19:AF21"/>
    <mergeCell ref="AE4:AE6"/>
    <mergeCell ref="AE7:AE9"/>
    <mergeCell ref="AE10:AE12"/>
    <mergeCell ref="AE13:AE15"/>
    <mergeCell ref="AE16:AE18"/>
    <mergeCell ref="B19:B21"/>
    <mergeCell ref="B4:B6"/>
    <mergeCell ref="B7:B9"/>
    <mergeCell ref="B10:B12"/>
    <mergeCell ref="B13:B15"/>
    <mergeCell ref="Z19:Z21"/>
    <mergeCell ref="Z22:Z24"/>
    <mergeCell ref="AA4:AA6"/>
    <mergeCell ref="AA7:AA9"/>
    <mergeCell ref="AA10:AA12"/>
    <mergeCell ref="AA13:AA15"/>
    <mergeCell ref="AA16:AA18"/>
    <mergeCell ref="Z4:Z6"/>
    <mergeCell ref="Z7:Z9"/>
    <mergeCell ref="Z10:Z12"/>
    <mergeCell ref="Z13:Z15"/>
    <mergeCell ref="Z16:Z18"/>
    <mergeCell ref="X4:X6"/>
    <mergeCell ref="X7:X9"/>
    <mergeCell ref="X10:X12"/>
    <mergeCell ref="X13:X15"/>
    <mergeCell ref="X16:X18"/>
    <mergeCell ref="V19:V21"/>
    <mergeCell ref="V22:V24"/>
    <mergeCell ref="W7:W9"/>
    <mergeCell ref="W10:W12"/>
    <mergeCell ref="W13:W15"/>
    <mergeCell ref="W16:W18"/>
    <mergeCell ref="W19:W21"/>
    <mergeCell ref="W22:W24"/>
    <mergeCell ref="V4:V6"/>
    <mergeCell ref="V7:V9"/>
    <mergeCell ref="V10:V12"/>
    <mergeCell ref="V13:V15"/>
    <mergeCell ref="V16:V18"/>
    <mergeCell ref="AB10:AB12"/>
    <mergeCell ref="AB13:AB15"/>
    <mergeCell ref="AB16:AB18"/>
    <mergeCell ref="AB19:AB21"/>
    <mergeCell ref="AC7:AC9"/>
    <mergeCell ref="AC13:AC15"/>
    <mergeCell ref="AC16:AC18"/>
    <mergeCell ref="AF22:AF24"/>
    <mergeCell ref="AJ22:AJ24"/>
    <mergeCell ref="G7:G9"/>
    <mergeCell ref="G10:G12"/>
    <mergeCell ref="G13:G15"/>
    <mergeCell ref="G18:G21"/>
    <mergeCell ref="H7:H9"/>
    <mergeCell ref="H10:H12"/>
    <mergeCell ref="H13:H15"/>
    <mergeCell ref="H16:H18"/>
    <mergeCell ref="H19:H21"/>
    <mergeCell ref="H22:H24"/>
    <mergeCell ref="I4:I9"/>
    <mergeCell ref="I10:I13"/>
    <mergeCell ref="I19:I21"/>
    <mergeCell ref="J7:J9"/>
    <mergeCell ref="J10:J12"/>
    <mergeCell ref="J13:J15"/>
    <mergeCell ref="J16:J18"/>
    <mergeCell ref="J19:J21"/>
    <mergeCell ref="J22:J24"/>
    <mergeCell ref="BH4:BH7"/>
    <mergeCell ref="BH8:BH13"/>
    <mergeCell ref="BH16:BH19"/>
    <mergeCell ref="BH20:BH25"/>
    <mergeCell ref="AG4:AG9"/>
    <mergeCell ref="AG10:AG15"/>
    <mergeCell ref="AG16:AG18"/>
    <mergeCell ref="AG19:AG24"/>
    <mergeCell ref="K6:K9"/>
    <mergeCell ref="K10:K12"/>
    <mergeCell ref="K13:K15"/>
    <mergeCell ref="AN7:AN9"/>
    <mergeCell ref="AN16:AN18"/>
    <mergeCell ref="AO7:AO9"/>
    <mergeCell ref="AO10:AO12"/>
    <mergeCell ref="X19:X21"/>
    <mergeCell ref="X22:X24"/>
    <mergeCell ref="Y7:Y9"/>
    <mergeCell ref="Y10:Y12"/>
    <mergeCell ref="Y13:Y15"/>
    <mergeCell ref="Y16:Y18"/>
    <mergeCell ref="Y19:Y21"/>
    <mergeCell ref="Y22:Y24"/>
    <mergeCell ref="AB7:AB9"/>
  </mergeCells>
  <pageMargins left="0.7" right="0.7" top="0.75" bottom="0.75" header="0.3" footer="0.3"/>
  <pageSetup paperSize="9" scale="14" orientation="landscape"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0]!MergeCells">
                <anchor moveWithCells="1" sizeWithCells="1">
                  <from>
                    <xdr:col>0</xdr:col>
                    <xdr:colOff>68580</xdr:colOff>
                    <xdr:row>0</xdr:row>
                    <xdr:rowOff>7620</xdr:rowOff>
                  </from>
                  <to>
                    <xdr:col>0</xdr:col>
                    <xdr:colOff>1295400</xdr:colOff>
                    <xdr:row>0</xdr:row>
                    <xdr:rowOff>335280</xdr:rowOff>
                  </to>
                </anchor>
              </controlPr>
            </control>
          </mc:Choice>
        </mc:AlternateContent>
        <mc:AlternateContent xmlns:mc="http://schemas.openxmlformats.org/markup-compatibility/2006">
          <mc:Choice Requires="x14">
            <control shapeId="13314" r:id="rId5" name="Button 2">
              <controlPr defaultSize="0" print="0" autoFill="0" autoPict="0" macro="[0]!UnmergeCells">
                <anchor moveWithCells="1" sizeWithCells="1">
                  <from>
                    <xdr:col>0</xdr:col>
                    <xdr:colOff>68580</xdr:colOff>
                    <xdr:row>0</xdr:row>
                    <xdr:rowOff>342900</xdr:rowOff>
                  </from>
                  <to>
                    <xdr:col>0</xdr:col>
                    <xdr:colOff>1295400</xdr:colOff>
                    <xdr:row>0</xdr:row>
                    <xdr:rowOff>640080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BK60"/>
  <sheetViews>
    <sheetView zoomScale="70" zoomScaleNormal="70" workbookViewId="0">
      <pane xSplit="1" ySplit="3" topLeftCell="B4" activePane="bottomRight" state="frozen"/>
      <selection pane="topRight" activeCell="F14" sqref="F14"/>
      <selection pane="bottomLeft" activeCell="F14" sqref="F14"/>
      <selection pane="bottomRight" activeCell="AP19" sqref="AP19"/>
    </sheetView>
  </sheetViews>
  <sheetFormatPr defaultColWidth="9.109375" defaultRowHeight="14.4" x14ac:dyDescent="0.3"/>
  <cols>
    <col min="1" max="1" width="19.44140625" style="117" customWidth="1"/>
    <col min="2" max="63" width="20.5546875" style="129" customWidth="1"/>
    <col min="64" max="16384" width="9.109375" style="117"/>
  </cols>
  <sheetData>
    <row r="1" spans="1:63" ht="53.1" customHeight="1" thickBot="1" x14ac:dyDescent="0.35"/>
    <row r="2" spans="1:63" ht="37.5" customHeight="1" thickBot="1" x14ac:dyDescent="0.55000000000000004">
      <c r="A2" s="120" t="s">
        <v>2235</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row>
    <row r="3" spans="1:63" s="121" customFormat="1" ht="31.5" customHeight="1" x14ac:dyDescent="0.3">
      <c r="A3" s="118" t="s">
        <v>1208</v>
      </c>
      <c r="B3" s="119" t="s">
        <v>1707</v>
      </c>
      <c r="C3" s="278">
        <f>MONDAY!C3</f>
        <v>201</v>
      </c>
      <c r="D3" s="278">
        <f>MONDAY!D3</f>
        <v>202</v>
      </c>
      <c r="E3" s="278">
        <f>MONDAY!E3</f>
        <v>203</v>
      </c>
      <c r="F3" s="278">
        <f>MONDAY!F3</f>
        <v>204</v>
      </c>
      <c r="G3" s="278">
        <f>MONDAY!G3</f>
        <v>205</v>
      </c>
      <c r="H3" s="278">
        <f>MONDAY!H3</f>
        <v>206</v>
      </c>
      <c r="I3" s="278">
        <f>MONDAY!I3</f>
        <v>207</v>
      </c>
      <c r="J3" s="278">
        <f>MONDAY!J3</f>
        <v>212</v>
      </c>
      <c r="K3" s="278">
        <f>MONDAY!K3</f>
        <v>301</v>
      </c>
      <c r="L3" s="278">
        <f>MONDAY!L3</f>
        <v>302</v>
      </c>
      <c r="M3" s="278">
        <f>MONDAY!M3</f>
        <v>303</v>
      </c>
      <c r="N3" s="278">
        <f>MONDAY!N3</f>
        <v>304</v>
      </c>
      <c r="O3" s="278">
        <f>MONDAY!O3</f>
        <v>305</v>
      </c>
      <c r="P3" s="278">
        <f>MONDAY!P3</f>
        <v>306</v>
      </c>
      <c r="Q3" s="278">
        <f>MONDAY!Q3</f>
        <v>307</v>
      </c>
      <c r="R3" s="278">
        <f>MONDAY!R3</f>
        <v>308</v>
      </c>
      <c r="S3" s="278">
        <f>MONDAY!S3</f>
        <v>402</v>
      </c>
      <c r="T3" s="278">
        <f>MONDAY!T3</f>
        <v>407</v>
      </c>
      <c r="U3" s="278">
        <f>MONDAY!U3</f>
        <v>410</v>
      </c>
      <c r="V3" s="278">
        <f>MONDAY!V3</f>
        <v>501</v>
      </c>
      <c r="W3" s="278">
        <f>MONDAY!W3</f>
        <v>502</v>
      </c>
      <c r="X3" s="278">
        <f>MONDAY!X3</f>
        <v>503</v>
      </c>
      <c r="Y3" s="278">
        <f>MONDAY!Y3</f>
        <v>504</v>
      </c>
      <c r="Z3" s="278">
        <f>MONDAY!Z3</f>
        <v>505</v>
      </c>
      <c r="AA3" s="278">
        <f>MONDAY!AA3</f>
        <v>506</v>
      </c>
      <c r="AB3" s="278">
        <f>MONDAY!AB3</f>
        <v>507</v>
      </c>
      <c r="AC3" s="278">
        <f>MONDAY!AC3</f>
        <v>508</v>
      </c>
      <c r="AD3" s="278">
        <f>MONDAY!AD3</f>
        <v>509</v>
      </c>
      <c r="AE3" s="278">
        <f>MONDAY!AE3</f>
        <v>510</v>
      </c>
      <c r="AF3" s="278">
        <f>MONDAY!AF3</f>
        <v>511</v>
      </c>
      <c r="AG3" s="278">
        <f>MONDAY!AG3</f>
        <v>512</v>
      </c>
      <c r="AH3" s="278">
        <f>MONDAY!AH3</f>
        <v>601</v>
      </c>
      <c r="AI3" s="278">
        <f>MONDAY!AI3</f>
        <v>602</v>
      </c>
      <c r="AJ3" s="278">
        <f>MONDAY!AJ3</f>
        <v>603</v>
      </c>
      <c r="AK3" s="278">
        <f>MONDAY!AK3</f>
        <v>604</v>
      </c>
      <c r="AL3" s="278">
        <f>MONDAY!AL3</f>
        <v>605</v>
      </c>
      <c r="AM3" s="278">
        <f>MONDAY!AM3</f>
        <v>606</v>
      </c>
      <c r="AN3" s="278">
        <f>MONDAY!AN3</f>
        <v>607</v>
      </c>
      <c r="AO3" s="278">
        <f>MONDAY!AO3</f>
        <v>608</v>
      </c>
      <c r="AP3" s="278">
        <f>MONDAY!AP3</f>
        <v>0</v>
      </c>
      <c r="AQ3" s="278">
        <f>MONDAY!AQ3</f>
        <v>0</v>
      </c>
      <c r="AR3" s="278">
        <f>MONDAY!AR3</f>
        <v>0</v>
      </c>
      <c r="AS3" s="278" t="str">
        <f>MONDAY!AS3</f>
        <v>&lt;Room&gt;</v>
      </c>
      <c r="AT3" s="278" t="str">
        <f>MONDAY!AT3</f>
        <v>&lt;Room&gt;</v>
      </c>
      <c r="AU3" s="278" t="str">
        <f>MONDAY!AU3</f>
        <v>M01</v>
      </c>
      <c r="AV3" s="278" t="str">
        <f>MONDAY!AV3</f>
        <v>M02</v>
      </c>
      <c r="AW3" s="278">
        <f>MONDAY!AW3</f>
        <v>101</v>
      </c>
      <c r="AX3" s="278">
        <f>MONDAY!AX3</f>
        <v>208</v>
      </c>
      <c r="AY3" s="278">
        <f>MONDAY!AY3</f>
        <v>209</v>
      </c>
      <c r="AZ3" s="278">
        <f>MONDAY!AZ3</f>
        <v>210</v>
      </c>
      <c r="BA3" s="278">
        <f>MONDAY!BA3</f>
        <v>211</v>
      </c>
      <c r="BB3" s="278">
        <f>MONDAY!BB3</f>
        <v>401</v>
      </c>
      <c r="BC3" s="278">
        <f>MONDAY!BC3</f>
        <v>408</v>
      </c>
      <c r="BD3" s="278">
        <f>MONDAY!BD3</f>
        <v>409</v>
      </c>
      <c r="BE3" s="278" t="str">
        <f>MONDAY!BE3</f>
        <v>KITCHEN 1</v>
      </c>
      <c r="BF3" s="278" t="str">
        <f>MONDAY!BF3</f>
        <v>KITCHEN 2</v>
      </c>
      <c r="BG3" s="278" t="str">
        <f>MONDAY!BG3</f>
        <v>BAR</v>
      </c>
      <c r="BH3" s="278" t="str">
        <f>MONDAY!BH3</f>
        <v>SUITE ROOM</v>
      </c>
      <c r="BI3" s="278" t="str">
        <f>MONDAY!BI3</f>
        <v>&lt;Lab&gt;</v>
      </c>
      <c r="BJ3" s="278" t="str">
        <f>MONDAY!BJ3</f>
        <v>&lt;Lab&gt;</v>
      </c>
      <c r="BK3" s="278" t="str">
        <f>MONDAY!BK3</f>
        <v>&lt;Lab&gt;</v>
      </c>
    </row>
    <row r="4" spans="1:63" ht="15.75" customHeight="1" x14ac:dyDescent="0.3">
      <c r="A4" s="122" t="s">
        <v>1713</v>
      </c>
      <c r="B4" s="371" t="s">
        <v>1714</v>
      </c>
      <c r="C4" s="263" t="s">
        <v>1716</v>
      </c>
      <c r="D4" s="263" t="s">
        <v>1716</v>
      </c>
      <c r="E4" s="382" t="s">
        <v>2236</v>
      </c>
      <c r="F4" s="263" t="s">
        <v>1716</v>
      </c>
      <c r="G4" s="377" t="s">
        <v>2237</v>
      </c>
      <c r="H4" s="382" t="s">
        <v>2238</v>
      </c>
      <c r="I4" s="382" t="s">
        <v>2239</v>
      </c>
      <c r="J4" s="382" t="s">
        <v>2240</v>
      </c>
      <c r="K4" s="382" t="s">
        <v>2241</v>
      </c>
      <c r="L4" s="379" t="s">
        <v>2242</v>
      </c>
      <c r="M4" s="263" t="s">
        <v>1716</v>
      </c>
      <c r="N4" s="379" t="s">
        <v>2243</v>
      </c>
      <c r="O4" s="379" t="s">
        <v>2244</v>
      </c>
      <c r="P4" s="379" t="s">
        <v>2245</v>
      </c>
      <c r="Q4" s="379" t="s">
        <v>2246</v>
      </c>
      <c r="R4" s="379" t="s">
        <v>2247</v>
      </c>
      <c r="S4" s="379" t="s">
        <v>2248</v>
      </c>
      <c r="T4" s="379" t="s">
        <v>2249</v>
      </c>
      <c r="U4" s="379" t="s">
        <v>2250</v>
      </c>
      <c r="V4" s="379" t="s">
        <v>2251</v>
      </c>
      <c r="W4" s="379" t="s">
        <v>2252</v>
      </c>
      <c r="X4" s="379" t="s">
        <v>2253</v>
      </c>
      <c r="Y4" s="379" t="s">
        <v>2254</v>
      </c>
      <c r="Z4" s="379" t="s">
        <v>2255</v>
      </c>
      <c r="AA4" s="379" t="s">
        <v>2256</v>
      </c>
      <c r="AB4" s="379" t="s">
        <v>2257</v>
      </c>
      <c r="AC4" s="379" t="s">
        <v>2258</v>
      </c>
      <c r="AD4" s="263" t="s">
        <v>1716</v>
      </c>
      <c r="AE4" s="379" t="s">
        <v>2259</v>
      </c>
      <c r="AF4" s="379" t="s">
        <v>2260</v>
      </c>
      <c r="AG4" s="379" t="s">
        <v>2261</v>
      </c>
      <c r="AH4" s="379" t="s">
        <v>2262</v>
      </c>
      <c r="AI4" s="379" t="s">
        <v>2263</v>
      </c>
      <c r="AJ4" s="379" t="s">
        <v>2264</v>
      </c>
      <c r="AK4" s="379" t="s">
        <v>2265</v>
      </c>
      <c r="AL4" s="379" t="s">
        <v>2266</v>
      </c>
      <c r="AM4" s="379" t="s">
        <v>2267</v>
      </c>
      <c r="AN4" s="379" t="s">
        <v>2268</v>
      </c>
      <c r="AO4" s="379" t="s">
        <v>2269</v>
      </c>
      <c r="AP4" s="263"/>
      <c r="AQ4" s="263"/>
      <c r="AR4" s="263"/>
      <c r="AS4" s="263"/>
      <c r="AT4" s="263"/>
      <c r="AU4" s="263" t="s">
        <v>1716</v>
      </c>
      <c r="AV4" s="263" t="s">
        <v>1716</v>
      </c>
      <c r="AW4" s="379" t="s">
        <v>2270</v>
      </c>
      <c r="AX4" s="379" t="s">
        <v>2271</v>
      </c>
      <c r="AY4" s="379" t="s">
        <v>2013</v>
      </c>
      <c r="AZ4" s="379" t="s">
        <v>2272</v>
      </c>
      <c r="BA4" s="263" t="s">
        <v>1716</v>
      </c>
      <c r="BB4" s="379" t="s">
        <v>2273</v>
      </c>
      <c r="BC4" s="379" t="s">
        <v>2274</v>
      </c>
      <c r="BD4" s="379" t="s">
        <v>2275</v>
      </c>
      <c r="BE4" s="263" t="s">
        <v>1716</v>
      </c>
      <c r="BF4" s="263" t="s">
        <v>1734</v>
      </c>
      <c r="BG4" s="263" t="s">
        <v>1734</v>
      </c>
      <c r="BH4" s="379" t="s">
        <v>2276</v>
      </c>
      <c r="BI4" s="263"/>
      <c r="BJ4" s="263"/>
      <c r="BK4" s="263"/>
    </row>
    <row r="5" spans="1:63" ht="15.75" customHeight="1" x14ac:dyDescent="0.3">
      <c r="A5" s="124" t="s">
        <v>1743</v>
      </c>
      <c r="B5" s="372"/>
      <c r="C5" s="262" t="s">
        <v>1716</v>
      </c>
      <c r="D5" s="262" t="s">
        <v>1716</v>
      </c>
      <c r="E5" s="383"/>
      <c r="F5" s="262" t="s">
        <v>1716</v>
      </c>
      <c r="G5" s="377"/>
      <c r="H5" s="383"/>
      <c r="I5" s="383"/>
      <c r="J5" s="383"/>
      <c r="K5" s="383"/>
      <c r="L5" s="380"/>
      <c r="M5" s="262" t="s">
        <v>1716</v>
      </c>
      <c r="N5" s="380"/>
      <c r="O5" s="380"/>
      <c r="P5" s="380"/>
      <c r="Q5" s="380"/>
      <c r="R5" s="380"/>
      <c r="S5" s="380"/>
      <c r="T5" s="380"/>
      <c r="U5" s="380"/>
      <c r="V5" s="380"/>
      <c r="W5" s="380"/>
      <c r="X5" s="380"/>
      <c r="Y5" s="380"/>
      <c r="Z5" s="380"/>
      <c r="AA5" s="380"/>
      <c r="AB5" s="380"/>
      <c r="AC5" s="380"/>
      <c r="AD5" s="262" t="s">
        <v>1716</v>
      </c>
      <c r="AE5" s="380"/>
      <c r="AF5" s="380"/>
      <c r="AG5" s="380"/>
      <c r="AH5" s="380"/>
      <c r="AI5" s="380"/>
      <c r="AJ5" s="380"/>
      <c r="AK5" s="380"/>
      <c r="AL5" s="380"/>
      <c r="AM5" s="380"/>
      <c r="AN5" s="380"/>
      <c r="AO5" s="380"/>
      <c r="AP5" s="262"/>
      <c r="AQ5" s="262"/>
      <c r="AR5" s="262"/>
      <c r="AS5" s="262"/>
      <c r="AT5" s="262"/>
      <c r="AU5" s="262" t="s">
        <v>1716</v>
      </c>
      <c r="AV5" s="262" t="s">
        <v>1716</v>
      </c>
      <c r="AW5" s="380"/>
      <c r="AX5" s="380"/>
      <c r="AY5" s="380"/>
      <c r="AZ5" s="380"/>
      <c r="BA5" s="262" t="s">
        <v>1716</v>
      </c>
      <c r="BB5" s="380"/>
      <c r="BC5" s="380"/>
      <c r="BD5" s="380"/>
      <c r="BE5" s="262" t="s">
        <v>1716</v>
      </c>
      <c r="BF5" s="262"/>
      <c r="BG5" s="262"/>
      <c r="BH5" s="380"/>
      <c r="BI5" s="262"/>
      <c r="BJ5" s="262"/>
      <c r="BK5" s="262"/>
    </row>
    <row r="6" spans="1:63" ht="15.6" customHeight="1" x14ac:dyDescent="0.3">
      <c r="A6" s="124" t="s">
        <v>1744</v>
      </c>
      <c r="B6" s="373"/>
      <c r="C6" s="377" t="s">
        <v>2277</v>
      </c>
      <c r="D6" s="377" t="s">
        <v>2278</v>
      </c>
      <c r="E6" s="383"/>
      <c r="F6" s="262" t="s">
        <v>1716</v>
      </c>
      <c r="G6" s="377"/>
      <c r="H6" s="383"/>
      <c r="I6" s="383"/>
      <c r="J6" s="383"/>
      <c r="K6" s="383"/>
      <c r="L6" s="380"/>
      <c r="M6" s="262" t="s">
        <v>1716</v>
      </c>
      <c r="N6" s="380"/>
      <c r="O6" s="380"/>
      <c r="P6" s="380"/>
      <c r="Q6" s="380"/>
      <c r="R6" s="380"/>
      <c r="S6" s="380"/>
      <c r="T6" s="380"/>
      <c r="U6" s="380"/>
      <c r="V6" s="380"/>
      <c r="W6" s="380"/>
      <c r="X6" s="380"/>
      <c r="Y6" s="380"/>
      <c r="Z6" s="380"/>
      <c r="AA6" s="380"/>
      <c r="AB6" s="380"/>
      <c r="AC6" s="380"/>
      <c r="AD6" s="262" t="s">
        <v>1716</v>
      </c>
      <c r="AE6" s="380"/>
      <c r="AF6" s="380"/>
      <c r="AG6" s="380"/>
      <c r="AH6" s="380"/>
      <c r="AI6" s="380"/>
      <c r="AJ6" s="380"/>
      <c r="AK6" s="380"/>
      <c r="AL6" s="380"/>
      <c r="AM6" s="380"/>
      <c r="AN6" s="380"/>
      <c r="AO6" s="380"/>
      <c r="AP6" s="262"/>
      <c r="AQ6" s="262"/>
      <c r="AR6" s="262"/>
      <c r="AS6" s="262"/>
      <c r="AT6" s="262"/>
      <c r="AU6" s="262" t="s">
        <v>1716</v>
      </c>
      <c r="AV6" s="262" t="s">
        <v>1716</v>
      </c>
      <c r="AW6" s="380"/>
      <c r="AX6" s="380"/>
      <c r="AY6" s="380"/>
      <c r="AZ6" s="380"/>
      <c r="BA6" s="262" t="s">
        <v>1716</v>
      </c>
      <c r="BB6" s="380"/>
      <c r="BC6" s="380"/>
      <c r="BD6" s="380"/>
      <c r="BE6" s="262" t="s">
        <v>1716</v>
      </c>
      <c r="BF6" s="262"/>
      <c r="BG6" s="262"/>
      <c r="BH6" s="380"/>
      <c r="BI6" s="262"/>
      <c r="BJ6" s="262"/>
      <c r="BK6" s="262"/>
    </row>
    <row r="7" spans="1:63" ht="15.6" x14ac:dyDescent="0.3">
      <c r="A7" s="124" t="s">
        <v>1748</v>
      </c>
      <c r="B7" s="371" t="s">
        <v>1714</v>
      </c>
      <c r="C7" s="377"/>
      <c r="D7" s="377"/>
      <c r="E7" s="383"/>
      <c r="F7" s="382" t="s">
        <v>2279</v>
      </c>
      <c r="G7" s="377"/>
      <c r="H7" s="383"/>
      <c r="I7" s="383"/>
      <c r="J7" s="383"/>
      <c r="K7" s="383"/>
      <c r="L7" s="380"/>
      <c r="M7" s="379" t="s">
        <v>2280</v>
      </c>
      <c r="N7" s="380"/>
      <c r="O7" s="380"/>
      <c r="P7" s="380"/>
      <c r="Q7" s="380"/>
      <c r="R7" s="380"/>
      <c r="S7" s="380"/>
      <c r="T7" s="380"/>
      <c r="U7" s="380"/>
      <c r="V7" s="380"/>
      <c r="W7" s="380"/>
      <c r="X7" s="380"/>
      <c r="Y7" s="380"/>
      <c r="Z7" s="380"/>
      <c r="AA7" s="380"/>
      <c r="AB7" s="380"/>
      <c r="AC7" s="380"/>
      <c r="AD7" s="379" t="s">
        <v>2281</v>
      </c>
      <c r="AE7" s="380"/>
      <c r="AF7" s="380"/>
      <c r="AG7" s="380"/>
      <c r="AH7" s="380"/>
      <c r="AI7" s="380"/>
      <c r="AJ7" s="380"/>
      <c r="AK7" s="380"/>
      <c r="AL7" s="380"/>
      <c r="AM7" s="380"/>
      <c r="AN7" s="380"/>
      <c r="AO7" s="380"/>
      <c r="AP7" s="262"/>
      <c r="AQ7" s="262"/>
      <c r="AR7" s="262"/>
      <c r="AS7" s="262"/>
      <c r="AT7" s="262"/>
      <c r="AU7" s="378" t="s">
        <v>2282</v>
      </c>
      <c r="AV7" s="262" t="s">
        <v>1716</v>
      </c>
      <c r="AW7" s="380"/>
      <c r="AX7" s="380"/>
      <c r="AY7" s="380"/>
      <c r="AZ7" s="380"/>
      <c r="BA7" s="262" t="s">
        <v>1716</v>
      </c>
      <c r="BB7" s="380"/>
      <c r="BC7" s="380"/>
      <c r="BD7" s="380"/>
      <c r="BE7" s="262" t="s">
        <v>1716</v>
      </c>
      <c r="BF7" s="262"/>
      <c r="BG7" s="262"/>
      <c r="BH7" s="380"/>
      <c r="BI7" s="262"/>
      <c r="BJ7" s="262"/>
      <c r="BK7" s="262"/>
    </row>
    <row r="8" spans="1:63" ht="15.75" customHeight="1" x14ac:dyDescent="0.3">
      <c r="A8" s="124" t="s">
        <v>1787</v>
      </c>
      <c r="B8" s="372"/>
      <c r="C8" s="377"/>
      <c r="D8" s="377"/>
      <c r="E8" s="383"/>
      <c r="F8" s="383"/>
      <c r="G8" s="378" t="s">
        <v>2283</v>
      </c>
      <c r="H8" s="383"/>
      <c r="I8" s="383"/>
      <c r="J8" s="383"/>
      <c r="K8" s="383"/>
      <c r="L8" s="380"/>
      <c r="M8" s="380"/>
      <c r="N8" s="380"/>
      <c r="O8" s="380"/>
      <c r="P8" s="380"/>
      <c r="Q8" s="380"/>
      <c r="R8" s="380"/>
      <c r="S8" s="380"/>
      <c r="T8" s="380"/>
      <c r="U8" s="380"/>
      <c r="V8" s="380"/>
      <c r="W8" s="380"/>
      <c r="X8" s="380"/>
      <c r="Y8" s="380"/>
      <c r="Z8" s="380"/>
      <c r="AA8" s="380"/>
      <c r="AB8" s="380"/>
      <c r="AC8" s="380"/>
      <c r="AD8" s="380"/>
      <c r="AE8" s="380"/>
      <c r="AF8" s="380"/>
      <c r="AG8" s="380"/>
      <c r="AH8" s="380"/>
      <c r="AI8" s="380"/>
      <c r="AJ8" s="380"/>
      <c r="AK8" s="380"/>
      <c r="AL8" s="380"/>
      <c r="AM8" s="380"/>
      <c r="AN8" s="380"/>
      <c r="AO8" s="380"/>
      <c r="AP8" s="262"/>
      <c r="AQ8" s="262"/>
      <c r="AR8" s="262"/>
      <c r="AS8" s="262"/>
      <c r="AT8" s="262"/>
      <c r="AU8" s="378"/>
      <c r="AV8" s="262" t="s">
        <v>1716</v>
      </c>
      <c r="AW8" s="380"/>
      <c r="AX8" s="380"/>
      <c r="AY8" s="380"/>
      <c r="AZ8" s="380"/>
      <c r="BA8" s="262" t="s">
        <v>1716</v>
      </c>
      <c r="BB8" s="380"/>
      <c r="BC8" s="380"/>
      <c r="BD8" s="380"/>
      <c r="BE8" s="262" t="s">
        <v>1716</v>
      </c>
      <c r="BF8" s="262"/>
      <c r="BG8" s="262"/>
      <c r="BH8" s="380"/>
      <c r="BI8" s="262"/>
      <c r="BJ8" s="262"/>
      <c r="BK8" s="262"/>
    </row>
    <row r="9" spans="1:63" ht="15.75" customHeight="1" x14ac:dyDescent="0.3">
      <c r="A9" s="124" t="s">
        <v>1791</v>
      </c>
      <c r="B9" s="373"/>
      <c r="C9" s="377"/>
      <c r="D9" s="377"/>
      <c r="E9" s="384"/>
      <c r="F9" s="383"/>
      <c r="G9" s="378"/>
      <c r="H9" s="384"/>
      <c r="I9" s="384"/>
      <c r="J9" s="384"/>
      <c r="K9" s="384"/>
      <c r="L9" s="381"/>
      <c r="M9" s="380"/>
      <c r="N9" s="381"/>
      <c r="O9" s="381"/>
      <c r="P9" s="381"/>
      <c r="Q9" s="381"/>
      <c r="R9" s="381"/>
      <c r="S9" s="381"/>
      <c r="T9" s="381"/>
      <c r="U9" s="381"/>
      <c r="V9" s="381"/>
      <c r="W9" s="381"/>
      <c r="X9" s="381"/>
      <c r="Y9" s="381"/>
      <c r="Z9" s="381"/>
      <c r="AA9" s="381"/>
      <c r="AB9" s="381"/>
      <c r="AC9" s="381"/>
      <c r="AD9" s="380"/>
      <c r="AE9" s="381"/>
      <c r="AF9" s="381"/>
      <c r="AG9" s="381"/>
      <c r="AH9" s="381"/>
      <c r="AI9" s="381"/>
      <c r="AJ9" s="381"/>
      <c r="AK9" s="381"/>
      <c r="AL9" s="381"/>
      <c r="AM9" s="381"/>
      <c r="AN9" s="381"/>
      <c r="AO9" s="381"/>
      <c r="AP9" s="262"/>
      <c r="AQ9" s="262"/>
      <c r="AR9" s="262"/>
      <c r="AS9" s="262"/>
      <c r="AT9" s="262"/>
      <c r="AU9" s="262" t="s">
        <v>1716</v>
      </c>
      <c r="AV9" s="262" t="s">
        <v>1716</v>
      </c>
      <c r="AW9" s="381"/>
      <c r="AX9" s="381"/>
      <c r="AY9" s="381"/>
      <c r="AZ9" s="381"/>
      <c r="BA9" s="262" t="s">
        <v>1716</v>
      </c>
      <c r="BB9" s="381"/>
      <c r="BC9" s="381"/>
      <c r="BD9" s="381"/>
      <c r="BE9" s="262" t="s">
        <v>1716</v>
      </c>
      <c r="BF9" s="262"/>
      <c r="BG9" s="262"/>
      <c r="BH9" s="381"/>
      <c r="BI9" s="262"/>
      <c r="BJ9" s="262"/>
      <c r="BK9" s="262"/>
    </row>
    <row r="10" spans="1:63" ht="15.75" customHeight="1" x14ac:dyDescent="0.3">
      <c r="A10" s="124" t="s">
        <v>1792</v>
      </c>
      <c r="B10" s="371" t="s">
        <v>1714</v>
      </c>
      <c r="C10" s="377" t="s">
        <v>2284</v>
      </c>
      <c r="D10" s="377" t="s">
        <v>2285</v>
      </c>
      <c r="E10" s="377" t="s">
        <v>2286</v>
      </c>
      <c r="F10" s="383"/>
      <c r="G10" s="377" t="s">
        <v>2287</v>
      </c>
      <c r="H10" s="262"/>
      <c r="I10" s="382" t="s">
        <v>2288</v>
      </c>
      <c r="J10" s="262"/>
      <c r="K10" s="262"/>
      <c r="L10" s="378" t="s">
        <v>2289</v>
      </c>
      <c r="M10" s="380"/>
      <c r="N10" s="378" t="s">
        <v>2290</v>
      </c>
      <c r="O10" s="262"/>
      <c r="P10" s="262" t="s">
        <v>1716</v>
      </c>
      <c r="Q10" s="379" t="s">
        <v>2291</v>
      </c>
      <c r="R10" s="262" t="s">
        <v>1716</v>
      </c>
      <c r="S10" s="377" t="s">
        <v>2292</v>
      </c>
      <c r="T10" s="379" t="s">
        <v>2293</v>
      </c>
      <c r="U10" s="262" t="s">
        <v>1716</v>
      </c>
      <c r="V10" s="262" t="s">
        <v>1716</v>
      </c>
      <c r="W10" s="379" t="s">
        <v>2294</v>
      </c>
      <c r="X10" s="262" t="s">
        <v>1716</v>
      </c>
      <c r="Y10" s="262" t="s">
        <v>1716</v>
      </c>
      <c r="Z10" s="262" t="s">
        <v>1716</v>
      </c>
      <c r="AA10" s="379" t="s">
        <v>2295</v>
      </c>
      <c r="AB10" s="379" t="s">
        <v>2296</v>
      </c>
      <c r="AC10" s="262" t="s">
        <v>1716</v>
      </c>
      <c r="AD10" s="380"/>
      <c r="AE10" s="262" t="s">
        <v>1716</v>
      </c>
      <c r="AF10" s="262" t="s">
        <v>1716</v>
      </c>
      <c r="AG10" s="379" t="s">
        <v>2297</v>
      </c>
      <c r="AH10" s="262" t="s">
        <v>1716</v>
      </c>
      <c r="AI10" s="262" t="s">
        <v>1716</v>
      </c>
      <c r="AJ10" s="262" t="s">
        <v>1716</v>
      </c>
      <c r="AK10" s="262" t="s">
        <v>1716</v>
      </c>
      <c r="AL10" s="262" t="s">
        <v>1716</v>
      </c>
      <c r="AM10" s="262" t="s">
        <v>1716</v>
      </c>
      <c r="AN10" s="262" t="s">
        <v>1716</v>
      </c>
      <c r="AO10" s="262" t="s">
        <v>1716</v>
      </c>
      <c r="AP10" s="262"/>
      <c r="AQ10" s="262"/>
      <c r="AR10" s="262"/>
      <c r="AS10" s="262"/>
      <c r="AT10" s="262"/>
      <c r="AU10" s="377" t="s">
        <v>2298</v>
      </c>
      <c r="AV10" s="382" t="s">
        <v>2299</v>
      </c>
      <c r="AW10" s="379" t="s">
        <v>2300</v>
      </c>
      <c r="AX10" s="394" t="s">
        <v>2301</v>
      </c>
      <c r="AY10" s="379" t="s">
        <v>2097</v>
      </c>
      <c r="AZ10" s="379" t="s">
        <v>2302</v>
      </c>
      <c r="BA10" s="379" t="s">
        <v>2303</v>
      </c>
      <c r="BB10" s="262" t="s">
        <v>1716</v>
      </c>
      <c r="BC10" s="379" t="s">
        <v>2304</v>
      </c>
      <c r="BD10" s="262" t="s">
        <v>1716</v>
      </c>
      <c r="BE10" s="262" t="s">
        <v>1716</v>
      </c>
      <c r="BF10" s="262"/>
      <c r="BG10" s="262"/>
      <c r="BH10" s="379" t="s">
        <v>2305</v>
      </c>
      <c r="BI10" s="262"/>
      <c r="BJ10" s="262"/>
      <c r="BK10" s="262"/>
    </row>
    <row r="11" spans="1:63" ht="15.6" customHeight="1" x14ac:dyDescent="0.3">
      <c r="A11" s="124" t="s">
        <v>1834</v>
      </c>
      <c r="B11" s="372"/>
      <c r="C11" s="377"/>
      <c r="D11" s="377"/>
      <c r="E11" s="377"/>
      <c r="F11" s="383"/>
      <c r="G11" s="377"/>
      <c r="H11" s="262"/>
      <c r="I11" s="383"/>
      <c r="J11" s="379" t="s">
        <v>2306</v>
      </c>
      <c r="K11" s="378" t="s">
        <v>2307</v>
      </c>
      <c r="L11" s="378"/>
      <c r="M11" s="380"/>
      <c r="N11" s="378"/>
      <c r="O11" s="379" t="s">
        <v>2308</v>
      </c>
      <c r="P11" s="379" t="s">
        <v>2309</v>
      </c>
      <c r="Q11" s="380"/>
      <c r="R11" s="379" t="s">
        <v>1939</v>
      </c>
      <c r="S11" s="377"/>
      <c r="T11" s="380"/>
      <c r="U11" s="379" t="s">
        <v>2310</v>
      </c>
      <c r="V11" s="262" t="s">
        <v>1716</v>
      </c>
      <c r="W11" s="380"/>
      <c r="X11" s="378" t="s">
        <v>2311</v>
      </c>
      <c r="Y11" s="262" t="s">
        <v>1716</v>
      </c>
      <c r="Z11" s="262" t="s">
        <v>1716</v>
      </c>
      <c r="AA11" s="380"/>
      <c r="AB11" s="380"/>
      <c r="AC11" s="262" t="s">
        <v>1716</v>
      </c>
      <c r="AD11" s="380"/>
      <c r="AE11" s="262" t="s">
        <v>1716</v>
      </c>
      <c r="AF11" s="262" t="s">
        <v>1716</v>
      </c>
      <c r="AG11" s="380"/>
      <c r="AH11" s="262" t="s">
        <v>1716</v>
      </c>
      <c r="AI11" s="262" t="s">
        <v>1716</v>
      </c>
      <c r="AJ11" s="262" t="s">
        <v>1716</v>
      </c>
      <c r="AK11" s="262" t="s">
        <v>1716</v>
      </c>
      <c r="AL11" s="262" t="s">
        <v>1716</v>
      </c>
      <c r="AM11" s="262" t="s">
        <v>1716</v>
      </c>
      <c r="AN11" s="262" t="s">
        <v>1716</v>
      </c>
      <c r="AO11" s="262" t="s">
        <v>1716</v>
      </c>
      <c r="AP11" s="262"/>
      <c r="AQ11" s="262"/>
      <c r="AR11" s="262"/>
      <c r="AS11" s="262"/>
      <c r="AT11" s="262"/>
      <c r="AU11" s="377"/>
      <c r="AV11" s="383"/>
      <c r="AW11" s="380"/>
      <c r="AX11" s="395"/>
      <c r="AY11" s="380"/>
      <c r="AZ11" s="380"/>
      <c r="BA11" s="380"/>
      <c r="BB11" s="379" t="s">
        <v>2312</v>
      </c>
      <c r="BC11" s="380"/>
      <c r="BD11" s="262" t="s">
        <v>1716</v>
      </c>
      <c r="BE11" s="262" t="s">
        <v>1716</v>
      </c>
      <c r="BF11" s="262"/>
      <c r="BG11" s="262"/>
      <c r="BH11" s="380"/>
      <c r="BI11" s="262"/>
      <c r="BJ11" s="262"/>
      <c r="BK11" s="262"/>
    </row>
    <row r="12" spans="1:63" ht="15.75" customHeight="1" x14ac:dyDescent="0.3">
      <c r="A12" s="124" t="s">
        <v>1835</v>
      </c>
      <c r="B12" s="373"/>
      <c r="C12" s="377"/>
      <c r="D12" s="377"/>
      <c r="E12" s="377"/>
      <c r="F12" s="384"/>
      <c r="G12" s="377"/>
      <c r="H12" s="262"/>
      <c r="I12" s="383"/>
      <c r="J12" s="380"/>
      <c r="K12" s="378"/>
      <c r="L12" s="379" t="s">
        <v>2313</v>
      </c>
      <c r="M12" s="381"/>
      <c r="N12" s="262"/>
      <c r="O12" s="380"/>
      <c r="P12" s="380"/>
      <c r="Q12" s="380"/>
      <c r="R12" s="380"/>
      <c r="S12" s="377"/>
      <c r="T12" s="380"/>
      <c r="U12" s="380"/>
      <c r="V12" s="262" t="s">
        <v>1716</v>
      </c>
      <c r="W12" s="380"/>
      <c r="X12" s="378"/>
      <c r="Y12" s="262" t="s">
        <v>1716</v>
      </c>
      <c r="Z12" s="262" t="s">
        <v>1716</v>
      </c>
      <c r="AA12" s="380"/>
      <c r="AB12" s="380"/>
      <c r="AC12" s="262" t="s">
        <v>1716</v>
      </c>
      <c r="AD12" s="381"/>
      <c r="AE12" s="262" t="s">
        <v>1716</v>
      </c>
      <c r="AF12" s="262" t="s">
        <v>1716</v>
      </c>
      <c r="AG12" s="380"/>
      <c r="AH12" s="262" t="s">
        <v>1716</v>
      </c>
      <c r="AI12" s="262" t="s">
        <v>1716</v>
      </c>
      <c r="AJ12" s="262" t="s">
        <v>1716</v>
      </c>
      <c r="AK12" s="262" t="s">
        <v>1716</v>
      </c>
      <c r="AL12" s="262" t="s">
        <v>1716</v>
      </c>
      <c r="AM12" s="262" t="s">
        <v>1716</v>
      </c>
      <c r="AN12" s="262" t="s">
        <v>1716</v>
      </c>
      <c r="AO12" s="262" t="s">
        <v>1716</v>
      </c>
      <c r="AP12" s="262"/>
      <c r="AQ12" s="262"/>
      <c r="AR12" s="262"/>
      <c r="AS12" s="262"/>
      <c r="AT12" s="262"/>
      <c r="AU12" s="377"/>
      <c r="AV12" s="383"/>
      <c r="AW12" s="380"/>
      <c r="AX12" s="396"/>
      <c r="AY12" s="380"/>
      <c r="AZ12" s="380"/>
      <c r="BA12" s="380"/>
      <c r="BB12" s="380"/>
      <c r="BC12" s="380"/>
      <c r="BD12" s="262" t="s">
        <v>1716</v>
      </c>
      <c r="BE12" s="262" t="s">
        <v>1716</v>
      </c>
      <c r="BF12" s="262"/>
      <c r="BG12" s="262"/>
      <c r="BH12" s="380"/>
      <c r="BI12" s="262"/>
      <c r="BJ12" s="262"/>
      <c r="BK12" s="262"/>
    </row>
    <row r="13" spans="1:63" ht="15.6" x14ac:dyDescent="0.3">
      <c r="A13" s="124" t="s">
        <v>1836</v>
      </c>
      <c r="B13" s="371" t="s">
        <v>1714</v>
      </c>
      <c r="C13" s="377"/>
      <c r="D13" s="377"/>
      <c r="E13" s="377"/>
      <c r="F13" s="382" t="s">
        <v>2314</v>
      </c>
      <c r="G13" s="377"/>
      <c r="H13" s="382" t="s">
        <v>2315</v>
      </c>
      <c r="I13" s="383"/>
      <c r="J13" s="380"/>
      <c r="K13" s="379" t="s">
        <v>2316</v>
      </c>
      <c r="L13" s="380"/>
      <c r="M13" s="379" t="s">
        <v>2317</v>
      </c>
      <c r="N13" s="378" t="s">
        <v>2318</v>
      </c>
      <c r="O13" s="380"/>
      <c r="P13" s="380"/>
      <c r="Q13" s="380"/>
      <c r="R13" s="380"/>
      <c r="S13" s="377"/>
      <c r="T13" s="380"/>
      <c r="U13" s="380"/>
      <c r="V13" s="379" t="s">
        <v>2319</v>
      </c>
      <c r="W13" s="380"/>
      <c r="X13" s="379" t="s">
        <v>2320</v>
      </c>
      <c r="Y13" s="379" t="s">
        <v>2321</v>
      </c>
      <c r="Z13" s="379" t="s">
        <v>2322</v>
      </c>
      <c r="AA13" s="380"/>
      <c r="AB13" s="380"/>
      <c r="AC13" s="379" t="s">
        <v>2323</v>
      </c>
      <c r="AD13" s="379" t="s">
        <v>2324</v>
      </c>
      <c r="AE13" s="379" t="s">
        <v>2325</v>
      </c>
      <c r="AF13" s="379" t="s">
        <v>2326</v>
      </c>
      <c r="AG13" s="380"/>
      <c r="AH13" s="379" t="s">
        <v>2327</v>
      </c>
      <c r="AI13" s="379" t="s">
        <v>2328</v>
      </c>
      <c r="AJ13" s="379" t="s">
        <v>2329</v>
      </c>
      <c r="AK13" s="379" t="s">
        <v>2330</v>
      </c>
      <c r="AL13" s="379" t="s">
        <v>2331</v>
      </c>
      <c r="AM13" s="379" t="s">
        <v>2332</v>
      </c>
      <c r="AN13" s="379" t="s">
        <v>2333</v>
      </c>
      <c r="AO13" s="379" t="s">
        <v>2334</v>
      </c>
      <c r="AP13" s="262"/>
      <c r="AQ13" s="262"/>
      <c r="AR13" s="262"/>
      <c r="AS13" s="262"/>
      <c r="AT13" s="262"/>
      <c r="AU13" s="377"/>
      <c r="AV13" s="383"/>
      <c r="AW13" s="380"/>
      <c r="AX13" s="262" t="s">
        <v>1716</v>
      </c>
      <c r="AY13" s="380"/>
      <c r="AZ13" s="380"/>
      <c r="BA13" s="380"/>
      <c r="BB13" s="380"/>
      <c r="BC13" s="380"/>
      <c r="BD13" s="379" t="s">
        <v>2335</v>
      </c>
      <c r="BE13" s="379" t="s">
        <v>2322</v>
      </c>
      <c r="BF13" s="262"/>
      <c r="BG13" s="262"/>
      <c r="BH13" s="380"/>
      <c r="BI13" s="262"/>
      <c r="BJ13" s="262"/>
      <c r="BK13" s="262"/>
    </row>
    <row r="14" spans="1:63" ht="15.6" customHeight="1" x14ac:dyDescent="0.3">
      <c r="A14" s="124" t="s">
        <v>1875</v>
      </c>
      <c r="B14" s="372"/>
      <c r="C14" s="262" t="s">
        <v>1716</v>
      </c>
      <c r="D14" s="377" t="s">
        <v>2336</v>
      </c>
      <c r="E14" s="377" t="s">
        <v>2337</v>
      </c>
      <c r="F14" s="383"/>
      <c r="G14" s="377" t="s">
        <v>2338</v>
      </c>
      <c r="H14" s="383"/>
      <c r="I14" s="383"/>
      <c r="J14" s="380"/>
      <c r="K14" s="380"/>
      <c r="L14" s="380"/>
      <c r="M14" s="380"/>
      <c r="N14" s="378"/>
      <c r="O14" s="380"/>
      <c r="P14" s="380"/>
      <c r="Q14" s="380"/>
      <c r="R14" s="380"/>
      <c r="S14" s="379" t="s">
        <v>2339</v>
      </c>
      <c r="T14" s="380"/>
      <c r="U14" s="380"/>
      <c r="V14" s="380"/>
      <c r="W14" s="380"/>
      <c r="X14" s="380"/>
      <c r="Y14" s="380"/>
      <c r="Z14" s="380"/>
      <c r="AA14" s="380"/>
      <c r="AB14" s="380"/>
      <c r="AC14" s="380"/>
      <c r="AD14" s="380"/>
      <c r="AE14" s="380"/>
      <c r="AF14" s="380"/>
      <c r="AG14" s="380"/>
      <c r="AH14" s="380"/>
      <c r="AI14" s="380"/>
      <c r="AJ14" s="380"/>
      <c r="AK14" s="380"/>
      <c r="AL14" s="380"/>
      <c r="AM14" s="380"/>
      <c r="AN14" s="380"/>
      <c r="AO14" s="380"/>
      <c r="AP14" s="262"/>
      <c r="AQ14" s="262"/>
      <c r="AR14" s="262"/>
      <c r="AS14" s="262"/>
      <c r="AT14" s="262"/>
      <c r="AU14" s="262" t="s">
        <v>1716</v>
      </c>
      <c r="AV14" s="383"/>
      <c r="AW14" s="380"/>
      <c r="AX14" s="262" t="s">
        <v>1716</v>
      </c>
      <c r="AY14" s="380"/>
      <c r="AZ14" s="380"/>
      <c r="BA14" s="380"/>
      <c r="BB14" s="380"/>
      <c r="BC14" s="380"/>
      <c r="BD14" s="380"/>
      <c r="BE14" s="380"/>
      <c r="BF14" s="262"/>
      <c r="BG14" s="262"/>
      <c r="BH14" s="380"/>
      <c r="BI14" s="262"/>
      <c r="BJ14" s="262"/>
      <c r="BK14" s="262"/>
    </row>
    <row r="15" spans="1:63" ht="15.6" customHeight="1" x14ac:dyDescent="0.3">
      <c r="A15" s="124" t="s">
        <v>1876</v>
      </c>
      <c r="B15" s="373"/>
      <c r="C15" s="262" t="s">
        <v>1716</v>
      </c>
      <c r="D15" s="377"/>
      <c r="E15" s="377"/>
      <c r="F15" s="383"/>
      <c r="G15" s="377"/>
      <c r="H15" s="383"/>
      <c r="I15" s="384"/>
      <c r="J15" s="380"/>
      <c r="K15" s="380"/>
      <c r="L15" s="380"/>
      <c r="M15" s="380"/>
      <c r="N15" s="379" t="s">
        <v>2340</v>
      </c>
      <c r="O15" s="380"/>
      <c r="P15" s="380"/>
      <c r="Q15" s="381"/>
      <c r="R15" s="380"/>
      <c r="S15" s="380"/>
      <c r="T15" s="381"/>
      <c r="U15" s="380"/>
      <c r="V15" s="380"/>
      <c r="W15" s="381"/>
      <c r="X15" s="380"/>
      <c r="Y15" s="380"/>
      <c r="Z15" s="380"/>
      <c r="AA15" s="381"/>
      <c r="AB15" s="381"/>
      <c r="AC15" s="380"/>
      <c r="AD15" s="380"/>
      <c r="AE15" s="380"/>
      <c r="AF15" s="380"/>
      <c r="AG15" s="381"/>
      <c r="AH15" s="380"/>
      <c r="AI15" s="380"/>
      <c r="AJ15" s="380"/>
      <c r="AK15" s="380"/>
      <c r="AL15" s="380"/>
      <c r="AM15" s="380"/>
      <c r="AN15" s="380"/>
      <c r="AO15" s="380"/>
      <c r="AP15" s="262"/>
      <c r="AQ15" s="262"/>
      <c r="AR15" s="262"/>
      <c r="AS15" s="262"/>
      <c r="AT15" s="262"/>
      <c r="AU15" s="262" t="s">
        <v>1716</v>
      </c>
      <c r="AV15" s="384"/>
      <c r="AW15" s="381"/>
      <c r="AX15" s="262" t="s">
        <v>1716</v>
      </c>
      <c r="AY15" s="381"/>
      <c r="AZ15" s="381"/>
      <c r="BA15" s="381"/>
      <c r="BB15" s="380"/>
      <c r="BC15" s="381"/>
      <c r="BD15" s="380"/>
      <c r="BE15" s="380"/>
      <c r="BF15" s="262"/>
      <c r="BG15" s="262"/>
      <c r="BH15" s="381"/>
      <c r="BI15" s="262"/>
      <c r="BJ15" s="262"/>
      <c r="BK15" s="262"/>
    </row>
    <row r="16" spans="1:63" ht="15.6" x14ac:dyDescent="0.3">
      <c r="A16" s="124" t="s">
        <v>1877</v>
      </c>
      <c r="B16" s="262" t="s">
        <v>1716</v>
      </c>
      <c r="C16" s="382" t="s">
        <v>2341</v>
      </c>
      <c r="D16" s="377"/>
      <c r="E16" s="377"/>
      <c r="F16" s="383"/>
      <c r="G16" s="377"/>
      <c r="H16" s="383"/>
      <c r="I16" s="382" t="s">
        <v>2342</v>
      </c>
      <c r="J16" s="381"/>
      <c r="K16" s="380"/>
      <c r="L16" s="380"/>
      <c r="M16" s="380"/>
      <c r="N16" s="380"/>
      <c r="O16" s="381"/>
      <c r="P16" s="381"/>
      <c r="Q16" s="262" t="s">
        <v>1716</v>
      </c>
      <c r="R16" s="381"/>
      <c r="S16" s="380"/>
      <c r="T16" s="379" t="s">
        <v>2343</v>
      </c>
      <c r="U16" s="381"/>
      <c r="V16" s="380"/>
      <c r="W16" s="262" t="s">
        <v>1716</v>
      </c>
      <c r="X16" s="380"/>
      <c r="Y16" s="380"/>
      <c r="Z16" s="380"/>
      <c r="AA16" s="262" t="s">
        <v>1716</v>
      </c>
      <c r="AB16" s="379" t="s">
        <v>2344</v>
      </c>
      <c r="AC16" s="380"/>
      <c r="AD16" s="380"/>
      <c r="AE16" s="380"/>
      <c r="AF16" s="380"/>
      <c r="AG16" s="379" t="s">
        <v>2345</v>
      </c>
      <c r="AH16" s="380"/>
      <c r="AI16" s="380"/>
      <c r="AJ16" s="380"/>
      <c r="AK16" s="380"/>
      <c r="AL16" s="380"/>
      <c r="AM16" s="380"/>
      <c r="AN16" s="380"/>
      <c r="AO16" s="380"/>
      <c r="AP16" s="262"/>
      <c r="AQ16" s="262"/>
      <c r="AR16" s="262"/>
      <c r="AS16" s="262"/>
      <c r="AT16" s="262"/>
      <c r="AU16" s="379" t="s">
        <v>2346</v>
      </c>
      <c r="AV16" s="262" t="s">
        <v>1716</v>
      </c>
      <c r="AW16" s="379" t="s">
        <v>2347</v>
      </c>
      <c r="AX16" s="379" t="s">
        <v>2348</v>
      </c>
      <c r="AY16" s="379" t="s">
        <v>2170</v>
      </c>
      <c r="AZ16" s="379" t="s">
        <v>2349</v>
      </c>
      <c r="BA16" s="379" t="s">
        <v>2350</v>
      </c>
      <c r="BB16" s="381"/>
      <c r="BC16" s="262" t="s">
        <v>1716</v>
      </c>
      <c r="BD16" s="380"/>
      <c r="BE16" s="380"/>
      <c r="BF16" s="262"/>
      <c r="BG16" s="262"/>
      <c r="BH16" s="379" t="s">
        <v>2351</v>
      </c>
      <c r="BI16" s="262"/>
      <c r="BJ16" s="262"/>
      <c r="BK16" s="262"/>
    </row>
    <row r="17" spans="1:63" ht="15.6" x14ac:dyDescent="0.3">
      <c r="A17" s="124" t="s">
        <v>1921</v>
      </c>
      <c r="B17" s="125"/>
      <c r="C17" s="383"/>
      <c r="D17" s="377"/>
      <c r="E17" s="377"/>
      <c r="F17" s="383"/>
      <c r="G17" s="377"/>
      <c r="H17" s="383"/>
      <c r="I17" s="383"/>
      <c r="J17" s="262" t="s">
        <v>1716</v>
      </c>
      <c r="K17" s="380"/>
      <c r="L17" s="381"/>
      <c r="M17" s="380"/>
      <c r="N17" s="380"/>
      <c r="O17" s="379" t="s">
        <v>2352</v>
      </c>
      <c r="P17" s="262" t="s">
        <v>1734</v>
      </c>
      <c r="Q17" s="262" t="s">
        <v>1716</v>
      </c>
      <c r="R17" s="262" t="s">
        <v>1716</v>
      </c>
      <c r="S17" s="380"/>
      <c r="T17" s="380"/>
      <c r="U17" s="262" t="s">
        <v>1716</v>
      </c>
      <c r="V17" s="380"/>
      <c r="W17" s="262" t="s">
        <v>1716</v>
      </c>
      <c r="X17" s="380"/>
      <c r="Y17" s="380"/>
      <c r="Z17" s="380"/>
      <c r="AA17" s="262" t="s">
        <v>1716</v>
      </c>
      <c r="AB17" s="380"/>
      <c r="AC17" s="380"/>
      <c r="AD17" s="380"/>
      <c r="AE17" s="380"/>
      <c r="AF17" s="380"/>
      <c r="AG17" s="380"/>
      <c r="AH17" s="380"/>
      <c r="AI17" s="380"/>
      <c r="AJ17" s="380"/>
      <c r="AK17" s="380"/>
      <c r="AL17" s="380"/>
      <c r="AM17" s="380"/>
      <c r="AN17" s="380"/>
      <c r="AO17" s="380"/>
      <c r="AP17" s="262"/>
      <c r="AQ17" s="262"/>
      <c r="AR17" s="262"/>
      <c r="AS17" s="262"/>
      <c r="AT17" s="262"/>
      <c r="AU17" s="380"/>
      <c r="AV17" s="262" t="s">
        <v>1716</v>
      </c>
      <c r="AW17" s="380"/>
      <c r="AX17" s="380"/>
      <c r="AY17" s="380"/>
      <c r="AZ17" s="380"/>
      <c r="BA17" s="380"/>
      <c r="BB17" s="262" t="s">
        <v>1716</v>
      </c>
      <c r="BC17" s="262" t="s">
        <v>1716</v>
      </c>
      <c r="BD17" s="380"/>
      <c r="BE17" s="380"/>
      <c r="BF17" s="262"/>
      <c r="BG17" s="262"/>
      <c r="BH17" s="380"/>
      <c r="BI17" s="262"/>
      <c r="BJ17" s="262"/>
      <c r="BK17" s="262"/>
    </row>
    <row r="18" spans="1:63" ht="15.75" customHeight="1" x14ac:dyDescent="0.3">
      <c r="A18" s="124" t="s">
        <v>1922</v>
      </c>
      <c r="B18" s="125"/>
      <c r="C18" s="383"/>
      <c r="D18" s="377" t="s">
        <v>2353</v>
      </c>
      <c r="E18" s="262" t="s">
        <v>1992</v>
      </c>
      <c r="F18" s="384"/>
      <c r="G18" s="377" t="s">
        <v>2354</v>
      </c>
      <c r="H18" s="384"/>
      <c r="I18" s="383"/>
      <c r="J18" s="377" t="s">
        <v>2355</v>
      </c>
      <c r="K18" s="381"/>
      <c r="L18" s="262"/>
      <c r="M18" s="381"/>
      <c r="N18" s="380"/>
      <c r="O18" s="380"/>
      <c r="P18" s="262"/>
      <c r="Q18" s="379" t="s">
        <v>2356</v>
      </c>
      <c r="R18" s="262" t="s">
        <v>1716</v>
      </c>
      <c r="S18" s="380"/>
      <c r="T18" s="380"/>
      <c r="U18" s="262" t="s">
        <v>1716</v>
      </c>
      <c r="V18" s="381"/>
      <c r="W18" s="262" t="s">
        <v>1716</v>
      </c>
      <c r="X18" s="381"/>
      <c r="Y18" s="381"/>
      <c r="Z18" s="381"/>
      <c r="AA18" s="262" t="s">
        <v>1716</v>
      </c>
      <c r="AB18" s="380"/>
      <c r="AC18" s="381"/>
      <c r="AD18" s="381"/>
      <c r="AE18" s="381"/>
      <c r="AF18" s="381"/>
      <c r="AG18" s="380"/>
      <c r="AH18" s="381"/>
      <c r="AI18" s="381"/>
      <c r="AJ18" s="381"/>
      <c r="AK18" s="381"/>
      <c r="AL18" s="381"/>
      <c r="AM18" s="381"/>
      <c r="AN18" s="381"/>
      <c r="AO18" s="381"/>
      <c r="AP18" s="262"/>
      <c r="AQ18" s="262"/>
      <c r="AR18" s="262"/>
      <c r="AS18" s="262"/>
      <c r="AT18" s="262"/>
      <c r="AU18" s="380"/>
      <c r="AV18" s="379" t="s">
        <v>2357</v>
      </c>
      <c r="AW18" s="380"/>
      <c r="AX18" s="380"/>
      <c r="AY18" s="380"/>
      <c r="AZ18" s="380"/>
      <c r="BA18" s="380"/>
      <c r="BB18" s="262" t="s">
        <v>1716</v>
      </c>
      <c r="BC18" s="262" t="s">
        <v>1716</v>
      </c>
      <c r="BD18" s="381"/>
      <c r="BE18" s="381"/>
      <c r="BF18" s="262"/>
      <c r="BG18" s="262"/>
      <c r="BH18" s="380"/>
      <c r="BI18" s="262"/>
      <c r="BJ18" s="262"/>
      <c r="BK18" s="262"/>
    </row>
    <row r="19" spans="1:63" ht="15.6" x14ac:dyDescent="0.3">
      <c r="A19" s="124" t="s">
        <v>1926</v>
      </c>
      <c r="B19" s="371" t="s">
        <v>1714</v>
      </c>
      <c r="C19" s="383"/>
      <c r="D19" s="377"/>
      <c r="E19" s="382" t="s">
        <v>2358</v>
      </c>
      <c r="F19" s="382" t="s">
        <v>2359</v>
      </c>
      <c r="G19" s="377"/>
      <c r="H19" s="382" t="s">
        <v>2360</v>
      </c>
      <c r="I19" s="383"/>
      <c r="J19" s="377"/>
      <c r="K19" s="382" t="s">
        <v>2361</v>
      </c>
      <c r="L19" s="379" t="s">
        <v>2362</v>
      </c>
      <c r="M19" s="379" t="s">
        <v>2363</v>
      </c>
      <c r="N19" s="380"/>
      <c r="O19" s="380"/>
      <c r="P19" s="262"/>
      <c r="Q19" s="380"/>
      <c r="R19" s="262" t="s">
        <v>1716</v>
      </c>
      <c r="S19" s="381"/>
      <c r="T19" s="380"/>
      <c r="U19" s="379" t="s">
        <v>2364</v>
      </c>
      <c r="V19" s="379" t="s">
        <v>2365</v>
      </c>
      <c r="W19" s="379" t="s">
        <v>2366</v>
      </c>
      <c r="X19" s="262" t="s">
        <v>1734</v>
      </c>
      <c r="Y19" s="379" t="s">
        <v>2367</v>
      </c>
      <c r="Z19" s="379" t="s">
        <v>2368</v>
      </c>
      <c r="AA19" s="379" t="s">
        <v>2369</v>
      </c>
      <c r="AB19" s="380"/>
      <c r="AC19" s="262" t="s">
        <v>1716</v>
      </c>
      <c r="AD19" s="379" t="s">
        <v>2370</v>
      </c>
      <c r="AE19" s="379" t="s">
        <v>2371</v>
      </c>
      <c r="AF19" s="379" t="s">
        <v>2372</v>
      </c>
      <c r="AG19" s="380"/>
      <c r="AH19" s="379" t="s">
        <v>2373</v>
      </c>
      <c r="AI19" s="379" t="s">
        <v>2374</v>
      </c>
      <c r="AJ19" s="379" t="s">
        <v>2375</v>
      </c>
      <c r="AK19" s="379" t="s">
        <v>2376</v>
      </c>
      <c r="AL19" s="379" t="s">
        <v>2377</v>
      </c>
      <c r="AM19" s="379" t="s">
        <v>2378</v>
      </c>
      <c r="AN19" s="379" t="s">
        <v>2379</v>
      </c>
      <c r="AO19" s="379" t="s">
        <v>2380</v>
      </c>
      <c r="AP19" s="262"/>
      <c r="AQ19" s="262"/>
      <c r="AR19" s="262"/>
      <c r="AS19" s="262"/>
      <c r="AT19" s="262"/>
      <c r="AU19" s="380"/>
      <c r="AV19" s="380"/>
      <c r="AW19" s="380"/>
      <c r="AX19" s="380"/>
      <c r="AY19" s="380"/>
      <c r="AZ19" s="380"/>
      <c r="BA19" s="380"/>
      <c r="BB19" s="379" t="s">
        <v>2381</v>
      </c>
      <c r="BC19" s="379" t="s">
        <v>2382</v>
      </c>
      <c r="BD19" s="379" t="s">
        <v>2383</v>
      </c>
      <c r="BE19" s="262" t="s">
        <v>1734</v>
      </c>
      <c r="BF19" s="262"/>
      <c r="BG19" s="262"/>
      <c r="BH19" s="380"/>
      <c r="BI19" s="262"/>
      <c r="BJ19" s="262"/>
      <c r="BK19" s="262"/>
    </row>
    <row r="20" spans="1:63" ht="15.75" customHeight="1" x14ac:dyDescent="0.3">
      <c r="A20" s="124" t="s">
        <v>1956</v>
      </c>
      <c r="B20" s="372"/>
      <c r="C20" s="383"/>
      <c r="D20" s="377"/>
      <c r="E20" s="383"/>
      <c r="F20" s="383"/>
      <c r="G20" s="377"/>
      <c r="H20" s="383"/>
      <c r="I20" s="383"/>
      <c r="J20" s="377"/>
      <c r="K20" s="383"/>
      <c r="L20" s="380"/>
      <c r="M20" s="380"/>
      <c r="N20" s="381"/>
      <c r="O20" s="380"/>
      <c r="P20" s="262"/>
      <c r="Q20" s="380"/>
      <c r="R20" s="379" t="s">
        <v>2384</v>
      </c>
      <c r="S20" s="379" t="s">
        <v>2385</v>
      </c>
      <c r="T20" s="380"/>
      <c r="U20" s="380"/>
      <c r="V20" s="380"/>
      <c r="W20" s="380"/>
      <c r="X20" s="262"/>
      <c r="Y20" s="380"/>
      <c r="Z20" s="380"/>
      <c r="AA20" s="380"/>
      <c r="AB20" s="380"/>
      <c r="AC20" s="262" t="s">
        <v>1716</v>
      </c>
      <c r="AD20" s="380"/>
      <c r="AE20" s="380"/>
      <c r="AF20" s="380"/>
      <c r="AG20" s="380"/>
      <c r="AH20" s="380"/>
      <c r="AI20" s="380"/>
      <c r="AJ20" s="380"/>
      <c r="AK20" s="380"/>
      <c r="AL20" s="380"/>
      <c r="AM20" s="380"/>
      <c r="AN20" s="380"/>
      <c r="AO20" s="380"/>
      <c r="AP20" s="262"/>
      <c r="AQ20" s="262"/>
      <c r="AR20" s="262"/>
      <c r="AS20" s="262"/>
      <c r="AT20" s="262"/>
      <c r="AU20" s="380"/>
      <c r="AV20" s="380"/>
      <c r="AW20" s="380"/>
      <c r="AX20" s="380"/>
      <c r="AY20" s="380"/>
      <c r="AZ20" s="380"/>
      <c r="BA20" s="380"/>
      <c r="BB20" s="380"/>
      <c r="BC20" s="380"/>
      <c r="BD20" s="380"/>
      <c r="BE20" s="262"/>
      <c r="BF20" s="262"/>
      <c r="BG20" s="262"/>
      <c r="BH20" s="380"/>
      <c r="BI20" s="262"/>
      <c r="BJ20" s="262"/>
      <c r="BK20" s="262"/>
    </row>
    <row r="21" spans="1:63" ht="15.6" x14ac:dyDescent="0.3">
      <c r="A21" s="124" t="s">
        <v>1958</v>
      </c>
      <c r="B21" s="373"/>
      <c r="C21" s="384"/>
      <c r="D21" s="377"/>
      <c r="E21" s="383"/>
      <c r="F21" s="383"/>
      <c r="G21" s="377"/>
      <c r="H21" s="383"/>
      <c r="I21" s="384"/>
      <c r="J21" s="377"/>
      <c r="K21" s="383"/>
      <c r="L21" s="380"/>
      <c r="M21" s="380"/>
      <c r="N21" s="379" t="s">
        <v>2386</v>
      </c>
      <c r="O21" s="380"/>
      <c r="P21" s="262"/>
      <c r="Q21" s="380"/>
      <c r="R21" s="380"/>
      <c r="S21" s="380"/>
      <c r="T21" s="381"/>
      <c r="U21" s="380"/>
      <c r="V21" s="380"/>
      <c r="W21" s="380"/>
      <c r="X21" s="262"/>
      <c r="Y21" s="380"/>
      <c r="Z21" s="380"/>
      <c r="AA21" s="380"/>
      <c r="AB21" s="381"/>
      <c r="AC21" s="379" t="s">
        <v>2387</v>
      </c>
      <c r="AD21" s="380"/>
      <c r="AE21" s="380"/>
      <c r="AF21" s="380"/>
      <c r="AG21" s="381"/>
      <c r="AH21" s="380"/>
      <c r="AI21" s="380"/>
      <c r="AJ21" s="380"/>
      <c r="AK21" s="380"/>
      <c r="AL21" s="380"/>
      <c r="AM21" s="380"/>
      <c r="AN21" s="380"/>
      <c r="AO21" s="380"/>
      <c r="AP21" s="262"/>
      <c r="AQ21" s="262"/>
      <c r="AR21" s="262"/>
      <c r="AS21" s="262"/>
      <c r="AT21" s="262"/>
      <c r="AU21" s="381"/>
      <c r="AV21" s="380"/>
      <c r="AW21" s="381"/>
      <c r="AX21" s="381"/>
      <c r="AY21" s="381"/>
      <c r="AZ21" s="381"/>
      <c r="BA21" s="381"/>
      <c r="BB21" s="380"/>
      <c r="BC21" s="380"/>
      <c r="BD21" s="380"/>
      <c r="BE21" s="262"/>
      <c r="BF21" s="262"/>
      <c r="BG21" s="262"/>
      <c r="BH21" s="381"/>
      <c r="BI21" s="262"/>
      <c r="BJ21" s="262"/>
      <c r="BK21" s="262"/>
    </row>
    <row r="22" spans="1:63" ht="15.6" x14ac:dyDescent="0.3">
      <c r="A22" s="124" t="s">
        <v>1959</v>
      </c>
      <c r="B22" s="262" t="s">
        <v>1734</v>
      </c>
      <c r="C22" s="377" t="s">
        <v>2388</v>
      </c>
      <c r="D22" s="378" t="s">
        <v>2389</v>
      </c>
      <c r="E22" s="383"/>
      <c r="F22" s="383"/>
      <c r="G22" s="382" t="s">
        <v>2390</v>
      </c>
      <c r="H22" s="383"/>
      <c r="I22" s="262" t="s">
        <v>1734</v>
      </c>
      <c r="J22" s="262" t="s">
        <v>1734</v>
      </c>
      <c r="K22" s="383"/>
      <c r="L22" s="380"/>
      <c r="M22" s="380"/>
      <c r="N22" s="380"/>
      <c r="O22" s="381"/>
      <c r="P22" s="262"/>
      <c r="Q22" s="380"/>
      <c r="R22" s="380"/>
      <c r="S22" s="380"/>
      <c r="T22" s="379" t="s">
        <v>2391</v>
      </c>
      <c r="U22" s="380"/>
      <c r="V22" s="380"/>
      <c r="W22" s="380"/>
      <c r="X22" s="262"/>
      <c r="Y22" s="380"/>
      <c r="Z22" s="380"/>
      <c r="AA22" s="380"/>
      <c r="AB22" s="262" t="s">
        <v>1734</v>
      </c>
      <c r="AC22" s="380"/>
      <c r="AD22" s="380"/>
      <c r="AE22" s="380"/>
      <c r="AF22" s="380"/>
      <c r="AG22" s="262" t="s">
        <v>1734</v>
      </c>
      <c r="AH22" s="380"/>
      <c r="AI22" s="380"/>
      <c r="AJ22" s="380"/>
      <c r="AK22" s="380"/>
      <c r="AL22" s="380"/>
      <c r="AM22" s="380"/>
      <c r="AN22" s="380"/>
      <c r="AO22" s="380"/>
      <c r="AP22" s="262"/>
      <c r="AQ22" s="262"/>
      <c r="AR22" s="262"/>
      <c r="AS22" s="262"/>
      <c r="AT22" s="262"/>
      <c r="AU22" s="262" t="s">
        <v>1734</v>
      </c>
      <c r="AV22" s="380"/>
      <c r="AW22" s="379" t="s">
        <v>2392</v>
      </c>
      <c r="AX22" s="379" t="s">
        <v>2393</v>
      </c>
      <c r="AY22" s="379" t="s">
        <v>2229</v>
      </c>
      <c r="AZ22" s="379" t="s">
        <v>2394</v>
      </c>
      <c r="BA22" s="379" t="s">
        <v>2395</v>
      </c>
      <c r="BB22" s="380"/>
      <c r="BC22" s="380"/>
      <c r="BD22" s="380"/>
      <c r="BE22" s="262"/>
      <c r="BF22" s="262"/>
      <c r="BG22" s="262"/>
      <c r="BH22" s="262" t="s">
        <v>1734</v>
      </c>
      <c r="BI22" s="262"/>
      <c r="BJ22" s="262"/>
      <c r="BK22" s="262"/>
    </row>
    <row r="23" spans="1:63" ht="15.6" x14ac:dyDescent="0.3">
      <c r="A23" s="124" t="s">
        <v>1980</v>
      </c>
      <c r="B23" s="262"/>
      <c r="C23" s="377"/>
      <c r="D23" s="378"/>
      <c r="E23" s="383"/>
      <c r="F23" s="383"/>
      <c r="G23" s="383"/>
      <c r="H23" s="383"/>
      <c r="I23" s="262"/>
      <c r="J23" s="262"/>
      <c r="K23" s="383"/>
      <c r="L23" s="380"/>
      <c r="M23" s="380"/>
      <c r="N23" s="380"/>
      <c r="O23" s="262" t="s">
        <v>1734</v>
      </c>
      <c r="P23" s="262"/>
      <c r="Q23" s="381"/>
      <c r="R23" s="380"/>
      <c r="S23" s="380"/>
      <c r="T23" s="380"/>
      <c r="U23" s="380"/>
      <c r="V23" s="380"/>
      <c r="W23" s="380"/>
      <c r="X23" s="262"/>
      <c r="Y23" s="380"/>
      <c r="Z23" s="380"/>
      <c r="AA23" s="380"/>
      <c r="AB23" s="262"/>
      <c r="AC23" s="380"/>
      <c r="AD23" s="380"/>
      <c r="AE23" s="380"/>
      <c r="AF23" s="380"/>
      <c r="AG23" s="262"/>
      <c r="AH23" s="380"/>
      <c r="AI23" s="380"/>
      <c r="AJ23" s="380"/>
      <c r="AK23" s="380"/>
      <c r="AL23" s="380"/>
      <c r="AM23" s="380"/>
      <c r="AN23" s="380"/>
      <c r="AO23" s="380"/>
      <c r="AP23" s="262"/>
      <c r="AQ23" s="262"/>
      <c r="AR23" s="262"/>
      <c r="AS23" s="262"/>
      <c r="AT23" s="262"/>
      <c r="AU23" s="262"/>
      <c r="AV23" s="381"/>
      <c r="AW23" s="380"/>
      <c r="AX23" s="380"/>
      <c r="AY23" s="380"/>
      <c r="AZ23" s="380"/>
      <c r="BA23" s="380"/>
      <c r="BB23" s="380"/>
      <c r="BC23" s="380"/>
      <c r="BD23" s="380"/>
      <c r="BE23" s="262"/>
      <c r="BF23" s="262"/>
      <c r="BG23" s="262"/>
      <c r="BH23" s="262"/>
      <c r="BI23" s="262"/>
      <c r="BJ23" s="262"/>
      <c r="BK23" s="262"/>
    </row>
    <row r="24" spans="1:63" ht="15.75" customHeight="1" x14ac:dyDescent="0.3">
      <c r="A24" s="124" t="s">
        <v>1981</v>
      </c>
      <c r="B24" s="262"/>
      <c r="C24" s="377"/>
      <c r="D24" s="262" t="s">
        <v>1734</v>
      </c>
      <c r="E24" s="384"/>
      <c r="F24" s="384"/>
      <c r="G24" s="383"/>
      <c r="H24" s="384"/>
      <c r="I24" s="262"/>
      <c r="J24" s="262"/>
      <c r="K24" s="384"/>
      <c r="L24" s="381"/>
      <c r="M24" s="381"/>
      <c r="N24" s="380"/>
      <c r="O24" s="262"/>
      <c r="P24" s="262"/>
      <c r="Q24" s="262" t="s">
        <v>1734</v>
      </c>
      <c r="R24" s="380"/>
      <c r="S24" s="380"/>
      <c r="T24" s="380"/>
      <c r="U24" s="381"/>
      <c r="V24" s="381"/>
      <c r="W24" s="381"/>
      <c r="X24" s="262"/>
      <c r="Y24" s="381"/>
      <c r="Z24" s="381"/>
      <c r="AA24" s="381"/>
      <c r="AB24" s="262"/>
      <c r="AC24" s="380"/>
      <c r="AD24" s="381"/>
      <c r="AE24" s="381"/>
      <c r="AF24" s="381"/>
      <c r="AG24" s="262"/>
      <c r="AH24" s="381"/>
      <c r="AI24" s="381"/>
      <c r="AJ24" s="381"/>
      <c r="AK24" s="381"/>
      <c r="AL24" s="381"/>
      <c r="AM24" s="381"/>
      <c r="AN24" s="381"/>
      <c r="AO24" s="381"/>
      <c r="AP24" s="262"/>
      <c r="AQ24" s="262"/>
      <c r="AR24" s="262"/>
      <c r="AS24" s="262"/>
      <c r="AT24" s="262"/>
      <c r="AU24" s="262"/>
      <c r="AV24" s="262" t="s">
        <v>1734</v>
      </c>
      <c r="AW24" s="380"/>
      <c r="AX24" s="380"/>
      <c r="AY24" s="380"/>
      <c r="AZ24" s="380"/>
      <c r="BA24" s="380"/>
      <c r="BB24" s="381"/>
      <c r="BC24" s="381"/>
      <c r="BD24" s="381"/>
      <c r="BE24" s="262"/>
      <c r="BF24" s="262"/>
      <c r="BG24" s="262"/>
      <c r="BH24" s="262"/>
      <c r="BI24" s="262"/>
      <c r="BJ24" s="262"/>
      <c r="BK24" s="262"/>
    </row>
    <row r="25" spans="1:63" ht="15.6" x14ac:dyDescent="0.3">
      <c r="A25" s="124" t="s">
        <v>1982</v>
      </c>
      <c r="B25" s="262"/>
      <c r="C25" s="377"/>
      <c r="D25" s="262"/>
      <c r="E25" s="262" t="s">
        <v>1734</v>
      </c>
      <c r="F25" s="262" t="s">
        <v>1734</v>
      </c>
      <c r="G25" s="383"/>
      <c r="H25" s="262" t="s">
        <v>1734</v>
      </c>
      <c r="I25" s="262"/>
      <c r="J25" s="262"/>
      <c r="K25" s="262" t="s">
        <v>1734</v>
      </c>
      <c r="L25" s="262" t="s">
        <v>1734</v>
      </c>
      <c r="M25" s="262" t="s">
        <v>1734</v>
      </c>
      <c r="N25" s="380"/>
      <c r="O25" s="262"/>
      <c r="P25" s="262"/>
      <c r="Q25" s="262"/>
      <c r="R25" s="381"/>
      <c r="S25" s="381"/>
      <c r="T25" s="380"/>
      <c r="U25" s="262" t="s">
        <v>1734</v>
      </c>
      <c r="V25" s="262" t="s">
        <v>1734</v>
      </c>
      <c r="W25" s="262" t="s">
        <v>1734</v>
      </c>
      <c r="X25" s="262"/>
      <c r="Y25" s="262" t="s">
        <v>1734</v>
      </c>
      <c r="Z25" s="262" t="s">
        <v>1734</v>
      </c>
      <c r="AA25" s="262" t="s">
        <v>1734</v>
      </c>
      <c r="AB25" s="262"/>
      <c r="AC25" s="380"/>
      <c r="AD25" s="262" t="s">
        <v>1734</v>
      </c>
      <c r="AE25" s="262" t="s">
        <v>1734</v>
      </c>
      <c r="AF25" s="262" t="s">
        <v>1734</v>
      </c>
      <c r="AG25" s="262"/>
      <c r="AH25" s="262" t="s">
        <v>1734</v>
      </c>
      <c r="AI25" s="262" t="s">
        <v>1734</v>
      </c>
      <c r="AJ25" s="262" t="s">
        <v>1734</v>
      </c>
      <c r="AK25" s="262" t="s">
        <v>1734</v>
      </c>
      <c r="AL25" s="262" t="s">
        <v>1734</v>
      </c>
      <c r="AM25" s="262" t="s">
        <v>1734</v>
      </c>
      <c r="AN25" s="262" t="s">
        <v>1734</v>
      </c>
      <c r="AO25" s="262" t="s">
        <v>1734</v>
      </c>
      <c r="AP25" s="262"/>
      <c r="AQ25" s="262"/>
      <c r="AR25" s="262"/>
      <c r="AS25" s="262"/>
      <c r="AT25" s="262"/>
      <c r="AU25" s="262"/>
      <c r="AV25" s="262"/>
      <c r="AW25" s="380"/>
      <c r="AX25" s="380"/>
      <c r="AY25" s="380"/>
      <c r="AZ25" s="380"/>
      <c r="BA25" s="380"/>
      <c r="BB25" s="262" t="s">
        <v>1734</v>
      </c>
      <c r="BC25" s="262" t="s">
        <v>1734</v>
      </c>
      <c r="BD25" s="262" t="s">
        <v>1734</v>
      </c>
      <c r="BE25" s="262"/>
      <c r="BF25" s="262"/>
      <c r="BG25" s="262"/>
      <c r="BH25" s="262"/>
      <c r="BI25" s="262"/>
      <c r="BJ25" s="262"/>
      <c r="BK25" s="262"/>
    </row>
    <row r="26" spans="1:63" ht="15.6" x14ac:dyDescent="0.3">
      <c r="A26" s="124" t="s">
        <v>1983</v>
      </c>
      <c r="B26" s="262"/>
      <c r="C26" s="262" t="s">
        <v>1734</v>
      </c>
      <c r="D26" s="262"/>
      <c r="E26" s="262"/>
      <c r="F26" s="262"/>
      <c r="G26" s="383"/>
      <c r="H26" s="262"/>
      <c r="I26" s="262"/>
      <c r="J26" s="262"/>
      <c r="K26" s="262"/>
      <c r="L26" s="262"/>
      <c r="M26" s="262"/>
      <c r="N26" s="381"/>
      <c r="O26" s="262"/>
      <c r="P26" s="262"/>
      <c r="Q26" s="262"/>
      <c r="R26" s="262" t="s">
        <v>1734</v>
      </c>
      <c r="S26" s="262" t="s">
        <v>1734</v>
      </c>
      <c r="T26" s="380"/>
      <c r="U26" s="262"/>
      <c r="V26" s="262"/>
      <c r="W26" s="262"/>
      <c r="X26" s="262"/>
      <c r="Y26" s="262"/>
      <c r="Z26" s="262"/>
      <c r="AA26" s="262"/>
      <c r="AB26" s="262"/>
      <c r="AC26" s="381"/>
      <c r="AD26" s="262"/>
      <c r="AE26" s="262"/>
      <c r="AF26" s="262"/>
      <c r="AG26" s="262"/>
      <c r="AH26" s="262"/>
      <c r="AI26" s="262"/>
      <c r="AJ26" s="262"/>
      <c r="AK26" s="262"/>
      <c r="AL26" s="262"/>
      <c r="AM26" s="262"/>
      <c r="AN26" s="262"/>
      <c r="AO26" s="262"/>
      <c r="AP26" s="262"/>
      <c r="AQ26" s="262"/>
      <c r="AR26" s="262"/>
      <c r="AS26" s="262"/>
      <c r="AT26" s="262"/>
      <c r="AU26" s="262"/>
      <c r="AV26" s="262"/>
      <c r="AW26" s="380"/>
      <c r="AX26" s="380"/>
      <c r="AY26" s="380"/>
      <c r="AZ26" s="380"/>
      <c r="BA26" s="380"/>
      <c r="BB26" s="262"/>
      <c r="BC26" s="262"/>
      <c r="BD26" s="262"/>
      <c r="BE26" s="262"/>
      <c r="BF26" s="262"/>
      <c r="BG26" s="262"/>
      <c r="BH26" s="262"/>
      <c r="BI26" s="262"/>
      <c r="BJ26" s="262"/>
      <c r="BK26" s="262"/>
    </row>
    <row r="27" spans="1:63" ht="15.6" x14ac:dyDescent="0.3">
      <c r="A27" s="124" t="s">
        <v>1984</v>
      </c>
      <c r="B27" s="262"/>
      <c r="C27" s="262"/>
      <c r="D27" s="262"/>
      <c r="E27" s="262"/>
      <c r="F27" s="262"/>
      <c r="G27" s="384"/>
      <c r="H27" s="262"/>
      <c r="I27" s="262"/>
      <c r="J27" s="262"/>
      <c r="K27" s="262"/>
      <c r="L27" s="262"/>
      <c r="M27" s="262"/>
      <c r="N27" s="262" t="s">
        <v>1734</v>
      </c>
      <c r="O27" s="262"/>
      <c r="P27" s="262"/>
      <c r="Q27" s="262"/>
      <c r="R27" s="262"/>
      <c r="S27" s="262"/>
      <c r="T27" s="381"/>
      <c r="U27" s="262"/>
      <c r="V27" s="262"/>
      <c r="W27" s="262"/>
      <c r="X27" s="262"/>
      <c r="Y27" s="262"/>
      <c r="Z27" s="262"/>
      <c r="AA27" s="262"/>
      <c r="AB27" s="262"/>
      <c r="AC27" s="262" t="s">
        <v>1734</v>
      </c>
      <c r="AD27" s="262"/>
      <c r="AE27" s="262"/>
      <c r="AF27" s="262"/>
      <c r="AG27" s="262"/>
      <c r="AH27" s="262"/>
      <c r="AI27" s="262"/>
      <c r="AJ27" s="262"/>
      <c r="AK27" s="262"/>
      <c r="AL27" s="262"/>
      <c r="AM27" s="262"/>
      <c r="AN27" s="262"/>
      <c r="AO27" s="262"/>
      <c r="AP27" s="262"/>
      <c r="AQ27" s="262"/>
      <c r="AR27" s="262"/>
      <c r="AS27" s="262"/>
      <c r="AT27" s="262"/>
      <c r="AU27" s="262"/>
      <c r="AV27" s="262"/>
      <c r="AW27" s="381"/>
      <c r="AX27" s="381"/>
      <c r="AY27" s="381"/>
      <c r="AZ27" s="381"/>
      <c r="BA27" s="381"/>
      <c r="BB27" s="262"/>
      <c r="BC27" s="262"/>
      <c r="BD27" s="262"/>
      <c r="BE27" s="262"/>
      <c r="BF27" s="262"/>
      <c r="BG27" s="262"/>
      <c r="BH27" s="262"/>
      <c r="BI27" s="262"/>
      <c r="BJ27" s="262"/>
      <c r="BK27" s="262"/>
    </row>
    <row r="28" spans="1:63" ht="15.6" x14ac:dyDescent="0.3">
      <c r="A28" s="124" t="s">
        <v>1985</v>
      </c>
      <c r="B28" s="262"/>
      <c r="C28" s="262"/>
      <c r="D28" s="262"/>
      <c r="E28" s="262"/>
      <c r="F28" s="262"/>
      <c r="G28" s="262" t="s">
        <v>1734</v>
      </c>
      <c r="H28" s="262"/>
      <c r="I28" s="262"/>
      <c r="J28" s="262"/>
      <c r="K28" s="262"/>
      <c r="L28" s="262"/>
      <c r="M28" s="262"/>
      <c r="N28" s="262"/>
      <c r="O28" s="262"/>
      <c r="P28" s="262"/>
      <c r="Q28" s="262"/>
      <c r="R28" s="262"/>
      <c r="S28" s="262"/>
      <c r="T28" s="262" t="s">
        <v>1734</v>
      </c>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t="s">
        <v>1734</v>
      </c>
      <c r="AX28" s="262"/>
      <c r="AY28" s="262" t="s">
        <v>1734</v>
      </c>
      <c r="AZ28" s="262" t="s">
        <v>1734</v>
      </c>
      <c r="BA28" s="262" t="s">
        <v>1734</v>
      </c>
      <c r="BB28" s="262"/>
      <c r="BC28" s="262"/>
      <c r="BD28" s="262"/>
      <c r="BE28" s="262"/>
      <c r="BF28" s="262"/>
      <c r="BG28" s="262"/>
      <c r="BH28" s="262"/>
      <c r="BI28" s="262"/>
      <c r="BJ28" s="262"/>
      <c r="BK28" s="262"/>
    </row>
    <row r="29" spans="1:63" ht="15.6" x14ac:dyDescent="0.3">
      <c r="A29" s="124" t="s">
        <v>1986</v>
      </c>
      <c r="B29" s="262"/>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2"/>
      <c r="BD29" s="262"/>
      <c r="BE29" s="262"/>
      <c r="BF29" s="262"/>
      <c r="BG29" s="262"/>
      <c r="BH29" s="262"/>
      <c r="BI29" s="262"/>
      <c r="BJ29" s="262"/>
      <c r="BK29" s="262"/>
    </row>
    <row r="30" spans="1:63" ht="15.6" x14ac:dyDescent="0.3">
      <c r="A30" s="124" t="s">
        <v>1987</v>
      </c>
      <c r="B30" s="262"/>
      <c r="C30" s="262"/>
      <c r="D30" s="262"/>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row>
    <row r="31" spans="1:63" ht="15.6" x14ac:dyDescent="0.3">
      <c r="A31" s="126" t="s">
        <v>1988</v>
      </c>
      <c r="B31" s="264"/>
      <c r="C31" s="264"/>
      <c r="D31" s="264"/>
      <c r="E31" s="264"/>
      <c r="F31" s="264"/>
      <c r="G31" s="264"/>
      <c r="H31" s="264"/>
      <c r="I31" s="264"/>
      <c r="J31" s="264"/>
      <c r="K31" s="264"/>
      <c r="L31" s="264"/>
      <c r="M31" s="264"/>
      <c r="N31" s="264"/>
      <c r="O31" s="264"/>
      <c r="P31" s="264"/>
      <c r="Q31" s="264"/>
      <c r="R31" s="264"/>
      <c r="S31" s="264"/>
      <c r="T31" s="264"/>
      <c r="U31" s="264"/>
      <c r="V31" s="264"/>
      <c r="W31" s="264"/>
      <c r="X31" s="264"/>
      <c r="Y31" s="264"/>
      <c r="Z31" s="264"/>
      <c r="AA31" s="264"/>
      <c r="AB31" s="264"/>
      <c r="AC31" s="264"/>
      <c r="AD31" s="264"/>
      <c r="AE31" s="264"/>
      <c r="AF31" s="264"/>
      <c r="AG31" s="264"/>
      <c r="AH31" s="264"/>
      <c r="AI31" s="264"/>
      <c r="AJ31" s="264"/>
      <c r="AK31" s="264"/>
      <c r="AL31" s="264"/>
      <c r="AM31" s="264"/>
      <c r="AN31" s="264"/>
      <c r="AO31" s="264"/>
      <c r="AP31" s="264"/>
      <c r="AQ31" s="264"/>
      <c r="AR31" s="264"/>
      <c r="AS31" s="264"/>
      <c r="AT31" s="264"/>
      <c r="AU31" s="264"/>
      <c r="AV31" s="264"/>
      <c r="AW31" s="264"/>
      <c r="AX31" s="264"/>
      <c r="AY31" s="264"/>
      <c r="AZ31" s="264"/>
      <c r="BA31" s="264"/>
      <c r="BB31" s="264"/>
      <c r="BC31" s="264"/>
      <c r="BD31" s="264"/>
      <c r="BE31" s="264"/>
      <c r="BF31" s="264"/>
      <c r="BG31" s="264"/>
      <c r="BH31" s="264"/>
      <c r="BI31" s="264"/>
      <c r="BJ31" s="264"/>
      <c r="BK31" s="264"/>
    </row>
    <row r="32" spans="1:63" s="114" customFormat="1" ht="24" customHeight="1" x14ac:dyDescent="0.3">
      <c r="A32" s="111" t="s">
        <v>1989</v>
      </c>
      <c r="B32" s="112">
        <f t="shared" ref="B32:AG32" ca="1" si="0">IF(COUNTA(B$4:B$31)=0,"",(COUNTA(TIME)-COUNTIF(B$33:B$60,TRUE))/COUNTA(TIME))</f>
        <v>1</v>
      </c>
      <c r="C32" s="113">
        <f t="shared" ca="1" si="0"/>
        <v>1</v>
      </c>
      <c r="D32" s="113">
        <f t="shared" ca="1" si="0"/>
        <v>1</v>
      </c>
      <c r="E32" s="113">
        <f t="shared" ca="1" si="0"/>
        <v>1</v>
      </c>
      <c r="F32" s="113">
        <f t="shared" ca="1" si="0"/>
        <v>1</v>
      </c>
      <c r="G32" s="113">
        <f t="shared" ca="1" si="0"/>
        <v>1</v>
      </c>
      <c r="H32" s="113">
        <f t="shared" ca="1" si="0"/>
        <v>1</v>
      </c>
      <c r="I32" s="113">
        <f t="shared" ca="1" si="0"/>
        <v>1</v>
      </c>
      <c r="J32" s="113">
        <f t="shared" ca="1" si="0"/>
        <v>1</v>
      </c>
      <c r="K32" s="113">
        <f t="shared" ca="1" si="0"/>
        <v>1</v>
      </c>
      <c r="L32" s="113">
        <f t="shared" ca="1" si="0"/>
        <v>1</v>
      </c>
      <c r="M32" s="113">
        <f t="shared" ca="1" si="0"/>
        <v>1</v>
      </c>
      <c r="N32" s="113">
        <f t="shared" ca="1" si="0"/>
        <v>1</v>
      </c>
      <c r="O32" s="113">
        <f t="shared" ca="1" si="0"/>
        <v>1</v>
      </c>
      <c r="P32" s="113">
        <f t="shared" ca="1" si="0"/>
        <v>1</v>
      </c>
      <c r="Q32" s="113">
        <f t="shared" ca="1" si="0"/>
        <v>1</v>
      </c>
      <c r="R32" s="113">
        <f t="shared" ca="1" si="0"/>
        <v>1</v>
      </c>
      <c r="S32" s="113">
        <f t="shared" ca="1" si="0"/>
        <v>1</v>
      </c>
      <c r="T32" s="113">
        <f t="shared" ca="1" si="0"/>
        <v>1</v>
      </c>
      <c r="U32" s="113">
        <f t="shared" ca="1" si="0"/>
        <v>1</v>
      </c>
      <c r="V32" s="113">
        <f t="shared" ca="1" si="0"/>
        <v>1</v>
      </c>
      <c r="W32" s="113">
        <f t="shared" ca="1" si="0"/>
        <v>1</v>
      </c>
      <c r="X32" s="113">
        <f t="shared" ca="1" si="0"/>
        <v>1</v>
      </c>
      <c r="Y32" s="113">
        <f t="shared" ca="1" si="0"/>
        <v>1</v>
      </c>
      <c r="Z32" s="113">
        <f t="shared" ca="1" si="0"/>
        <v>1</v>
      </c>
      <c r="AA32" s="113">
        <f t="shared" ca="1" si="0"/>
        <v>1</v>
      </c>
      <c r="AB32" s="113">
        <f t="shared" ca="1" si="0"/>
        <v>1</v>
      </c>
      <c r="AC32" s="113">
        <f t="shared" ca="1" si="0"/>
        <v>1</v>
      </c>
      <c r="AD32" s="113">
        <f t="shared" ca="1" si="0"/>
        <v>1</v>
      </c>
      <c r="AE32" s="113">
        <f t="shared" ca="1" si="0"/>
        <v>1</v>
      </c>
      <c r="AF32" s="113">
        <f t="shared" ca="1" si="0"/>
        <v>1</v>
      </c>
      <c r="AG32" s="113">
        <f t="shared" ca="1" si="0"/>
        <v>1</v>
      </c>
      <c r="AH32" s="113">
        <f t="shared" ref="AH32:BK32" ca="1" si="1">IF(COUNTA(AH$4:AH$31)=0,"",(COUNTA(TIME)-COUNTIF(AH$33:AH$60,TRUE))/COUNTA(TIME))</f>
        <v>1</v>
      </c>
      <c r="AI32" s="113">
        <f t="shared" ca="1" si="1"/>
        <v>1</v>
      </c>
      <c r="AJ32" s="113">
        <f t="shared" ca="1" si="1"/>
        <v>1</v>
      </c>
      <c r="AK32" s="113">
        <f t="shared" ca="1" si="1"/>
        <v>1</v>
      </c>
      <c r="AL32" s="113">
        <f t="shared" ca="1" si="1"/>
        <v>1</v>
      </c>
      <c r="AM32" s="113">
        <f t="shared" ca="1" si="1"/>
        <v>1</v>
      </c>
      <c r="AN32" s="113">
        <f t="shared" ca="1" si="1"/>
        <v>1</v>
      </c>
      <c r="AO32" s="113">
        <f t="shared" ca="1" si="1"/>
        <v>1</v>
      </c>
      <c r="AP32" s="113" t="str">
        <f t="shared" si="1"/>
        <v/>
      </c>
      <c r="AQ32" s="113" t="str">
        <f t="shared" si="1"/>
        <v/>
      </c>
      <c r="AR32" s="113" t="str">
        <f t="shared" si="1"/>
        <v/>
      </c>
      <c r="AS32" s="113" t="str">
        <f t="shared" si="1"/>
        <v/>
      </c>
      <c r="AT32" s="113" t="str">
        <f t="shared" si="1"/>
        <v/>
      </c>
      <c r="AU32" s="113">
        <f t="shared" ca="1" si="1"/>
        <v>1</v>
      </c>
      <c r="AV32" s="113">
        <f t="shared" ca="1" si="1"/>
        <v>1</v>
      </c>
      <c r="AW32" s="113">
        <f t="shared" ca="1" si="1"/>
        <v>1</v>
      </c>
      <c r="AX32" s="113">
        <f t="shared" ca="1" si="1"/>
        <v>1</v>
      </c>
      <c r="AY32" s="113">
        <f t="shared" ca="1" si="1"/>
        <v>1</v>
      </c>
      <c r="AZ32" s="113">
        <f t="shared" ca="1" si="1"/>
        <v>1</v>
      </c>
      <c r="BA32" s="113">
        <f t="shared" ca="1" si="1"/>
        <v>1</v>
      </c>
      <c r="BB32" s="113">
        <f t="shared" ca="1" si="1"/>
        <v>1</v>
      </c>
      <c r="BC32" s="113">
        <f t="shared" ca="1" si="1"/>
        <v>1</v>
      </c>
      <c r="BD32" s="113">
        <f t="shared" ca="1" si="1"/>
        <v>1</v>
      </c>
      <c r="BE32" s="113">
        <f t="shared" ca="1" si="1"/>
        <v>1</v>
      </c>
      <c r="BF32" s="113">
        <f t="shared" ca="1" si="1"/>
        <v>1</v>
      </c>
      <c r="BG32" s="113">
        <f t="shared" ca="1" si="1"/>
        <v>1</v>
      </c>
      <c r="BH32" s="113">
        <f t="shared" ca="1" si="1"/>
        <v>1</v>
      </c>
      <c r="BI32" s="113" t="str">
        <f t="shared" si="1"/>
        <v/>
      </c>
      <c r="BJ32" s="113" t="str">
        <f t="shared" si="1"/>
        <v/>
      </c>
      <c r="BK32" s="113" t="str">
        <f t="shared" si="1"/>
        <v/>
      </c>
    </row>
    <row r="33" spans="2:63" x14ac:dyDescent="0.3">
      <c r="B33" s="128" t="e" cm="1">
        <f t="array" aca="1" ref="B33" ca="1">Notmerged(B4)</f>
        <v>#NAME?</v>
      </c>
      <c r="C33" s="128" t="e" cm="1">
        <f t="array" aca="1" ref="C33" ca="1">Notmerged(C4)</f>
        <v>#NAME?</v>
      </c>
      <c r="D33" s="128" t="e" cm="1">
        <f t="array" aca="1" ref="D33" ca="1">Notmerged(D4)</f>
        <v>#NAME?</v>
      </c>
      <c r="E33" s="128" t="e" cm="1">
        <f t="array" aca="1" ref="E33" ca="1">Notmerged(E4)</f>
        <v>#NAME?</v>
      </c>
      <c r="F33" s="128" t="e" cm="1">
        <f t="array" aca="1" ref="F33" ca="1">Notmerged(F4)</f>
        <v>#NAME?</v>
      </c>
      <c r="G33" s="128" t="e" cm="1">
        <f t="array" aca="1" ref="G33" ca="1">Notmerged(G4)</f>
        <v>#NAME?</v>
      </c>
      <c r="H33" s="128" t="e" cm="1">
        <f t="array" aca="1" ref="H33" ca="1">Notmerged(H4)</f>
        <v>#NAME?</v>
      </c>
      <c r="I33" s="128" t="e" cm="1">
        <f t="array" aca="1" ref="I33" ca="1">Notmerged(I4)</f>
        <v>#NAME?</v>
      </c>
      <c r="J33" s="128" t="e" cm="1">
        <f t="array" aca="1" ref="J33" ca="1">Notmerged(J4)</f>
        <v>#NAME?</v>
      </c>
      <c r="K33" s="128" t="e" cm="1">
        <f t="array" aca="1" ref="K33" ca="1">Notmerged(K4)</f>
        <v>#NAME?</v>
      </c>
      <c r="L33" s="128" t="e" cm="1">
        <f t="array" aca="1" ref="L33" ca="1">Notmerged(L4)</f>
        <v>#NAME?</v>
      </c>
      <c r="M33" s="128" t="e" cm="1">
        <f t="array" aca="1" ref="M33" ca="1">Notmerged(M4)</f>
        <v>#NAME?</v>
      </c>
      <c r="N33" s="128" t="e" cm="1">
        <f t="array" aca="1" ref="N33" ca="1">Notmerged(N4)</f>
        <v>#NAME?</v>
      </c>
      <c r="O33" s="128" t="e" cm="1">
        <f t="array" aca="1" ref="O33" ca="1">Notmerged(O4)</f>
        <v>#NAME?</v>
      </c>
      <c r="P33" s="128" t="e" cm="1">
        <f t="array" aca="1" ref="P33" ca="1">Notmerged(P4)</f>
        <v>#NAME?</v>
      </c>
      <c r="Q33" s="128" t="e" cm="1">
        <f t="array" aca="1" ref="Q33" ca="1">Notmerged(Q4)</f>
        <v>#NAME?</v>
      </c>
      <c r="R33" s="128" t="e" cm="1">
        <f t="array" aca="1" ref="R33" ca="1">Notmerged(R4)</f>
        <v>#NAME?</v>
      </c>
      <c r="S33" s="128" t="e" cm="1">
        <f t="array" aca="1" ref="S33" ca="1">Notmerged(S4)</f>
        <v>#NAME?</v>
      </c>
      <c r="T33" s="128" t="e" cm="1">
        <f t="array" aca="1" ref="T33" ca="1">Notmerged(T4)</f>
        <v>#NAME?</v>
      </c>
      <c r="U33" s="128" t="e" cm="1">
        <f t="array" aca="1" ref="U33" ca="1">Notmerged(U4)</f>
        <v>#NAME?</v>
      </c>
      <c r="V33" s="128" t="e" cm="1">
        <f t="array" aca="1" ref="V33" ca="1">Notmerged(V4)</f>
        <v>#NAME?</v>
      </c>
      <c r="W33" s="128" t="e" cm="1">
        <f t="array" aca="1" ref="W33" ca="1">Notmerged(W4)</f>
        <v>#NAME?</v>
      </c>
      <c r="X33" s="128" t="e" cm="1">
        <f t="array" aca="1" ref="X33" ca="1">Notmerged(X4)</f>
        <v>#NAME?</v>
      </c>
      <c r="Y33" s="128" t="e" cm="1">
        <f t="array" aca="1" ref="Y33" ca="1">Notmerged(Y4)</f>
        <v>#NAME?</v>
      </c>
      <c r="Z33" s="128" t="e" cm="1">
        <f t="array" aca="1" ref="Z33" ca="1">Notmerged(Z4)</f>
        <v>#NAME?</v>
      </c>
      <c r="AA33" s="128" t="e" cm="1">
        <f t="array" aca="1" ref="AA33" ca="1">Notmerged(AA4)</f>
        <v>#NAME?</v>
      </c>
      <c r="AB33" s="128" t="e" cm="1">
        <f t="array" aca="1" ref="AB33" ca="1">Notmerged(AB4)</f>
        <v>#NAME?</v>
      </c>
      <c r="AC33" s="128" t="e" cm="1">
        <f t="array" aca="1" ref="AC33" ca="1">Notmerged(AC4)</f>
        <v>#NAME?</v>
      </c>
      <c r="AD33" s="128" t="e" cm="1">
        <f t="array" aca="1" ref="AD33" ca="1">Notmerged(AD4)</f>
        <v>#NAME?</v>
      </c>
      <c r="AE33" s="128" t="e" cm="1">
        <f t="array" aca="1" ref="AE33" ca="1">Notmerged(AE4)</f>
        <v>#NAME?</v>
      </c>
      <c r="AF33" s="128" t="e" cm="1">
        <f t="array" aca="1" ref="AF33" ca="1">Notmerged(AF4)</f>
        <v>#NAME?</v>
      </c>
      <c r="AG33" s="128" t="e" cm="1">
        <f t="array" aca="1" ref="AG33" ca="1">Notmerged(AG4)</f>
        <v>#NAME?</v>
      </c>
      <c r="AH33" s="128" t="e" cm="1">
        <f t="array" aca="1" ref="AH33" ca="1">Notmerged(AH4)</f>
        <v>#NAME?</v>
      </c>
      <c r="AI33" s="128" t="e" cm="1">
        <f t="array" aca="1" ref="AI33" ca="1">Notmerged(AI4)</f>
        <v>#NAME?</v>
      </c>
      <c r="AJ33" s="128" t="e" cm="1">
        <f t="array" aca="1" ref="AJ33" ca="1">Notmerged(AJ4)</f>
        <v>#NAME?</v>
      </c>
      <c r="AK33" s="128" t="e" cm="1">
        <f t="array" aca="1" ref="AK33" ca="1">Notmerged(AK4)</f>
        <v>#NAME?</v>
      </c>
      <c r="AL33" s="128" t="e" cm="1">
        <f t="array" aca="1" ref="AL33" ca="1">Notmerged(AL4)</f>
        <v>#NAME?</v>
      </c>
      <c r="AM33" s="128" t="e" cm="1">
        <f t="array" aca="1" ref="AM33" ca="1">Notmerged(AM4)</f>
        <v>#NAME?</v>
      </c>
      <c r="AN33" s="128" t="e" cm="1">
        <f t="array" aca="1" ref="AN33" ca="1">Notmerged(AN4)</f>
        <v>#NAME?</v>
      </c>
      <c r="AO33" s="128" t="e" cm="1">
        <f t="array" aca="1" ref="AO33" ca="1">Notmerged(AO4)</f>
        <v>#NAME?</v>
      </c>
      <c r="AP33" s="128" t="e" cm="1">
        <f t="array" aca="1" ref="AP33" ca="1">Notmerged(AP4)</f>
        <v>#NAME?</v>
      </c>
      <c r="AQ33" s="128" t="e" cm="1">
        <f t="array" aca="1" ref="AQ33" ca="1">Notmerged(AQ4)</f>
        <v>#NAME?</v>
      </c>
      <c r="AR33" s="128" t="e" cm="1">
        <f t="array" aca="1" ref="AR33" ca="1">Notmerged(AR4)</f>
        <v>#NAME?</v>
      </c>
      <c r="AS33" s="128" t="e" cm="1">
        <f t="array" aca="1" ref="AS33" ca="1">Notmerged(AS4)</f>
        <v>#NAME?</v>
      </c>
      <c r="AT33" s="128" t="e" cm="1">
        <f t="array" aca="1" ref="AT33" ca="1">Notmerged(AT4)</f>
        <v>#NAME?</v>
      </c>
      <c r="AU33" s="128" t="e" cm="1">
        <f t="array" aca="1" ref="AU33" ca="1">Notmerged(AU4)</f>
        <v>#NAME?</v>
      </c>
      <c r="AV33" s="128" t="e" cm="1">
        <f t="array" aca="1" ref="AV33" ca="1">Notmerged(AV4)</f>
        <v>#NAME?</v>
      </c>
      <c r="AW33" s="128" t="e" cm="1">
        <f t="array" aca="1" ref="AW33" ca="1">Notmerged(AW4)</f>
        <v>#NAME?</v>
      </c>
      <c r="AX33" s="128" t="e" cm="1">
        <f t="array" aca="1" ref="AX33" ca="1">Notmerged(AX4)</f>
        <v>#NAME?</v>
      </c>
      <c r="AY33" s="128" t="e" cm="1">
        <f t="array" aca="1" ref="AY33" ca="1">Notmerged(AY4)</f>
        <v>#NAME?</v>
      </c>
      <c r="AZ33" s="128" t="e" cm="1">
        <f t="array" aca="1" ref="AZ33" ca="1">Notmerged(AZ4)</f>
        <v>#NAME?</v>
      </c>
      <c r="BA33" s="128" t="e" cm="1">
        <f t="array" aca="1" ref="BA33" ca="1">Notmerged(BA4)</f>
        <v>#NAME?</v>
      </c>
      <c r="BB33" s="128" t="e" cm="1">
        <f t="array" aca="1" ref="BB33" ca="1">Notmerged(BB4)</f>
        <v>#NAME?</v>
      </c>
      <c r="BC33" s="128" t="e" cm="1">
        <f t="array" aca="1" ref="BC33" ca="1">Notmerged(BC4)</f>
        <v>#NAME?</v>
      </c>
      <c r="BD33" s="128" t="e" cm="1">
        <f t="array" aca="1" ref="BD33" ca="1">Notmerged(BD4)</f>
        <v>#NAME?</v>
      </c>
      <c r="BE33" s="128" t="e" cm="1">
        <f t="array" aca="1" ref="BE33" ca="1">Notmerged(BE4)</f>
        <v>#NAME?</v>
      </c>
      <c r="BF33" s="128" t="e" cm="1">
        <f t="array" aca="1" ref="BF33" ca="1">Notmerged(BF4)</f>
        <v>#NAME?</v>
      </c>
      <c r="BG33" s="128" t="e" cm="1">
        <f t="array" aca="1" ref="BG33" ca="1">Notmerged(BG4)</f>
        <v>#NAME?</v>
      </c>
      <c r="BH33" s="128" t="e" cm="1">
        <f t="array" aca="1" ref="BH33" ca="1">Notmerged(BH4)</f>
        <v>#NAME?</v>
      </c>
      <c r="BI33" s="128" t="e" cm="1">
        <f t="array" aca="1" ref="BI33" ca="1">Notmerged(BI4)</f>
        <v>#NAME?</v>
      </c>
      <c r="BJ33" s="128" t="e" cm="1">
        <f t="array" aca="1" ref="BJ33" ca="1">Notmerged(BJ4)</f>
        <v>#NAME?</v>
      </c>
      <c r="BK33" s="128" t="e" cm="1">
        <f t="array" aca="1" ref="BK33" ca="1">Notmerged(BK4)</f>
        <v>#NAME?</v>
      </c>
    </row>
    <row r="34" spans="2:63" x14ac:dyDescent="0.3">
      <c r="B34" s="128" t="e" cm="1">
        <f t="array" aca="1" ref="B34" ca="1">Notmerged(B5)</f>
        <v>#NAME?</v>
      </c>
      <c r="C34" s="128" t="e" cm="1">
        <f t="array" aca="1" ref="C34" ca="1">Notmerged(C5)</f>
        <v>#NAME?</v>
      </c>
      <c r="D34" s="128" t="e" cm="1">
        <f t="array" aca="1" ref="D34" ca="1">Notmerged(D5)</f>
        <v>#NAME?</v>
      </c>
      <c r="E34" s="128" t="e" cm="1">
        <f t="array" aca="1" ref="E34" ca="1">Notmerged(E5)</f>
        <v>#NAME?</v>
      </c>
      <c r="F34" s="128" t="e" cm="1">
        <f t="array" aca="1" ref="F34" ca="1">Notmerged(F5)</f>
        <v>#NAME?</v>
      </c>
      <c r="G34" s="128" t="e" cm="1">
        <f t="array" aca="1" ref="G34" ca="1">Notmerged(G5)</f>
        <v>#NAME?</v>
      </c>
      <c r="H34" s="128" t="e" cm="1">
        <f t="array" aca="1" ref="H34" ca="1">Notmerged(H5)</f>
        <v>#NAME?</v>
      </c>
      <c r="I34" s="128" t="e" cm="1">
        <f t="array" aca="1" ref="I34" ca="1">Notmerged(I5)</f>
        <v>#NAME?</v>
      </c>
      <c r="J34" s="128" t="e" cm="1">
        <f t="array" aca="1" ref="J34" ca="1">Notmerged(J5)</f>
        <v>#NAME?</v>
      </c>
      <c r="K34" s="128" t="e" cm="1">
        <f t="array" aca="1" ref="K34" ca="1">Notmerged(K5)</f>
        <v>#NAME?</v>
      </c>
      <c r="L34" s="128" t="e" cm="1">
        <f t="array" aca="1" ref="L34" ca="1">Notmerged(L5)</f>
        <v>#NAME?</v>
      </c>
      <c r="M34" s="128" t="e" cm="1">
        <f t="array" aca="1" ref="M34" ca="1">Notmerged(M5)</f>
        <v>#NAME?</v>
      </c>
      <c r="N34" s="128" t="e" cm="1">
        <f t="array" aca="1" ref="N34" ca="1">Notmerged(N5)</f>
        <v>#NAME?</v>
      </c>
      <c r="O34" s="128" t="e" cm="1">
        <f t="array" aca="1" ref="O34" ca="1">Notmerged(O5)</f>
        <v>#NAME?</v>
      </c>
      <c r="P34" s="128" t="e" cm="1">
        <f t="array" aca="1" ref="P34" ca="1">Notmerged(P5)</f>
        <v>#NAME?</v>
      </c>
      <c r="Q34" s="128" t="e" cm="1">
        <f t="array" aca="1" ref="Q34" ca="1">Notmerged(Q5)</f>
        <v>#NAME?</v>
      </c>
      <c r="R34" s="128" t="e" cm="1">
        <f t="array" aca="1" ref="R34" ca="1">Notmerged(R5)</f>
        <v>#NAME?</v>
      </c>
      <c r="S34" s="128" t="e" cm="1">
        <f t="array" aca="1" ref="S34" ca="1">Notmerged(S5)</f>
        <v>#NAME?</v>
      </c>
      <c r="T34" s="128" t="e" cm="1">
        <f t="array" aca="1" ref="T34" ca="1">Notmerged(T5)</f>
        <v>#NAME?</v>
      </c>
      <c r="U34" s="128" t="e" cm="1">
        <f t="array" aca="1" ref="U34" ca="1">Notmerged(U5)</f>
        <v>#NAME?</v>
      </c>
      <c r="V34" s="128" t="e" cm="1">
        <f t="array" aca="1" ref="V34" ca="1">Notmerged(V5)</f>
        <v>#NAME?</v>
      </c>
      <c r="W34" s="128" t="e" cm="1">
        <f t="array" aca="1" ref="W34" ca="1">Notmerged(W5)</f>
        <v>#NAME?</v>
      </c>
      <c r="X34" s="128" t="e" cm="1">
        <f t="array" aca="1" ref="X34" ca="1">Notmerged(X5)</f>
        <v>#NAME?</v>
      </c>
      <c r="Y34" s="128" t="e" cm="1">
        <f t="array" aca="1" ref="Y34" ca="1">Notmerged(Y5)</f>
        <v>#NAME?</v>
      </c>
      <c r="Z34" s="128" t="e" cm="1">
        <f t="array" aca="1" ref="Z34" ca="1">Notmerged(Z5)</f>
        <v>#NAME?</v>
      </c>
      <c r="AA34" s="128" t="e" cm="1">
        <f t="array" aca="1" ref="AA34" ca="1">Notmerged(AA5)</f>
        <v>#NAME?</v>
      </c>
      <c r="AB34" s="128" t="e" cm="1">
        <f t="array" aca="1" ref="AB34" ca="1">Notmerged(AB5)</f>
        <v>#NAME?</v>
      </c>
      <c r="AC34" s="128" t="e" cm="1">
        <f t="array" aca="1" ref="AC34" ca="1">Notmerged(AC5)</f>
        <v>#NAME?</v>
      </c>
      <c r="AD34" s="128" t="e" cm="1">
        <f t="array" aca="1" ref="AD34" ca="1">Notmerged(AD5)</f>
        <v>#NAME?</v>
      </c>
      <c r="AE34" s="128" t="e" cm="1">
        <f t="array" aca="1" ref="AE34" ca="1">Notmerged(AE5)</f>
        <v>#NAME?</v>
      </c>
      <c r="AF34" s="128" t="e" cm="1">
        <f t="array" aca="1" ref="AF34" ca="1">Notmerged(AF5)</f>
        <v>#NAME?</v>
      </c>
      <c r="AG34" s="128" t="e" cm="1">
        <f t="array" aca="1" ref="AG34" ca="1">Notmerged(AG5)</f>
        <v>#NAME?</v>
      </c>
      <c r="AH34" s="128" t="e" cm="1">
        <f t="array" aca="1" ref="AH34" ca="1">Notmerged(AH5)</f>
        <v>#NAME?</v>
      </c>
      <c r="AI34" s="128" t="e" cm="1">
        <f t="array" aca="1" ref="AI34" ca="1">Notmerged(AI5)</f>
        <v>#NAME?</v>
      </c>
      <c r="AJ34" s="128" t="e" cm="1">
        <f t="array" aca="1" ref="AJ34" ca="1">Notmerged(AJ5)</f>
        <v>#NAME?</v>
      </c>
      <c r="AK34" s="128" t="e" cm="1">
        <f t="array" aca="1" ref="AK34" ca="1">Notmerged(AK5)</f>
        <v>#NAME?</v>
      </c>
      <c r="AL34" s="128" t="e" cm="1">
        <f t="array" aca="1" ref="AL34" ca="1">Notmerged(AL5)</f>
        <v>#NAME?</v>
      </c>
      <c r="AM34" s="128" t="e" cm="1">
        <f t="array" aca="1" ref="AM34" ca="1">Notmerged(AM5)</f>
        <v>#NAME?</v>
      </c>
      <c r="AN34" s="128" t="e" cm="1">
        <f t="array" aca="1" ref="AN34" ca="1">Notmerged(AN5)</f>
        <v>#NAME?</v>
      </c>
      <c r="AO34" s="128" t="e" cm="1">
        <f t="array" aca="1" ref="AO34" ca="1">Notmerged(AO5)</f>
        <v>#NAME?</v>
      </c>
      <c r="AP34" s="128" t="e" cm="1">
        <f t="array" aca="1" ref="AP34" ca="1">Notmerged(AP5)</f>
        <v>#NAME?</v>
      </c>
      <c r="AQ34" s="128" t="e" cm="1">
        <f t="array" aca="1" ref="AQ34" ca="1">Notmerged(AQ5)</f>
        <v>#NAME?</v>
      </c>
      <c r="AR34" s="128" t="e" cm="1">
        <f t="array" aca="1" ref="AR34" ca="1">Notmerged(AR5)</f>
        <v>#NAME?</v>
      </c>
      <c r="AS34" s="128" t="e" cm="1">
        <f t="array" aca="1" ref="AS34" ca="1">Notmerged(AS5)</f>
        <v>#NAME?</v>
      </c>
      <c r="AT34" s="128" t="e" cm="1">
        <f t="array" aca="1" ref="AT34" ca="1">Notmerged(AT5)</f>
        <v>#NAME?</v>
      </c>
      <c r="AU34" s="128" t="e" cm="1">
        <f t="array" aca="1" ref="AU34" ca="1">Notmerged(AU5)</f>
        <v>#NAME?</v>
      </c>
      <c r="AV34" s="128" t="e" cm="1">
        <f t="array" aca="1" ref="AV34" ca="1">Notmerged(AV5)</f>
        <v>#NAME?</v>
      </c>
      <c r="AW34" s="128" t="e" cm="1">
        <f t="array" aca="1" ref="AW34" ca="1">Notmerged(AW5)</f>
        <v>#NAME?</v>
      </c>
      <c r="AX34" s="128" t="e" cm="1">
        <f t="array" aca="1" ref="AX34" ca="1">Notmerged(AX5)</f>
        <v>#NAME?</v>
      </c>
      <c r="AY34" s="128" t="e" cm="1">
        <f t="array" aca="1" ref="AY34" ca="1">Notmerged(AY5)</f>
        <v>#NAME?</v>
      </c>
      <c r="AZ34" s="128" t="e" cm="1">
        <f t="array" aca="1" ref="AZ34" ca="1">Notmerged(AZ5)</f>
        <v>#NAME?</v>
      </c>
      <c r="BA34" s="128" t="e" cm="1">
        <f t="array" aca="1" ref="BA34" ca="1">Notmerged(BA5)</f>
        <v>#NAME?</v>
      </c>
      <c r="BB34" s="128" t="e" cm="1">
        <f t="array" aca="1" ref="BB34" ca="1">Notmerged(BB5)</f>
        <v>#NAME?</v>
      </c>
      <c r="BC34" s="128" t="e" cm="1">
        <f t="array" aca="1" ref="BC34" ca="1">Notmerged(BC5)</f>
        <v>#NAME?</v>
      </c>
      <c r="BD34" s="128" t="e" cm="1">
        <f t="array" aca="1" ref="BD34" ca="1">Notmerged(BD5)</f>
        <v>#NAME?</v>
      </c>
      <c r="BE34" s="128" t="e" cm="1">
        <f t="array" aca="1" ref="BE34" ca="1">Notmerged(BE5)</f>
        <v>#NAME?</v>
      </c>
      <c r="BF34" s="128" t="e" cm="1">
        <f t="array" aca="1" ref="BF34" ca="1">Notmerged(BF5)</f>
        <v>#NAME?</v>
      </c>
      <c r="BG34" s="128" t="e" cm="1">
        <f t="array" aca="1" ref="BG34" ca="1">Notmerged(BG5)</f>
        <v>#NAME?</v>
      </c>
      <c r="BH34" s="128" t="e" cm="1">
        <f t="array" aca="1" ref="BH34" ca="1">Notmerged(BH5)</f>
        <v>#NAME?</v>
      </c>
      <c r="BI34" s="128" t="e" cm="1">
        <f t="array" aca="1" ref="BI34" ca="1">Notmerged(BI5)</f>
        <v>#NAME?</v>
      </c>
      <c r="BJ34" s="128" t="e" cm="1">
        <f t="array" aca="1" ref="BJ34" ca="1">Notmerged(BJ5)</f>
        <v>#NAME?</v>
      </c>
      <c r="BK34" s="128" t="e" cm="1">
        <f t="array" aca="1" ref="BK34" ca="1">Notmerged(BK5)</f>
        <v>#NAME?</v>
      </c>
    </row>
    <row r="35" spans="2:63" x14ac:dyDescent="0.3">
      <c r="B35" s="128" t="e" cm="1">
        <f t="array" aca="1" ref="B35" ca="1">Notmerged(B6)</f>
        <v>#NAME?</v>
      </c>
      <c r="C35" s="128" t="e" cm="1">
        <f t="array" aca="1" ref="C35" ca="1">Notmerged(C6)</f>
        <v>#NAME?</v>
      </c>
      <c r="D35" s="128" t="e" cm="1">
        <f t="array" aca="1" ref="D35" ca="1">Notmerged(D6)</f>
        <v>#NAME?</v>
      </c>
      <c r="E35" s="128" t="e" cm="1">
        <f t="array" aca="1" ref="E35" ca="1">Notmerged(E6)</f>
        <v>#NAME?</v>
      </c>
      <c r="F35" s="128" t="e" cm="1">
        <f t="array" aca="1" ref="F35" ca="1">Notmerged(F6)</f>
        <v>#NAME?</v>
      </c>
      <c r="G35" s="128" t="e" cm="1">
        <f t="array" aca="1" ref="G35" ca="1">Notmerged(G6)</f>
        <v>#NAME?</v>
      </c>
      <c r="H35" s="128" t="e" cm="1">
        <f t="array" aca="1" ref="H35" ca="1">Notmerged(H6)</f>
        <v>#NAME?</v>
      </c>
      <c r="I35" s="128" t="e" cm="1">
        <f t="array" aca="1" ref="I35" ca="1">Notmerged(I6)</f>
        <v>#NAME?</v>
      </c>
      <c r="J35" s="128" t="e" cm="1">
        <f t="array" aca="1" ref="J35" ca="1">Notmerged(J6)</f>
        <v>#NAME?</v>
      </c>
      <c r="K35" s="128" t="e" cm="1">
        <f t="array" aca="1" ref="K35" ca="1">Notmerged(K6)</f>
        <v>#NAME?</v>
      </c>
      <c r="L35" s="128" t="e" cm="1">
        <f t="array" aca="1" ref="L35" ca="1">Notmerged(L6)</f>
        <v>#NAME?</v>
      </c>
      <c r="M35" s="128" t="e" cm="1">
        <f t="array" aca="1" ref="M35" ca="1">Notmerged(M6)</f>
        <v>#NAME?</v>
      </c>
      <c r="N35" s="128" t="e" cm="1">
        <f t="array" aca="1" ref="N35" ca="1">Notmerged(N6)</f>
        <v>#NAME?</v>
      </c>
      <c r="O35" s="128" t="e" cm="1">
        <f t="array" aca="1" ref="O35" ca="1">Notmerged(O6)</f>
        <v>#NAME?</v>
      </c>
      <c r="P35" s="128" t="e" cm="1">
        <f t="array" aca="1" ref="P35" ca="1">Notmerged(P6)</f>
        <v>#NAME?</v>
      </c>
      <c r="Q35" s="128" t="e" cm="1">
        <f t="array" aca="1" ref="Q35" ca="1">Notmerged(Q6)</f>
        <v>#NAME?</v>
      </c>
      <c r="R35" s="128" t="e" cm="1">
        <f t="array" aca="1" ref="R35" ca="1">Notmerged(R6)</f>
        <v>#NAME?</v>
      </c>
      <c r="S35" s="128" t="e" cm="1">
        <f t="array" aca="1" ref="S35" ca="1">Notmerged(S6)</f>
        <v>#NAME?</v>
      </c>
      <c r="T35" s="128" t="e" cm="1">
        <f t="array" aca="1" ref="T35" ca="1">Notmerged(T6)</f>
        <v>#NAME?</v>
      </c>
      <c r="U35" s="128" t="e" cm="1">
        <f t="array" aca="1" ref="U35" ca="1">Notmerged(U6)</f>
        <v>#NAME?</v>
      </c>
      <c r="V35" s="128" t="e" cm="1">
        <f t="array" aca="1" ref="V35" ca="1">Notmerged(V6)</f>
        <v>#NAME?</v>
      </c>
      <c r="W35" s="128" t="e" cm="1">
        <f t="array" aca="1" ref="W35" ca="1">Notmerged(W6)</f>
        <v>#NAME?</v>
      </c>
      <c r="X35" s="128" t="e" cm="1">
        <f t="array" aca="1" ref="X35" ca="1">Notmerged(X6)</f>
        <v>#NAME?</v>
      </c>
      <c r="Y35" s="128" t="e" cm="1">
        <f t="array" aca="1" ref="Y35" ca="1">Notmerged(Y6)</f>
        <v>#NAME?</v>
      </c>
      <c r="Z35" s="128" t="e" cm="1">
        <f t="array" aca="1" ref="Z35" ca="1">Notmerged(Z6)</f>
        <v>#NAME?</v>
      </c>
      <c r="AA35" s="128" t="e" cm="1">
        <f t="array" aca="1" ref="AA35" ca="1">Notmerged(AA6)</f>
        <v>#NAME?</v>
      </c>
      <c r="AB35" s="128" t="e" cm="1">
        <f t="array" aca="1" ref="AB35" ca="1">Notmerged(AB6)</f>
        <v>#NAME?</v>
      </c>
      <c r="AC35" s="128" t="e" cm="1">
        <f t="array" aca="1" ref="AC35" ca="1">Notmerged(AC6)</f>
        <v>#NAME?</v>
      </c>
      <c r="AD35" s="128" t="e" cm="1">
        <f t="array" aca="1" ref="AD35" ca="1">Notmerged(AD6)</f>
        <v>#NAME?</v>
      </c>
      <c r="AE35" s="128" t="e" cm="1">
        <f t="array" aca="1" ref="AE35" ca="1">Notmerged(AE6)</f>
        <v>#NAME?</v>
      </c>
      <c r="AF35" s="128" t="e" cm="1">
        <f t="array" aca="1" ref="AF35" ca="1">Notmerged(AF6)</f>
        <v>#NAME?</v>
      </c>
      <c r="AG35" s="128" t="e" cm="1">
        <f t="array" aca="1" ref="AG35" ca="1">Notmerged(AG6)</f>
        <v>#NAME?</v>
      </c>
      <c r="AH35" s="128" t="e" cm="1">
        <f t="array" aca="1" ref="AH35" ca="1">Notmerged(AH6)</f>
        <v>#NAME?</v>
      </c>
      <c r="AI35" s="128" t="e" cm="1">
        <f t="array" aca="1" ref="AI35" ca="1">Notmerged(AI6)</f>
        <v>#NAME?</v>
      </c>
      <c r="AJ35" s="128" t="e" cm="1">
        <f t="array" aca="1" ref="AJ35" ca="1">Notmerged(AJ6)</f>
        <v>#NAME?</v>
      </c>
      <c r="AK35" s="128" t="e" cm="1">
        <f t="array" aca="1" ref="AK35" ca="1">Notmerged(AK6)</f>
        <v>#NAME?</v>
      </c>
      <c r="AL35" s="128" t="e" cm="1">
        <f t="array" aca="1" ref="AL35" ca="1">Notmerged(AL6)</f>
        <v>#NAME?</v>
      </c>
      <c r="AM35" s="128" t="e" cm="1">
        <f t="array" aca="1" ref="AM35" ca="1">Notmerged(AM6)</f>
        <v>#NAME?</v>
      </c>
      <c r="AN35" s="128" t="e" cm="1">
        <f t="array" aca="1" ref="AN35" ca="1">Notmerged(AN6)</f>
        <v>#NAME?</v>
      </c>
      <c r="AO35" s="128" t="e" cm="1">
        <f t="array" aca="1" ref="AO35" ca="1">Notmerged(AO6)</f>
        <v>#NAME?</v>
      </c>
      <c r="AP35" s="128" t="e" cm="1">
        <f t="array" aca="1" ref="AP35" ca="1">Notmerged(AP6)</f>
        <v>#NAME?</v>
      </c>
      <c r="AQ35" s="128" t="e" cm="1">
        <f t="array" aca="1" ref="AQ35" ca="1">Notmerged(AQ6)</f>
        <v>#NAME?</v>
      </c>
      <c r="AR35" s="128" t="e" cm="1">
        <f t="array" aca="1" ref="AR35" ca="1">Notmerged(AR6)</f>
        <v>#NAME?</v>
      </c>
      <c r="AS35" s="128" t="e" cm="1">
        <f t="array" aca="1" ref="AS35" ca="1">Notmerged(AS6)</f>
        <v>#NAME?</v>
      </c>
      <c r="AT35" s="128" t="e" cm="1">
        <f t="array" aca="1" ref="AT35" ca="1">Notmerged(AT6)</f>
        <v>#NAME?</v>
      </c>
      <c r="AU35" s="128" t="e" cm="1">
        <f t="array" aca="1" ref="AU35" ca="1">Notmerged(AU6)</f>
        <v>#NAME?</v>
      </c>
      <c r="AV35" s="128" t="e" cm="1">
        <f t="array" aca="1" ref="AV35" ca="1">Notmerged(AV6)</f>
        <v>#NAME?</v>
      </c>
      <c r="AW35" s="128" t="e" cm="1">
        <f t="array" aca="1" ref="AW35" ca="1">Notmerged(AW6)</f>
        <v>#NAME?</v>
      </c>
      <c r="AX35" s="128" t="e" cm="1">
        <f t="array" aca="1" ref="AX35" ca="1">Notmerged(AX6)</f>
        <v>#NAME?</v>
      </c>
      <c r="AY35" s="128" t="e" cm="1">
        <f t="array" aca="1" ref="AY35" ca="1">Notmerged(AY6)</f>
        <v>#NAME?</v>
      </c>
      <c r="AZ35" s="128" t="e" cm="1">
        <f t="array" aca="1" ref="AZ35" ca="1">Notmerged(AZ6)</f>
        <v>#NAME?</v>
      </c>
      <c r="BA35" s="128" t="e" cm="1">
        <f t="array" aca="1" ref="BA35" ca="1">Notmerged(BA6)</f>
        <v>#NAME?</v>
      </c>
      <c r="BB35" s="128" t="e" cm="1">
        <f t="array" aca="1" ref="BB35" ca="1">Notmerged(BB6)</f>
        <v>#NAME?</v>
      </c>
      <c r="BC35" s="128" t="e" cm="1">
        <f t="array" aca="1" ref="BC35" ca="1">Notmerged(BC6)</f>
        <v>#NAME?</v>
      </c>
      <c r="BD35" s="128" t="e" cm="1">
        <f t="array" aca="1" ref="BD35" ca="1">Notmerged(BD6)</f>
        <v>#NAME?</v>
      </c>
      <c r="BE35" s="128" t="e" cm="1">
        <f t="array" aca="1" ref="BE35" ca="1">Notmerged(BE6)</f>
        <v>#NAME?</v>
      </c>
      <c r="BF35" s="128" t="e" cm="1">
        <f t="array" aca="1" ref="BF35" ca="1">Notmerged(BF6)</f>
        <v>#NAME?</v>
      </c>
      <c r="BG35" s="128" t="e" cm="1">
        <f t="array" aca="1" ref="BG35" ca="1">Notmerged(BG6)</f>
        <v>#NAME?</v>
      </c>
      <c r="BH35" s="128" t="e" cm="1">
        <f t="array" aca="1" ref="BH35" ca="1">Notmerged(BH6)</f>
        <v>#NAME?</v>
      </c>
      <c r="BI35" s="128" t="e" cm="1">
        <f t="array" aca="1" ref="BI35" ca="1">Notmerged(BI6)</f>
        <v>#NAME?</v>
      </c>
      <c r="BJ35" s="128" t="e" cm="1">
        <f t="array" aca="1" ref="BJ35" ca="1">Notmerged(BJ6)</f>
        <v>#NAME?</v>
      </c>
      <c r="BK35" s="128" t="e" cm="1">
        <f t="array" aca="1" ref="BK35" ca="1">Notmerged(BK6)</f>
        <v>#NAME?</v>
      </c>
    </row>
    <row r="36" spans="2:63" x14ac:dyDescent="0.3">
      <c r="B36" s="128" t="e" cm="1">
        <f t="array" aca="1" ref="B36" ca="1">Notmerged(B7)</f>
        <v>#NAME?</v>
      </c>
      <c r="C36" s="128" t="e" cm="1">
        <f t="array" aca="1" ref="C36" ca="1">Notmerged(C7)</f>
        <v>#NAME?</v>
      </c>
      <c r="D36" s="128" t="e" cm="1">
        <f t="array" aca="1" ref="D36" ca="1">Notmerged(D7)</f>
        <v>#NAME?</v>
      </c>
      <c r="E36" s="128" t="e" cm="1">
        <f t="array" aca="1" ref="E36" ca="1">Notmerged(E7)</f>
        <v>#NAME?</v>
      </c>
      <c r="F36" s="128" t="e" cm="1">
        <f t="array" aca="1" ref="F36" ca="1">Notmerged(F7)</f>
        <v>#NAME?</v>
      </c>
      <c r="G36" s="128" t="e" cm="1">
        <f t="array" aca="1" ref="G36" ca="1">Notmerged(G7)</f>
        <v>#NAME?</v>
      </c>
      <c r="H36" s="128" t="e" cm="1">
        <f t="array" aca="1" ref="H36" ca="1">Notmerged(H7)</f>
        <v>#NAME?</v>
      </c>
      <c r="I36" s="128" t="e" cm="1">
        <f t="array" aca="1" ref="I36" ca="1">Notmerged(I7)</f>
        <v>#NAME?</v>
      </c>
      <c r="J36" s="128" t="e" cm="1">
        <f t="array" aca="1" ref="J36" ca="1">Notmerged(J7)</f>
        <v>#NAME?</v>
      </c>
      <c r="K36" s="128" t="e" cm="1">
        <f t="array" aca="1" ref="K36" ca="1">Notmerged(K7)</f>
        <v>#NAME?</v>
      </c>
      <c r="L36" s="128" t="e" cm="1">
        <f t="array" aca="1" ref="L36" ca="1">Notmerged(L7)</f>
        <v>#NAME?</v>
      </c>
      <c r="M36" s="128" t="e" cm="1">
        <f t="array" aca="1" ref="M36" ca="1">Notmerged(M7)</f>
        <v>#NAME?</v>
      </c>
      <c r="N36" s="128" t="e" cm="1">
        <f t="array" aca="1" ref="N36" ca="1">Notmerged(N7)</f>
        <v>#NAME?</v>
      </c>
      <c r="O36" s="128" t="e" cm="1">
        <f t="array" aca="1" ref="O36" ca="1">Notmerged(O7)</f>
        <v>#NAME?</v>
      </c>
      <c r="P36" s="128" t="e" cm="1">
        <f t="array" aca="1" ref="P36" ca="1">Notmerged(P7)</f>
        <v>#NAME?</v>
      </c>
      <c r="Q36" s="128" t="e" cm="1">
        <f t="array" aca="1" ref="Q36" ca="1">Notmerged(Q7)</f>
        <v>#NAME?</v>
      </c>
      <c r="R36" s="128" t="e" cm="1">
        <f t="array" aca="1" ref="R36" ca="1">Notmerged(R7)</f>
        <v>#NAME?</v>
      </c>
      <c r="S36" s="128" t="e" cm="1">
        <f t="array" aca="1" ref="S36" ca="1">Notmerged(S7)</f>
        <v>#NAME?</v>
      </c>
      <c r="T36" s="128" t="e" cm="1">
        <f t="array" aca="1" ref="T36" ca="1">Notmerged(T7)</f>
        <v>#NAME?</v>
      </c>
      <c r="U36" s="128" t="e" cm="1">
        <f t="array" aca="1" ref="U36" ca="1">Notmerged(U7)</f>
        <v>#NAME?</v>
      </c>
      <c r="V36" s="128" t="e" cm="1">
        <f t="array" aca="1" ref="V36" ca="1">Notmerged(V7)</f>
        <v>#NAME?</v>
      </c>
      <c r="W36" s="128" t="e" cm="1">
        <f t="array" aca="1" ref="W36" ca="1">Notmerged(W7)</f>
        <v>#NAME?</v>
      </c>
      <c r="X36" s="128" t="e" cm="1">
        <f t="array" aca="1" ref="X36" ca="1">Notmerged(X7)</f>
        <v>#NAME?</v>
      </c>
      <c r="Y36" s="128" t="e" cm="1">
        <f t="array" aca="1" ref="Y36" ca="1">Notmerged(Y7)</f>
        <v>#NAME?</v>
      </c>
      <c r="Z36" s="128" t="e" cm="1">
        <f t="array" aca="1" ref="Z36" ca="1">Notmerged(Z7)</f>
        <v>#NAME?</v>
      </c>
      <c r="AA36" s="128" t="e" cm="1">
        <f t="array" aca="1" ref="AA36" ca="1">Notmerged(AA7)</f>
        <v>#NAME?</v>
      </c>
      <c r="AB36" s="128" t="e" cm="1">
        <f t="array" aca="1" ref="AB36" ca="1">Notmerged(AB7)</f>
        <v>#NAME?</v>
      </c>
      <c r="AC36" s="128" t="e" cm="1">
        <f t="array" aca="1" ref="AC36" ca="1">Notmerged(AC7)</f>
        <v>#NAME?</v>
      </c>
      <c r="AD36" s="128" t="e" cm="1">
        <f t="array" aca="1" ref="AD36" ca="1">Notmerged(AD7)</f>
        <v>#NAME?</v>
      </c>
      <c r="AE36" s="128" t="e" cm="1">
        <f t="array" aca="1" ref="AE36" ca="1">Notmerged(AE7)</f>
        <v>#NAME?</v>
      </c>
      <c r="AF36" s="128" t="e" cm="1">
        <f t="array" aca="1" ref="AF36" ca="1">Notmerged(AF7)</f>
        <v>#NAME?</v>
      </c>
      <c r="AG36" s="128" t="e" cm="1">
        <f t="array" aca="1" ref="AG36" ca="1">Notmerged(AG7)</f>
        <v>#NAME?</v>
      </c>
      <c r="AH36" s="128" t="e" cm="1">
        <f t="array" aca="1" ref="AH36" ca="1">Notmerged(AH7)</f>
        <v>#NAME?</v>
      </c>
      <c r="AI36" s="128" t="e" cm="1">
        <f t="array" aca="1" ref="AI36" ca="1">Notmerged(AI7)</f>
        <v>#NAME?</v>
      </c>
      <c r="AJ36" s="128" t="e" cm="1">
        <f t="array" aca="1" ref="AJ36" ca="1">Notmerged(AJ7)</f>
        <v>#NAME?</v>
      </c>
      <c r="AK36" s="128" t="e" cm="1">
        <f t="array" aca="1" ref="AK36" ca="1">Notmerged(AK7)</f>
        <v>#NAME?</v>
      </c>
      <c r="AL36" s="128" t="e" cm="1">
        <f t="array" aca="1" ref="AL36" ca="1">Notmerged(AL7)</f>
        <v>#NAME?</v>
      </c>
      <c r="AM36" s="128" t="e" cm="1">
        <f t="array" aca="1" ref="AM36" ca="1">Notmerged(AM7)</f>
        <v>#NAME?</v>
      </c>
      <c r="AN36" s="128" t="e" cm="1">
        <f t="array" aca="1" ref="AN36" ca="1">Notmerged(AN7)</f>
        <v>#NAME?</v>
      </c>
      <c r="AO36" s="128" t="e" cm="1">
        <f t="array" aca="1" ref="AO36" ca="1">Notmerged(AO7)</f>
        <v>#NAME?</v>
      </c>
      <c r="AP36" s="128" t="e" cm="1">
        <f t="array" aca="1" ref="AP36" ca="1">Notmerged(AP7)</f>
        <v>#NAME?</v>
      </c>
      <c r="AQ36" s="128" t="e" cm="1">
        <f t="array" aca="1" ref="AQ36" ca="1">Notmerged(AQ7)</f>
        <v>#NAME?</v>
      </c>
      <c r="AR36" s="128" t="e" cm="1">
        <f t="array" aca="1" ref="AR36" ca="1">Notmerged(AR7)</f>
        <v>#NAME?</v>
      </c>
      <c r="AS36" s="128" t="e" cm="1">
        <f t="array" aca="1" ref="AS36" ca="1">Notmerged(AS7)</f>
        <v>#NAME?</v>
      </c>
      <c r="AT36" s="128" t="e" cm="1">
        <f t="array" aca="1" ref="AT36" ca="1">Notmerged(AT7)</f>
        <v>#NAME?</v>
      </c>
      <c r="AU36" s="128" t="e" cm="1">
        <f t="array" aca="1" ref="AU36" ca="1">Notmerged(AU7)</f>
        <v>#NAME?</v>
      </c>
      <c r="AV36" s="128" t="e" cm="1">
        <f t="array" aca="1" ref="AV36" ca="1">Notmerged(AV7)</f>
        <v>#NAME?</v>
      </c>
      <c r="AW36" s="128" t="e" cm="1">
        <f t="array" aca="1" ref="AW36" ca="1">Notmerged(AW7)</f>
        <v>#NAME?</v>
      </c>
      <c r="AX36" s="128" t="e" cm="1">
        <f t="array" aca="1" ref="AX36" ca="1">Notmerged(AX7)</f>
        <v>#NAME?</v>
      </c>
      <c r="AY36" s="128" t="e" cm="1">
        <f t="array" aca="1" ref="AY36" ca="1">Notmerged(AY7)</f>
        <v>#NAME?</v>
      </c>
      <c r="AZ36" s="128" t="e" cm="1">
        <f t="array" aca="1" ref="AZ36" ca="1">Notmerged(AZ7)</f>
        <v>#NAME?</v>
      </c>
      <c r="BA36" s="128" t="e" cm="1">
        <f t="array" aca="1" ref="BA36" ca="1">Notmerged(BA7)</f>
        <v>#NAME?</v>
      </c>
      <c r="BB36" s="128" t="e" cm="1">
        <f t="array" aca="1" ref="BB36" ca="1">Notmerged(BB7)</f>
        <v>#NAME?</v>
      </c>
      <c r="BC36" s="128" t="e" cm="1">
        <f t="array" aca="1" ref="BC36" ca="1">Notmerged(BC7)</f>
        <v>#NAME?</v>
      </c>
      <c r="BD36" s="128" t="e" cm="1">
        <f t="array" aca="1" ref="BD36" ca="1">Notmerged(BD7)</f>
        <v>#NAME?</v>
      </c>
      <c r="BE36" s="128" t="e" cm="1">
        <f t="array" aca="1" ref="BE36" ca="1">Notmerged(BE7)</f>
        <v>#NAME?</v>
      </c>
      <c r="BF36" s="128" t="e" cm="1">
        <f t="array" aca="1" ref="BF36" ca="1">Notmerged(BF7)</f>
        <v>#NAME?</v>
      </c>
      <c r="BG36" s="128" t="e" cm="1">
        <f t="array" aca="1" ref="BG36" ca="1">Notmerged(BG7)</f>
        <v>#NAME?</v>
      </c>
      <c r="BH36" s="128" t="e" cm="1">
        <f t="array" aca="1" ref="BH36" ca="1">Notmerged(BH7)</f>
        <v>#NAME?</v>
      </c>
      <c r="BI36" s="128" t="e" cm="1">
        <f t="array" aca="1" ref="BI36" ca="1">Notmerged(BI7)</f>
        <v>#NAME?</v>
      </c>
      <c r="BJ36" s="128" t="e" cm="1">
        <f t="array" aca="1" ref="BJ36" ca="1">Notmerged(BJ7)</f>
        <v>#NAME?</v>
      </c>
      <c r="BK36" s="128" t="e" cm="1">
        <f t="array" aca="1" ref="BK36" ca="1">Notmerged(BK7)</f>
        <v>#NAME?</v>
      </c>
    </row>
    <row r="37" spans="2:63" x14ac:dyDescent="0.3">
      <c r="B37" s="128" t="e" cm="1">
        <f t="array" aca="1" ref="B37" ca="1">Notmerged(B8)</f>
        <v>#NAME?</v>
      </c>
      <c r="C37" s="128" t="e" cm="1">
        <f t="array" aca="1" ref="C37" ca="1">Notmerged(C8)</f>
        <v>#NAME?</v>
      </c>
      <c r="D37" s="128" t="e" cm="1">
        <f t="array" aca="1" ref="D37" ca="1">Notmerged(D8)</f>
        <v>#NAME?</v>
      </c>
      <c r="E37" s="128" t="e" cm="1">
        <f t="array" aca="1" ref="E37" ca="1">Notmerged(E8)</f>
        <v>#NAME?</v>
      </c>
      <c r="F37" s="128" t="e" cm="1">
        <f t="array" aca="1" ref="F37" ca="1">Notmerged(F8)</f>
        <v>#NAME?</v>
      </c>
      <c r="G37" s="128" t="e" cm="1">
        <f t="array" aca="1" ref="G37" ca="1">Notmerged(G8)</f>
        <v>#NAME?</v>
      </c>
      <c r="H37" s="128" t="e" cm="1">
        <f t="array" aca="1" ref="H37" ca="1">Notmerged(H8)</f>
        <v>#NAME?</v>
      </c>
      <c r="I37" s="128" t="e" cm="1">
        <f t="array" aca="1" ref="I37" ca="1">Notmerged(I8)</f>
        <v>#NAME?</v>
      </c>
      <c r="J37" s="128" t="e" cm="1">
        <f t="array" aca="1" ref="J37" ca="1">Notmerged(J8)</f>
        <v>#NAME?</v>
      </c>
      <c r="K37" s="128" t="e" cm="1">
        <f t="array" aca="1" ref="K37" ca="1">Notmerged(K8)</f>
        <v>#NAME?</v>
      </c>
      <c r="L37" s="128" t="e" cm="1">
        <f t="array" aca="1" ref="L37" ca="1">Notmerged(L8)</f>
        <v>#NAME?</v>
      </c>
      <c r="M37" s="128" t="e" cm="1">
        <f t="array" aca="1" ref="M37" ca="1">Notmerged(M8)</f>
        <v>#NAME?</v>
      </c>
      <c r="N37" s="128" t="e" cm="1">
        <f t="array" aca="1" ref="N37" ca="1">Notmerged(N8)</f>
        <v>#NAME?</v>
      </c>
      <c r="O37" s="128" t="e" cm="1">
        <f t="array" aca="1" ref="O37" ca="1">Notmerged(O8)</f>
        <v>#NAME?</v>
      </c>
      <c r="P37" s="128" t="e" cm="1">
        <f t="array" aca="1" ref="P37" ca="1">Notmerged(P8)</f>
        <v>#NAME?</v>
      </c>
      <c r="Q37" s="128" t="e" cm="1">
        <f t="array" aca="1" ref="Q37" ca="1">Notmerged(Q8)</f>
        <v>#NAME?</v>
      </c>
      <c r="R37" s="128" t="e" cm="1">
        <f t="array" aca="1" ref="R37" ca="1">Notmerged(R8)</f>
        <v>#NAME?</v>
      </c>
      <c r="S37" s="128" t="e" cm="1">
        <f t="array" aca="1" ref="S37" ca="1">Notmerged(S8)</f>
        <v>#NAME?</v>
      </c>
      <c r="T37" s="128" t="e" cm="1">
        <f t="array" aca="1" ref="T37" ca="1">Notmerged(T8)</f>
        <v>#NAME?</v>
      </c>
      <c r="U37" s="128" t="e" cm="1">
        <f t="array" aca="1" ref="U37" ca="1">Notmerged(U8)</f>
        <v>#NAME?</v>
      </c>
      <c r="V37" s="128" t="e" cm="1">
        <f t="array" aca="1" ref="V37" ca="1">Notmerged(V8)</f>
        <v>#NAME?</v>
      </c>
      <c r="W37" s="128" t="e" cm="1">
        <f t="array" aca="1" ref="W37" ca="1">Notmerged(W8)</f>
        <v>#NAME?</v>
      </c>
      <c r="X37" s="128" t="e" cm="1">
        <f t="array" aca="1" ref="X37" ca="1">Notmerged(X8)</f>
        <v>#NAME?</v>
      </c>
      <c r="Y37" s="128" t="e" cm="1">
        <f t="array" aca="1" ref="Y37" ca="1">Notmerged(Y8)</f>
        <v>#NAME?</v>
      </c>
      <c r="Z37" s="128" t="e" cm="1">
        <f t="array" aca="1" ref="Z37" ca="1">Notmerged(Z8)</f>
        <v>#NAME?</v>
      </c>
      <c r="AA37" s="128" t="e" cm="1">
        <f t="array" aca="1" ref="AA37" ca="1">Notmerged(AA8)</f>
        <v>#NAME?</v>
      </c>
      <c r="AB37" s="128" t="e" cm="1">
        <f t="array" aca="1" ref="AB37" ca="1">Notmerged(AB8)</f>
        <v>#NAME?</v>
      </c>
      <c r="AC37" s="128" t="e" cm="1">
        <f t="array" aca="1" ref="AC37" ca="1">Notmerged(AC8)</f>
        <v>#NAME?</v>
      </c>
      <c r="AD37" s="128" t="e" cm="1">
        <f t="array" aca="1" ref="AD37" ca="1">Notmerged(AD8)</f>
        <v>#NAME?</v>
      </c>
      <c r="AE37" s="128" t="e" cm="1">
        <f t="array" aca="1" ref="AE37" ca="1">Notmerged(AE8)</f>
        <v>#NAME?</v>
      </c>
      <c r="AF37" s="128" t="e" cm="1">
        <f t="array" aca="1" ref="AF37" ca="1">Notmerged(AF8)</f>
        <v>#NAME?</v>
      </c>
      <c r="AG37" s="128" t="e" cm="1">
        <f t="array" aca="1" ref="AG37" ca="1">Notmerged(AG8)</f>
        <v>#NAME?</v>
      </c>
      <c r="AH37" s="128" t="e" cm="1">
        <f t="array" aca="1" ref="AH37" ca="1">Notmerged(AH8)</f>
        <v>#NAME?</v>
      </c>
      <c r="AI37" s="128" t="e" cm="1">
        <f t="array" aca="1" ref="AI37" ca="1">Notmerged(AI8)</f>
        <v>#NAME?</v>
      </c>
      <c r="AJ37" s="128" t="e" cm="1">
        <f t="array" aca="1" ref="AJ37" ca="1">Notmerged(AJ8)</f>
        <v>#NAME?</v>
      </c>
      <c r="AK37" s="128" t="e" cm="1">
        <f t="array" aca="1" ref="AK37" ca="1">Notmerged(AK8)</f>
        <v>#NAME?</v>
      </c>
      <c r="AL37" s="128" t="e" cm="1">
        <f t="array" aca="1" ref="AL37" ca="1">Notmerged(AL8)</f>
        <v>#NAME?</v>
      </c>
      <c r="AM37" s="128" t="e" cm="1">
        <f t="array" aca="1" ref="AM37" ca="1">Notmerged(AM8)</f>
        <v>#NAME?</v>
      </c>
      <c r="AN37" s="128" t="e" cm="1">
        <f t="array" aca="1" ref="AN37" ca="1">Notmerged(AN8)</f>
        <v>#NAME?</v>
      </c>
      <c r="AO37" s="128" t="e" cm="1">
        <f t="array" aca="1" ref="AO37" ca="1">Notmerged(AO8)</f>
        <v>#NAME?</v>
      </c>
      <c r="AP37" s="128" t="e" cm="1">
        <f t="array" aca="1" ref="AP37" ca="1">Notmerged(AP8)</f>
        <v>#NAME?</v>
      </c>
      <c r="AQ37" s="128" t="e" cm="1">
        <f t="array" aca="1" ref="AQ37" ca="1">Notmerged(AQ8)</f>
        <v>#NAME?</v>
      </c>
      <c r="AR37" s="128" t="e" cm="1">
        <f t="array" aca="1" ref="AR37" ca="1">Notmerged(AR8)</f>
        <v>#NAME?</v>
      </c>
      <c r="AS37" s="128" t="e" cm="1">
        <f t="array" aca="1" ref="AS37" ca="1">Notmerged(AS8)</f>
        <v>#NAME?</v>
      </c>
      <c r="AT37" s="128" t="e" cm="1">
        <f t="array" aca="1" ref="AT37" ca="1">Notmerged(AT8)</f>
        <v>#NAME?</v>
      </c>
      <c r="AU37" s="128" t="e" cm="1">
        <f t="array" aca="1" ref="AU37" ca="1">Notmerged(AU8)</f>
        <v>#NAME?</v>
      </c>
      <c r="AV37" s="128" t="e" cm="1">
        <f t="array" aca="1" ref="AV37" ca="1">Notmerged(AV8)</f>
        <v>#NAME?</v>
      </c>
      <c r="AW37" s="128" t="e" cm="1">
        <f t="array" aca="1" ref="AW37" ca="1">Notmerged(AW8)</f>
        <v>#NAME?</v>
      </c>
      <c r="AX37" s="128" t="e" cm="1">
        <f t="array" aca="1" ref="AX37" ca="1">Notmerged(AX8)</f>
        <v>#NAME?</v>
      </c>
      <c r="AY37" s="128" t="e" cm="1">
        <f t="array" aca="1" ref="AY37" ca="1">Notmerged(AY8)</f>
        <v>#NAME?</v>
      </c>
      <c r="AZ37" s="128" t="e" cm="1">
        <f t="array" aca="1" ref="AZ37" ca="1">Notmerged(AZ8)</f>
        <v>#NAME?</v>
      </c>
      <c r="BA37" s="128" t="e" cm="1">
        <f t="array" aca="1" ref="BA37" ca="1">Notmerged(BA8)</f>
        <v>#NAME?</v>
      </c>
      <c r="BB37" s="128" t="e" cm="1">
        <f t="array" aca="1" ref="BB37" ca="1">Notmerged(BB8)</f>
        <v>#NAME?</v>
      </c>
      <c r="BC37" s="128" t="e" cm="1">
        <f t="array" aca="1" ref="BC37" ca="1">Notmerged(BC8)</f>
        <v>#NAME?</v>
      </c>
      <c r="BD37" s="128" t="e" cm="1">
        <f t="array" aca="1" ref="BD37" ca="1">Notmerged(BD8)</f>
        <v>#NAME?</v>
      </c>
      <c r="BE37" s="128" t="e" cm="1">
        <f t="array" aca="1" ref="BE37" ca="1">Notmerged(BE8)</f>
        <v>#NAME?</v>
      </c>
      <c r="BF37" s="128" t="e" cm="1">
        <f t="array" aca="1" ref="BF37" ca="1">Notmerged(BF8)</f>
        <v>#NAME?</v>
      </c>
      <c r="BG37" s="128" t="e" cm="1">
        <f t="array" aca="1" ref="BG37" ca="1">Notmerged(BG8)</f>
        <v>#NAME?</v>
      </c>
      <c r="BH37" s="128" t="e" cm="1">
        <f t="array" aca="1" ref="BH37" ca="1">Notmerged(BH8)</f>
        <v>#NAME?</v>
      </c>
      <c r="BI37" s="128" t="e" cm="1">
        <f t="array" aca="1" ref="BI37" ca="1">Notmerged(BI8)</f>
        <v>#NAME?</v>
      </c>
      <c r="BJ37" s="128" t="e" cm="1">
        <f t="array" aca="1" ref="BJ37" ca="1">Notmerged(BJ8)</f>
        <v>#NAME?</v>
      </c>
      <c r="BK37" s="128" t="e" cm="1">
        <f t="array" aca="1" ref="BK37" ca="1">Notmerged(BK8)</f>
        <v>#NAME?</v>
      </c>
    </row>
    <row r="38" spans="2:63" x14ac:dyDescent="0.3">
      <c r="B38" s="128" t="e" cm="1">
        <f t="array" aca="1" ref="B38" ca="1">Notmerged(B9)</f>
        <v>#NAME?</v>
      </c>
      <c r="C38" s="128" t="e" cm="1">
        <f t="array" aca="1" ref="C38" ca="1">Notmerged(C9)</f>
        <v>#NAME?</v>
      </c>
      <c r="D38" s="128" t="e" cm="1">
        <f t="array" aca="1" ref="D38" ca="1">Notmerged(D9)</f>
        <v>#NAME?</v>
      </c>
      <c r="E38" s="128" t="e" cm="1">
        <f t="array" aca="1" ref="E38" ca="1">Notmerged(E9)</f>
        <v>#NAME?</v>
      </c>
      <c r="F38" s="128" t="e" cm="1">
        <f t="array" aca="1" ref="F38" ca="1">Notmerged(F9)</f>
        <v>#NAME?</v>
      </c>
      <c r="G38" s="128" t="e" cm="1">
        <f t="array" aca="1" ref="G38" ca="1">Notmerged(G9)</f>
        <v>#NAME?</v>
      </c>
      <c r="H38" s="128" t="e" cm="1">
        <f t="array" aca="1" ref="H38" ca="1">Notmerged(H9)</f>
        <v>#NAME?</v>
      </c>
      <c r="I38" s="128" t="e" cm="1">
        <f t="array" aca="1" ref="I38" ca="1">Notmerged(I9)</f>
        <v>#NAME?</v>
      </c>
      <c r="J38" s="128" t="e" cm="1">
        <f t="array" aca="1" ref="J38" ca="1">Notmerged(J9)</f>
        <v>#NAME?</v>
      </c>
      <c r="K38" s="128" t="e" cm="1">
        <f t="array" aca="1" ref="K38" ca="1">Notmerged(K9)</f>
        <v>#NAME?</v>
      </c>
      <c r="L38" s="128" t="e" cm="1">
        <f t="array" aca="1" ref="L38" ca="1">Notmerged(L9)</f>
        <v>#NAME?</v>
      </c>
      <c r="M38" s="128" t="e" cm="1">
        <f t="array" aca="1" ref="M38" ca="1">Notmerged(M9)</f>
        <v>#NAME?</v>
      </c>
      <c r="N38" s="128" t="e" cm="1">
        <f t="array" aca="1" ref="N38" ca="1">Notmerged(N9)</f>
        <v>#NAME?</v>
      </c>
      <c r="O38" s="128" t="e" cm="1">
        <f t="array" aca="1" ref="O38" ca="1">Notmerged(O9)</f>
        <v>#NAME?</v>
      </c>
      <c r="P38" s="128" t="e" cm="1">
        <f t="array" aca="1" ref="P38" ca="1">Notmerged(P9)</f>
        <v>#NAME?</v>
      </c>
      <c r="Q38" s="128" t="e" cm="1">
        <f t="array" aca="1" ref="Q38" ca="1">Notmerged(Q9)</f>
        <v>#NAME?</v>
      </c>
      <c r="R38" s="128" t="e" cm="1">
        <f t="array" aca="1" ref="R38" ca="1">Notmerged(R9)</f>
        <v>#NAME?</v>
      </c>
      <c r="S38" s="128" t="e" cm="1">
        <f t="array" aca="1" ref="S38" ca="1">Notmerged(S9)</f>
        <v>#NAME?</v>
      </c>
      <c r="T38" s="128" t="e" cm="1">
        <f t="array" aca="1" ref="T38" ca="1">Notmerged(T9)</f>
        <v>#NAME?</v>
      </c>
      <c r="U38" s="128" t="e" cm="1">
        <f t="array" aca="1" ref="U38" ca="1">Notmerged(U9)</f>
        <v>#NAME?</v>
      </c>
      <c r="V38" s="128" t="e" cm="1">
        <f t="array" aca="1" ref="V38" ca="1">Notmerged(V9)</f>
        <v>#NAME?</v>
      </c>
      <c r="W38" s="128" t="e" cm="1">
        <f t="array" aca="1" ref="W38" ca="1">Notmerged(W9)</f>
        <v>#NAME?</v>
      </c>
      <c r="X38" s="128" t="e" cm="1">
        <f t="array" aca="1" ref="X38" ca="1">Notmerged(X9)</f>
        <v>#NAME?</v>
      </c>
      <c r="Y38" s="128" t="e" cm="1">
        <f t="array" aca="1" ref="Y38" ca="1">Notmerged(Y9)</f>
        <v>#NAME?</v>
      </c>
      <c r="Z38" s="128" t="e" cm="1">
        <f t="array" aca="1" ref="Z38" ca="1">Notmerged(Z9)</f>
        <v>#NAME?</v>
      </c>
      <c r="AA38" s="128" t="e" cm="1">
        <f t="array" aca="1" ref="AA38" ca="1">Notmerged(AA9)</f>
        <v>#NAME?</v>
      </c>
      <c r="AB38" s="128" t="e" cm="1">
        <f t="array" aca="1" ref="AB38" ca="1">Notmerged(AB9)</f>
        <v>#NAME?</v>
      </c>
      <c r="AC38" s="128" t="e" cm="1">
        <f t="array" aca="1" ref="AC38" ca="1">Notmerged(AC9)</f>
        <v>#NAME?</v>
      </c>
      <c r="AD38" s="128" t="e" cm="1">
        <f t="array" aca="1" ref="AD38" ca="1">Notmerged(AD9)</f>
        <v>#NAME?</v>
      </c>
      <c r="AE38" s="128" t="e" cm="1">
        <f t="array" aca="1" ref="AE38" ca="1">Notmerged(AE9)</f>
        <v>#NAME?</v>
      </c>
      <c r="AF38" s="128" t="e" cm="1">
        <f t="array" aca="1" ref="AF38" ca="1">Notmerged(AF9)</f>
        <v>#NAME?</v>
      </c>
      <c r="AG38" s="128" t="e" cm="1">
        <f t="array" aca="1" ref="AG38" ca="1">Notmerged(AG9)</f>
        <v>#NAME?</v>
      </c>
      <c r="AH38" s="128" t="e" cm="1">
        <f t="array" aca="1" ref="AH38" ca="1">Notmerged(AH9)</f>
        <v>#NAME?</v>
      </c>
      <c r="AI38" s="128" t="e" cm="1">
        <f t="array" aca="1" ref="AI38" ca="1">Notmerged(AI9)</f>
        <v>#NAME?</v>
      </c>
      <c r="AJ38" s="128" t="e" cm="1">
        <f t="array" aca="1" ref="AJ38" ca="1">Notmerged(AJ9)</f>
        <v>#NAME?</v>
      </c>
      <c r="AK38" s="128" t="e" cm="1">
        <f t="array" aca="1" ref="AK38" ca="1">Notmerged(AK9)</f>
        <v>#NAME?</v>
      </c>
      <c r="AL38" s="128" t="e" cm="1">
        <f t="array" aca="1" ref="AL38" ca="1">Notmerged(AL9)</f>
        <v>#NAME?</v>
      </c>
      <c r="AM38" s="128" t="e" cm="1">
        <f t="array" aca="1" ref="AM38" ca="1">Notmerged(AM9)</f>
        <v>#NAME?</v>
      </c>
      <c r="AN38" s="128" t="e" cm="1">
        <f t="array" aca="1" ref="AN38" ca="1">Notmerged(AN9)</f>
        <v>#NAME?</v>
      </c>
      <c r="AO38" s="128" t="e" cm="1">
        <f t="array" aca="1" ref="AO38" ca="1">Notmerged(AO9)</f>
        <v>#NAME?</v>
      </c>
      <c r="AP38" s="128" t="e" cm="1">
        <f t="array" aca="1" ref="AP38" ca="1">Notmerged(AP9)</f>
        <v>#NAME?</v>
      </c>
      <c r="AQ38" s="128" t="e" cm="1">
        <f t="array" aca="1" ref="AQ38" ca="1">Notmerged(AQ9)</f>
        <v>#NAME?</v>
      </c>
      <c r="AR38" s="128" t="e" cm="1">
        <f t="array" aca="1" ref="AR38" ca="1">Notmerged(AR9)</f>
        <v>#NAME?</v>
      </c>
      <c r="AS38" s="128" t="e" cm="1">
        <f t="array" aca="1" ref="AS38" ca="1">Notmerged(AS9)</f>
        <v>#NAME?</v>
      </c>
      <c r="AT38" s="128" t="e" cm="1">
        <f t="array" aca="1" ref="AT38" ca="1">Notmerged(AT9)</f>
        <v>#NAME?</v>
      </c>
      <c r="AU38" s="128" t="e" cm="1">
        <f t="array" aca="1" ref="AU38" ca="1">Notmerged(AU9)</f>
        <v>#NAME?</v>
      </c>
      <c r="AV38" s="128" t="e" cm="1">
        <f t="array" aca="1" ref="AV38" ca="1">Notmerged(AV9)</f>
        <v>#NAME?</v>
      </c>
      <c r="AW38" s="128" t="e" cm="1">
        <f t="array" aca="1" ref="AW38" ca="1">Notmerged(AW9)</f>
        <v>#NAME?</v>
      </c>
      <c r="AX38" s="128" t="e" cm="1">
        <f t="array" aca="1" ref="AX38" ca="1">Notmerged(AX9)</f>
        <v>#NAME?</v>
      </c>
      <c r="AY38" s="128" t="e" cm="1">
        <f t="array" aca="1" ref="AY38" ca="1">Notmerged(AY9)</f>
        <v>#NAME?</v>
      </c>
      <c r="AZ38" s="128" t="e" cm="1">
        <f t="array" aca="1" ref="AZ38" ca="1">Notmerged(AZ9)</f>
        <v>#NAME?</v>
      </c>
      <c r="BA38" s="128" t="e" cm="1">
        <f t="array" aca="1" ref="BA38" ca="1">Notmerged(BA9)</f>
        <v>#NAME?</v>
      </c>
      <c r="BB38" s="128" t="e" cm="1">
        <f t="array" aca="1" ref="BB38" ca="1">Notmerged(BB9)</f>
        <v>#NAME?</v>
      </c>
      <c r="BC38" s="128" t="e" cm="1">
        <f t="array" aca="1" ref="BC38" ca="1">Notmerged(BC9)</f>
        <v>#NAME?</v>
      </c>
      <c r="BD38" s="128" t="e" cm="1">
        <f t="array" aca="1" ref="BD38" ca="1">Notmerged(BD9)</f>
        <v>#NAME?</v>
      </c>
      <c r="BE38" s="128" t="e" cm="1">
        <f t="array" aca="1" ref="BE38" ca="1">Notmerged(BE9)</f>
        <v>#NAME?</v>
      </c>
      <c r="BF38" s="128" t="e" cm="1">
        <f t="array" aca="1" ref="BF38" ca="1">Notmerged(BF9)</f>
        <v>#NAME?</v>
      </c>
      <c r="BG38" s="128" t="e" cm="1">
        <f t="array" aca="1" ref="BG38" ca="1">Notmerged(BG9)</f>
        <v>#NAME?</v>
      </c>
      <c r="BH38" s="128" t="e" cm="1">
        <f t="array" aca="1" ref="BH38" ca="1">Notmerged(BH9)</f>
        <v>#NAME?</v>
      </c>
      <c r="BI38" s="128" t="e" cm="1">
        <f t="array" aca="1" ref="BI38" ca="1">Notmerged(BI9)</f>
        <v>#NAME?</v>
      </c>
      <c r="BJ38" s="128" t="e" cm="1">
        <f t="array" aca="1" ref="BJ38" ca="1">Notmerged(BJ9)</f>
        <v>#NAME?</v>
      </c>
      <c r="BK38" s="128" t="e" cm="1">
        <f t="array" aca="1" ref="BK38" ca="1">Notmerged(BK9)</f>
        <v>#NAME?</v>
      </c>
    </row>
    <row r="39" spans="2:63" x14ac:dyDescent="0.3">
      <c r="B39" s="128" t="e" cm="1">
        <f t="array" aca="1" ref="B39" ca="1">Notmerged(B10)</f>
        <v>#NAME?</v>
      </c>
      <c r="C39" s="128" t="e" cm="1">
        <f t="array" aca="1" ref="C39" ca="1">Notmerged(C10)</f>
        <v>#NAME?</v>
      </c>
      <c r="D39" s="128" t="e" cm="1">
        <f t="array" aca="1" ref="D39" ca="1">Notmerged(D10)</f>
        <v>#NAME?</v>
      </c>
      <c r="E39" s="128" t="e" cm="1">
        <f t="array" aca="1" ref="E39" ca="1">Notmerged(E10)</f>
        <v>#NAME?</v>
      </c>
      <c r="F39" s="128" t="e" cm="1">
        <f t="array" aca="1" ref="F39" ca="1">Notmerged(F10)</f>
        <v>#NAME?</v>
      </c>
      <c r="G39" s="128" t="e" cm="1">
        <f t="array" aca="1" ref="G39" ca="1">Notmerged(G10)</f>
        <v>#NAME?</v>
      </c>
      <c r="H39" s="128" t="e" cm="1">
        <f t="array" aca="1" ref="H39" ca="1">Notmerged(H10)</f>
        <v>#NAME?</v>
      </c>
      <c r="I39" s="128" t="e" cm="1">
        <f t="array" aca="1" ref="I39" ca="1">Notmerged(I10)</f>
        <v>#NAME?</v>
      </c>
      <c r="J39" s="128" t="e" cm="1">
        <f t="array" aca="1" ref="J39" ca="1">Notmerged(J10)</f>
        <v>#NAME?</v>
      </c>
      <c r="K39" s="128" t="e" cm="1">
        <f t="array" aca="1" ref="K39" ca="1">Notmerged(K10)</f>
        <v>#NAME?</v>
      </c>
      <c r="L39" s="128" t="e" cm="1">
        <f t="array" aca="1" ref="L39" ca="1">Notmerged(L10)</f>
        <v>#NAME?</v>
      </c>
      <c r="M39" s="128" t="e" cm="1">
        <f t="array" aca="1" ref="M39" ca="1">Notmerged(M10)</f>
        <v>#NAME?</v>
      </c>
      <c r="N39" s="128" t="e" cm="1">
        <f t="array" aca="1" ref="N39" ca="1">Notmerged(N10)</f>
        <v>#NAME?</v>
      </c>
      <c r="O39" s="128" t="e" cm="1">
        <f t="array" aca="1" ref="O39" ca="1">Notmerged(O10)</f>
        <v>#NAME?</v>
      </c>
      <c r="P39" s="128" t="e" cm="1">
        <f t="array" aca="1" ref="P39" ca="1">Notmerged(P10)</f>
        <v>#NAME?</v>
      </c>
      <c r="Q39" s="128" t="e" cm="1">
        <f t="array" aca="1" ref="Q39" ca="1">Notmerged(Q10)</f>
        <v>#NAME?</v>
      </c>
      <c r="R39" s="128" t="e" cm="1">
        <f t="array" aca="1" ref="R39" ca="1">Notmerged(R10)</f>
        <v>#NAME?</v>
      </c>
      <c r="S39" s="128" t="e" cm="1">
        <f t="array" aca="1" ref="S39" ca="1">Notmerged(S10)</f>
        <v>#NAME?</v>
      </c>
      <c r="T39" s="128" t="e" cm="1">
        <f t="array" aca="1" ref="T39" ca="1">Notmerged(T10)</f>
        <v>#NAME?</v>
      </c>
      <c r="U39" s="128" t="e" cm="1">
        <f t="array" aca="1" ref="U39" ca="1">Notmerged(U10)</f>
        <v>#NAME?</v>
      </c>
      <c r="V39" s="128" t="e" cm="1">
        <f t="array" aca="1" ref="V39" ca="1">Notmerged(V10)</f>
        <v>#NAME?</v>
      </c>
      <c r="W39" s="128" t="e" cm="1">
        <f t="array" aca="1" ref="W39" ca="1">Notmerged(W10)</f>
        <v>#NAME?</v>
      </c>
      <c r="X39" s="128" t="e" cm="1">
        <f t="array" aca="1" ref="X39" ca="1">Notmerged(X10)</f>
        <v>#NAME?</v>
      </c>
      <c r="Y39" s="128" t="e" cm="1">
        <f t="array" aca="1" ref="Y39" ca="1">Notmerged(Y10)</f>
        <v>#NAME?</v>
      </c>
      <c r="Z39" s="128" t="e" cm="1">
        <f t="array" aca="1" ref="Z39" ca="1">Notmerged(Z10)</f>
        <v>#NAME?</v>
      </c>
      <c r="AA39" s="128" t="e" cm="1">
        <f t="array" aca="1" ref="AA39" ca="1">Notmerged(AA10)</f>
        <v>#NAME?</v>
      </c>
      <c r="AB39" s="128" t="e" cm="1">
        <f t="array" aca="1" ref="AB39" ca="1">Notmerged(AB10)</f>
        <v>#NAME?</v>
      </c>
      <c r="AC39" s="128" t="e" cm="1">
        <f t="array" aca="1" ref="AC39" ca="1">Notmerged(AC10)</f>
        <v>#NAME?</v>
      </c>
      <c r="AD39" s="128" t="e" cm="1">
        <f t="array" aca="1" ref="AD39" ca="1">Notmerged(AD10)</f>
        <v>#NAME?</v>
      </c>
      <c r="AE39" s="128" t="e" cm="1">
        <f t="array" aca="1" ref="AE39" ca="1">Notmerged(AE10)</f>
        <v>#NAME?</v>
      </c>
      <c r="AF39" s="128" t="e" cm="1">
        <f t="array" aca="1" ref="AF39" ca="1">Notmerged(AF10)</f>
        <v>#NAME?</v>
      </c>
      <c r="AG39" s="128" t="e" cm="1">
        <f t="array" aca="1" ref="AG39" ca="1">Notmerged(AG10)</f>
        <v>#NAME?</v>
      </c>
      <c r="AH39" s="128" t="e" cm="1">
        <f t="array" aca="1" ref="AH39" ca="1">Notmerged(AH10)</f>
        <v>#NAME?</v>
      </c>
      <c r="AI39" s="128" t="e" cm="1">
        <f t="array" aca="1" ref="AI39" ca="1">Notmerged(AI10)</f>
        <v>#NAME?</v>
      </c>
      <c r="AJ39" s="128" t="e" cm="1">
        <f t="array" aca="1" ref="AJ39" ca="1">Notmerged(AJ10)</f>
        <v>#NAME?</v>
      </c>
      <c r="AK39" s="128" t="e" cm="1">
        <f t="array" aca="1" ref="AK39" ca="1">Notmerged(AK10)</f>
        <v>#NAME?</v>
      </c>
      <c r="AL39" s="128" t="e" cm="1">
        <f t="array" aca="1" ref="AL39" ca="1">Notmerged(AL10)</f>
        <v>#NAME?</v>
      </c>
      <c r="AM39" s="128" t="e" cm="1">
        <f t="array" aca="1" ref="AM39" ca="1">Notmerged(AM10)</f>
        <v>#NAME?</v>
      </c>
      <c r="AN39" s="128" t="e" cm="1">
        <f t="array" aca="1" ref="AN39" ca="1">Notmerged(AN10)</f>
        <v>#NAME?</v>
      </c>
      <c r="AO39" s="128" t="e" cm="1">
        <f t="array" aca="1" ref="AO39" ca="1">Notmerged(AO10)</f>
        <v>#NAME?</v>
      </c>
      <c r="AP39" s="128" t="e" cm="1">
        <f t="array" aca="1" ref="AP39" ca="1">Notmerged(AP10)</f>
        <v>#NAME?</v>
      </c>
      <c r="AQ39" s="128" t="e" cm="1">
        <f t="array" aca="1" ref="AQ39" ca="1">Notmerged(AQ10)</f>
        <v>#NAME?</v>
      </c>
      <c r="AR39" s="128" t="e" cm="1">
        <f t="array" aca="1" ref="AR39" ca="1">Notmerged(AR10)</f>
        <v>#NAME?</v>
      </c>
      <c r="AS39" s="128" t="e" cm="1">
        <f t="array" aca="1" ref="AS39" ca="1">Notmerged(AS10)</f>
        <v>#NAME?</v>
      </c>
      <c r="AT39" s="128" t="e" cm="1">
        <f t="array" aca="1" ref="AT39" ca="1">Notmerged(AT10)</f>
        <v>#NAME?</v>
      </c>
      <c r="AU39" s="128" t="e" cm="1">
        <f t="array" aca="1" ref="AU39" ca="1">Notmerged(AU10)</f>
        <v>#NAME?</v>
      </c>
      <c r="AV39" s="128" t="e" cm="1">
        <f t="array" aca="1" ref="AV39" ca="1">Notmerged(AV10)</f>
        <v>#NAME?</v>
      </c>
      <c r="AW39" s="128" t="e" cm="1">
        <f t="array" aca="1" ref="AW39" ca="1">Notmerged(AW10)</f>
        <v>#NAME?</v>
      </c>
      <c r="AX39" s="128" t="e" cm="1">
        <f t="array" aca="1" ref="AX39" ca="1">Notmerged(AX10)</f>
        <v>#NAME?</v>
      </c>
      <c r="AY39" s="128" t="e" cm="1">
        <f t="array" aca="1" ref="AY39" ca="1">Notmerged(AY10)</f>
        <v>#NAME?</v>
      </c>
      <c r="AZ39" s="128" t="e" cm="1">
        <f t="array" aca="1" ref="AZ39" ca="1">Notmerged(AZ10)</f>
        <v>#NAME?</v>
      </c>
      <c r="BA39" s="128" t="e" cm="1">
        <f t="array" aca="1" ref="BA39" ca="1">Notmerged(BA10)</f>
        <v>#NAME?</v>
      </c>
      <c r="BB39" s="128" t="e" cm="1">
        <f t="array" aca="1" ref="BB39" ca="1">Notmerged(BB10)</f>
        <v>#NAME?</v>
      </c>
      <c r="BC39" s="128" t="e" cm="1">
        <f t="array" aca="1" ref="BC39" ca="1">Notmerged(BC10)</f>
        <v>#NAME?</v>
      </c>
      <c r="BD39" s="128" t="e" cm="1">
        <f t="array" aca="1" ref="BD39" ca="1">Notmerged(BD10)</f>
        <v>#NAME?</v>
      </c>
      <c r="BE39" s="128" t="e" cm="1">
        <f t="array" aca="1" ref="BE39" ca="1">Notmerged(BE10)</f>
        <v>#NAME?</v>
      </c>
      <c r="BF39" s="128" t="e" cm="1">
        <f t="array" aca="1" ref="BF39" ca="1">Notmerged(BF10)</f>
        <v>#NAME?</v>
      </c>
      <c r="BG39" s="128" t="e" cm="1">
        <f t="array" aca="1" ref="BG39" ca="1">Notmerged(BG10)</f>
        <v>#NAME?</v>
      </c>
      <c r="BH39" s="128" t="e" cm="1">
        <f t="array" aca="1" ref="BH39" ca="1">Notmerged(BH10)</f>
        <v>#NAME?</v>
      </c>
      <c r="BI39" s="128" t="e" cm="1">
        <f t="array" aca="1" ref="BI39" ca="1">Notmerged(BI10)</f>
        <v>#NAME?</v>
      </c>
      <c r="BJ39" s="128" t="e" cm="1">
        <f t="array" aca="1" ref="BJ39" ca="1">Notmerged(BJ10)</f>
        <v>#NAME?</v>
      </c>
      <c r="BK39" s="128" t="e" cm="1">
        <f t="array" aca="1" ref="BK39" ca="1">Notmerged(BK10)</f>
        <v>#NAME?</v>
      </c>
    </row>
    <row r="40" spans="2:63" x14ac:dyDescent="0.3">
      <c r="B40" s="128" t="e" cm="1">
        <f t="array" aca="1" ref="B40" ca="1">Notmerged(B11)</f>
        <v>#NAME?</v>
      </c>
      <c r="C40" s="128" t="e" cm="1">
        <f t="array" aca="1" ref="C40" ca="1">Notmerged(C11)</f>
        <v>#NAME?</v>
      </c>
      <c r="D40" s="128" t="e" cm="1">
        <f t="array" aca="1" ref="D40" ca="1">Notmerged(D11)</f>
        <v>#NAME?</v>
      </c>
      <c r="E40" s="128" t="e" cm="1">
        <f t="array" aca="1" ref="E40" ca="1">Notmerged(E11)</f>
        <v>#NAME?</v>
      </c>
      <c r="F40" s="128" t="e" cm="1">
        <f t="array" aca="1" ref="F40" ca="1">Notmerged(F11)</f>
        <v>#NAME?</v>
      </c>
      <c r="G40" s="128" t="e" cm="1">
        <f t="array" aca="1" ref="G40" ca="1">Notmerged(G11)</f>
        <v>#NAME?</v>
      </c>
      <c r="H40" s="128" t="e" cm="1">
        <f t="array" aca="1" ref="H40" ca="1">Notmerged(H11)</f>
        <v>#NAME?</v>
      </c>
      <c r="I40" s="128" t="e" cm="1">
        <f t="array" aca="1" ref="I40" ca="1">Notmerged(I11)</f>
        <v>#NAME?</v>
      </c>
      <c r="J40" s="128" t="e" cm="1">
        <f t="array" aca="1" ref="J40" ca="1">Notmerged(J11)</f>
        <v>#NAME?</v>
      </c>
      <c r="K40" s="128" t="e" cm="1">
        <f t="array" aca="1" ref="K40" ca="1">Notmerged(K11)</f>
        <v>#NAME?</v>
      </c>
      <c r="L40" s="128" t="e" cm="1">
        <f t="array" aca="1" ref="L40" ca="1">Notmerged(L11)</f>
        <v>#NAME?</v>
      </c>
      <c r="M40" s="128" t="e" cm="1">
        <f t="array" aca="1" ref="M40" ca="1">Notmerged(M11)</f>
        <v>#NAME?</v>
      </c>
      <c r="N40" s="128" t="e" cm="1">
        <f t="array" aca="1" ref="N40" ca="1">Notmerged(N11)</f>
        <v>#NAME?</v>
      </c>
      <c r="O40" s="128" t="e" cm="1">
        <f t="array" aca="1" ref="O40" ca="1">Notmerged(O11)</f>
        <v>#NAME?</v>
      </c>
      <c r="P40" s="128" t="e" cm="1">
        <f t="array" aca="1" ref="P40" ca="1">Notmerged(P11)</f>
        <v>#NAME?</v>
      </c>
      <c r="Q40" s="128" t="e" cm="1">
        <f t="array" aca="1" ref="Q40" ca="1">Notmerged(Q11)</f>
        <v>#NAME?</v>
      </c>
      <c r="R40" s="128" t="e" cm="1">
        <f t="array" aca="1" ref="R40" ca="1">Notmerged(R11)</f>
        <v>#NAME?</v>
      </c>
      <c r="S40" s="128" t="e" cm="1">
        <f t="array" aca="1" ref="S40" ca="1">Notmerged(S11)</f>
        <v>#NAME?</v>
      </c>
      <c r="T40" s="128" t="e" cm="1">
        <f t="array" aca="1" ref="T40" ca="1">Notmerged(T11)</f>
        <v>#NAME?</v>
      </c>
      <c r="U40" s="128" t="e" cm="1">
        <f t="array" aca="1" ref="U40" ca="1">Notmerged(U11)</f>
        <v>#NAME?</v>
      </c>
      <c r="V40" s="128" t="e" cm="1">
        <f t="array" aca="1" ref="V40" ca="1">Notmerged(V11)</f>
        <v>#NAME?</v>
      </c>
      <c r="W40" s="128" t="e" cm="1">
        <f t="array" aca="1" ref="W40" ca="1">Notmerged(W11)</f>
        <v>#NAME?</v>
      </c>
      <c r="X40" s="128" t="e" cm="1">
        <f t="array" aca="1" ref="X40" ca="1">Notmerged(X11)</f>
        <v>#NAME?</v>
      </c>
      <c r="Y40" s="128" t="e" cm="1">
        <f t="array" aca="1" ref="Y40" ca="1">Notmerged(Y11)</f>
        <v>#NAME?</v>
      </c>
      <c r="Z40" s="128" t="e" cm="1">
        <f t="array" aca="1" ref="Z40" ca="1">Notmerged(Z11)</f>
        <v>#NAME?</v>
      </c>
      <c r="AA40" s="128" t="e" cm="1">
        <f t="array" aca="1" ref="AA40" ca="1">Notmerged(AA11)</f>
        <v>#NAME?</v>
      </c>
      <c r="AB40" s="128" t="e" cm="1">
        <f t="array" aca="1" ref="AB40" ca="1">Notmerged(AB11)</f>
        <v>#NAME?</v>
      </c>
      <c r="AC40" s="128" t="e" cm="1">
        <f t="array" aca="1" ref="AC40" ca="1">Notmerged(AC11)</f>
        <v>#NAME?</v>
      </c>
      <c r="AD40" s="128" t="e" cm="1">
        <f t="array" aca="1" ref="AD40" ca="1">Notmerged(AD11)</f>
        <v>#NAME?</v>
      </c>
      <c r="AE40" s="128" t="e" cm="1">
        <f t="array" aca="1" ref="AE40" ca="1">Notmerged(AE11)</f>
        <v>#NAME?</v>
      </c>
      <c r="AF40" s="128" t="e" cm="1">
        <f t="array" aca="1" ref="AF40" ca="1">Notmerged(AF11)</f>
        <v>#NAME?</v>
      </c>
      <c r="AG40" s="128" t="e" cm="1">
        <f t="array" aca="1" ref="AG40" ca="1">Notmerged(AG11)</f>
        <v>#NAME?</v>
      </c>
      <c r="AH40" s="128" t="e" cm="1">
        <f t="array" aca="1" ref="AH40" ca="1">Notmerged(AH11)</f>
        <v>#NAME?</v>
      </c>
      <c r="AI40" s="128" t="e" cm="1">
        <f t="array" aca="1" ref="AI40" ca="1">Notmerged(AI11)</f>
        <v>#NAME?</v>
      </c>
      <c r="AJ40" s="128" t="e" cm="1">
        <f t="array" aca="1" ref="AJ40" ca="1">Notmerged(AJ11)</f>
        <v>#NAME?</v>
      </c>
      <c r="AK40" s="128" t="e" cm="1">
        <f t="array" aca="1" ref="AK40" ca="1">Notmerged(AK11)</f>
        <v>#NAME?</v>
      </c>
      <c r="AL40" s="128" t="e" cm="1">
        <f t="array" aca="1" ref="AL40" ca="1">Notmerged(AL11)</f>
        <v>#NAME?</v>
      </c>
      <c r="AM40" s="128" t="e" cm="1">
        <f t="array" aca="1" ref="AM40" ca="1">Notmerged(AM11)</f>
        <v>#NAME?</v>
      </c>
      <c r="AN40" s="128" t="e" cm="1">
        <f t="array" aca="1" ref="AN40" ca="1">Notmerged(AN11)</f>
        <v>#NAME?</v>
      </c>
      <c r="AO40" s="128" t="e" cm="1">
        <f t="array" aca="1" ref="AO40" ca="1">Notmerged(AO11)</f>
        <v>#NAME?</v>
      </c>
      <c r="AP40" s="128" t="e" cm="1">
        <f t="array" aca="1" ref="AP40" ca="1">Notmerged(AP11)</f>
        <v>#NAME?</v>
      </c>
      <c r="AQ40" s="128" t="e" cm="1">
        <f t="array" aca="1" ref="AQ40" ca="1">Notmerged(AQ11)</f>
        <v>#NAME?</v>
      </c>
      <c r="AR40" s="128" t="e" cm="1">
        <f t="array" aca="1" ref="AR40" ca="1">Notmerged(AR11)</f>
        <v>#NAME?</v>
      </c>
      <c r="AS40" s="128" t="e" cm="1">
        <f t="array" aca="1" ref="AS40" ca="1">Notmerged(AS11)</f>
        <v>#NAME?</v>
      </c>
      <c r="AT40" s="128" t="e" cm="1">
        <f t="array" aca="1" ref="AT40" ca="1">Notmerged(AT11)</f>
        <v>#NAME?</v>
      </c>
      <c r="AU40" s="128" t="e" cm="1">
        <f t="array" aca="1" ref="AU40" ca="1">Notmerged(AU11)</f>
        <v>#NAME?</v>
      </c>
      <c r="AV40" s="128" t="e" cm="1">
        <f t="array" aca="1" ref="AV40" ca="1">Notmerged(AV11)</f>
        <v>#NAME?</v>
      </c>
      <c r="AW40" s="128" t="e" cm="1">
        <f t="array" aca="1" ref="AW40" ca="1">Notmerged(AW11)</f>
        <v>#NAME?</v>
      </c>
      <c r="AX40" s="128" t="e" cm="1">
        <f t="array" aca="1" ref="AX40" ca="1">Notmerged(AX11)</f>
        <v>#NAME?</v>
      </c>
      <c r="AY40" s="128" t="e" cm="1">
        <f t="array" aca="1" ref="AY40" ca="1">Notmerged(AY11)</f>
        <v>#NAME?</v>
      </c>
      <c r="AZ40" s="128" t="e" cm="1">
        <f t="array" aca="1" ref="AZ40" ca="1">Notmerged(AZ11)</f>
        <v>#NAME?</v>
      </c>
      <c r="BA40" s="128" t="e" cm="1">
        <f t="array" aca="1" ref="BA40" ca="1">Notmerged(BA11)</f>
        <v>#NAME?</v>
      </c>
      <c r="BB40" s="128" t="e" cm="1">
        <f t="array" aca="1" ref="BB40" ca="1">Notmerged(BB11)</f>
        <v>#NAME?</v>
      </c>
      <c r="BC40" s="128" t="e" cm="1">
        <f t="array" aca="1" ref="BC40" ca="1">Notmerged(BC11)</f>
        <v>#NAME?</v>
      </c>
      <c r="BD40" s="128" t="e" cm="1">
        <f t="array" aca="1" ref="BD40" ca="1">Notmerged(BD11)</f>
        <v>#NAME?</v>
      </c>
      <c r="BE40" s="128" t="e" cm="1">
        <f t="array" aca="1" ref="BE40" ca="1">Notmerged(BE11)</f>
        <v>#NAME?</v>
      </c>
      <c r="BF40" s="128" t="e" cm="1">
        <f t="array" aca="1" ref="BF40" ca="1">Notmerged(BF11)</f>
        <v>#NAME?</v>
      </c>
      <c r="BG40" s="128" t="e" cm="1">
        <f t="array" aca="1" ref="BG40" ca="1">Notmerged(BG11)</f>
        <v>#NAME?</v>
      </c>
      <c r="BH40" s="128" t="e" cm="1">
        <f t="array" aca="1" ref="BH40" ca="1">Notmerged(BH11)</f>
        <v>#NAME?</v>
      </c>
      <c r="BI40" s="128" t="e" cm="1">
        <f t="array" aca="1" ref="BI40" ca="1">Notmerged(BI11)</f>
        <v>#NAME?</v>
      </c>
      <c r="BJ40" s="128" t="e" cm="1">
        <f t="array" aca="1" ref="BJ40" ca="1">Notmerged(BJ11)</f>
        <v>#NAME?</v>
      </c>
      <c r="BK40" s="128" t="e" cm="1">
        <f t="array" aca="1" ref="BK40" ca="1">Notmerged(BK11)</f>
        <v>#NAME?</v>
      </c>
    </row>
    <row r="41" spans="2:63" x14ac:dyDescent="0.3">
      <c r="B41" s="128" t="e" cm="1">
        <f t="array" aca="1" ref="B41" ca="1">Notmerged(B12)</f>
        <v>#NAME?</v>
      </c>
      <c r="C41" s="128" t="e" cm="1">
        <f t="array" aca="1" ref="C41" ca="1">Notmerged(C12)</f>
        <v>#NAME?</v>
      </c>
      <c r="D41" s="128" t="e" cm="1">
        <f t="array" aca="1" ref="D41" ca="1">Notmerged(D12)</f>
        <v>#NAME?</v>
      </c>
      <c r="E41" s="128" t="e" cm="1">
        <f t="array" aca="1" ref="E41" ca="1">Notmerged(E12)</f>
        <v>#NAME?</v>
      </c>
      <c r="F41" s="128" t="e" cm="1">
        <f t="array" aca="1" ref="F41" ca="1">Notmerged(F12)</f>
        <v>#NAME?</v>
      </c>
      <c r="G41" s="128" t="e" cm="1">
        <f t="array" aca="1" ref="G41" ca="1">Notmerged(G12)</f>
        <v>#NAME?</v>
      </c>
      <c r="H41" s="128" t="e" cm="1">
        <f t="array" aca="1" ref="H41" ca="1">Notmerged(H12)</f>
        <v>#NAME?</v>
      </c>
      <c r="I41" s="128" t="e" cm="1">
        <f t="array" aca="1" ref="I41" ca="1">Notmerged(I12)</f>
        <v>#NAME?</v>
      </c>
      <c r="J41" s="128" t="e" cm="1">
        <f t="array" aca="1" ref="J41" ca="1">Notmerged(J12)</f>
        <v>#NAME?</v>
      </c>
      <c r="K41" s="128" t="e" cm="1">
        <f t="array" aca="1" ref="K41" ca="1">Notmerged(K12)</f>
        <v>#NAME?</v>
      </c>
      <c r="L41" s="128" t="e" cm="1">
        <f t="array" aca="1" ref="L41" ca="1">Notmerged(L12)</f>
        <v>#NAME?</v>
      </c>
      <c r="M41" s="128" t="e" cm="1">
        <f t="array" aca="1" ref="M41" ca="1">Notmerged(M12)</f>
        <v>#NAME?</v>
      </c>
      <c r="N41" s="128" t="e" cm="1">
        <f t="array" aca="1" ref="N41" ca="1">Notmerged(N12)</f>
        <v>#NAME?</v>
      </c>
      <c r="O41" s="128" t="e" cm="1">
        <f t="array" aca="1" ref="O41" ca="1">Notmerged(O12)</f>
        <v>#NAME?</v>
      </c>
      <c r="P41" s="128" t="e" cm="1">
        <f t="array" aca="1" ref="P41" ca="1">Notmerged(P12)</f>
        <v>#NAME?</v>
      </c>
      <c r="Q41" s="128" t="e" cm="1">
        <f t="array" aca="1" ref="Q41" ca="1">Notmerged(Q12)</f>
        <v>#NAME?</v>
      </c>
      <c r="R41" s="128" t="e" cm="1">
        <f t="array" aca="1" ref="R41" ca="1">Notmerged(R12)</f>
        <v>#NAME?</v>
      </c>
      <c r="S41" s="128" t="e" cm="1">
        <f t="array" aca="1" ref="S41" ca="1">Notmerged(S12)</f>
        <v>#NAME?</v>
      </c>
      <c r="T41" s="128" t="e" cm="1">
        <f t="array" aca="1" ref="T41" ca="1">Notmerged(T12)</f>
        <v>#NAME?</v>
      </c>
      <c r="U41" s="128" t="e" cm="1">
        <f t="array" aca="1" ref="U41" ca="1">Notmerged(U12)</f>
        <v>#NAME?</v>
      </c>
      <c r="V41" s="128" t="e" cm="1">
        <f t="array" aca="1" ref="V41" ca="1">Notmerged(V12)</f>
        <v>#NAME?</v>
      </c>
      <c r="W41" s="128" t="e" cm="1">
        <f t="array" aca="1" ref="W41" ca="1">Notmerged(W12)</f>
        <v>#NAME?</v>
      </c>
      <c r="X41" s="128" t="e" cm="1">
        <f t="array" aca="1" ref="X41" ca="1">Notmerged(X12)</f>
        <v>#NAME?</v>
      </c>
      <c r="Y41" s="128" t="e" cm="1">
        <f t="array" aca="1" ref="Y41" ca="1">Notmerged(Y12)</f>
        <v>#NAME?</v>
      </c>
      <c r="Z41" s="128" t="e" cm="1">
        <f t="array" aca="1" ref="Z41" ca="1">Notmerged(Z12)</f>
        <v>#NAME?</v>
      </c>
      <c r="AA41" s="128" t="e" cm="1">
        <f t="array" aca="1" ref="AA41" ca="1">Notmerged(AA12)</f>
        <v>#NAME?</v>
      </c>
      <c r="AB41" s="128" t="e" cm="1">
        <f t="array" aca="1" ref="AB41" ca="1">Notmerged(AB12)</f>
        <v>#NAME?</v>
      </c>
      <c r="AC41" s="128" t="e" cm="1">
        <f t="array" aca="1" ref="AC41" ca="1">Notmerged(AC12)</f>
        <v>#NAME?</v>
      </c>
      <c r="AD41" s="128" t="e" cm="1">
        <f t="array" aca="1" ref="AD41" ca="1">Notmerged(AD12)</f>
        <v>#NAME?</v>
      </c>
      <c r="AE41" s="128" t="e" cm="1">
        <f t="array" aca="1" ref="AE41" ca="1">Notmerged(AE12)</f>
        <v>#NAME?</v>
      </c>
      <c r="AF41" s="128" t="e" cm="1">
        <f t="array" aca="1" ref="AF41" ca="1">Notmerged(AF12)</f>
        <v>#NAME?</v>
      </c>
      <c r="AG41" s="128" t="e" cm="1">
        <f t="array" aca="1" ref="AG41" ca="1">Notmerged(AG12)</f>
        <v>#NAME?</v>
      </c>
      <c r="AH41" s="128" t="e" cm="1">
        <f t="array" aca="1" ref="AH41" ca="1">Notmerged(AH12)</f>
        <v>#NAME?</v>
      </c>
      <c r="AI41" s="128" t="e" cm="1">
        <f t="array" aca="1" ref="AI41" ca="1">Notmerged(AI12)</f>
        <v>#NAME?</v>
      </c>
      <c r="AJ41" s="128" t="e" cm="1">
        <f t="array" aca="1" ref="AJ41" ca="1">Notmerged(AJ12)</f>
        <v>#NAME?</v>
      </c>
      <c r="AK41" s="128" t="e" cm="1">
        <f t="array" aca="1" ref="AK41" ca="1">Notmerged(AK12)</f>
        <v>#NAME?</v>
      </c>
      <c r="AL41" s="128" t="e" cm="1">
        <f t="array" aca="1" ref="AL41" ca="1">Notmerged(AL12)</f>
        <v>#NAME?</v>
      </c>
      <c r="AM41" s="128" t="e" cm="1">
        <f t="array" aca="1" ref="AM41" ca="1">Notmerged(AM12)</f>
        <v>#NAME?</v>
      </c>
      <c r="AN41" s="128" t="e" cm="1">
        <f t="array" aca="1" ref="AN41" ca="1">Notmerged(AN12)</f>
        <v>#NAME?</v>
      </c>
      <c r="AO41" s="128" t="e" cm="1">
        <f t="array" aca="1" ref="AO41" ca="1">Notmerged(AO12)</f>
        <v>#NAME?</v>
      </c>
      <c r="AP41" s="128" t="e" cm="1">
        <f t="array" aca="1" ref="AP41" ca="1">Notmerged(AP12)</f>
        <v>#NAME?</v>
      </c>
      <c r="AQ41" s="128" t="e" cm="1">
        <f t="array" aca="1" ref="AQ41" ca="1">Notmerged(AQ12)</f>
        <v>#NAME?</v>
      </c>
      <c r="AR41" s="128" t="e" cm="1">
        <f t="array" aca="1" ref="AR41" ca="1">Notmerged(AR12)</f>
        <v>#NAME?</v>
      </c>
      <c r="AS41" s="128" t="e" cm="1">
        <f t="array" aca="1" ref="AS41" ca="1">Notmerged(AS12)</f>
        <v>#NAME?</v>
      </c>
      <c r="AT41" s="128" t="e" cm="1">
        <f t="array" aca="1" ref="AT41" ca="1">Notmerged(AT12)</f>
        <v>#NAME?</v>
      </c>
      <c r="AU41" s="128" t="e" cm="1">
        <f t="array" aca="1" ref="AU41" ca="1">Notmerged(AU12)</f>
        <v>#NAME?</v>
      </c>
      <c r="AV41" s="128" t="e" cm="1">
        <f t="array" aca="1" ref="AV41" ca="1">Notmerged(AV12)</f>
        <v>#NAME?</v>
      </c>
      <c r="AW41" s="128" t="e" cm="1">
        <f t="array" aca="1" ref="AW41" ca="1">Notmerged(AW12)</f>
        <v>#NAME?</v>
      </c>
      <c r="AX41" s="128" t="e" cm="1">
        <f t="array" aca="1" ref="AX41" ca="1">Notmerged(AX12)</f>
        <v>#NAME?</v>
      </c>
      <c r="AY41" s="128" t="e" cm="1">
        <f t="array" aca="1" ref="AY41" ca="1">Notmerged(AY12)</f>
        <v>#NAME?</v>
      </c>
      <c r="AZ41" s="128" t="e" cm="1">
        <f t="array" aca="1" ref="AZ41" ca="1">Notmerged(AZ12)</f>
        <v>#NAME?</v>
      </c>
      <c r="BA41" s="128" t="e" cm="1">
        <f t="array" aca="1" ref="BA41" ca="1">Notmerged(BA12)</f>
        <v>#NAME?</v>
      </c>
      <c r="BB41" s="128" t="e" cm="1">
        <f t="array" aca="1" ref="BB41" ca="1">Notmerged(BB12)</f>
        <v>#NAME?</v>
      </c>
      <c r="BC41" s="128" t="e" cm="1">
        <f t="array" aca="1" ref="BC41" ca="1">Notmerged(BC12)</f>
        <v>#NAME?</v>
      </c>
      <c r="BD41" s="128" t="e" cm="1">
        <f t="array" aca="1" ref="BD41" ca="1">Notmerged(BD12)</f>
        <v>#NAME?</v>
      </c>
      <c r="BE41" s="128" t="e" cm="1">
        <f t="array" aca="1" ref="BE41" ca="1">Notmerged(BE12)</f>
        <v>#NAME?</v>
      </c>
      <c r="BF41" s="128" t="e" cm="1">
        <f t="array" aca="1" ref="BF41" ca="1">Notmerged(BF12)</f>
        <v>#NAME?</v>
      </c>
      <c r="BG41" s="128" t="e" cm="1">
        <f t="array" aca="1" ref="BG41" ca="1">Notmerged(BG12)</f>
        <v>#NAME?</v>
      </c>
      <c r="BH41" s="128" t="e" cm="1">
        <f t="array" aca="1" ref="BH41" ca="1">Notmerged(BH12)</f>
        <v>#NAME?</v>
      </c>
      <c r="BI41" s="128" t="e" cm="1">
        <f t="array" aca="1" ref="BI41" ca="1">Notmerged(BI12)</f>
        <v>#NAME?</v>
      </c>
      <c r="BJ41" s="128" t="e" cm="1">
        <f t="array" aca="1" ref="BJ41" ca="1">Notmerged(BJ12)</f>
        <v>#NAME?</v>
      </c>
      <c r="BK41" s="128" t="e" cm="1">
        <f t="array" aca="1" ref="BK41" ca="1">Notmerged(BK12)</f>
        <v>#NAME?</v>
      </c>
    </row>
    <row r="42" spans="2:63" x14ac:dyDescent="0.3">
      <c r="B42" s="128" t="e" cm="1">
        <f t="array" aca="1" ref="B42" ca="1">Notmerged(B13)</f>
        <v>#NAME?</v>
      </c>
      <c r="C42" s="128" t="e" cm="1">
        <f t="array" aca="1" ref="C42" ca="1">Notmerged(C13)</f>
        <v>#NAME?</v>
      </c>
      <c r="D42" s="128" t="e" cm="1">
        <f t="array" aca="1" ref="D42" ca="1">Notmerged(D13)</f>
        <v>#NAME?</v>
      </c>
      <c r="E42" s="128" t="e" cm="1">
        <f t="array" aca="1" ref="E42" ca="1">Notmerged(E13)</f>
        <v>#NAME?</v>
      </c>
      <c r="F42" s="128" t="e" cm="1">
        <f t="array" aca="1" ref="F42" ca="1">Notmerged(F13)</f>
        <v>#NAME?</v>
      </c>
      <c r="G42" s="128" t="e" cm="1">
        <f t="array" aca="1" ref="G42" ca="1">Notmerged(G13)</f>
        <v>#NAME?</v>
      </c>
      <c r="H42" s="128" t="e" cm="1">
        <f t="array" aca="1" ref="H42" ca="1">Notmerged(H13)</f>
        <v>#NAME?</v>
      </c>
      <c r="I42" s="128" t="e" cm="1">
        <f t="array" aca="1" ref="I42" ca="1">Notmerged(I13)</f>
        <v>#NAME?</v>
      </c>
      <c r="J42" s="128" t="e" cm="1">
        <f t="array" aca="1" ref="J42" ca="1">Notmerged(J13)</f>
        <v>#NAME?</v>
      </c>
      <c r="K42" s="128" t="e" cm="1">
        <f t="array" aca="1" ref="K42" ca="1">Notmerged(K13)</f>
        <v>#NAME?</v>
      </c>
      <c r="L42" s="128" t="e" cm="1">
        <f t="array" aca="1" ref="L42" ca="1">Notmerged(L13)</f>
        <v>#NAME?</v>
      </c>
      <c r="M42" s="128" t="e" cm="1">
        <f t="array" aca="1" ref="M42" ca="1">Notmerged(M13)</f>
        <v>#NAME?</v>
      </c>
      <c r="N42" s="128" t="e" cm="1">
        <f t="array" aca="1" ref="N42" ca="1">Notmerged(N13)</f>
        <v>#NAME?</v>
      </c>
      <c r="O42" s="128" t="e" cm="1">
        <f t="array" aca="1" ref="O42" ca="1">Notmerged(O13)</f>
        <v>#NAME?</v>
      </c>
      <c r="P42" s="128" t="e" cm="1">
        <f t="array" aca="1" ref="P42" ca="1">Notmerged(P13)</f>
        <v>#NAME?</v>
      </c>
      <c r="Q42" s="128" t="e" cm="1">
        <f t="array" aca="1" ref="Q42" ca="1">Notmerged(Q13)</f>
        <v>#NAME?</v>
      </c>
      <c r="R42" s="128" t="e" cm="1">
        <f t="array" aca="1" ref="R42" ca="1">Notmerged(R13)</f>
        <v>#NAME?</v>
      </c>
      <c r="S42" s="128" t="e" cm="1">
        <f t="array" aca="1" ref="S42" ca="1">Notmerged(S13)</f>
        <v>#NAME?</v>
      </c>
      <c r="T42" s="128" t="e" cm="1">
        <f t="array" aca="1" ref="T42" ca="1">Notmerged(T13)</f>
        <v>#NAME?</v>
      </c>
      <c r="U42" s="128" t="e" cm="1">
        <f t="array" aca="1" ref="U42" ca="1">Notmerged(U13)</f>
        <v>#NAME?</v>
      </c>
      <c r="V42" s="128" t="e" cm="1">
        <f t="array" aca="1" ref="V42" ca="1">Notmerged(V13)</f>
        <v>#NAME?</v>
      </c>
      <c r="W42" s="128" t="e" cm="1">
        <f t="array" aca="1" ref="W42" ca="1">Notmerged(W13)</f>
        <v>#NAME?</v>
      </c>
      <c r="X42" s="128" t="e" cm="1">
        <f t="array" aca="1" ref="X42" ca="1">Notmerged(X13)</f>
        <v>#NAME?</v>
      </c>
      <c r="Y42" s="128" t="e" cm="1">
        <f t="array" aca="1" ref="Y42" ca="1">Notmerged(Y13)</f>
        <v>#NAME?</v>
      </c>
      <c r="Z42" s="128" t="e" cm="1">
        <f t="array" aca="1" ref="Z42" ca="1">Notmerged(Z13)</f>
        <v>#NAME?</v>
      </c>
      <c r="AA42" s="128" t="e" cm="1">
        <f t="array" aca="1" ref="AA42" ca="1">Notmerged(AA13)</f>
        <v>#NAME?</v>
      </c>
      <c r="AB42" s="128" t="e" cm="1">
        <f t="array" aca="1" ref="AB42" ca="1">Notmerged(AB13)</f>
        <v>#NAME?</v>
      </c>
      <c r="AC42" s="128" t="e" cm="1">
        <f t="array" aca="1" ref="AC42" ca="1">Notmerged(AC13)</f>
        <v>#NAME?</v>
      </c>
      <c r="AD42" s="128" t="e" cm="1">
        <f t="array" aca="1" ref="AD42" ca="1">Notmerged(AD13)</f>
        <v>#NAME?</v>
      </c>
      <c r="AE42" s="128" t="e" cm="1">
        <f t="array" aca="1" ref="AE42" ca="1">Notmerged(AE13)</f>
        <v>#NAME?</v>
      </c>
      <c r="AF42" s="128" t="e" cm="1">
        <f t="array" aca="1" ref="AF42" ca="1">Notmerged(AF13)</f>
        <v>#NAME?</v>
      </c>
      <c r="AG42" s="128" t="e" cm="1">
        <f t="array" aca="1" ref="AG42" ca="1">Notmerged(AG13)</f>
        <v>#NAME?</v>
      </c>
      <c r="AH42" s="128" t="e" cm="1">
        <f t="array" aca="1" ref="AH42" ca="1">Notmerged(AH13)</f>
        <v>#NAME?</v>
      </c>
      <c r="AI42" s="128" t="e" cm="1">
        <f t="array" aca="1" ref="AI42" ca="1">Notmerged(AI13)</f>
        <v>#NAME?</v>
      </c>
      <c r="AJ42" s="128" t="e" cm="1">
        <f t="array" aca="1" ref="AJ42" ca="1">Notmerged(AJ13)</f>
        <v>#NAME?</v>
      </c>
      <c r="AK42" s="128" t="e" cm="1">
        <f t="array" aca="1" ref="AK42" ca="1">Notmerged(AK13)</f>
        <v>#NAME?</v>
      </c>
      <c r="AL42" s="128" t="e" cm="1">
        <f t="array" aca="1" ref="AL42" ca="1">Notmerged(AL13)</f>
        <v>#NAME?</v>
      </c>
      <c r="AM42" s="128" t="e" cm="1">
        <f t="array" aca="1" ref="AM42" ca="1">Notmerged(AM13)</f>
        <v>#NAME?</v>
      </c>
      <c r="AN42" s="128" t="e" cm="1">
        <f t="array" aca="1" ref="AN42" ca="1">Notmerged(AN13)</f>
        <v>#NAME?</v>
      </c>
      <c r="AO42" s="128" t="e" cm="1">
        <f t="array" aca="1" ref="AO42" ca="1">Notmerged(AO13)</f>
        <v>#NAME?</v>
      </c>
      <c r="AP42" s="128" t="e" cm="1">
        <f t="array" aca="1" ref="AP42" ca="1">Notmerged(AP13)</f>
        <v>#NAME?</v>
      </c>
      <c r="AQ42" s="128" t="e" cm="1">
        <f t="array" aca="1" ref="AQ42" ca="1">Notmerged(AQ13)</f>
        <v>#NAME?</v>
      </c>
      <c r="AR42" s="128" t="e" cm="1">
        <f t="array" aca="1" ref="AR42" ca="1">Notmerged(AR13)</f>
        <v>#NAME?</v>
      </c>
      <c r="AS42" s="128" t="e" cm="1">
        <f t="array" aca="1" ref="AS42" ca="1">Notmerged(AS13)</f>
        <v>#NAME?</v>
      </c>
      <c r="AT42" s="128" t="e" cm="1">
        <f t="array" aca="1" ref="AT42" ca="1">Notmerged(AT13)</f>
        <v>#NAME?</v>
      </c>
      <c r="AU42" s="128" t="e" cm="1">
        <f t="array" aca="1" ref="AU42" ca="1">Notmerged(AU13)</f>
        <v>#NAME?</v>
      </c>
      <c r="AV42" s="128" t="e" cm="1">
        <f t="array" aca="1" ref="AV42" ca="1">Notmerged(AV13)</f>
        <v>#NAME?</v>
      </c>
      <c r="AW42" s="128" t="e" cm="1">
        <f t="array" aca="1" ref="AW42" ca="1">Notmerged(AW13)</f>
        <v>#NAME?</v>
      </c>
      <c r="AX42" s="128" t="e" cm="1">
        <f t="array" aca="1" ref="AX42" ca="1">Notmerged(AX13)</f>
        <v>#NAME?</v>
      </c>
      <c r="AY42" s="128" t="e" cm="1">
        <f t="array" aca="1" ref="AY42" ca="1">Notmerged(AY13)</f>
        <v>#NAME?</v>
      </c>
      <c r="AZ42" s="128" t="e" cm="1">
        <f t="array" aca="1" ref="AZ42" ca="1">Notmerged(AZ13)</f>
        <v>#NAME?</v>
      </c>
      <c r="BA42" s="128" t="e" cm="1">
        <f t="array" aca="1" ref="BA42" ca="1">Notmerged(BA13)</f>
        <v>#NAME?</v>
      </c>
      <c r="BB42" s="128" t="e" cm="1">
        <f t="array" aca="1" ref="BB42" ca="1">Notmerged(BB13)</f>
        <v>#NAME?</v>
      </c>
      <c r="BC42" s="128" t="e" cm="1">
        <f t="array" aca="1" ref="BC42" ca="1">Notmerged(BC13)</f>
        <v>#NAME?</v>
      </c>
      <c r="BD42" s="128" t="e" cm="1">
        <f t="array" aca="1" ref="BD42" ca="1">Notmerged(BD13)</f>
        <v>#NAME?</v>
      </c>
      <c r="BE42" s="128" t="e" cm="1">
        <f t="array" aca="1" ref="BE42" ca="1">Notmerged(BE13)</f>
        <v>#NAME?</v>
      </c>
      <c r="BF42" s="128" t="e" cm="1">
        <f t="array" aca="1" ref="BF42" ca="1">Notmerged(BF13)</f>
        <v>#NAME?</v>
      </c>
      <c r="BG42" s="128" t="e" cm="1">
        <f t="array" aca="1" ref="BG42" ca="1">Notmerged(BG13)</f>
        <v>#NAME?</v>
      </c>
      <c r="BH42" s="128" t="e" cm="1">
        <f t="array" aca="1" ref="BH42" ca="1">Notmerged(BH13)</f>
        <v>#NAME?</v>
      </c>
      <c r="BI42" s="128" t="e" cm="1">
        <f t="array" aca="1" ref="BI42" ca="1">Notmerged(BI13)</f>
        <v>#NAME?</v>
      </c>
      <c r="BJ42" s="128" t="e" cm="1">
        <f t="array" aca="1" ref="BJ42" ca="1">Notmerged(BJ13)</f>
        <v>#NAME?</v>
      </c>
      <c r="BK42" s="128" t="e" cm="1">
        <f t="array" aca="1" ref="BK42" ca="1">Notmerged(BK13)</f>
        <v>#NAME?</v>
      </c>
    </row>
    <row r="43" spans="2:63" x14ac:dyDescent="0.3">
      <c r="B43" s="128" t="e" cm="1">
        <f t="array" aca="1" ref="B43" ca="1">Notmerged(B14)</f>
        <v>#NAME?</v>
      </c>
      <c r="C43" s="128" t="e" cm="1">
        <f t="array" aca="1" ref="C43" ca="1">Notmerged(C14)</f>
        <v>#NAME?</v>
      </c>
      <c r="D43" s="128" t="e" cm="1">
        <f t="array" aca="1" ref="D43" ca="1">Notmerged(D14)</f>
        <v>#NAME?</v>
      </c>
      <c r="E43" s="128" t="e" cm="1">
        <f t="array" aca="1" ref="E43" ca="1">Notmerged(E14)</f>
        <v>#NAME?</v>
      </c>
      <c r="F43" s="128" t="e" cm="1">
        <f t="array" aca="1" ref="F43" ca="1">Notmerged(F14)</f>
        <v>#NAME?</v>
      </c>
      <c r="G43" s="128" t="e" cm="1">
        <f t="array" aca="1" ref="G43" ca="1">Notmerged(G14)</f>
        <v>#NAME?</v>
      </c>
      <c r="H43" s="128" t="e" cm="1">
        <f t="array" aca="1" ref="H43" ca="1">Notmerged(H14)</f>
        <v>#NAME?</v>
      </c>
      <c r="I43" s="128" t="e" cm="1">
        <f t="array" aca="1" ref="I43" ca="1">Notmerged(I14)</f>
        <v>#NAME?</v>
      </c>
      <c r="J43" s="128" t="e" cm="1">
        <f t="array" aca="1" ref="J43" ca="1">Notmerged(J14)</f>
        <v>#NAME?</v>
      </c>
      <c r="K43" s="128" t="e" cm="1">
        <f t="array" aca="1" ref="K43" ca="1">Notmerged(K14)</f>
        <v>#NAME?</v>
      </c>
      <c r="L43" s="128" t="e" cm="1">
        <f t="array" aca="1" ref="L43" ca="1">Notmerged(L14)</f>
        <v>#NAME?</v>
      </c>
      <c r="M43" s="128" t="e" cm="1">
        <f t="array" aca="1" ref="M43" ca="1">Notmerged(M14)</f>
        <v>#NAME?</v>
      </c>
      <c r="N43" s="128" t="e" cm="1">
        <f t="array" aca="1" ref="N43" ca="1">Notmerged(N14)</f>
        <v>#NAME?</v>
      </c>
      <c r="O43" s="128" t="e" cm="1">
        <f t="array" aca="1" ref="O43" ca="1">Notmerged(O14)</f>
        <v>#NAME?</v>
      </c>
      <c r="P43" s="128" t="e" cm="1">
        <f t="array" aca="1" ref="P43" ca="1">Notmerged(P14)</f>
        <v>#NAME?</v>
      </c>
      <c r="Q43" s="128" t="e" cm="1">
        <f t="array" aca="1" ref="Q43" ca="1">Notmerged(Q14)</f>
        <v>#NAME?</v>
      </c>
      <c r="R43" s="128" t="e" cm="1">
        <f t="array" aca="1" ref="R43" ca="1">Notmerged(R14)</f>
        <v>#NAME?</v>
      </c>
      <c r="S43" s="128" t="e" cm="1">
        <f t="array" aca="1" ref="S43" ca="1">Notmerged(S14)</f>
        <v>#NAME?</v>
      </c>
      <c r="T43" s="128" t="e" cm="1">
        <f t="array" aca="1" ref="T43" ca="1">Notmerged(T14)</f>
        <v>#NAME?</v>
      </c>
      <c r="U43" s="128" t="e" cm="1">
        <f t="array" aca="1" ref="U43" ca="1">Notmerged(U14)</f>
        <v>#NAME?</v>
      </c>
      <c r="V43" s="128" t="e" cm="1">
        <f t="array" aca="1" ref="V43" ca="1">Notmerged(V14)</f>
        <v>#NAME?</v>
      </c>
      <c r="W43" s="128" t="e" cm="1">
        <f t="array" aca="1" ref="W43" ca="1">Notmerged(W14)</f>
        <v>#NAME?</v>
      </c>
      <c r="X43" s="128" t="e" cm="1">
        <f t="array" aca="1" ref="X43" ca="1">Notmerged(X14)</f>
        <v>#NAME?</v>
      </c>
      <c r="Y43" s="128" t="e" cm="1">
        <f t="array" aca="1" ref="Y43" ca="1">Notmerged(Y14)</f>
        <v>#NAME?</v>
      </c>
      <c r="Z43" s="128" t="e" cm="1">
        <f t="array" aca="1" ref="Z43" ca="1">Notmerged(Z14)</f>
        <v>#NAME?</v>
      </c>
      <c r="AA43" s="128" t="e" cm="1">
        <f t="array" aca="1" ref="AA43" ca="1">Notmerged(AA14)</f>
        <v>#NAME?</v>
      </c>
      <c r="AB43" s="128" t="e" cm="1">
        <f t="array" aca="1" ref="AB43" ca="1">Notmerged(AB14)</f>
        <v>#NAME?</v>
      </c>
      <c r="AC43" s="128" t="e" cm="1">
        <f t="array" aca="1" ref="AC43" ca="1">Notmerged(AC14)</f>
        <v>#NAME?</v>
      </c>
      <c r="AD43" s="128" t="e" cm="1">
        <f t="array" aca="1" ref="AD43" ca="1">Notmerged(AD14)</f>
        <v>#NAME?</v>
      </c>
      <c r="AE43" s="128" t="e" cm="1">
        <f t="array" aca="1" ref="AE43" ca="1">Notmerged(AE14)</f>
        <v>#NAME?</v>
      </c>
      <c r="AF43" s="128" t="e" cm="1">
        <f t="array" aca="1" ref="AF43" ca="1">Notmerged(AF14)</f>
        <v>#NAME?</v>
      </c>
      <c r="AG43" s="128" t="e" cm="1">
        <f t="array" aca="1" ref="AG43" ca="1">Notmerged(AG14)</f>
        <v>#NAME?</v>
      </c>
      <c r="AH43" s="128" t="e" cm="1">
        <f t="array" aca="1" ref="AH43" ca="1">Notmerged(AH14)</f>
        <v>#NAME?</v>
      </c>
      <c r="AI43" s="128" t="e" cm="1">
        <f t="array" aca="1" ref="AI43" ca="1">Notmerged(AI14)</f>
        <v>#NAME?</v>
      </c>
      <c r="AJ43" s="128" t="e" cm="1">
        <f t="array" aca="1" ref="AJ43" ca="1">Notmerged(AJ14)</f>
        <v>#NAME?</v>
      </c>
      <c r="AK43" s="128" t="e" cm="1">
        <f t="array" aca="1" ref="AK43" ca="1">Notmerged(AK14)</f>
        <v>#NAME?</v>
      </c>
      <c r="AL43" s="128" t="e" cm="1">
        <f t="array" aca="1" ref="AL43" ca="1">Notmerged(AL14)</f>
        <v>#NAME?</v>
      </c>
      <c r="AM43" s="128" t="e" cm="1">
        <f t="array" aca="1" ref="AM43" ca="1">Notmerged(AM14)</f>
        <v>#NAME?</v>
      </c>
      <c r="AN43" s="128" t="e" cm="1">
        <f t="array" aca="1" ref="AN43" ca="1">Notmerged(AN14)</f>
        <v>#NAME?</v>
      </c>
      <c r="AO43" s="128" t="e" cm="1">
        <f t="array" aca="1" ref="AO43" ca="1">Notmerged(AO14)</f>
        <v>#NAME?</v>
      </c>
      <c r="AP43" s="128" t="e" cm="1">
        <f t="array" aca="1" ref="AP43" ca="1">Notmerged(AP14)</f>
        <v>#NAME?</v>
      </c>
      <c r="AQ43" s="128" t="e" cm="1">
        <f t="array" aca="1" ref="AQ43" ca="1">Notmerged(AQ14)</f>
        <v>#NAME?</v>
      </c>
      <c r="AR43" s="128" t="e" cm="1">
        <f t="array" aca="1" ref="AR43" ca="1">Notmerged(AR14)</f>
        <v>#NAME?</v>
      </c>
      <c r="AS43" s="128" t="e" cm="1">
        <f t="array" aca="1" ref="AS43" ca="1">Notmerged(AS14)</f>
        <v>#NAME?</v>
      </c>
      <c r="AT43" s="128" t="e" cm="1">
        <f t="array" aca="1" ref="AT43" ca="1">Notmerged(AT14)</f>
        <v>#NAME?</v>
      </c>
      <c r="AU43" s="128" t="e" cm="1">
        <f t="array" aca="1" ref="AU43" ca="1">Notmerged(AU14)</f>
        <v>#NAME?</v>
      </c>
      <c r="AV43" s="128" t="e" cm="1">
        <f t="array" aca="1" ref="AV43" ca="1">Notmerged(AV14)</f>
        <v>#NAME?</v>
      </c>
      <c r="AW43" s="128" t="e" cm="1">
        <f t="array" aca="1" ref="AW43" ca="1">Notmerged(AW14)</f>
        <v>#NAME?</v>
      </c>
      <c r="AX43" s="128" t="e" cm="1">
        <f t="array" aca="1" ref="AX43" ca="1">Notmerged(AX14)</f>
        <v>#NAME?</v>
      </c>
      <c r="AY43" s="128" t="e" cm="1">
        <f t="array" aca="1" ref="AY43" ca="1">Notmerged(AY14)</f>
        <v>#NAME?</v>
      </c>
      <c r="AZ43" s="128" t="e" cm="1">
        <f t="array" aca="1" ref="AZ43" ca="1">Notmerged(AZ14)</f>
        <v>#NAME?</v>
      </c>
      <c r="BA43" s="128" t="e" cm="1">
        <f t="array" aca="1" ref="BA43" ca="1">Notmerged(BA14)</f>
        <v>#NAME?</v>
      </c>
      <c r="BB43" s="128" t="e" cm="1">
        <f t="array" aca="1" ref="BB43" ca="1">Notmerged(BB14)</f>
        <v>#NAME?</v>
      </c>
      <c r="BC43" s="128" t="e" cm="1">
        <f t="array" aca="1" ref="BC43" ca="1">Notmerged(BC14)</f>
        <v>#NAME?</v>
      </c>
      <c r="BD43" s="128" t="e" cm="1">
        <f t="array" aca="1" ref="BD43" ca="1">Notmerged(BD14)</f>
        <v>#NAME?</v>
      </c>
      <c r="BE43" s="128" t="e" cm="1">
        <f t="array" aca="1" ref="BE43" ca="1">Notmerged(BE14)</f>
        <v>#NAME?</v>
      </c>
      <c r="BF43" s="128" t="e" cm="1">
        <f t="array" aca="1" ref="BF43" ca="1">Notmerged(BF14)</f>
        <v>#NAME?</v>
      </c>
      <c r="BG43" s="128" t="e" cm="1">
        <f t="array" aca="1" ref="BG43" ca="1">Notmerged(BG14)</f>
        <v>#NAME?</v>
      </c>
      <c r="BH43" s="128" t="e" cm="1">
        <f t="array" aca="1" ref="BH43" ca="1">Notmerged(BH14)</f>
        <v>#NAME?</v>
      </c>
      <c r="BI43" s="128" t="e" cm="1">
        <f t="array" aca="1" ref="BI43" ca="1">Notmerged(BI14)</f>
        <v>#NAME?</v>
      </c>
      <c r="BJ43" s="128" t="e" cm="1">
        <f t="array" aca="1" ref="BJ43" ca="1">Notmerged(BJ14)</f>
        <v>#NAME?</v>
      </c>
      <c r="BK43" s="128" t="e" cm="1">
        <f t="array" aca="1" ref="BK43" ca="1">Notmerged(BK14)</f>
        <v>#NAME?</v>
      </c>
    </row>
    <row r="44" spans="2:63" x14ac:dyDescent="0.3">
      <c r="B44" s="128" t="e" cm="1">
        <f t="array" aca="1" ref="B44" ca="1">Notmerged(B15)</f>
        <v>#NAME?</v>
      </c>
      <c r="C44" s="128" t="e" cm="1">
        <f t="array" aca="1" ref="C44" ca="1">Notmerged(C15)</f>
        <v>#NAME?</v>
      </c>
      <c r="D44" s="128" t="e" cm="1">
        <f t="array" aca="1" ref="D44" ca="1">Notmerged(D15)</f>
        <v>#NAME?</v>
      </c>
      <c r="E44" s="128" t="e" cm="1">
        <f t="array" aca="1" ref="E44" ca="1">Notmerged(E15)</f>
        <v>#NAME?</v>
      </c>
      <c r="F44" s="128" t="e" cm="1">
        <f t="array" aca="1" ref="F44" ca="1">Notmerged(F15)</f>
        <v>#NAME?</v>
      </c>
      <c r="G44" s="128" t="e" cm="1">
        <f t="array" aca="1" ref="G44" ca="1">Notmerged(G15)</f>
        <v>#NAME?</v>
      </c>
      <c r="H44" s="128" t="e" cm="1">
        <f t="array" aca="1" ref="H44" ca="1">Notmerged(H15)</f>
        <v>#NAME?</v>
      </c>
      <c r="I44" s="128" t="e" cm="1">
        <f t="array" aca="1" ref="I44" ca="1">Notmerged(I15)</f>
        <v>#NAME?</v>
      </c>
      <c r="J44" s="128" t="e" cm="1">
        <f t="array" aca="1" ref="J44" ca="1">Notmerged(J15)</f>
        <v>#NAME?</v>
      </c>
      <c r="K44" s="128" t="e" cm="1">
        <f t="array" aca="1" ref="K44" ca="1">Notmerged(K15)</f>
        <v>#NAME?</v>
      </c>
      <c r="L44" s="128" t="e" cm="1">
        <f t="array" aca="1" ref="L44" ca="1">Notmerged(L15)</f>
        <v>#NAME?</v>
      </c>
      <c r="M44" s="128" t="e" cm="1">
        <f t="array" aca="1" ref="M44" ca="1">Notmerged(M15)</f>
        <v>#NAME?</v>
      </c>
      <c r="N44" s="128" t="e" cm="1">
        <f t="array" aca="1" ref="N44" ca="1">Notmerged(N15)</f>
        <v>#NAME?</v>
      </c>
      <c r="O44" s="128" t="e" cm="1">
        <f t="array" aca="1" ref="O44" ca="1">Notmerged(O15)</f>
        <v>#NAME?</v>
      </c>
      <c r="P44" s="128" t="e" cm="1">
        <f t="array" aca="1" ref="P44" ca="1">Notmerged(P15)</f>
        <v>#NAME?</v>
      </c>
      <c r="Q44" s="128" t="e" cm="1">
        <f t="array" aca="1" ref="Q44" ca="1">Notmerged(Q15)</f>
        <v>#NAME?</v>
      </c>
      <c r="R44" s="128" t="e" cm="1">
        <f t="array" aca="1" ref="R44" ca="1">Notmerged(R15)</f>
        <v>#NAME?</v>
      </c>
      <c r="S44" s="128" t="e" cm="1">
        <f t="array" aca="1" ref="S44" ca="1">Notmerged(S15)</f>
        <v>#NAME?</v>
      </c>
      <c r="T44" s="128" t="e" cm="1">
        <f t="array" aca="1" ref="T44" ca="1">Notmerged(T15)</f>
        <v>#NAME?</v>
      </c>
      <c r="U44" s="128" t="e" cm="1">
        <f t="array" aca="1" ref="U44" ca="1">Notmerged(U15)</f>
        <v>#NAME?</v>
      </c>
      <c r="V44" s="128" t="e" cm="1">
        <f t="array" aca="1" ref="V44" ca="1">Notmerged(V15)</f>
        <v>#NAME?</v>
      </c>
      <c r="W44" s="128" t="e" cm="1">
        <f t="array" aca="1" ref="W44" ca="1">Notmerged(W15)</f>
        <v>#NAME?</v>
      </c>
      <c r="X44" s="128" t="e" cm="1">
        <f t="array" aca="1" ref="X44" ca="1">Notmerged(X15)</f>
        <v>#NAME?</v>
      </c>
      <c r="Y44" s="128" t="e" cm="1">
        <f t="array" aca="1" ref="Y44" ca="1">Notmerged(Y15)</f>
        <v>#NAME?</v>
      </c>
      <c r="Z44" s="128" t="e" cm="1">
        <f t="array" aca="1" ref="Z44" ca="1">Notmerged(Z15)</f>
        <v>#NAME?</v>
      </c>
      <c r="AA44" s="128" t="e" cm="1">
        <f t="array" aca="1" ref="AA44" ca="1">Notmerged(AA15)</f>
        <v>#NAME?</v>
      </c>
      <c r="AB44" s="128" t="e" cm="1">
        <f t="array" aca="1" ref="AB44" ca="1">Notmerged(AB15)</f>
        <v>#NAME?</v>
      </c>
      <c r="AC44" s="128" t="e" cm="1">
        <f t="array" aca="1" ref="AC44" ca="1">Notmerged(AC15)</f>
        <v>#NAME?</v>
      </c>
      <c r="AD44" s="128" t="e" cm="1">
        <f t="array" aca="1" ref="AD44" ca="1">Notmerged(AD15)</f>
        <v>#NAME?</v>
      </c>
      <c r="AE44" s="128" t="e" cm="1">
        <f t="array" aca="1" ref="AE44" ca="1">Notmerged(AE15)</f>
        <v>#NAME?</v>
      </c>
      <c r="AF44" s="128" t="e" cm="1">
        <f t="array" aca="1" ref="AF44" ca="1">Notmerged(AF15)</f>
        <v>#NAME?</v>
      </c>
      <c r="AG44" s="128" t="e" cm="1">
        <f t="array" aca="1" ref="AG44" ca="1">Notmerged(AG15)</f>
        <v>#NAME?</v>
      </c>
      <c r="AH44" s="128" t="e" cm="1">
        <f t="array" aca="1" ref="AH44" ca="1">Notmerged(AH15)</f>
        <v>#NAME?</v>
      </c>
      <c r="AI44" s="128" t="e" cm="1">
        <f t="array" aca="1" ref="AI44" ca="1">Notmerged(AI15)</f>
        <v>#NAME?</v>
      </c>
      <c r="AJ44" s="128" t="e" cm="1">
        <f t="array" aca="1" ref="AJ44" ca="1">Notmerged(AJ15)</f>
        <v>#NAME?</v>
      </c>
      <c r="AK44" s="128" t="e" cm="1">
        <f t="array" aca="1" ref="AK44" ca="1">Notmerged(AK15)</f>
        <v>#NAME?</v>
      </c>
      <c r="AL44" s="128" t="e" cm="1">
        <f t="array" aca="1" ref="AL44" ca="1">Notmerged(AL15)</f>
        <v>#NAME?</v>
      </c>
      <c r="AM44" s="128" t="e" cm="1">
        <f t="array" aca="1" ref="AM44" ca="1">Notmerged(AM15)</f>
        <v>#NAME?</v>
      </c>
      <c r="AN44" s="128" t="e" cm="1">
        <f t="array" aca="1" ref="AN44" ca="1">Notmerged(AN15)</f>
        <v>#NAME?</v>
      </c>
      <c r="AO44" s="128" t="e" cm="1">
        <f t="array" aca="1" ref="AO44" ca="1">Notmerged(AO15)</f>
        <v>#NAME?</v>
      </c>
      <c r="AP44" s="128" t="e" cm="1">
        <f t="array" aca="1" ref="AP44" ca="1">Notmerged(AP15)</f>
        <v>#NAME?</v>
      </c>
      <c r="AQ44" s="128" t="e" cm="1">
        <f t="array" aca="1" ref="AQ44" ca="1">Notmerged(AQ15)</f>
        <v>#NAME?</v>
      </c>
      <c r="AR44" s="128" t="e" cm="1">
        <f t="array" aca="1" ref="AR44" ca="1">Notmerged(AR15)</f>
        <v>#NAME?</v>
      </c>
      <c r="AS44" s="128" t="e" cm="1">
        <f t="array" aca="1" ref="AS44" ca="1">Notmerged(AS15)</f>
        <v>#NAME?</v>
      </c>
      <c r="AT44" s="128" t="e" cm="1">
        <f t="array" aca="1" ref="AT44" ca="1">Notmerged(AT15)</f>
        <v>#NAME?</v>
      </c>
      <c r="AU44" s="128" t="e" cm="1">
        <f t="array" aca="1" ref="AU44" ca="1">Notmerged(AU15)</f>
        <v>#NAME?</v>
      </c>
      <c r="AV44" s="128" t="e" cm="1">
        <f t="array" aca="1" ref="AV44" ca="1">Notmerged(AV15)</f>
        <v>#NAME?</v>
      </c>
      <c r="AW44" s="128" t="e" cm="1">
        <f t="array" aca="1" ref="AW44" ca="1">Notmerged(AW15)</f>
        <v>#NAME?</v>
      </c>
      <c r="AX44" s="128" t="e" cm="1">
        <f t="array" aca="1" ref="AX44" ca="1">Notmerged(AX15)</f>
        <v>#NAME?</v>
      </c>
      <c r="AY44" s="128" t="e" cm="1">
        <f t="array" aca="1" ref="AY44" ca="1">Notmerged(AY15)</f>
        <v>#NAME?</v>
      </c>
      <c r="AZ44" s="128" t="e" cm="1">
        <f t="array" aca="1" ref="AZ44" ca="1">Notmerged(AZ15)</f>
        <v>#NAME?</v>
      </c>
      <c r="BA44" s="128" t="e" cm="1">
        <f t="array" aca="1" ref="BA44" ca="1">Notmerged(BA15)</f>
        <v>#NAME?</v>
      </c>
      <c r="BB44" s="128" t="e" cm="1">
        <f t="array" aca="1" ref="BB44" ca="1">Notmerged(BB15)</f>
        <v>#NAME?</v>
      </c>
      <c r="BC44" s="128" t="e" cm="1">
        <f t="array" aca="1" ref="BC44" ca="1">Notmerged(BC15)</f>
        <v>#NAME?</v>
      </c>
      <c r="BD44" s="128" t="e" cm="1">
        <f t="array" aca="1" ref="BD44" ca="1">Notmerged(BD15)</f>
        <v>#NAME?</v>
      </c>
      <c r="BE44" s="128" t="e" cm="1">
        <f t="array" aca="1" ref="BE44" ca="1">Notmerged(BE15)</f>
        <v>#NAME?</v>
      </c>
      <c r="BF44" s="128" t="e" cm="1">
        <f t="array" aca="1" ref="BF44" ca="1">Notmerged(BF15)</f>
        <v>#NAME?</v>
      </c>
      <c r="BG44" s="128" t="e" cm="1">
        <f t="array" aca="1" ref="BG44" ca="1">Notmerged(BG15)</f>
        <v>#NAME?</v>
      </c>
      <c r="BH44" s="128" t="e" cm="1">
        <f t="array" aca="1" ref="BH44" ca="1">Notmerged(BH15)</f>
        <v>#NAME?</v>
      </c>
      <c r="BI44" s="128" t="e" cm="1">
        <f t="array" aca="1" ref="BI44" ca="1">Notmerged(BI15)</f>
        <v>#NAME?</v>
      </c>
      <c r="BJ44" s="128" t="e" cm="1">
        <f t="array" aca="1" ref="BJ44" ca="1">Notmerged(BJ15)</f>
        <v>#NAME?</v>
      </c>
      <c r="BK44" s="128" t="e" cm="1">
        <f t="array" aca="1" ref="BK44" ca="1">Notmerged(BK15)</f>
        <v>#NAME?</v>
      </c>
    </row>
    <row r="45" spans="2:63" x14ac:dyDescent="0.3">
      <c r="B45" s="128" t="e" cm="1">
        <f t="array" aca="1" ref="B45" ca="1">Notmerged(B16)</f>
        <v>#NAME?</v>
      </c>
      <c r="C45" s="128" t="e" cm="1">
        <f t="array" aca="1" ref="C45" ca="1">Notmerged(C16)</f>
        <v>#NAME?</v>
      </c>
      <c r="D45" s="128" t="e" cm="1">
        <f t="array" aca="1" ref="D45" ca="1">Notmerged(D16)</f>
        <v>#NAME?</v>
      </c>
      <c r="E45" s="128" t="e" cm="1">
        <f t="array" aca="1" ref="E45" ca="1">Notmerged(E16)</f>
        <v>#NAME?</v>
      </c>
      <c r="F45" s="128" t="e" cm="1">
        <f t="array" aca="1" ref="F45" ca="1">Notmerged(F16)</f>
        <v>#NAME?</v>
      </c>
      <c r="G45" s="128" t="e" cm="1">
        <f t="array" aca="1" ref="G45" ca="1">Notmerged(G16)</f>
        <v>#NAME?</v>
      </c>
      <c r="H45" s="128" t="e" cm="1">
        <f t="array" aca="1" ref="H45" ca="1">Notmerged(H16)</f>
        <v>#NAME?</v>
      </c>
      <c r="I45" s="128" t="e" cm="1">
        <f t="array" aca="1" ref="I45" ca="1">Notmerged(I16)</f>
        <v>#NAME?</v>
      </c>
      <c r="J45" s="128" t="e" cm="1">
        <f t="array" aca="1" ref="J45" ca="1">Notmerged(J16)</f>
        <v>#NAME?</v>
      </c>
      <c r="K45" s="128" t="e" cm="1">
        <f t="array" aca="1" ref="K45" ca="1">Notmerged(K16)</f>
        <v>#NAME?</v>
      </c>
      <c r="L45" s="128" t="e" cm="1">
        <f t="array" aca="1" ref="L45" ca="1">Notmerged(L16)</f>
        <v>#NAME?</v>
      </c>
      <c r="M45" s="128" t="e" cm="1">
        <f t="array" aca="1" ref="M45" ca="1">Notmerged(M16)</f>
        <v>#NAME?</v>
      </c>
      <c r="N45" s="128" t="e" cm="1">
        <f t="array" aca="1" ref="N45" ca="1">Notmerged(N16)</f>
        <v>#NAME?</v>
      </c>
      <c r="O45" s="128" t="e" cm="1">
        <f t="array" aca="1" ref="O45" ca="1">Notmerged(O16)</f>
        <v>#NAME?</v>
      </c>
      <c r="P45" s="128" t="e" cm="1">
        <f t="array" aca="1" ref="P45" ca="1">Notmerged(P16)</f>
        <v>#NAME?</v>
      </c>
      <c r="Q45" s="128" t="e" cm="1">
        <f t="array" aca="1" ref="Q45" ca="1">Notmerged(Q16)</f>
        <v>#NAME?</v>
      </c>
      <c r="R45" s="128" t="e" cm="1">
        <f t="array" aca="1" ref="R45" ca="1">Notmerged(R16)</f>
        <v>#NAME?</v>
      </c>
      <c r="S45" s="128" t="e" cm="1">
        <f t="array" aca="1" ref="S45" ca="1">Notmerged(S16)</f>
        <v>#NAME?</v>
      </c>
      <c r="T45" s="128" t="e" cm="1">
        <f t="array" aca="1" ref="T45" ca="1">Notmerged(T16)</f>
        <v>#NAME?</v>
      </c>
      <c r="U45" s="128" t="e" cm="1">
        <f t="array" aca="1" ref="U45" ca="1">Notmerged(U16)</f>
        <v>#NAME?</v>
      </c>
      <c r="V45" s="128" t="e" cm="1">
        <f t="array" aca="1" ref="V45" ca="1">Notmerged(V16)</f>
        <v>#NAME?</v>
      </c>
      <c r="W45" s="128" t="e" cm="1">
        <f t="array" aca="1" ref="W45" ca="1">Notmerged(W16)</f>
        <v>#NAME?</v>
      </c>
      <c r="X45" s="128" t="e" cm="1">
        <f t="array" aca="1" ref="X45" ca="1">Notmerged(X16)</f>
        <v>#NAME?</v>
      </c>
      <c r="Y45" s="128" t="e" cm="1">
        <f t="array" aca="1" ref="Y45" ca="1">Notmerged(Y16)</f>
        <v>#NAME?</v>
      </c>
      <c r="Z45" s="128" t="e" cm="1">
        <f t="array" aca="1" ref="Z45" ca="1">Notmerged(Z16)</f>
        <v>#NAME?</v>
      </c>
      <c r="AA45" s="128" t="e" cm="1">
        <f t="array" aca="1" ref="AA45" ca="1">Notmerged(AA16)</f>
        <v>#NAME?</v>
      </c>
      <c r="AB45" s="128" t="e" cm="1">
        <f t="array" aca="1" ref="AB45" ca="1">Notmerged(AB16)</f>
        <v>#NAME?</v>
      </c>
      <c r="AC45" s="128" t="e" cm="1">
        <f t="array" aca="1" ref="AC45" ca="1">Notmerged(AC16)</f>
        <v>#NAME?</v>
      </c>
      <c r="AD45" s="128" t="e" cm="1">
        <f t="array" aca="1" ref="AD45" ca="1">Notmerged(AD16)</f>
        <v>#NAME?</v>
      </c>
      <c r="AE45" s="128" t="e" cm="1">
        <f t="array" aca="1" ref="AE45" ca="1">Notmerged(AE16)</f>
        <v>#NAME?</v>
      </c>
      <c r="AF45" s="128" t="e" cm="1">
        <f t="array" aca="1" ref="AF45" ca="1">Notmerged(AF16)</f>
        <v>#NAME?</v>
      </c>
      <c r="AG45" s="128" t="e" cm="1">
        <f t="array" aca="1" ref="AG45" ca="1">Notmerged(AG16)</f>
        <v>#NAME?</v>
      </c>
      <c r="AH45" s="128" t="e" cm="1">
        <f t="array" aca="1" ref="AH45" ca="1">Notmerged(AH16)</f>
        <v>#NAME?</v>
      </c>
      <c r="AI45" s="128" t="e" cm="1">
        <f t="array" aca="1" ref="AI45" ca="1">Notmerged(AI16)</f>
        <v>#NAME?</v>
      </c>
      <c r="AJ45" s="128" t="e" cm="1">
        <f t="array" aca="1" ref="AJ45" ca="1">Notmerged(AJ16)</f>
        <v>#NAME?</v>
      </c>
      <c r="AK45" s="128" t="e" cm="1">
        <f t="array" aca="1" ref="AK45" ca="1">Notmerged(AK16)</f>
        <v>#NAME?</v>
      </c>
      <c r="AL45" s="128" t="e" cm="1">
        <f t="array" aca="1" ref="AL45" ca="1">Notmerged(AL16)</f>
        <v>#NAME?</v>
      </c>
      <c r="AM45" s="128" t="e" cm="1">
        <f t="array" aca="1" ref="AM45" ca="1">Notmerged(AM16)</f>
        <v>#NAME?</v>
      </c>
      <c r="AN45" s="128" t="e" cm="1">
        <f t="array" aca="1" ref="AN45" ca="1">Notmerged(AN16)</f>
        <v>#NAME?</v>
      </c>
      <c r="AO45" s="128" t="e" cm="1">
        <f t="array" aca="1" ref="AO45" ca="1">Notmerged(AO16)</f>
        <v>#NAME?</v>
      </c>
      <c r="AP45" s="128" t="e" cm="1">
        <f t="array" aca="1" ref="AP45" ca="1">Notmerged(AP16)</f>
        <v>#NAME?</v>
      </c>
      <c r="AQ45" s="128" t="e" cm="1">
        <f t="array" aca="1" ref="AQ45" ca="1">Notmerged(AQ16)</f>
        <v>#NAME?</v>
      </c>
      <c r="AR45" s="128" t="e" cm="1">
        <f t="array" aca="1" ref="AR45" ca="1">Notmerged(AR16)</f>
        <v>#NAME?</v>
      </c>
      <c r="AS45" s="128" t="e" cm="1">
        <f t="array" aca="1" ref="AS45" ca="1">Notmerged(AS16)</f>
        <v>#NAME?</v>
      </c>
      <c r="AT45" s="128" t="e" cm="1">
        <f t="array" aca="1" ref="AT45" ca="1">Notmerged(AT16)</f>
        <v>#NAME?</v>
      </c>
      <c r="AU45" s="128" t="e" cm="1">
        <f t="array" aca="1" ref="AU45" ca="1">Notmerged(AU16)</f>
        <v>#NAME?</v>
      </c>
      <c r="AV45" s="128" t="e" cm="1">
        <f t="array" aca="1" ref="AV45" ca="1">Notmerged(AV16)</f>
        <v>#NAME?</v>
      </c>
      <c r="AW45" s="128" t="e" cm="1">
        <f t="array" aca="1" ref="AW45" ca="1">Notmerged(AW16)</f>
        <v>#NAME?</v>
      </c>
      <c r="AX45" s="128" t="e" cm="1">
        <f t="array" aca="1" ref="AX45" ca="1">Notmerged(AX16)</f>
        <v>#NAME?</v>
      </c>
      <c r="AY45" s="128" t="e" cm="1">
        <f t="array" aca="1" ref="AY45" ca="1">Notmerged(AY16)</f>
        <v>#NAME?</v>
      </c>
      <c r="AZ45" s="128" t="e" cm="1">
        <f t="array" aca="1" ref="AZ45" ca="1">Notmerged(AZ16)</f>
        <v>#NAME?</v>
      </c>
      <c r="BA45" s="128" t="e" cm="1">
        <f t="array" aca="1" ref="BA45" ca="1">Notmerged(BA16)</f>
        <v>#NAME?</v>
      </c>
      <c r="BB45" s="128" t="e" cm="1">
        <f t="array" aca="1" ref="BB45" ca="1">Notmerged(BB16)</f>
        <v>#NAME?</v>
      </c>
      <c r="BC45" s="128" t="e" cm="1">
        <f t="array" aca="1" ref="BC45" ca="1">Notmerged(BC16)</f>
        <v>#NAME?</v>
      </c>
      <c r="BD45" s="128" t="e" cm="1">
        <f t="array" aca="1" ref="BD45" ca="1">Notmerged(BD16)</f>
        <v>#NAME?</v>
      </c>
      <c r="BE45" s="128" t="e" cm="1">
        <f t="array" aca="1" ref="BE45" ca="1">Notmerged(BE16)</f>
        <v>#NAME?</v>
      </c>
      <c r="BF45" s="128" t="e" cm="1">
        <f t="array" aca="1" ref="BF45" ca="1">Notmerged(BF16)</f>
        <v>#NAME?</v>
      </c>
      <c r="BG45" s="128" t="e" cm="1">
        <f t="array" aca="1" ref="BG45" ca="1">Notmerged(BG16)</f>
        <v>#NAME?</v>
      </c>
      <c r="BH45" s="128" t="e" cm="1">
        <f t="array" aca="1" ref="BH45" ca="1">Notmerged(BH16)</f>
        <v>#NAME?</v>
      </c>
      <c r="BI45" s="128" t="e" cm="1">
        <f t="array" aca="1" ref="BI45" ca="1">Notmerged(BI16)</f>
        <v>#NAME?</v>
      </c>
      <c r="BJ45" s="128" t="e" cm="1">
        <f t="array" aca="1" ref="BJ45" ca="1">Notmerged(BJ16)</f>
        <v>#NAME?</v>
      </c>
      <c r="BK45" s="128" t="e" cm="1">
        <f t="array" aca="1" ref="BK45" ca="1">Notmerged(BK16)</f>
        <v>#NAME?</v>
      </c>
    </row>
    <row r="46" spans="2:63" x14ac:dyDescent="0.3">
      <c r="B46" s="128" t="e" cm="1">
        <f t="array" aca="1" ref="B46" ca="1">Notmerged(B17)</f>
        <v>#NAME?</v>
      </c>
      <c r="C46" s="128" t="e" cm="1">
        <f t="array" aca="1" ref="C46" ca="1">Notmerged(C17)</f>
        <v>#NAME?</v>
      </c>
      <c r="D46" s="128" t="e" cm="1">
        <f t="array" aca="1" ref="D46" ca="1">Notmerged(D17)</f>
        <v>#NAME?</v>
      </c>
      <c r="E46" s="128" t="e" cm="1">
        <f t="array" aca="1" ref="E46" ca="1">Notmerged(E17)</f>
        <v>#NAME?</v>
      </c>
      <c r="F46" s="128" t="e" cm="1">
        <f t="array" aca="1" ref="F46" ca="1">Notmerged(F17)</f>
        <v>#NAME?</v>
      </c>
      <c r="G46" s="128" t="e" cm="1">
        <f t="array" aca="1" ref="G46" ca="1">Notmerged(G17)</f>
        <v>#NAME?</v>
      </c>
      <c r="H46" s="128" t="e" cm="1">
        <f t="array" aca="1" ref="H46" ca="1">Notmerged(H17)</f>
        <v>#NAME?</v>
      </c>
      <c r="I46" s="128" t="e" cm="1">
        <f t="array" aca="1" ref="I46" ca="1">Notmerged(I17)</f>
        <v>#NAME?</v>
      </c>
      <c r="J46" s="128" t="e" cm="1">
        <f t="array" aca="1" ref="J46" ca="1">Notmerged(J17)</f>
        <v>#NAME?</v>
      </c>
      <c r="K46" s="128" t="e" cm="1">
        <f t="array" aca="1" ref="K46" ca="1">Notmerged(K17)</f>
        <v>#NAME?</v>
      </c>
      <c r="L46" s="128" t="e" cm="1">
        <f t="array" aca="1" ref="L46" ca="1">Notmerged(L17)</f>
        <v>#NAME?</v>
      </c>
      <c r="M46" s="128" t="e" cm="1">
        <f t="array" aca="1" ref="M46" ca="1">Notmerged(M17)</f>
        <v>#NAME?</v>
      </c>
      <c r="N46" s="128" t="e" cm="1">
        <f t="array" aca="1" ref="N46" ca="1">Notmerged(N17)</f>
        <v>#NAME?</v>
      </c>
      <c r="O46" s="128" t="e" cm="1">
        <f t="array" aca="1" ref="O46" ca="1">Notmerged(O17)</f>
        <v>#NAME?</v>
      </c>
      <c r="P46" s="128" t="e" cm="1">
        <f t="array" aca="1" ref="P46" ca="1">Notmerged(P17)</f>
        <v>#NAME?</v>
      </c>
      <c r="Q46" s="128" t="e" cm="1">
        <f t="array" aca="1" ref="Q46" ca="1">Notmerged(Q17)</f>
        <v>#NAME?</v>
      </c>
      <c r="R46" s="128" t="e" cm="1">
        <f t="array" aca="1" ref="R46" ca="1">Notmerged(R17)</f>
        <v>#NAME?</v>
      </c>
      <c r="S46" s="128" t="e" cm="1">
        <f t="array" aca="1" ref="S46" ca="1">Notmerged(S17)</f>
        <v>#NAME?</v>
      </c>
      <c r="T46" s="128" t="e" cm="1">
        <f t="array" aca="1" ref="T46" ca="1">Notmerged(T17)</f>
        <v>#NAME?</v>
      </c>
      <c r="U46" s="128" t="e" cm="1">
        <f t="array" aca="1" ref="U46" ca="1">Notmerged(U17)</f>
        <v>#NAME?</v>
      </c>
      <c r="V46" s="128" t="e" cm="1">
        <f t="array" aca="1" ref="V46" ca="1">Notmerged(V17)</f>
        <v>#NAME?</v>
      </c>
      <c r="W46" s="128" t="e" cm="1">
        <f t="array" aca="1" ref="W46" ca="1">Notmerged(W17)</f>
        <v>#NAME?</v>
      </c>
      <c r="X46" s="128" t="e" cm="1">
        <f t="array" aca="1" ref="X46" ca="1">Notmerged(X17)</f>
        <v>#NAME?</v>
      </c>
      <c r="Y46" s="128" t="e" cm="1">
        <f t="array" aca="1" ref="Y46" ca="1">Notmerged(Y17)</f>
        <v>#NAME?</v>
      </c>
      <c r="Z46" s="128" t="e" cm="1">
        <f t="array" aca="1" ref="Z46" ca="1">Notmerged(Z17)</f>
        <v>#NAME?</v>
      </c>
      <c r="AA46" s="128" t="e" cm="1">
        <f t="array" aca="1" ref="AA46" ca="1">Notmerged(AA17)</f>
        <v>#NAME?</v>
      </c>
      <c r="AB46" s="128" t="e" cm="1">
        <f t="array" aca="1" ref="AB46" ca="1">Notmerged(AB17)</f>
        <v>#NAME?</v>
      </c>
      <c r="AC46" s="128" t="e" cm="1">
        <f t="array" aca="1" ref="AC46" ca="1">Notmerged(AC17)</f>
        <v>#NAME?</v>
      </c>
      <c r="AD46" s="128" t="e" cm="1">
        <f t="array" aca="1" ref="AD46" ca="1">Notmerged(AD17)</f>
        <v>#NAME?</v>
      </c>
      <c r="AE46" s="128" t="e" cm="1">
        <f t="array" aca="1" ref="AE46" ca="1">Notmerged(AE17)</f>
        <v>#NAME?</v>
      </c>
      <c r="AF46" s="128" t="e" cm="1">
        <f t="array" aca="1" ref="AF46" ca="1">Notmerged(AF17)</f>
        <v>#NAME?</v>
      </c>
      <c r="AG46" s="128" t="e" cm="1">
        <f t="array" aca="1" ref="AG46" ca="1">Notmerged(AG17)</f>
        <v>#NAME?</v>
      </c>
      <c r="AH46" s="128" t="e" cm="1">
        <f t="array" aca="1" ref="AH46" ca="1">Notmerged(AH17)</f>
        <v>#NAME?</v>
      </c>
      <c r="AI46" s="128" t="e" cm="1">
        <f t="array" aca="1" ref="AI46" ca="1">Notmerged(AI17)</f>
        <v>#NAME?</v>
      </c>
      <c r="AJ46" s="128" t="e" cm="1">
        <f t="array" aca="1" ref="AJ46" ca="1">Notmerged(AJ17)</f>
        <v>#NAME?</v>
      </c>
      <c r="AK46" s="128" t="e" cm="1">
        <f t="array" aca="1" ref="AK46" ca="1">Notmerged(AK17)</f>
        <v>#NAME?</v>
      </c>
      <c r="AL46" s="128" t="e" cm="1">
        <f t="array" aca="1" ref="AL46" ca="1">Notmerged(AL17)</f>
        <v>#NAME?</v>
      </c>
      <c r="AM46" s="128" t="e" cm="1">
        <f t="array" aca="1" ref="AM46" ca="1">Notmerged(AM17)</f>
        <v>#NAME?</v>
      </c>
      <c r="AN46" s="128" t="e" cm="1">
        <f t="array" aca="1" ref="AN46" ca="1">Notmerged(AN17)</f>
        <v>#NAME?</v>
      </c>
      <c r="AO46" s="128" t="e" cm="1">
        <f t="array" aca="1" ref="AO46" ca="1">Notmerged(AO17)</f>
        <v>#NAME?</v>
      </c>
      <c r="AP46" s="128" t="e" cm="1">
        <f t="array" aca="1" ref="AP46" ca="1">Notmerged(AP17)</f>
        <v>#NAME?</v>
      </c>
      <c r="AQ46" s="128" t="e" cm="1">
        <f t="array" aca="1" ref="AQ46" ca="1">Notmerged(AQ17)</f>
        <v>#NAME?</v>
      </c>
      <c r="AR46" s="128" t="e" cm="1">
        <f t="array" aca="1" ref="AR46" ca="1">Notmerged(AR17)</f>
        <v>#NAME?</v>
      </c>
      <c r="AS46" s="128" t="e" cm="1">
        <f t="array" aca="1" ref="AS46" ca="1">Notmerged(AS17)</f>
        <v>#NAME?</v>
      </c>
      <c r="AT46" s="128" t="e" cm="1">
        <f t="array" aca="1" ref="AT46" ca="1">Notmerged(AT17)</f>
        <v>#NAME?</v>
      </c>
      <c r="AU46" s="128" t="e" cm="1">
        <f t="array" aca="1" ref="AU46" ca="1">Notmerged(AU17)</f>
        <v>#NAME?</v>
      </c>
      <c r="AV46" s="128" t="e" cm="1">
        <f t="array" aca="1" ref="AV46" ca="1">Notmerged(AV17)</f>
        <v>#NAME?</v>
      </c>
      <c r="AW46" s="128" t="e" cm="1">
        <f t="array" aca="1" ref="AW46" ca="1">Notmerged(AW17)</f>
        <v>#NAME?</v>
      </c>
      <c r="AX46" s="128" t="e" cm="1">
        <f t="array" aca="1" ref="AX46" ca="1">Notmerged(AX17)</f>
        <v>#NAME?</v>
      </c>
      <c r="AY46" s="128" t="e" cm="1">
        <f t="array" aca="1" ref="AY46" ca="1">Notmerged(AY17)</f>
        <v>#NAME?</v>
      </c>
      <c r="AZ46" s="128" t="e" cm="1">
        <f t="array" aca="1" ref="AZ46" ca="1">Notmerged(AZ17)</f>
        <v>#NAME?</v>
      </c>
      <c r="BA46" s="128" t="e" cm="1">
        <f t="array" aca="1" ref="BA46" ca="1">Notmerged(BA17)</f>
        <v>#NAME?</v>
      </c>
      <c r="BB46" s="128" t="e" cm="1">
        <f t="array" aca="1" ref="BB46" ca="1">Notmerged(BB17)</f>
        <v>#NAME?</v>
      </c>
      <c r="BC46" s="128" t="e" cm="1">
        <f t="array" aca="1" ref="BC46" ca="1">Notmerged(BC17)</f>
        <v>#NAME?</v>
      </c>
      <c r="BD46" s="128" t="e" cm="1">
        <f t="array" aca="1" ref="BD46" ca="1">Notmerged(BD17)</f>
        <v>#NAME?</v>
      </c>
      <c r="BE46" s="128" t="e" cm="1">
        <f t="array" aca="1" ref="BE46" ca="1">Notmerged(BE17)</f>
        <v>#NAME?</v>
      </c>
      <c r="BF46" s="128" t="e" cm="1">
        <f t="array" aca="1" ref="BF46" ca="1">Notmerged(BF17)</f>
        <v>#NAME?</v>
      </c>
      <c r="BG46" s="128" t="e" cm="1">
        <f t="array" aca="1" ref="BG46" ca="1">Notmerged(BG17)</f>
        <v>#NAME?</v>
      </c>
      <c r="BH46" s="128" t="e" cm="1">
        <f t="array" aca="1" ref="BH46" ca="1">Notmerged(BH17)</f>
        <v>#NAME?</v>
      </c>
      <c r="BI46" s="128" t="e" cm="1">
        <f t="array" aca="1" ref="BI46" ca="1">Notmerged(BI17)</f>
        <v>#NAME?</v>
      </c>
      <c r="BJ46" s="128" t="e" cm="1">
        <f t="array" aca="1" ref="BJ46" ca="1">Notmerged(BJ17)</f>
        <v>#NAME?</v>
      </c>
      <c r="BK46" s="128" t="e" cm="1">
        <f t="array" aca="1" ref="BK46" ca="1">Notmerged(BK17)</f>
        <v>#NAME?</v>
      </c>
    </row>
    <row r="47" spans="2:63" x14ac:dyDescent="0.3">
      <c r="B47" s="128" t="e" cm="1">
        <f t="array" aca="1" ref="B47" ca="1">Notmerged(B18)</f>
        <v>#NAME?</v>
      </c>
      <c r="C47" s="128" t="e" cm="1">
        <f t="array" aca="1" ref="C47" ca="1">Notmerged(C18)</f>
        <v>#NAME?</v>
      </c>
      <c r="D47" s="128" t="e" cm="1">
        <f t="array" aca="1" ref="D47" ca="1">Notmerged(D18)</f>
        <v>#NAME?</v>
      </c>
      <c r="E47" s="128" t="e" cm="1">
        <f t="array" aca="1" ref="E47" ca="1">Notmerged(E18)</f>
        <v>#NAME?</v>
      </c>
      <c r="F47" s="128" t="e" cm="1">
        <f t="array" aca="1" ref="F47" ca="1">Notmerged(F18)</f>
        <v>#NAME?</v>
      </c>
      <c r="G47" s="128" t="e" cm="1">
        <f t="array" aca="1" ref="G47" ca="1">Notmerged(G18)</f>
        <v>#NAME?</v>
      </c>
      <c r="H47" s="128" t="e" cm="1">
        <f t="array" aca="1" ref="H47" ca="1">Notmerged(H18)</f>
        <v>#NAME?</v>
      </c>
      <c r="I47" s="128" t="e" cm="1">
        <f t="array" aca="1" ref="I47" ca="1">Notmerged(I18)</f>
        <v>#NAME?</v>
      </c>
      <c r="J47" s="128" t="e" cm="1">
        <f t="array" aca="1" ref="J47" ca="1">Notmerged(J18)</f>
        <v>#NAME?</v>
      </c>
      <c r="K47" s="128" t="e" cm="1">
        <f t="array" aca="1" ref="K47" ca="1">Notmerged(K18)</f>
        <v>#NAME?</v>
      </c>
      <c r="L47" s="128" t="e" cm="1">
        <f t="array" aca="1" ref="L47" ca="1">Notmerged(L18)</f>
        <v>#NAME?</v>
      </c>
      <c r="M47" s="128" t="e" cm="1">
        <f t="array" aca="1" ref="M47" ca="1">Notmerged(M18)</f>
        <v>#NAME?</v>
      </c>
      <c r="N47" s="128" t="e" cm="1">
        <f t="array" aca="1" ref="N47" ca="1">Notmerged(N18)</f>
        <v>#NAME?</v>
      </c>
      <c r="O47" s="128" t="e" cm="1">
        <f t="array" aca="1" ref="O47" ca="1">Notmerged(O18)</f>
        <v>#NAME?</v>
      </c>
      <c r="P47" s="128" t="e" cm="1">
        <f t="array" aca="1" ref="P47" ca="1">Notmerged(P18)</f>
        <v>#NAME?</v>
      </c>
      <c r="Q47" s="128" t="e" cm="1">
        <f t="array" aca="1" ref="Q47" ca="1">Notmerged(Q18)</f>
        <v>#NAME?</v>
      </c>
      <c r="R47" s="128" t="e" cm="1">
        <f t="array" aca="1" ref="R47" ca="1">Notmerged(R18)</f>
        <v>#NAME?</v>
      </c>
      <c r="S47" s="128" t="e" cm="1">
        <f t="array" aca="1" ref="S47" ca="1">Notmerged(S18)</f>
        <v>#NAME?</v>
      </c>
      <c r="T47" s="128" t="e" cm="1">
        <f t="array" aca="1" ref="T47" ca="1">Notmerged(T18)</f>
        <v>#NAME?</v>
      </c>
      <c r="U47" s="128" t="e" cm="1">
        <f t="array" aca="1" ref="U47" ca="1">Notmerged(U18)</f>
        <v>#NAME?</v>
      </c>
      <c r="V47" s="128" t="e" cm="1">
        <f t="array" aca="1" ref="V47" ca="1">Notmerged(V18)</f>
        <v>#NAME?</v>
      </c>
      <c r="W47" s="128" t="e" cm="1">
        <f t="array" aca="1" ref="W47" ca="1">Notmerged(W18)</f>
        <v>#NAME?</v>
      </c>
      <c r="X47" s="128" t="e" cm="1">
        <f t="array" aca="1" ref="X47" ca="1">Notmerged(X18)</f>
        <v>#NAME?</v>
      </c>
      <c r="Y47" s="128" t="e" cm="1">
        <f t="array" aca="1" ref="Y47" ca="1">Notmerged(Y18)</f>
        <v>#NAME?</v>
      </c>
      <c r="Z47" s="128" t="e" cm="1">
        <f t="array" aca="1" ref="Z47" ca="1">Notmerged(Z18)</f>
        <v>#NAME?</v>
      </c>
      <c r="AA47" s="128" t="e" cm="1">
        <f t="array" aca="1" ref="AA47" ca="1">Notmerged(AA18)</f>
        <v>#NAME?</v>
      </c>
      <c r="AB47" s="128" t="e" cm="1">
        <f t="array" aca="1" ref="AB47" ca="1">Notmerged(AB18)</f>
        <v>#NAME?</v>
      </c>
      <c r="AC47" s="128" t="e" cm="1">
        <f t="array" aca="1" ref="AC47" ca="1">Notmerged(AC18)</f>
        <v>#NAME?</v>
      </c>
      <c r="AD47" s="128" t="e" cm="1">
        <f t="array" aca="1" ref="AD47" ca="1">Notmerged(AD18)</f>
        <v>#NAME?</v>
      </c>
      <c r="AE47" s="128" t="e" cm="1">
        <f t="array" aca="1" ref="AE47" ca="1">Notmerged(AE18)</f>
        <v>#NAME?</v>
      </c>
      <c r="AF47" s="128" t="e" cm="1">
        <f t="array" aca="1" ref="AF47" ca="1">Notmerged(AF18)</f>
        <v>#NAME?</v>
      </c>
      <c r="AG47" s="128" t="e" cm="1">
        <f t="array" aca="1" ref="AG47" ca="1">Notmerged(AG18)</f>
        <v>#NAME?</v>
      </c>
      <c r="AH47" s="128" t="e" cm="1">
        <f t="array" aca="1" ref="AH47" ca="1">Notmerged(AH18)</f>
        <v>#NAME?</v>
      </c>
      <c r="AI47" s="128" t="e" cm="1">
        <f t="array" aca="1" ref="AI47" ca="1">Notmerged(AI18)</f>
        <v>#NAME?</v>
      </c>
      <c r="AJ47" s="128" t="e" cm="1">
        <f t="array" aca="1" ref="AJ47" ca="1">Notmerged(AJ18)</f>
        <v>#NAME?</v>
      </c>
      <c r="AK47" s="128" t="e" cm="1">
        <f t="array" aca="1" ref="AK47" ca="1">Notmerged(AK18)</f>
        <v>#NAME?</v>
      </c>
      <c r="AL47" s="128" t="e" cm="1">
        <f t="array" aca="1" ref="AL47" ca="1">Notmerged(AL18)</f>
        <v>#NAME?</v>
      </c>
      <c r="AM47" s="128" t="e" cm="1">
        <f t="array" aca="1" ref="AM47" ca="1">Notmerged(AM18)</f>
        <v>#NAME?</v>
      </c>
      <c r="AN47" s="128" t="e" cm="1">
        <f t="array" aca="1" ref="AN47" ca="1">Notmerged(AN18)</f>
        <v>#NAME?</v>
      </c>
      <c r="AO47" s="128" t="e" cm="1">
        <f t="array" aca="1" ref="AO47" ca="1">Notmerged(AO18)</f>
        <v>#NAME?</v>
      </c>
      <c r="AP47" s="128" t="e" cm="1">
        <f t="array" aca="1" ref="AP47" ca="1">Notmerged(AP18)</f>
        <v>#NAME?</v>
      </c>
      <c r="AQ47" s="128" t="e" cm="1">
        <f t="array" aca="1" ref="AQ47" ca="1">Notmerged(AQ18)</f>
        <v>#NAME?</v>
      </c>
      <c r="AR47" s="128" t="e" cm="1">
        <f t="array" aca="1" ref="AR47" ca="1">Notmerged(AR18)</f>
        <v>#NAME?</v>
      </c>
      <c r="AS47" s="128" t="e" cm="1">
        <f t="array" aca="1" ref="AS47" ca="1">Notmerged(AS18)</f>
        <v>#NAME?</v>
      </c>
      <c r="AT47" s="128" t="e" cm="1">
        <f t="array" aca="1" ref="AT47" ca="1">Notmerged(AT18)</f>
        <v>#NAME?</v>
      </c>
      <c r="AU47" s="128" t="e" cm="1">
        <f t="array" aca="1" ref="AU47" ca="1">Notmerged(AU18)</f>
        <v>#NAME?</v>
      </c>
      <c r="AV47" s="128" t="e" cm="1">
        <f t="array" aca="1" ref="AV47" ca="1">Notmerged(AV18)</f>
        <v>#NAME?</v>
      </c>
      <c r="AW47" s="128" t="e" cm="1">
        <f t="array" aca="1" ref="AW47" ca="1">Notmerged(AW18)</f>
        <v>#NAME?</v>
      </c>
      <c r="AX47" s="128" t="e" cm="1">
        <f t="array" aca="1" ref="AX47" ca="1">Notmerged(AX18)</f>
        <v>#NAME?</v>
      </c>
      <c r="AY47" s="128" t="e" cm="1">
        <f t="array" aca="1" ref="AY47" ca="1">Notmerged(AY18)</f>
        <v>#NAME?</v>
      </c>
      <c r="AZ47" s="128" t="e" cm="1">
        <f t="array" aca="1" ref="AZ47" ca="1">Notmerged(AZ18)</f>
        <v>#NAME?</v>
      </c>
      <c r="BA47" s="128" t="e" cm="1">
        <f t="array" aca="1" ref="BA47" ca="1">Notmerged(BA18)</f>
        <v>#NAME?</v>
      </c>
      <c r="BB47" s="128" t="e" cm="1">
        <f t="array" aca="1" ref="BB47" ca="1">Notmerged(BB18)</f>
        <v>#NAME?</v>
      </c>
      <c r="BC47" s="128" t="e" cm="1">
        <f t="array" aca="1" ref="BC47" ca="1">Notmerged(BC18)</f>
        <v>#NAME?</v>
      </c>
      <c r="BD47" s="128" t="e" cm="1">
        <f t="array" aca="1" ref="BD47" ca="1">Notmerged(BD18)</f>
        <v>#NAME?</v>
      </c>
      <c r="BE47" s="128" t="e" cm="1">
        <f t="array" aca="1" ref="BE47" ca="1">Notmerged(BE18)</f>
        <v>#NAME?</v>
      </c>
      <c r="BF47" s="128" t="e" cm="1">
        <f t="array" aca="1" ref="BF47" ca="1">Notmerged(BF18)</f>
        <v>#NAME?</v>
      </c>
      <c r="BG47" s="128" t="e" cm="1">
        <f t="array" aca="1" ref="BG47" ca="1">Notmerged(BG18)</f>
        <v>#NAME?</v>
      </c>
      <c r="BH47" s="128" t="e" cm="1">
        <f t="array" aca="1" ref="BH47" ca="1">Notmerged(BH18)</f>
        <v>#NAME?</v>
      </c>
      <c r="BI47" s="128" t="e" cm="1">
        <f t="array" aca="1" ref="BI47" ca="1">Notmerged(BI18)</f>
        <v>#NAME?</v>
      </c>
      <c r="BJ47" s="128" t="e" cm="1">
        <f t="array" aca="1" ref="BJ47" ca="1">Notmerged(BJ18)</f>
        <v>#NAME?</v>
      </c>
      <c r="BK47" s="128" t="e" cm="1">
        <f t="array" aca="1" ref="BK47" ca="1">Notmerged(BK18)</f>
        <v>#NAME?</v>
      </c>
    </row>
    <row r="48" spans="2:63" x14ac:dyDescent="0.3">
      <c r="B48" s="128" t="e" cm="1">
        <f t="array" aca="1" ref="B48" ca="1">Notmerged(B19)</f>
        <v>#NAME?</v>
      </c>
      <c r="C48" s="128" t="e" cm="1">
        <f t="array" aca="1" ref="C48" ca="1">Notmerged(C19)</f>
        <v>#NAME?</v>
      </c>
      <c r="D48" s="128" t="e" cm="1">
        <f t="array" aca="1" ref="D48" ca="1">Notmerged(D19)</f>
        <v>#NAME?</v>
      </c>
      <c r="E48" s="128" t="e" cm="1">
        <f t="array" aca="1" ref="E48" ca="1">Notmerged(E19)</f>
        <v>#NAME?</v>
      </c>
      <c r="F48" s="128" t="e" cm="1">
        <f t="array" aca="1" ref="F48" ca="1">Notmerged(F19)</f>
        <v>#NAME?</v>
      </c>
      <c r="G48" s="128" t="e" cm="1">
        <f t="array" aca="1" ref="G48" ca="1">Notmerged(G19)</f>
        <v>#NAME?</v>
      </c>
      <c r="H48" s="128" t="e" cm="1">
        <f t="array" aca="1" ref="H48" ca="1">Notmerged(H19)</f>
        <v>#NAME?</v>
      </c>
      <c r="I48" s="128" t="e" cm="1">
        <f t="array" aca="1" ref="I48" ca="1">Notmerged(I19)</f>
        <v>#NAME?</v>
      </c>
      <c r="J48" s="128" t="e" cm="1">
        <f t="array" aca="1" ref="J48" ca="1">Notmerged(J19)</f>
        <v>#NAME?</v>
      </c>
      <c r="K48" s="128" t="e" cm="1">
        <f t="array" aca="1" ref="K48" ca="1">Notmerged(K19)</f>
        <v>#NAME?</v>
      </c>
      <c r="L48" s="128" t="e" cm="1">
        <f t="array" aca="1" ref="L48" ca="1">Notmerged(L19)</f>
        <v>#NAME?</v>
      </c>
      <c r="M48" s="128" t="e" cm="1">
        <f t="array" aca="1" ref="M48" ca="1">Notmerged(M19)</f>
        <v>#NAME?</v>
      </c>
      <c r="N48" s="128" t="e" cm="1">
        <f t="array" aca="1" ref="N48" ca="1">Notmerged(N19)</f>
        <v>#NAME?</v>
      </c>
      <c r="O48" s="128" t="e" cm="1">
        <f t="array" aca="1" ref="O48" ca="1">Notmerged(O19)</f>
        <v>#NAME?</v>
      </c>
      <c r="P48" s="128" t="e" cm="1">
        <f t="array" aca="1" ref="P48" ca="1">Notmerged(P19)</f>
        <v>#NAME?</v>
      </c>
      <c r="Q48" s="128" t="e" cm="1">
        <f t="array" aca="1" ref="Q48" ca="1">Notmerged(Q19)</f>
        <v>#NAME?</v>
      </c>
      <c r="R48" s="128" t="e" cm="1">
        <f t="array" aca="1" ref="R48" ca="1">Notmerged(R19)</f>
        <v>#NAME?</v>
      </c>
      <c r="S48" s="128" t="e" cm="1">
        <f t="array" aca="1" ref="S48" ca="1">Notmerged(S19)</f>
        <v>#NAME?</v>
      </c>
      <c r="T48" s="128" t="e" cm="1">
        <f t="array" aca="1" ref="T48" ca="1">Notmerged(T19)</f>
        <v>#NAME?</v>
      </c>
      <c r="U48" s="128" t="e" cm="1">
        <f t="array" aca="1" ref="U48" ca="1">Notmerged(U19)</f>
        <v>#NAME?</v>
      </c>
      <c r="V48" s="128" t="e" cm="1">
        <f t="array" aca="1" ref="V48" ca="1">Notmerged(V19)</f>
        <v>#NAME?</v>
      </c>
      <c r="W48" s="128" t="e" cm="1">
        <f t="array" aca="1" ref="W48" ca="1">Notmerged(W19)</f>
        <v>#NAME?</v>
      </c>
      <c r="X48" s="128" t="e" cm="1">
        <f t="array" aca="1" ref="X48" ca="1">Notmerged(X19)</f>
        <v>#NAME?</v>
      </c>
      <c r="Y48" s="128" t="e" cm="1">
        <f t="array" aca="1" ref="Y48" ca="1">Notmerged(Y19)</f>
        <v>#NAME?</v>
      </c>
      <c r="Z48" s="128" t="e" cm="1">
        <f t="array" aca="1" ref="Z48" ca="1">Notmerged(Z19)</f>
        <v>#NAME?</v>
      </c>
      <c r="AA48" s="128" t="e" cm="1">
        <f t="array" aca="1" ref="AA48" ca="1">Notmerged(AA19)</f>
        <v>#NAME?</v>
      </c>
      <c r="AB48" s="128" t="e" cm="1">
        <f t="array" aca="1" ref="AB48" ca="1">Notmerged(AB19)</f>
        <v>#NAME?</v>
      </c>
      <c r="AC48" s="128" t="e" cm="1">
        <f t="array" aca="1" ref="AC48" ca="1">Notmerged(AC19)</f>
        <v>#NAME?</v>
      </c>
      <c r="AD48" s="128" t="e" cm="1">
        <f t="array" aca="1" ref="AD48" ca="1">Notmerged(AD19)</f>
        <v>#NAME?</v>
      </c>
      <c r="AE48" s="128" t="e" cm="1">
        <f t="array" aca="1" ref="AE48" ca="1">Notmerged(AE19)</f>
        <v>#NAME?</v>
      </c>
      <c r="AF48" s="128" t="e" cm="1">
        <f t="array" aca="1" ref="AF48" ca="1">Notmerged(AF19)</f>
        <v>#NAME?</v>
      </c>
      <c r="AG48" s="128" t="e" cm="1">
        <f t="array" aca="1" ref="AG48" ca="1">Notmerged(AG19)</f>
        <v>#NAME?</v>
      </c>
      <c r="AH48" s="128" t="e" cm="1">
        <f t="array" aca="1" ref="AH48" ca="1">Notmerged(AH19)</f>
        <v>#NAME?</v>
      </c>
      <c r="AI48" s="128" t="e" cm="1">
        <f t="array" aca="1" ref="AI48" ca="1">Notmerged(AI19)</f>
        <v>#NAME?</v>
      </c>
      <c r="AJ48" s="128" t="e" cm="1">
        <f t="array" aca="1" ref="AJ48" ca="1">Notmerged(AJ19)</f>
        <v>#NAME?</v>
      </c>
      <c r="AK48" s="128" t="e" cm="1">
        <f t="array" aca="1" ref="AK48" ca="1">Notmerged(AK19)</f>
        <v>#NAME?</v>
      </c>
      <c r="AL48" s="128" t="e" cm="1">
        <f t="array" aca="1" ref="AL48" ca="1">Notmerged(AL19)</f>
        <v>#NAME?</v>
      </c>
      <c r="AM48" s="128" t="e" cm="1">
        <f t="array" aca="1" ref="AM48" ca="1">Notmerged(AM19)</f>
        <v>#NAME?</v>
      </c>
      <c r="AN48" s="128" t="e" cm="1">
        <f t="array" aca="1" ref="AN48" ca="1">Notmerged(AN19)</f>
        <v>#NAME?</v>
      </c>
      <c r="AO48" s="128" t="e" cm="1">
        <f t="array" aca="1" ref="AO48" ca="1">Notmerged(AO19)</f>
        <v>#NAME?</v>
      </c>
      <c r="AP48" s="128" t="e" cm="1">
        <f t="array" aca="1" ref="AP48" ca="1">Notmerged(AP19)</f>
        <v>#NAME?</v>
      </c>
      <c r="AQ48" s="128" t="e" cm="1">
        <f t="array" aca="1" ref="AQ48" ca="1">Notmerged(AQ19)</f>
        <v>#NAME?</v>
      </c>
      <c r="AR48" s="128" t="e" cm="1">
        <f t="array" aca="1" ref="AR48" ca="1">Notmerged(AR19)</f>
        <v>#NAME?</v>
      </c>
      <c r="AS48" s="128" t="e" cm="1">
        <f t="array" aca="1" ref="AS48" ca="1">Notmerged(AS19)</f>
        <v>#NAME?</v>
      </c>
      <c r="AT48" s="128" t="e" cm="1">
        <f t="array" aca="1" ref="AT48" ca="1">Notmerged(AT19)</f>
        <v>#NAME?</v>
      </c>
      <c r="AU48" s="128" t="e" cm="1">
        <f t="array" aca="1" ref="AU48" ca="1">Notmerged(AU19)</f>
        <v>#NAME?</v>
      </c>
      <c r="AV48" s="128" t="e" cm="1">
        <f t="array" aca="1" ref="AV48" ca="1">Notmerged(AV19)</f>
        <v>#NAME?</v>
      </c>
      <c r="AW48" s="128" t="e" cm="1">
        <f t="array" aca="1" ref="AW48" ca="1">Notmerged(AW19)</f>
        <v>#NAME?</v>
      </c>
      <c r="AX48" s="128" t="e" cm="1">
        <f t="array" aca="1" ref="AX48" ca="1">Notmerged(AX19)</f>
        <v>#NAME?</v>
      </c>
      <c r="AY48" s="128" t="e" cm="1">
        <f t="array" aca="1" ref="AY48" ca="1">Notmerged(AY19)</f>
        <v>#NAME?</v>
      </c>
      <c r="AZ48" s="128" t="e" cm="1">
        <f t="array" aca="1" ref="AZ48" ca="1">Notmerged(AZ19)</f>
        <v>#NAME?</v>
      </c>
      <c r="BA48" s="128" t="e" cm="1">
        <f t="array" aca="1" ref="BA48" ca="1">Notmerged(BA19)</f>
        <v>#NAME?</v>
      </c>
      <c r="BB48" s="128" t="e" cm="1">
        <f t="array" aca="1" ref="BB48" ca="1">Notmerged(BB19)</f>
        <v>#NAME?</v>
      </c>
      <c r="BC48" s="128" t="e" cm="1">
        <f t="array" aca="1" ref="BC48" ca="1">Notmerged(BC19)</f>
        <v>#NAME?</v>
      </c>
      <c r="BD48" s="128" t="e" cm="1">
        <f t="array" aca="1" ref="BD48" ca="1">Notmerged(BD19)</f>
        <v>#NAME?</v>
      </c>
      <c r="BE48" s="128" t="e" cm="1">
        <f t="array" aca="1" ref="BE48" ca="1">Notmerged(BE19)</f>
        <v>#NAME?</v>
      </c>
      <c r="BF48" s="128" t="e" cm="1">
        <f t="array" aca="1" ref="BF48" ca="1">Notmerged(BF19)</f>
        <v>#NAME?</v>
      </c>
      <c r="BG48" s="128" t="e" cm="1">
        <f t="array" aca="1" ref="BG48" ca="1">Notmerged(BG19)</f>
        <v>#NAME?</v>
      </c>
      <c r="BH48" s="128" t="e" cm="1">
        <f t="array" aca="1" ref="BH48" ca="1">Notmerged(BH19)</f>
        <v>#NAME?</v>
      </c>
      <c r="BI48" s="128" t="e" cm="1">
        <f t="array" aca="1" ref="BI48" ca="1">Notmerged(BI19)</f>
        <v>#NAME?</v>
      </c>
      <c r="BJ48" s="128" t="e" cm="1">
        <f t="array" aca="1" ref="BJ48" ca="1">Notmerged(BJ19)</f>
        <v>#NAME?</v>
      </c>
      <c r="BK48" s="128" t="e" cm="1">
        <f t="array" aca="1" ref="BK48" ca="1">Notmerged(BK19)</f>
        <v>#NAME?</v>
      </c>
    </row>
    <row r="49" spans="2:63" x14ac:dyDescent="0.3">
      <c r="B49" s="128" t="e" cm="1">
        <f t="array" aca="1" ref="B49" ca="1">Notmerged(B20)</f>
        <v>#NAME?</v>
      </c>
      <c r="C49" s="128" t="e" cm="1">
        <f t="array" aca="1" ref="C49" ca="1">Notmerged(C20)</f>
        <v>#NAME?</v>
      </c>
      <c r="D49" s="128" t="e" cm="1">
        <f t="array" aca="1" ref="D49" ca="1">Notmerged(D20)</f>
        <v>#NAME?</v>
      </c>
      <c r="E49" s="128" t="e" cm="1">
        <f t="array" aca="1" ref="E49" ca="1">Notmerged(E20)</f>
        <v>#NAME?</v>
      </c>
      <c r="F49" s="128" t="e" cm="1">
        <f t="array" aca="1" ref="F49" ca="1">Notmerged(F20)</f>
        <v>#NAME?</v>
      </c>
      <c r="G49" s="128" t="e" cm="1">
        <f t="array" aca="1" ref="G49" ca="1">Notmerged(G20)</f>
        <v>#NAME?</v>
      </c>
      <c r="H49" s="128" t="e" cm="1">
        <f t="array" aca="1" ref="H49" ca="1">Notmerged(H20)</f>
        <v>#NAME?</v>
      </c>
      <c r="I49" s="128" t="e" cm="1">
        <f t="array" aca="1" ref="I49" ca="1">Notmerged(I20)</f>
        <v>#NAME?</v>
      </c>
      <c r="J49" s="128" t="e" cm="1">
        <f t="array" aca="1" ref="J49" ca="1">Notmerged(J20)</f>
        <v>#NAME?</v>
      </c>
      <c r="K49" s="128" t="e" cm="1">
        <f t="array" aca="1" ref="K49" ca="1">Notmerged(K20)</f>
        <v>#NAME?</v>
      </c>
      <c r="L49" s="128" t="e" cm="1">
        <f t="array" aca="1" ref="L49" ca="1">Notmerged(L20)</f>
        <v>#NAME?</v>
      </c>
      <c r="M49" s="128" t="e" cm="1">
        <f t="array" aca="1" ref="M49" ca="1">Notmerged(M20)</f>
        <v>#NAME?</v>
      </c>
      <c r="N49" s="128" t="e" cm="1">
        <f t="array" aca="1" ref="N49" ca="1">Notmerged(N20)</f>
        <v>#NAME?</v>
      </c>
      <c r="O49" s="128" t="e" cm="1">
        <f t="array" aca="1" ref="O49" ca="1">Notmerged(O20)</f>
        <v>#NAME?</v>
      </c>
      <c r="P49" s="128" t="e" cm="1">
        <f t="array" aca="1" ref="P49" ca="1">Notmerged(P20)</f>
        <v>#NAME?</v>
      </c>
      <c r="Q49" s="128" t="e" cm="1">
        <f t="array" aca="1" ref="Q49" ca="1">Notmerged(Q20)</f>
        <v>#NAME?</v>
      </c>
      <c r="R49" s="128" t="e" cm="1">
        <f t="array" aca="1" ref="R49" ca="1">Notmerged(R20)</f>
        <v>#NAME?</v>
      </c>
      <c r="S49" s="128" t="e" cm="1">
        <f t="array" aca="1" ref="S49" ca="1">Notmerged(S20)</f>
        <v>#NAME?</v>
      </c>
      <c r="T49" s="128" t="e" cm="1">
        <f t="array" aca="1" ref="T49" ca="1">Notmerged(T20)</f>
        <v>#NAME?</v>
      </c>
      <c r="U49" s="128" t="e" cm="1">
        <f t="array" aca="1" ref="U49" ca="1">Notmerged(U20)</f>
        <v>#NAME?</v>
      </c>
      <c r="V49" s="128" t="e" cm="1">
        <f t="array" aca="1" ref="V49" ca="1">Notmerged(V20)</f>
        <v>#NAME?</v>
      </c>
      <c r="W49" s="128" t="e" cm="1">
        <f t="array" aca="1" ref="W49" ca="1">Notmerged(W20)</f>
        <v>#NAME?</v>
      </c>
      <c r="X49" s="128" t="e" cm="1">
        <f t="array" aca="1" ref="X49" ca="1">Notmerged(X20)</f>
        <v>#NAME?</v>
      </c>
      <c r="Y49" s="128" t="e" cm="1">
        <f t="array" aca="1" ref="Y49" ca="1">Notmerged(Y20)</f>
        <v>#NAME?</v>
      </c>
      <c r="Z49" s="128" t="e" cm="1">
        <f t="array" aca="1" ref="Z49" ca="1">Notmerged(Z20)</f>
        <v>#NAME?</v>
      </c>
      <c r="AA49" s="128" t="e" cm="1">
        <f t="array" aca="1" ref="AA49" ca="1">Notmerged(AA20)</f>
        <v>#NAME?</v>
      </c>
      <c r="AB49" s="128" t="e" cm="1">
        <f t="array" aca="1" ref="AB49" ca="1">Notmerged(AB20)</f>
        <v>#NAME?</v>
      </c>
      <c r="AC49" s="128" t="e" cm="1">
        <f t="array" aca="1" ref="AC49" ca="1">Notmerged(AC20)</f>
        <v>#NAME?</v>
      </c>
      <c r="AD49" s="128" t="e" cm="1">
        <f t="array" aca="1" ref="AD49" ca="1">Notmerged(AD20)</f>
        <v>#NAME?</v>
      </c>
      <c r="AE49" s="128" t="e" cm="1">
        <f t="array" aca="1" ref="AE49" ca="1">Notmerged(AE20)</f>
        <v>#NAME?</v>
      </c>
      <c r="AF49" s="128" t="e" cm="1">
        <f t="array" aca="1" ref="AF49" ca="1">Notmerged(AF20)</f>
        <v>#NAME?</v>
      </c>
      <c r="AG49" s="128" t="e" cm="1">
        <f t="array" aca="1" ref="AG49" ca="1">Notmerged(AG20)</f>
        <v>#NAME?</v>
      </c>
      <c r="AH49" s="128" t="e" cm="1">
        <f t="array" aca="1" ref="AH49" ca="1">Notmerged(AH20)</f>
        <v>#NAME?</v>
      </c>
      <c r="AI49" s="128" t="e" cm="1">
        <f t="array" aca="1" ref="AI49" ca="1">Notmerged(AI20)</f>
        <v>#NAME?</v>
      </c>
      <c r="AJ49" s="128" t="e" cm="1">
        <f t="array" aca="1" ref="AJ49" ca="1">Notmerged(AJ20)</f>
        <v>#NAME?</v>
      </c>
      <c r="AK49" s="128" t="e" cm="1">
        <f t="array" aca="1" ref="AK49" ca="1">Notmerged(AK20)</f>
        <v>#NAME?</v>
      </c>
      <c r="AL49" s="128" t="e" cm="1">
        <f t="array" aca="1" ref="AL49" ca="1">Notmerged(AL20)</f>
        <v>#NAME?</v>
      </c>
      <c r="AM49" s="128" t="e" cm="1">
        <f t="array" aca="1" ref="AM49" ca="1">Notmerged(AM20)</f>
        <v>#NAME?</v>
      </c>
      <c r="AN49" s="128" t="e" cm="1">
        <f t="array" aca="1" ref="AN49" ca="1">Notmerged(AN20)</f>
        <v>#NAME?</v>
      </c>
      <c r="AO49" s="128" t="e" cm="1">
        <f t="array" aca="1" ref="AO49" ca="1">Notmerged(AO20)</f>
        <v>#NAME?</v>
      </c>
      <c r="AP49" s="128" t="e" cm="1">
        <f t="array" aca="1" ref="AP49" ca="1">Notmerged(AP20)</f>
        <v>#NAME?</v>
      </c>
      <c r="AQ49" s="128" t="e" cm="1">
        <f t="array" aca="1" ref="AQ49" ca="1">Notmerged(AQ20)</f>
        <v>#NAME?</v>
      </c>
      <c r="AR49" s="128" t="e" cm="1">
        <f t="array" aca="1" ref="AR49" ca="1">Notmerged(AR20)</f>
        <v>#NAME?</v>
      </c>
      <c r="AS49" s="128" t="e" cm="1">
        <f t="array" aca="1" ref="AS49" ca="1">Notmerged(AS20)</f>
        <v>#NAME?</v>
      </c>
      <c r="AT49" s="128" t="e" cm="1">
        <f t="array" aca="1" ref="AT49" ca="1">Notmerged(AT20)</f>
        <v>#NAME?</v>
      </c>
      <c r="AU49" s="128" t="e" cm="1">
        <f t="array" aca="1" ref="AU49" ca="1">Notmerged(AU20)</f>
        <v>#NAME?</v>
      </c>
      <c r="AV49" s="128" t="e" cm="1">
        <f t="array" aca="1" ref="AV49" ca="1">Notmerged(AV20)</f>
        <v>#NAME?</v>
      </c>
      <c r="AW49" s="128" t="e" cm="1">
        <f t="array" aca="1" ref="AW49" ca="1">Notmerged(AW20)</f>
        <v>#NAME?</v>
      </c>
      <c r="AX49" s="128" t="e" cm="1">
        <f t="array" aca="1" ref="AX49" ca="1">Notmerged(AX20)</f>
        <v>#NAME?</v>
      </c>
      <c r="AY49" s="128" t="e" cm="1">
        <f t="array" aca="1" ref="AY49" ca="1">Notmerged(AY20)</f>
        <v>#NAME?</v>
      </c>
      <c r="AZ49" s="128" t="e" cm="1">
        <f t="array" aca="1" ref="AZ49" ca="1">Notmerged(AZ20)</f>
        <v>#NAME?</v>
      </c>
      <c r="BA49" s="128" t="e" cm="1">
        <f t="array" aca="1" ref="BA49" ca="1">Notmerged(BA20)</f>
        <v>#NAME?</v>
      </c>
      <c r="BB49" s="128" t="e" cm="1">
        <f t="array" aca="1" ref="BB49" ca="1">Notmerged(BB20)</f>
        <v>#NAME?</v>
      </c>
      <c r="BC49" s="128" t="e" cm="1">
        <f t="array" aca="1" ref="BC49" ca="1">Notmerged(BC20)</f>
        <v>#NAME?</v>
      </c>
      <c r="BD49" s="128" t="e" cm="1">
        <f t="array" aca="1" ref="BD49" ca="1">Notmerged(BD20)</f>
        <v>#NAME?</v>
      </c>
      <c r="BE49" s="128" t="e" cm="1">
        <f t="array" aca="1" ref="BE49" ca="1">Notmerged(BE20)</f>
        <v>#NAME?</v>
      </c>
      <c r="BF49" s="128" t="e" cm="1">
        <f t="array" aca="1" ref="BF49" ca="1">Notmerged(BF20)</f>
        <v>#NAME?</v>
      </c>
      <c r="BG49" s="128" t="e" cm="1">
        <f t="array" aca="1" ref="BG49" ca="1">Notmerged(BG20)</f>
        <v>#NAME?</v>
      </c>
      <c r="BH49" s="128" t="e" cm="1">
        <f t="array" aca="1" ref="BH49" ca="1">Notmerged(BH20)</f>
        <v>#NAME?</v>
      </c>
      <c r="BI49" s="128" t="e" cm="1">
        <f t="array" aca="1" ref="BI49" ca="1">Notmerged(BI20)</f>
        <v>#NAME?</v>
      </c>
      <c r="BJ49" s="128" t="e" cm="1">
        <f t="array" aca="1" ref="BJ49" ca="1">Notmerged(BJ20)</f>
        <v>#NAME?</v>
      </c>
      <c r="BK49" s="128" t="e" cm="1">
        <f t="array" aca="1" ref="BK49" ca="1">Notmerged(BK20)</f>
        <v>#NAME?</v>
      </c>
    </row>
    <row r="50" spans="2:63" x14ac:dyDescent="0.3">
      <c r="B50" s="128" t="e" cm="1">
        <f t="array" aca="1" ref="B50" ca="1">Notmerged(B21)</f>
        <v>#NAME?</v>
      </c>
      <c r="C50" s="128" t="e" cm="1">
        <f t="array" aca="1" ref="C50" ca="1">Notmerged(C21)</f>
        <v>#NAME?</v>
      </c>
      <c r="D50" s="128" t="e" cm="1">
        <f t="array" aca="1" ref="D50" ca="1">Notmerged(D21)</f>
        <v>#NAME?</v>
      </c>
      <c r="E50" s="128" t="e" cm="1">
        <f t="array" aca="1" ref="E50" ca="1">Notmerged(E21)</f>
        <v>#NAME?</v>
      </c>
      <c r="F50" s="128" t="e" cm="1">
        <f t="array" aca="1" ref="F50" ca="1">Notmerged(F21)</f>
        <v>#NAME?</v>
      </c>
      <c r="G50" s="128" t="e" cm="1">
        <f t="array" aca="1" ref="G50" ca="1">Notmerged(G21)</f>
        <v>#NAME?</v>
      </c>
      <c r="H50" s="128" t="e" cm="1">
        <f t="array" aca="1" ref="H50" ca="1">Notmerged(H21)</f>
        <v>#NAME?</v>
      </c>
      <c r="I50" s="128" t="e" cm="1">
        <f t="array" aca="1" ref="I50" ca="1">Notmerged(I21)</f>
        <v>#NAME?</v>
      </c>
      <c r="J50" s="128" t="e" cm="1">
        <f t="array" aca="1" ref="J50" ca="1">Notmerged(J21)</f>
        <v>#NAME?</v>
      </c>
      <c r="K50" s="128" t="e" cm="1">
        <f t="array" aca="1" ref="K50" ca="1">Notmerged(K21)</f>
        <v>#NAME?</v>
      </c>
      <c r="L50" s="128" t="e" cm="1">
        <f t="array" aca="1" ref="L50" ca="1">Notmerged(L21)</f>
        <v>#NAME?</v>
      </c>
      <c r="M50" s="128" t="e" cm="1">
        <f t="array" aca="1" ref="M50" ca="1">Notmerged(M21)</f>
        <v>#NAME?</v>
      </c>
      <c r="N50" s="128" t="e" cm="1">
        <f t="array" aca="1" ref="N50" ca="1">Notmerged(N21)</f>
        <v>#NAME?</v>
      </c>
      <c r="O50" s="128" t="e" cm="1">
        <f t="array" aca="1" ref="O50" ca="1">Notmerged(O21)</f>
        <v>#NAME?</v>
      </c>
      <c r="P50" s="128" t="e" cm="1">
        <f t="array" aca="1" ref="P50" ca="1">Notmerged(P21)</f>
        <v>#NAME?</v>
      </c>
      <c r="Q50" s="128" t="e" cm="1">
        <f t="array" aca="1" ref="Q50" ca="1">Notmerged(Q21)</f>
        <v>#NAME?</v>
      </c>
      <c r="R50" s="128" t="e" cm="1">
        <f t="array" aca="1" ref="R50" ca="1">Notmerged(R21)</f>
        <v>#NAME?</v>
      </c>
      <c r="S50" s="128" t="e" cm="1">
        <f t="array" aca="1" ref="S50" ca="1">Notmerged(S21)</f>
        <v>#NAME?</v>
      </c>
      <c r="T50" s="128" t="e" cm="1">
        <f t="array" aca="1" ref="T50" ca="1">Notmerged(T21)</f>
        <v>#NAME?</v>
      </c>
      <c r="U50" s="128" t="e" cm="1">
        <f t="array" aca="1" ref="U50" ca="1">Notmerged(U21)</f>
        <v>#NAME?</v>
      </c>
      <c r="V50" s="128" t="e" cm="1">
        <f t="array" aca="1" ref="V50" ca="1">Notmerged(V21)</f>
        <v>#NAME?</v>
      </c>
      <c r="W50" s="128" t="e" cm="1">
        <f t="array" aca="1" ref="W50" ca="1">Notmerged(W21)</f>
        <v>#NAME?</v>
      </c>
      <c r="X50" s="128" t="e" cm="1">
        <f t="array" aca="1" ref="X50" ca="1">Notmerged(X21)</f>
        <v>#NAME?</v>
      </c>
      <c r="Y50" s="128" t="e" cm="1">
        <f t="array" aca="1" ref="Y50" ca="1">Notmerged(Y21)</f>
        <v>#NAME?</v>
      </c>
      <c r="Z50" s="128" t="e" cm="1">
        <f t="array" aca="1" ref="Z50" ca="1">Notmerged(Z21)</f>
        <v>#NAME?</v>
      </c>
      <c r="AA50" s="128" t="e" cm="1">
        <f t="array" aca="1" ref="AA50" ca="1">Notmerged(AA21)</f>
        <v>#NAME?</v>
      </c>
      <c r="AB50" s="128" t="e" cm="1">
        <f t="array" aca="1" ref="AB50" ca="1">Notmerged(AB21)</f>
        <v>#NAME?</v>
      </c>
      <c r="AC50" s="128" t="e" cm="1">
        <f t="array" aca="1" ref="AC50" ca="1">Notmerged(AC21)</f>
        <v>#NAME?</v>
      </c>
      <c r="AD50" s="128" t="e" cm="1">
        <f t="array" aca="1" ref="AD50" ca="1">Notmerged(AD21)</f>
        <v>#NAME?</v>
      </c>
      <c r="AE50" s="128" t="e" cm="1">
        <f t="array" aca="1" ref="AE50" ca="1">Notmerged(AE21)</f>
        <v>#NAME?</v>
      </c>
      <c r="AF50" s="128" t="e" cm="1">
        <f t="array" aca="1" ref="AF50" ca="1">Notmerged(AF21)</f>
        <v>#NAME?</v>
      </c>
      <c r="AG50" s="128" t="e" cm="1">
        <f t="array" aca="1" ref="AG50" ca="1">Notmerged(AG21)</f>
        <v>#NAME?</v>
      </c>
      <c r="AH50" s="128" t="e" cm="1">
        <f t="array" aca="1" ref="AH50" ca="1">Notmerged(AH21)</f>
        <v>#NAME?</v>
      </c>
      <c r="AI50" s="128" t="e" cm="1">
        <f t="array" aca="1" ref="AI50" ca="1">Notmerged(AI21)</f>
        <v>#NAME?</v>
      </c>
      <c r="AJ50" s="128" t="e" cm="1">
        <f t="array" aca="1" ref="AJ50" ca="1">Notmerged(AJ21)</f>
        <v>#NAME?</v>
      </c>
      <c r="AK50" s="128" t="e" cm="1">
        <f t="array" aca="1" ref="AK50" ca="1">Notmerged(AK21)</f>
        <v>#NAME?</v>
      </c>
      <c r="AL50" s="128" t="e" cm="1">
        <f t="array" aca="1" ref="AL50" ca="1">Notmerged(AL21)</f>
        <v>#NAME?</v>
      </c>
      <c r="AM50" s="128" t="e" cm="1">
        <f t="array" aca="1" ref="AM50" ca="1">Notmerged(AM21)</f>
        <v>#NAME?</v>
      </c>
      <c r="AN50" s="128" t="e" cm="1">
        <f t="array" aca="1" ref="AN50" ca="1">Notmerged(AN21)</f>
        <v>#NAME?</v>
      </c>
      <c r="AO50" s="128" t="e" cm="1">
        <f t="array" aca="1" ref="AO50" ca="1">Notmerged(AO21)</f>
        <v>#NAME?</v>
      </c>
      <c r="AP50" s="128" t="e" cm="1">
        <f t="array" aca="1" ref="AP50" ca="1">Notmerged(AP21)</f>
        <v>#NAME?</v>
      </c>
      <c r="AQ50" s="128" t="e" cm="1">
        <f t="array" aca="1" ref="AQ50" ca="1">Notmerged(AQ21)</f>
        <v>#NAME?</v>
      </c>
      <c r="AR50" s="128" t="e" cm="1">
        <f t="array" aca="1" ref="AR50" ca="1">Notmerged(AR21)</f>
        <v>#NAME?</v>
      </c>
      <c r="AS50" s="128" t="e" cm="1">
        <f t="array" aca="1" ref="AS50" ca="1">Notmerged(AS21)</f>
        <v>#NAME?</v>
      </c>
      <c r="AT50" s="128" t="e" cm="1">
        <f t="array" aca="1" ref="AT50" ca="1">Notmerged(AT21)</f>
        <v>#NAME?</v>
      </c>
      <c r="AU50" s="128" t="e" cm="1">
        <f t="array" aca="1" ref="AU50" ca="1">Notmerged(AU21)</f>
        <v>#NAME?</v>
      </c>
      <c r="AV50" s="128" t="e" cm="1">
        <f t="array" aca="1" ref="AV50" ca="1">Notmerged(AV21)</f>
        <v>#NAME?</v>
      </c>
      <c r="AW50" s="128" t="e" cm="1">
        <f t="array" aca="1" ref="AW50" ca="1">Notmerged(AW21)</f>
        <v>#NAME?</v>
      </c>
      <c r="AX50" s="128" t="e" cm="1">
        <f t="array" aca="1" ref="AX50" ca="1">Notmerged(AX21)</f>
        <v>#NAME?</v>
      </c>
      <c r="AY50" s="128" t="e" cm="1">
        <f t="array" aca="1" ref="AY50" ca="1">Notmerged(AY21)</f>
        <v>#NAME?</v>
      </c>
      <c r="AZ50" s="128" t="e" cm="1">
        <f t="array" aca="1" ref="AZ50" ca="1">Notmerged(AZ21)</f>
        <v>#NAME?</v>
      </c>
      <c r="BA50" s="128" t="e" cm="1">
        <f t="array" aca="1" ref="BA50" ca="1">Notmerged(BA21)</f>
        <v>#NAME?</v>
      </c>
      <c r="BB50" s="128" t="e" cm="1">
        <f t="array" aca="1" ref="BB50" ca="1">Notmerged(BB21)</f>
        <v>#NAME?</v>
      </c>
      <c r="BC50" s="128" t="e" cm="1">
        <f t="array" aca="1" ref="BC50" ca="1">Notmerged(BC21)</f>
        <v>#NAME?</v>
      </c>
      <c r="BD50" s="128" t="e" cm="1">
        <f t="array" aca="1" ref="BD50" ca="1">Notmerged(BD21)</f>
        <v>#NAME?</v>
      </c>
      <c r="BE50" s="128" t="e" cm="1">
        <f t="array" aca="1" ref="BE50" ca="1">Notmerged(BE21)</f>
        <v>#NAME?</v>
      </c>
      <c r="BF50" s="128" t="e" cm="1">
        <f t="array" aca="1" ref="BF50" ca="1">Notmerged(BF21)</f>
        <v>#NAME?</v>
      </c>
      <c r="BG50" s="128" t="e" cm="1">
        <f t="array" aca="1" ref="BG50" ca="1">Notmerged(BG21)</f>
        <v>#NAME?</v>
      </c>
      <c r="BH50" s="128" t="e" cm="1">
        <f t="array" aca="1" ref="BH50" ca="1">Notmerged(BH21)</f>
        <v>#NAME?</v>
      </c>
      <c r="BI50" s="128" t="e" cm="1">
        <f t="array" aca="1" ref="BI50" ca="1">Notmerged(BI21)</f>
        <v>#NAME?</v>
      </c>
      <c r="BJ50" s="128" t="e" cm="1">
        <f t="array" aca="1" ref="BJ50" ca="1">Notmerged(BJ21)</f>
        <v>#NAME?</v>
      </c>
      <c r="BK50" s="128" t="e" cm="1">
        <f t="array" aca="1" ref="BK50" ca="1">Notmerged(BK21)</f>
        <v>#NAME?</v>
      </c>
    </row>
    <row r="51" spans="2:63" x14ac:dyDescent="0.3">
      <c r="B51" s="128" t="e" cm="1">
        <f t="array" aca="1" ref="B51" ca="1">Notmerged(#REF!)</f>
        <v>#NAME?</v>
      </c>
      <c r="C51" s="128" t="e" cm="1">
        <f t="array" aca="1" ref="C51" ca="1">Notmerged(C22)</f>
        <v>#NAME?</v>
      </c>
      <c r="D51" s="128" t="e" cm="1">
        <f t="array" aca="1" ref="D51" ca="1">Notmerged(D22)</f>
        <v>#NAME?</v>
      </c>
      <c r="E51" s="128" t="e" cm="1">
        <f t="array" aca="1" ref="E51" ca="1">Notmerged(E22)</f>
        <v>#NAME?</v>
      </c>
      <c r="F51" s="128" t="e" cm="1">
        <f t="array" aca="1" ref="F51" ca="1">Notmerged(F22)</f>
        <v>#NAME?</v>
      </c>
      <c r="G51" s="128" t="e" cm="1">
        <f t="array" aca="1" ref="G51" ca="1">Notmerged(G22)</f>
        <v>#NAME?</v>
      </c>
      <c r="H51" s="128" t="e" cm="1">
        <f t="array" aca="1" ref="H51" ca="1">Notmerged(H22)</f>
        <v>#NAME?</v>
      </c>
      <c r="I51" s="128" t="e" cm="1">
        <f t="array" aca="1" ref="I51" ca="1">Notmerged(I22)</f>
        <v>#NAME?</v>
      </c>
      <c r="J51" s="128" t="e" cm="1">
        <f t="array" aca="1" ref="J51" ca="1">Notmerged(J22)</f>
        <v>#NAME?</v>
      </c>
      <c r="K51" s="128" t="e" cm="1">
        <f t="array" aca="1" ref="K51" ca="1">Notmerged(K22)</f>
        <v>#NAME?</v>
      </c>
      <c r="L51" s="128" t="e" cm="1">
        <f t="array" aca="1" ref="L51" ca="1">Notmerged(L22)</f>
        <v>#NAME?</v>
      </c>
      <c r="M51" s="128" t="e" cm="1">
        <f t="array" aca="1" ref="M51" ca="1">Notmerged(M22)</f>
        <v>#NAME?</v>
      </c>
      <c r="N51" s="128" t="e" cm="1">
        <f t="array" aca="1" ref="N51" ca="1">Notmerged(N22)</f>
        <v>#NAME?</v>
      </c>
      <c r="O51" s="128" t="e" cm="1">
        <f t="array" aca="1" ref="O51" ca="1">Notmerged(O22)</f>
        <v>#NAME?</v>
      </c>
      <c r="P51" s="128" t="e" cm="1">
        <f t="array" aca="1" ref="P51" ca="1">Notmerged(P22)</f>
        <v>#NAME?</v>
      </c>
      <c r="Q51" s="128" t="e" cm="1">
        <f t="array" aca="1" ref="Q51" ca="1">Notmerged(Q22)</f>
        <v>#NAME?</v>
      </c>
      <c r="R51" s="128" t="e" cm="1">
        <f t="array" aca="1" ref="R51" ca="1">Notmerged(R22)</f>
        <v>#NAME?</v>
      </c>
      <c r="S51" s="128" t="e" cm="1">
        <f t="array" aca="1" ref="S51" ca="1">Notmerged(S22)</f>
        <v>#NAME?</v>
      </c>
      <c r="T51" s="128" t="e" cm="1">
        <f t="array" aca="1" ref="T51" ca="1">Notmerged(T22)</f>
        <v>#NAME?</v>
      </c>
      <c r="U51" s="128" t="e" cm="1">
        <f t="array" aca="1" ref="U51" ca="1">Notmerged(U22)</f>
        <v>#NAME?</v>
      </c>
      <c r="V51" s="128" t="e" cm="1">
        <f t="array" aca="1" ref="V51" ca="1">Notmerged(V22)</f>
        <v>#NAME?</v>
      </c>
      <c r="W51" s="128" t="e" cm="1">
        <f t="array" aca="1" ref="W51" ca="1">Notmerged(W22)</f>
        <v>#NAME?</v>
      </c>
      <c r="X51" s="128" t="e" cm="1">
        <f t="array" aca="1" ref="X51" ca="1">Notmerged(X22)</f>
        <v>#NAME?</v>
      </c>
      <c r="Y51" s="128" t="e" cm="1">
        <f t="array" aca="1" ref="Y51" ca="1">Notmerged(Y22)</f>
        <v>#NAME?</v>
      </c>
      <c r="Z51" s="128" t="e" cm="1">
        <f t="array" aca="1" ref="Z51" ca="1">Notmerged(Z22)</f>
        <v>#NAME?</v>
      </c>
      <c r="AA51" s="128" t="e" cm="1">
        <f t="array" aca="1" ref="AA51" ca="1">Notmerged(AA22)</f>
        <v>#NAME?</v>
      </c>
      <c r="AB51" s="128" t="e" cm="1">
        <f t="array" aca="1" ref="AB51" ca="1">Notmerged(AB22)</f>
        <v>#NAME?</v>
      </c>
      <c r="AC51" s="128" t="e" cm="1">
        <f t="array" aca="1" ref="AC51" ca="1">Notmerged(AC22)</f>
        <v>#NAME?</v>
      </c>
      <c r="AD51" s="128" t="e" cm="1">
        <f t="array" aca="1" ref="AD51" ca="1">Notmerged(AD22)</f>
        <v>#NAME?</v>
      </c>
      <c r="AE51" s="128" t="e" cm="1">
        <f t="array" aca="1" ref="AE51" ca="1">Notmerged(AE22)</f>
        <v>#NAME?</v>
      </c>
      <c r="AF51" s="128" t="e" cm="1">
        <f t="array" aca="1" ref="AF51" ca="1">Notmerged(AF22)</f>
        <v>#NAME?</v>
      </c>
      <c r="AG51" s="128" t="e" cm="1">
        <f t="array" aca="1" ref="AG51" ca="1">Notmerged(AG22)</f>
        <v>#NAME?</v>
      </c>
      <c r="AH51" s="128" t="e" cm="1">
        <f t="array" aca="1" ref="AH51" ca="1">Notmerged(AH22)</f>
        <v>#NAME?</v>
      </c>
      <c r="AI51" s="128" t="e" cm="1">
        <f t="array" aca="1" ref="AI51" ca="1">Notmerged(AI22)</f>
        <v>#NAME?</v>
      </c>
      <c r="AJ51" s="128" t="e" cm="1">
        <f t="array" aca="1" ref="AJ51" ca="1">Notmerged(AJ22)</f>
        <v>#NAME?</v>
      </c>
      <c r="AK51" s="128" t="e" cm="1">
        <f t="array" aca="1" ref="AK51" ca="1">Notmerged(AK22)</f>
        <v>#NAME?</v>
      </c>
      <c r="AL51" s="128" t="e" cm="1">
        <f t="array" aca="1" ref="AL51" ca="1">Notmerged(AL22)</f>
        <v>#NAME?</v>
      </c>
      <c r="AM51" s="128" t="e" cm="1">
        <f t="array" aca="1" ref="AM51" ca="1">Notmerged(AM22)</f>
        <v>#NAME?</v>
      </c>
      <c r="AN51" s="128" t="e" cm="1">
        <f t="array" aca="1" ref="AN51" ca="1">Notmerged(AN22)</f>
        <v>#NAME?</v>
      </c>
      <c r="AO51" s="128" t="e" cm="1">
        <f t="array" aca="1" ref="AO51" ca="1">Notmerged(AO22)</f>
        <v>#NAME?</v>
      </c>
      <c r="AP51" s="128" t="e" cm="1">
        <f t="array" aca="1" ref="AP51" ca="1">Notmerged(AP22)</f>
        <v>#NAME?</v>
      </c>
      <c r="AQ51" s="128" t="e" cm="1">
        <f t="array" aca="1" ref="AQ51" ca="1">Notmerged(AQ22)</f>
        <v>#NAME?</v>
      </c>
      <c r="AR51" s="128" t="e" cm="1">
        <f t="array" aca="1" ref="AR51" ca="1">Notmerged(AR22)</f>
        <v>#NAME?</v>
      </c>
      <c r="AS51" s="128" t="e" cm="1">
        <f t="array" aca="1" ref="AS51" ca="1">Notmerged(AS22)</f>
        <v>#NAME?</v>
      </c>
      <c r="AT51" s="128" t="e" cm="1">
        <f t="array" aca="1" ref="AT51" ca="1">Notmerged(AT22)</f>
        <v>#NAME?</v>
      </c>
      <c r="AU51" s="128" t="e" cm="1">
        <f t="array" aca="1" ref="AU51" ca="1">Notmerged(AU22)</f>
        <v>#NAME?</v>
      </c>
      <c r="AV51" s="128" t="e" cm="1">
        <f t="array" aca="1" ref="AV51" ca="1">Notmerged(AV22)</f>
        <v>#NAME?</v>
      </c>
      <c r="AW51" s="128" t="e" cm="1">
        <f t="array" aca="1" ref="AW51" ca="1">Notmerged(AW22)</f>
        <v>#NAME?</v>
      </c>
      <c r="AX51" s="128" t="e" cm="1">
        <f t="array" aca="1" ref="AX51" ca="1">Notmerged(AX22)</f>
        <v>#NAME?</v>
      </c>
      <c r="AY51" s="128" t="e" cm="1">
        <f t="array" aca="1" ref="AY51" ca="1">Notmerged(AY22)</f>
        <v>#NAME?</v>
      </c>
      <c r="AZ51" s="128" t="e" cm="1">
        <f t="array" aca="1" ref="AZ51" ca="1">Notmerged(AZ22)</f>
        <v>#NAME?</v>
      </c>
      <c r="BA51" s="128" t="e" cm="1">
        <f t="array" aca="1" ref="BA51" ca="1">Notmerged(BA22)</f>
        <v>#NAME?</v>
      </c>
      <c r="BB51" s="128" t="e" cm="1">
        <f t="array" aca="1" ref="BB51" ca="1">Notmerged(BB22)</f>
        <v>#NAME?</v>
      </c>
      <c r="BC51" s="128" t="e" cm="1">
        <f t="array" aca="1" ref="BC51" ca="1">Notmerged(BC22)</f>
        <v>#NAME?</v>
      </c>
      <c r="BD51" s="128" t="e" cm="1">
        <f t="array" aca="1" ref="BD51" ca="1">Notmerged(BD22)</f>
        <v>#NAME?</v>
      </c>
      <c r="BE51" s="128" t="e" cm="1">
        <f t="array" aca="1" ref="BE51" ca="1">Notmerged(BE22)</f>
        <v>#NAME?</v>
      </c>
      <c r="BF51" s="128" t="e" cm="1">
        <f t="array" aca="1" ref="BF51" ca="1">Notmerged(BF22)</f>
        <v>#NAME?</v>
      </c>
      <c r="BG51" s="128" t="e" cm="1">
        <f t="array" aca="1" ref="BG51" ca="1">Notmerged(BG22)</f>
        <v>#NAME?</v>
      </c>
      <c r="BH51" s="128" t="e" cm="1">
        <f t="array" aca="1" ref="BH51" ca="1">Notmerged(BH22)</f>
        <v>#NAME?</v>
      </c>
      <c r="BI51" s="128" t="e" cm="1">
        <f t="array" aca="1" ref="BI51" ca="1">Notmerged(BI22)</f>
        <v>#NAME?</v>
      </c>
      <c r="BJ51" s="128" t="e" cm="1">
        <f t="array" aca="1" ref="BJ51" ca="1">Notmerged(BJ22)</f>
        <v>#NAME?</v>
      </c>
      <c r="BK51" s="128" t="e" cm="1">
        <f t="array" aca="1" ref="BK51" ca="1">Notmerged(BK22)</f>
        <v>#NAME?</v>
      </c>
    </row>
    <row r="52" spans="2:63" x14ac:dyDescent="0.3">
      <c r="B52" s="128" t="e" cm="1">
        <f t="array" aca="1" ref="B52" ca="1">Notmerged(B23)</f>
        <v>#NAME?</v>
      </c>
      <c r="C52" s="128" t="e" cm="1">
        <f t="array" aca="1" ref="C52" ca="1">Notmerged(#REF!)</f>
        <v>#NAME?</v>
      </c>
      <c r="D52" s="128" t="e" cm="1">
        <f t="array" aca="1" ref="D52" ca="1">Notmerged(D23)</f>
        <v>#NAME?</v>
      </c>
      <c r="E52" s="128" t="e" cm="1">
        <f t="array" aca="1" ref="E52" ca="1">Notmerged(E23)</f>
        <v>#NAME?</v>
      </c>
      <c r="F52" s="128" t="e" cm="1">
        <f t="array" aca="1" ref="F52" ca="1">Notmerged(F23)</f>
        <v>#NAME?</v>
      </c>
      <c r="G52" s="128" t="e" cm="1">
        <f t="array" aca="1" ref="G52" ca="1">Notmerged(G23)</f>
        <v>#NAME?</v>
      </c>
      <c r="H52" s="128" t="e" cm="1">
        <f t="array" aca="1" ref="H52" ca="1">Notmerged(H23)</f>
        <v>#NAME?</v>
      </c>
      <c r="I52" s="128" t="e" cm="1">
        <f t="array" aca="1" ref="I52" ca="1">Notmerged(I23)</f>
        <v>#NAME?</v>
      </c>
      <c r="J52" s="128" t="e" cm="1">
        <f t="array" aca="1" ref="J52" ca="1">Notmerged(J23)</f>
        <v>#NAME?</v>
      </c>
      <c r="K52" s="128" t="e" cm="1">
        <f t="array" aca="1" ref="K52" ca="1">Notmerged(K23)</f>
        <v>#NAME?</v>
      </c>
      <c r="L52" s="128" t="e" cm="1">
        <f t="array" aca="1" ref="L52" ca="1">Notmerged(L23)</f>
        <v>#NAME?</v>
      </c>
      <c r="M52" s="128" t="e" cm="1">
        <f t="array" aca="1" ref="M52" ca="1">Notmerged(M23)</f>
        <v>#NAME?</v>
      </c>
      <c r="N52" s="128" t="e" cm="1">
        <f t="array" aca="1" ref="N52" ca="1">Notmerged(N23)</f>
        <v>#NAME?</v>
      </c>
      <c r="O52" s="128" t="e" cm="1">
        <f t="array" aca="1" ref="O52" ca="1">Notmerged(O23)</f>
        <v>#NAME?</v>
      </c>
      <c r="P52" s="128" t="e" cm="1">
        <f t="array" aca="1" ref="P52" ca="1">Notmerged(P23)</f>
        <v>#NAME?</v>
      </c>
      <c r="Q52" s="128" t="e" cm="1">
        <f t="array" aca="1" ref="Q52" ca="1">Notmerged(Q23)</f>
        <v>#NAME?</v>
      </c>
      <c r="R52" s="128" t="e" cm="1">
        <f t="array" aca="1" ref="R52" ca="1">Notmerged(R23)</f>
        <v>#NAME?</v>
      </c>
      <c r="S52" s="128" t="e" cm="1">
        <f t="array" aca="1" ref="S52" ca="1">Notmerged(S23)</f>
        <v>#NAME?</v>
      </c>
      <c r="T52" s="128" t="e" cm="1">
        <f t="array" aca="1" ref="T52" ca="1">Notmerged(T23)</f>
        <v>#NAME?</v>
      </c>
      <c r="U52" s="128" t="e" cm="1">
        <f t="array" aca="1" ref="U52" ca="1">Notmerged(U23)</f>
        <v>#NAME?</v>
      </c>
      <c r="V52" s="128" t="e" cm="1">
        <f t="array" aca="1" ref="V52" ca="1">Notmerged(V23)</f>
        <v>#NAME?</v>
      </c>
      <c r="W52" s="128" t="e" cm="1">
        <f t="array" aca="1" ref="W52" ca="1">Notmerged(W23)</f>
        <v>#NAME?</v>
      </c>
      <c r="X52" s="128" t="e" cm="1">
        <f t="array" aca="1" ref="X52" ca="1">Notmerged(X23)</f>
        <v>#NAME?</v>
      </c>
      <c r="Y52" s="128" t="e" cm="1">
        <f t="array" aca="1" ref="Y52" ca="1">Notmerged(Y23)</f>
        <v>#NAME?</v>
      </c>
      <c r="Z52" s="128" t="e" cm="1">
        <f t="array" aca="1" ref="Z52" ca="1">Notmerged(Z23)</f>
        <v>#NAME?</v>
      </c>
      <c r="AA52" s="128" t="e" cm="1">
        <f t="array" aca="1" ref="AA52" ca="1">Notmerged(AA23)</f>
        <v>#NAME?</v>
      </c>
      <c r="AB52" s="128" t="e" cm="1">
        <f t="array" aca="1" ref="AB52" ca="1">Notmerged(AB23)</f>
        <v>#NAME?</v>
      </c>
      <c r="AC52" s="128" t="e" cm="1">
        <f t="array" aca="1" ref="AC52" ca="1">Notmerged(AC23)</f>
        <v>#NAME?</v>
      </c>
      <c r="AD52" s="128" t="e" cm="1">
        <f t="array" aca="1" ref="AD52" ca="1">Notmerged(AD23)</f>
        <v>#NAME?</v>
      </c>
      <c r="AE52" s="128" t="e" cm="1">
        <f t="array" aca="1" ref="AE52" ca="1">Notmerged(AE23)</f>
        <v>#NAME?</v>
      </c>
      <c r="AF52" s="128" t="e" cm="1">
        <f t="array" aca="1" ref="AF52" ca="1">Notmerged(AF23)</f>
        <v>#NAME?</v>
      </c>
      <c r="AG52" s="128" t="e" cm="1">
        <f t="array" aca="1" ref="AG52" ca="1">Notmerged(AG23)</f>
        <v>#NAME?</v>
      </c>
      <c r="AH52" s="128" t="e" cm="1">
        <f t="array" aca="1" ref="AH52" ca="1">Notmerged(AH23)</f>
        <v>#NAME?</v>
      </c>
      <c r="AI52" s="128" t="e" cm="1">
        <f t="array" aca="1" ref="AI52" ca="1">Notmerged(AI23)</f>
        <v>#NAME?</v>
      </c>
      <c r="AJ52" s="128" t="e" cm="1">
        <f t="array" aca="1" ref="AJ52" ca="1">Notmerged(AJ23)</f>
        <v>#NAME?</v>
      </c>
      <c r="AK52" s="128" t="e" cm="1">
        <f t="array" aca="1" ref="AK52" ca="1">Notmerged(AK23)</f>
        <v>#NAME?</v>
      </c>
      <c r="AL52" s="128" t="e" cm="1">
        <f t="array" aca="1" ref="AL52" ca="1">Notmerged(AL23)</f>
        <v>#NAME?</v>
      </c>
      <c r="AM52" s="128" t="e" cm="1">
        <f t="array" aca="1" ref="AM52" ca="1">Notmerged(AM23)</f>
        <v>#NAME?</v>
      </c>
      <c r="AN52" s="128" t="e" cm="1">
        <f t="array" aca="1" ref="AN52" ca="1">Notmerged(AN23)</f>
        <v>#NAME?</v>
      </c>
      <c r="AO52" s="128" t="e" cm="1">
        <f t="array" aca="1" ref="AO52" ca="1">Notmerged(AO23)</f>
        <v>#NAME?</v>
      </c>
      <c r="AP52" s="128" t="e" cm="1">
        <f t="array" aca="1" ref="AP52" ca="1">Notmerged(AP23)</f>
        <v>#NAME?</v>
      </c>
      <c r="AQ52" s="128" t="e" cm="1">
        <f t="array" aca="1" ref="AQ52" ca="1">Notmerged(AQ23)</f>
        <v>#NAME?</v>
      </c>
      <c r="AR52" s="128" t="e" cm="1">
        <f t="array" aca="1" ref="AR52" ca="1">Notmerged(AR23)</f>
        <v>#NAME?</v>
      </c>
      <c r="AS52" s="128" t="e" cm="1">
        <f t="array" aca="1" ref="AS52" ca="1">Notmerged(AS23)</f>
        <v>#NAME?</v>
      </c>
      <c r="AT52" s="128" t="e" cm="1">
        <f t="array" aca="1" ref="AT52" ca="1">Notmerged(AT23)</f>
        <v>#NAME?</v>
      </c>
      <c r="AU52" s="128" t="e" cm="1">
        <f t="array" aca="1" ref="AU52" ca="1">Notmerged(AU23)</f>
        <v>#NAME?</v>
      </c>
      <c r="AV52" s="128" t="e" cm="1">
        <f t="array" aca="1" ref="AV52" ca="1">Notmerged(AV23)</f>
        <v>#NAME?</v>
      </c>
      <c r="AW52" s="128" t="e" cm="1">
        <f t="array" aca="1" ref="AW52" ca="1">Notmerged(AW23)</f>
        <v>#NAME?</v>
      </c>
      <c r="AX52" s="128" t="e" cm="1">
        <f t="array" aca="1" ref="AX52" ca="1">Notmerged(AX23)</f>
        <v>#NAME?</v>
      </c>
      <c r="AY52" s="128" t="e" cm="1">
        <f t="array" aca="1" ref="AY52" ca="1">Notmerged(AY23)</f>
        <v>#NAME?</v>
      </c>
      <c r="AZ52" s="128" t="e" cm="1">
        <f t="array" aca="1" ref="AZ52" ca="1">Notmerged(AZ23)</f>
        <v>#NAME?</v>
      </c>
      <c r="BA52" s="128" t="e" cm="1">
        <f t="array" aca="1" ref="BA52" ca="1">Notmerged(BA23)</f>
        <v>#NAME?</v>
      </c>
      <c r="BB52" s="128" t="e" cm="1">
        <f t="array" aca="1" ref="BB52" ca="1">Notmerged(BB23)</f>
        <v>#NAME?</v>
      </c>
      <c r="BC52" s="128" t="e" cm="1">
        <f t="array" aca="1" ref="BC52" ca="1">Notmerged(BC23)</f>
        <v>#NAME?</v>
      </c>
      <c r="BD52" s="128" t="e" cm="1">
        <f t="array" aca="1" ref="BD52" ca="1">Notmerged(BD23)</f>
        <v>#NAME?</v>
      </c>
      <c r="BE52" s="128" t="e" cm="1">
        <f t="array" aca="1" ref="BE52" ca="1">Notmerged(BE23)</f>
        <v>#NAME?</v>
      </c>
      <c r="BF52" s="128" t="e" cm="1">
        <f t="array" aca="1" ref="BF52" ca="1">Notmerged(BF23)</f>
        <v>#NAME?</v>
      </c>
      <c r="BG52" s="128" t="e" cm="1">
        <f t="array" aca="1" ref="BG52" ca="1">Notmerged(BG23)</f>
        <v>#NAME?</v>
      </c>
      <c r="BH52" s="128" t="e" cm="1">
        <f t="array" aca="1" ref="BH52" ca="1">Notmerged(BH23)</f>
        <v>#NAME?</v>
      </c>
      <c r="BI52" s="128" t="e" cm="1">
        <f t="array" aca="1" ref="BI52" ca="1">Notmerged(BI23)</f>
        <v>#NAME?</v>
      </c>
      <c r="BJ52" s="128" t="e" cm="1">
        <f t="array" aca="1" ref="BJ52" ca="1">Notmerged(BJ23)</f>
        <v>#NAME?</v>
      </c>
      <c r="BK52" s="128" t="e" cm="1">
        <f t="array" aca="1" ref="BK52" ca="1">Notmerged(BK23)</f>
        <v>#NAME?</v>
      </c>
    </row>
    <row r="53" spans="2:63" x14ac:dyDescent="0.3">
      <c r="B53" s="128" t="e" cm="1">
        <f t="array" aca="1" ref="B53" ca="1">Notmerged(B22)</f>
        <v>#NAME?</v>
      </c>
      <c r="C53" s="128" t="e" cm="1">
        <f t="array" aca="1" ref="C53" ca="1">Notmerged(C23)</f>
        <v>#NAME?</v>
      </c>
      <c r="D53" s="128" t="e" cm="1">
        <f t="array" aca="1" ref="D53" ca="1">Notmerged(D24)</f>
        <v>#NAME?</v>
      </c>
      <c r="E53" s="128" t="e" cm="1">
        <f t="array" aca="1" ref="E53" ca="1">Notmerged(E24)</f>
        <v>#NAME?</v>
      </c>
      <c r="F53" s="128" t="e" cm="1">
        <f t="array" aca="1" ref="F53" ca="1">Notmerged(F24)</f>
        <v>#NAME?</v>
      </c>
      <c r="G53" s="128" t="e" cm="1">
        <f t="array" aca="1" ref="G53" ca="1">Notmerged(G24)</f>
        <v>#NAME?</v>
      </c>
      <c r="H53" s="128" t="e" cm="1">
        <f t="array" aca="1" ref="H53" ca="1">Notmerged(H24)</f>
        <v>#NAME?</v>
      </c>
      <c r="I53" s="128" t="e" cm="1">
        <f t="array" aca="1" ref="I53" ca="1">Notmerged(I24)</f>
        <v>#NAME?</v>
      </c>
      <c r="J53" s="128" t="e" cm="1">
        <f t="array" aca="1" ref="J53" ca="1">Notmerged(J24)</f>
        <v>#NAME?</v>
      </c>
      <c r="K53" s="128" t="e" cm="1">
        <f t="array" aca="1" ref="K53" ca="1">Notmerged(K24)</f>
        <v>#NAME?</v>
      </c>
      <c r="L53" s="128" t="e" cm="1">
        <f t="array" aca="1" ref="L53" ca="1">Notmerged(L24)</f>
        <v>#NAME?</v>
      </c>
      <c r="M53" s="128" t="e" cm="1">
        <f t="array" aca="1" ref="M53" ca="1">Notmerged(M24)</f>
        <v>#NAME?</v>
      </c>
      <c r="N53" s="128" t="e" cm="1">
        <f t="array" aca="1" ref="N53" ca="1">Notmerged(N24)</f>
        <v>#NAME?</v>
      </c>
      <c r="O53" s="128" t="e" cm="1">
        <f t="array" aca="1" ref="O53" ca="1">Notmerged(O24)</f>
        <v>#NAME?</v>
      </c>
      <c r="P53" s="128" t="e" cm="1">
        <f t="array" aca="1" ref="P53" ca="1">Notmerged(P24)</f>
        <v>#NAME?</v>
      </c>
      <c r="Q53" s="128" t="e" cm="1">
        <f t="array" aca="1" ref="Q53" ca="1">Notmerged(Q24)</f>
        <v>#NAME?</v>
      </c>
      <c r="R53" s="128" t="e" cm="1">
        <f t="array" aca="1" ref="R53" ca="1">Notmerged(R24)</f>
        <v>#NAME?</v>
      </c>
      <c r="S53" s="128" t="e" cm="1">
        <f t="array" aca="1" ref="S53" ca="1">Notmerged(S24)</f>
        <v>#NAME?</v>
      </c>
      <c r="T53" s="128" t="e" cm="1">
        <f t="array" aca="1" ref="T53" ca="1">Notmerged(T24)</f>
        <v>#NAME?</v>
      </c>
      <c r="U53" s="128" t="e" cm="1">
        <f t="array" aca="1" ref="U53" ca="1">Notmerged(U24)</f>
        <v>#NAME?</v>
      </c>
      <c r="V53" s="128" t="e" cm="1">
        <f t="array" aca="1" ref="V53" ca="1">Notmerged(V24)</f>
        <v>#NAME?</v>
      </c>
      <c r="W53" s="128" t="e" cm="1">
        <f t="array" aca="1" ref="W53" ca="1">Notmerged(W24)</f>
        <v>#NAME?</v>
      </c>
      <c r="X53" s="128" t="e" cm="1">
        <f t="array" aca="1" ref="X53" ca="1">Notmerged(X24)</f>
        <v>#NAME?</v>
      </c>
      <c r="Y53" s="128" t="e" cm="1">
        <f t="array" aca="1" ref="Y53" ca="1">Notmerged(Y24)</f>
        <v>#NAME?</v>
      </c>
      <c r="Z53" s="128" t="e" cm="1">
        <f t="array" aca="1" ref="Z53" ca="1">Notmerged(Z24)</f>
        <v>#NAME?</v>
      </c>
      <c r="AA53" s="128" t="e" cm="1">
        <f t="array" aca="1" ref="AA53" ca="1">Notmerged(AA24)</f>
        <v>#NAME?</v>
      </c>
      <c r="AB53" s="128" t="e" cm="1">
        <f t="array" aca="1" ref="AB53" ca="1">Notmerged(AB24)</f>
        <v>#NAME?</v>
      </c>
      <c r="AC53" s="128" t="e" cm="1">
        <f t="array" aca="1" ref="AC53" ca="1">Notmerged(AC24)</f>
        <v>#NAME?</v>
      </c>
      <c r="AD53" s="128" t="e" cm="1">
        <f t="array" aca="1" ref="AD53" ca="1">Notmerged(AD24)</f>
        <v>#NAME?</v>
      </c>
      <c r="AE53" s="128" t="e" cm="1">
        <f t="array" aca="1" ref="AE53" ca="1">Notmerged(AE24)</f>
        <v>#NAME?</v>
      </c>
      <c r="AF53" s="128" t="e" cm="1">
        <f t="array" aca="1" ref="AF53" ca="1">Notmerged(AF24)</f>
        <v>#NAME?</v>
      </c>
      <c r="AG53" s="128" t="e" cm="1">
        <f t="array" aca="1" ref="AG53" ca="1">Notmerged(AG24)</f>
        <v>#NAME?</v>
      </c>
      <c r="AH53" s="128" t="e" cm="1">
        <f t="array" aca="1" ref="AH53" ca="1">Notmerged(AH24)</f>
        <v>#NAME?</v>
      </c>
      <c r="AI53" s="128" t="e" cm="1">
        <f t="array" aca="1" ref="AI53" ca="1">Notmerged(AI24)</f>
        <v>#NAME?</v>
      </c>
      <c r="AJ53" s="128" t="e" cm="1">
        <f t="array" aca="1" ref="AJ53" ca="1">Notmerged(AJ24)</f>
        <v>#NAME?</v>
      </c>
      <c r="AK53" s="128" t="e" cm="1">
        <f t="array" aca="1" ref="AK53" ca="1">Notmerged(AK24)</f>
        <v>#NAME?</v>
      </c>
      <c r="AL53" s="128" t="e" cm="1">
        <f t="array" aca="1" ref="AL53" ca="1">Notmerged(AL24)</f>
        <v>#NAME?</v>
      </c>
      <c r="AM53" s="128" t="e" cm="1">
        <f t="array" aca="1" ref="AM53" ca="1">Notmerged(AM24)</f>
        <v>#NAME?</v>
      </c>
      <c r="AN53" s="128" t="e" cm="1">
        <f t="array" aca="1" ref="AN53" ca="1">Notmerged(AN24)</f>
        <v>#NAME?</v>
      </c>
      <c r="AO53" s="128" t="e" cm="1">
        <f t="array" aca="1" ref="AO53" ca="1">Notmerged(AO24)</f>
        <v>#NAME?</v>
      </c>
      <c r="AP53" s="128" t="e" cm="1">
        <f t="array" aca="1" ref="AP53" ca="1">Notmerged(AP24)</f>
        <v>#NAME?</v>
      </c>
      <c r="AQ53" s="128" t="e" cm="1">
        <f t="array" aca="1" ref="AQ53" ca="1">Notmerged(AQ24)</f>
        <v>#NAME?</v>
      </c>
      <c r="AR53" s="128" t="e" cm="1">
        <f t="array" aca="1" ref="AR53" ca="1">Notmerged(AR24)</f>
        <v>#NAME?</v>
      </c>
      <c r="AS53" s="128" t="e" cm="1">
        <f t="array" aca="1" ref="AS53" ca="1">Notmerged(AS24)</f>
        <v>#NAME?</v>
      </c>
      <c r="AT53" s="128" t="e" cm="1">
        <f t="array" aca="1" ref="AT53" ca="1">Notmerged(AT24)</f>
        <v>#NAME?</v>
      </c>
      <c r="AU53" s="128" t="e" cm="1">
        <f t="array" aca="1" ref="AU53" ca="1">Notmerged(AU24)</f>
        <v>#NAME?</v>
      </c>
      <c r="AV53" s="128" t="e" cm="1">
        <f t="array" aca="1" ref="AV53" ca="1">Notmerged(AV24)</f>
        <v>#NAME?</v>
      </c>
      <c r="AW53" s="128" t="e" cm="1">
        <f t="array" aca="1" ref="AW53" ca="1">Notmerged(AW24)</f>
        <v>#NAME?</v>
      </c>
      <c r="AX53" s="128" t="e" cm="1">
        <f t="array" aca="1" ref="AX53" ca="1">Notmerged(AX24)</f>
        <v>#NAME?</v>
      </c>
      <c r="AY53" s="128" t="e" cm="1">
        <f t="array" aca="1" ref="AY53" ca="1">Notmerged(AY24)</f>
        <v>#NAME?</v>
      </c>
      <c r="AZ53" s="128" t="e" cm="1">
        <f t="array" aca="1" ref="AZ53" ca="1">Notmerged(AZ24)</f>
        <v>#NAME?</v>
      </c>
      <c r="BA53" s="128" t="e" cm="1">
        <f t="array" aca="1" ref="BA53" ca="1">Notmerged(BA24)</f>
        <v>#NAME?</v>
      </c>
      <c r="BB53" s="128" t="e" cm="1">
        <f t="array" aca="1" ref="BB53" ca="1">Notmerged(BB24)</f>
        <v>#NAME?</v>
      </c>
      <c r="BC53" s="128" t="e" cm="1">
        <f t="array" aca="1" ref="BC53" ca="1">Notmerged(BC24)</f>
        <v>#NAME?</v>
      </c>
      <c r="BD53" s="128" t="e" cm="1">
        <f t="array" aca="1" ref="BD53" ca="1">Notmerged(BD24)</f>
        <v>#NAME?</v>
      </c>
      <c r="BE53" s="128" t="e" cm="1">
        <f t="array" aca="1" ref="BE53" ca="1">Notmerged(BE24)</f>
        <v>#NAME?</v>
      </c>
      <c r="BF53" s="128" t="e" cm="1">
        <f t="array" aca="1" ref="BF53" ca="1">Notmerged(BF24)</f>
        <v>#NAME?</v>
      </c>
      <c r="BG53" s="128" t="e" cm="1">
        <f t="array" aca="1" ref="BG53" ca="1">Notmerged(BG24)</f>
        <v>#NAME?</v>
      </c>
      <c r="BH53" s="128" t="e" cm="1">
        <f t="array" aca="1" ref="BH53" ca="1">Notmerged(BH24)</f>
        <v>#NAME?</v>
      </c>
      <c r="BI53" s="128" t="e" cm="1">
        <f t="array" aca="1" ref="BI53" ca="1">Notmerged(BI24)</f>
        <v>#NAME?</v>
      </c>
      <c r="BJ53" s="128" t="e" cm="1">
        <f t="array" aca="1" ref="BJ53" ca="1">Notmerged(BJ24)</f>
        <v>#NAME?</v>
      </c>
      <c r="BK53" s="128" t="e" cm="1">
        <f t="array" aca="1" ref="BK53" ca="1">Notmerged(BK24)</f>
        <v>#NAME?</v>
      </c>
    </row>
    <row r="54" spans="2:63" x14ac:dyDescent="0.3">
      <c r="B54" s="128" t="e" cm="1">
        <f t="array" aca="1" ref="B54" ca="1">Notmerged(#REF!)</f>
        <v>#NAME?</v>
      </c>
      <c r="C54" s="128" t="e" cm="1">
        <f t="array" aca="1" ref="C54" ca="1">Notmerged(C25)</f>
        <v>#NAME?</v>
      </c>
      <c r="D54" s="128" t="e" cm="1">
        <f t="array" aca="1" ref="D54" ca="1">Notmerged(D25)</f>
        <v>#NAME?</v>
      </c>
      <c r="E54" s="128" t="e" cm="1">
        <f t="array" aca="1" ref="E54" ca="1">Notmerged(E25)</f>
        <v>#NAME?</v>
      </c>
      <c r="F54" s="128" t="e" cm="1">
        <f t="array" aca="1" ref="F54" ca="1">Notmerged(F25)</f>
        <v>#NAME?</v>
      </c>
      <c r="G54" s="128" t="e" cm="1">
        <f t="array" aca="1" ref="G54" ca="1">Notmerged(G25)</f>
        <v>#NAME?</v>
      </c>
      <c r="H54" s="128" t="e" cm="1">
        <f t="array" aca="1" ref="H54" ca="1">Notmerged(H25)</f>
        <v>#NAME?</v>
      </c>
      <c r="I54" s="128" t="e" cm="1">
        <f t="array" aca="1" ref="I54" ca="1">Notmerged(I25)</f>
        <v>#NAME?</v>
      </c>
      <c r="J54" s="128" t="e" cm="1">
        <f t="array" aca="1" ref="J54" ca="1">Notmerged(J25)</f>
        <v>#NAME?</v>
      </c>
      <c r="K54" s="128" t="e" cm="1">
        <f t="array" aca="1" ref="K54" ca="1">Notmerged(K25)</f>
        <v>#NAME?</v>
      </c>
      <c r="L54" s="128" t="e" cm="1">
        <f t="array" aca="1" ref="L54" ca="1">Notmerged(L25)</f>
        <v>#NAME?</v>
      </c>
      <c r="M54" s="128" t="e" cm="1">
        <f t="array" aca="1" ref="M54" ca="1">Notmerged(M25)</f>
        <v>#NAME?</v>
      </c>
      <c r="N54" s="128" t="e" cm="1">
        <f t="array" aca="1" ref="N54" ca="1">Notmerged(N25)</f>
        <v>#NAME?</v>
      </c>
      <c r="O54" s="128" t="e" cm="1">
        <f t="array" aca="1" ref="O54" ca="1">Notmerged(O25)</f>
        <v>#NAME?</v>
      </c>
      <c r="P54" s="128" t="e" cm="1">
        <f t="array" aca="1" ref="P54" ca="1">Notmerged(P25)</f>
        <v>#NAME?</v>
      </c>
      <c r="Q54" s="128" t="e" cm="1">
        <f t="array" aca="1" ref="Q54" ca="1">Notmerged(Q25)</f>
        <v>#NAME?</v>
      </c>
      <c r="R54" s="128" t="e" cm="1">
        <f t="array" aca="1" ref="R54" ca="1">Notmerged(R25)</f>
        <v>#NAME?</v>
      </c>
      <c r="S54" s="128" t="e" cm="1">
        <f t="array" aca="1" ref="S54" ca="1">Notmerged(S25)</f>
        <v>#NAME?</v>
      </c>
      <c r="T54" s="128" t="e" cm="1">
        <f t="array" aca="1" ref="T54" ca="1">Notmerged(T25)</f>
        <v>#NAME?</v>
      </c>
      <c r="U54" s="128" t="e" cm="1">
        <f t="array" aca="1" ref="U54" ca="1">Notmerged(U25)</f>
        <v>#NAME?</v>
      </c>
      <c r="V54" s="128" t="e" cm="1">
        <f t="array" aca="1" ref="V54" ca="1">Notmerged(V25)</f>
        <v>#NAME?</v>
      </c>
      <c r="W54" s="128" t="e" cm="1">
        <f t="array" aca="1" ref="W54" ca="1">Notmerged(W25)</f>
        <v>#NAME?</v>
      </c>
      <c r="X54" s="128" t="e" cm="1">
        <f t="array" aca="1" ref="X54" ca="1">Notmerged(X25)</f>
        <v>#NAME?</v>
      </c>
      <c r="Y54" s="128" t="e" cm="1">
        <f t="array" aca="1" ref="Y54" ca="1">Notmerged(Y25)</f>
        <v>#NAME?</v>
      </c>
      <c r="Z54" s="128" t="e" cm="1">
        <f t="array" aca="1" ref="Z54" ca="1">Notmerged(Z25)</f>
        <v>#NAME?</v>
      </c>
      <c r="AA54" s="128" t="e" cm="1">
        <f t="array" aca="1" ref="AA54" ca="1">Notmerged(AA25)</f>
        <v>#NAME?</v>
      </c>
      <c r="AB54" s="128" t="e" cm="1">
        <f t="array" aca="1" ref="AB54" ca="1">Notmerged(AB25)</f>
        <v>#NAME?</v>
      </c>
      <c r="AC54" s="128" t="e" cm="1">
        <f t="array" aca="1" ref="AC54" ca="1">Notmerged(AC25)</f>
        <v>#NAME?</v>
      </c>
      <c r="AD54" s="128" t="e" cm="1">
        <f t="array" aca="1" ref="AD54" ca="1">Notmerged(AD25)</f>
        <v>#NAME?</v>
      </c>
      <c r="AE54" s="128" t="e" cm="1">
        <f t="array" aca="1" ref="AE54" ca="1">Notmerged(AE25)</f>
        <v>#NAME?</v>
      </c>
      <c r="AF54" s="128" t="e" cm="1">
        <f t="array" aca="1" ref="AF54" ca="1">Notmerged(AF25)</f>
        <v>#NAME?</v>
      </c>
      <c r="AG54" s="128" t="e" cm="1">
        <f t="array" aca="1" ref="AG54" ca="1">Notmerged(AG25)</f>
        <v>#NAME?</v>
      </c>
      <c r="AH54" s="128" t="e" cm="1">
        <f t="array" aca="1" ref="AH54" ca="1">Notmerged(AH25)</f>
        <v>#NAME?</v>
      </c>
      <c r="AI54" s="128" t="e" cm="1">
        <f t="array" aca="1" ref="AI54" ca="1">Notmerged(AI25)</f>
        <v>#NAME?</v>
      </c>
      <c r="AJ54" s="128" t="e" cm="1">
        <f t="array" aca="1" ref="AJ54" ca="1">Notmerged(AJ25)</f>
        <v>#NAME?</v>
      </c>
      <c r="AK54" s="128" t="e" cm="1">
        <f t="array" aca="1" ref="AK54" ca="1">Notmerged(AK25)</f>
        <v>#NAME?</v>
      </c>
      <c r="AL54" s="128" t="e" cm="1">
        <f t="array" aca="1" ref="AL54" ca="1">Notmerged(AL25)</f>
        <v>#NAME?</v>
      </c>
      <c r="AM54" s="128" t="e" cm="1">
        <f t="array" aca="1" ref="AM54" ca="1">Notmerged(AM25)</f>
        <v>#NAME?</v>
      </c>
      <c r="AN54" s="128" t="e" cm="1">
        <f t="array" aca="1" ref="AN54" ca="1">Notmerged(AN25)</f>
        <v>#NAME?</v>
      </c>
      <c r="AO54" s="128" t="e" cm="1">
        <f t="array" aca="1" ref="AO54" ca="1">Notmerged(AO25)</f>
        <v>#NAME?</v>
      </c>
      <c r="AP54" s="128" t="e" cm="1">
        <f t="array" aca="1" ref="AP54" ca="1">Notmerged(AP25)</f>
        <v>#NAME?</v>
      </c>
      <c r="AQ54" s="128" t="e" cm="1">
        <f t="array" aca="1" ref="AQ54" ca="1">Notmerged(AQ25)</f>
        <v>#NAME?</v>
      </c>
      <c r="AR54" s="128" t="e" cm="1">
        <f t="array" aca="1" ref="AR54" ca="1">Notmerged(AR25)</f>
        <v>#NAME?</v>
      </c>
      <c r="AS54" s="128" t="e" cm="1">
        <f t="array" aca="1" ref="AS54" ca="1">Notmerged(AS25)</f>
        <v>#NAME?</v>
      </c>
      <c r="AT54" s="128" t="e" cm="1">
        <f t="array" aca="1" ref="AT54" ca="1">Notmerged(AT25)</f>
        <v>#NAME?</v>
      </c>
      <c r="AU54" s="128" t="e" cm="1">
        <f t="array" aca="1" ref="AU54" ca="1">Notmerged(AU25)</f>
        <v>#NAME?</v>
      </c>
      <c r="AV54" s="128" t="e" cm="1">
        <f t="array" aca="1" ref="AV54" ca="1">Notmerged(AV25)</f>
        <v>#NAME?</v>
      </c>
      <c r="AW54" s="128" t="e" cm="1">
        <f t="array" aca="1" ref="AW54" ca="1">Notmerged(AW25)</f>
        <v>#NAME?</v>
      </c>
      <c r="AX54" s="128" t="e" cm="1">
        <f t="array" aca="1" ref="AX54" ca="1">Notmerged(AX25)</f>
        <v>#NAME?</v>
      </c>
      <c r="AY54" s="128" t="e" cm="1">
        <f t="array" aca="1" ref="AY54" ca="1">Notmerged(AY25)</f>
        <v>#NAME?</v>
      </c>
      <c r="AZ54" s="128" t="e" cm="1">
        <f t="array" aca="1" ref="AZ54" ca="1">Notmerged(AZ25)</f>
        <v>#NAME?</v>
      </c>
      <c r="BA54" s="128" t="e" cm="1">
        <f t="array" aca="1" ref="BA54" ca="1">Notmerged(BA25)</f>
        <v>#NAME?</v>
      </c>
      <c r="BB54" s="128" t="e" cm="1">
        <f t="array" aca="1" ref="BB54" ca="1">Notmerged(BB25)</f>
        <v>#NAME?</v>
      </c>
      <c r="BC54" s="128" t="e" cm="1">
        <f t="array" aca="1" ref="BC54" ca="1">Notmerged(BC25)</f>
        <v>#NAME?</v>
      </c>
      <c r="BD54" s="128" t="e" cm="1">
        <f t="array" aca="1" ref="BD54" ca="1">Notmerged(BD25)</f>
        <v>#NAME?</v>
      </c>
      <c r="BE54" s="128" t="e" cm="1">
        <f t="array" aca="1" ref="BE54" ca="1">Notmerged(BE25)</f>
        <v>#NAME?</v>
      </c>
      <c r="BF54" s="128" t="e" cm="1">
        <f t="array" aca="1" ref="BF54" ca="1">Notmerged(BF25)</f>
        <v>#NAME?</v>
      </c>
      <c r="BG54" s="128" t="e" cm="1">
        <f t="array" aca="1" ref="BG54" ca="1">Notmerged(BG25)</f>
        <v>#NAME?</v>
      </c>
      <c r="BH54" s="128" t="e" cm="1">
        <f t="array" aca="1" ref="BH54" ca="1">Notmerged(BH25)</f>
        <v>#NAME?</v>
      </c>
      <c r="BI54" s="128" t="e" cm="1">
        <f t="array" aca="1" ref="BI54" ca="1">Notmerged(BI25)</f>
        <v>#NAME?</v>
      </c>
      <c r="BJ54" s="128" t="e" cm="1">
        <f t="array" aca="1" ref="BJ54" ca="1">Notmerged(BJ25)</f>
        <v>#NAME?</v>
      </c>
      <c r="BK54" s="128" t="e" cm="1">
        <f t="array" aca="1" ref="BK54" ca="1">Notmerged(BK25)</f>
        <v>#NAME?</v>
      </c>
    </row>
    <row r="55" spans="2:63" x14ac:dyDescent="0.3">
      <c r="B55" s="128" t="e" cm="1">
        <f t="array" aca="1" ref="B55" ca="1">Notmerged(B26)</f>
        <v>#NAME?</v>
      </c>
      <c r="C55" s="128" t="e" cm="1">
        <f t="array" aca="1" ref="C55" ca="1">Notmerged(C26)</f>
        <v>#NAME?</v>
      </c>
      <c r="D55" s="128" t="e" cm="1">
        <f t="array" aca="1" ref="D55" ca="1">Notmerged(D26)</f>
        <v>#NAME?</v>
      </c>
      <c r="E55" s="128" t="e" cm="1">
        <f t="array" aca="1" ref="E55" ca="1">Notmerged(E26)</f>
        <v>#NAME?</v>
      </c>
      <c r="F55" s="128" t="e" cm="1">
        <f t="array" aca="1" ref="F55" ca="1">Notmerged(F26)</f>
        <v>#NAME?</v>
      </c>
      <c r="G55" s="128" t="e" cm="1">
        <f t="array" aca="1" ref="G55" ca="1">Notmerged(G26)</f>
        <v>#NAME?</v>
      </c>
      <c r="H55" s="128" t="e" cm="1">
        <f t="array" aca="1" ref="H55" ca="1">Notmerged(H26)</f>
        <v>#NAME?</v>
      </c>
      <c r="I55" s="128" t="e" cm="1">
        <f t="array" aca="1" ref="I55" ca="1">Notmerged(I26)</f>
        <v>#NAME?</v>
      </c>
      <c r="J55" s="128" t="e" cm="1">
        <f t="array" aca="1" ref="J55" ca="1">Notmerged(J26)</f>
        <v>#NAME?</v>
      </c>
      <c r="K55" s="128" t="e" cm="1">
        <f t="array" aca="1" ref="K55" ca="1">Notmerged(K26)</f>
        <v>#NAME?</v>
      </c>
      <c r="L55" s="128" t="e" cm="1">
        <f t="array" aca="1" ref="L55" ca="1">Notmerged(L26)</f>
        <v>#NAME?</v>
      </c>
      <c r="M55" s="128" t="e" cm="1">
        <f t="array" aca="1" ref="M55" ca="1">Notmerged(M26)</f>
        <v>#NAME?</v>
      </c>
      <c r="N55" s="128" t="e" cm="1">
        <f t="array" aca="1" ref="N55" ca="1">Notmerged(N26)</f>
        <v>#NAME?</v>
      </c>
      <c r="O55" s="128" t="e" cm="1">
        <f t="array" aca="1" ref="O55" ca="1">Notmerged(O26)</f>
        <v>#NAME?</v>
      </c>
      <c r="P55" s="128" t="e" cm="1">
        <f t="array" aca="1" ref="P55" ca="1">Notmerged(P26)</f>
        <v>#NAME?</v>
      </c>
      <c r="Q55" s="128" t="e" cm="1">
        <f t="array" aca="1" ref="Q55" ca="1">Notmerged(Q26)</f>
        <v>#NAME?</v>
      </c>
      <c r="R55" s="128" t="e" cm="1">
        <f t="array" aca="1" ref="R55" ca="1">Notmerged(R26)</f>
        <v>#NAME?</v>
      </c>
      <c r="S55" s="128" t="e" cm="1">
        <f t="array" aca="1" ref="S55" ca="1">Notmerged(S26)</f>
        <v>#NAME?</v>
      </c>
      <c r="T55" s="128" t="e" cm="1">
        <f t="array" aca="1" ref="T55" ca="1">Notmerged(T26)</f>
        <v>#NAME?</v>
      </c>
      <c r="U55" s="128" t="e" cm="1">
        <f t="array" aca="1" ref="U55" ca="1">Notmerged(U26)</f>
        <v>#NAME?</v>
      </c>
      <c r="V55" s="128" t="e" cm="1">
        <f t="array" aca="1" ref="V55" ca="1">Notmerged(V26)</f>
        <v>#NAME?</v>
      </c>
      <c r="W55" s="128" t="e" cm="1">
        <f t="array" aca="1" ref="W55" ca="1">Notmerged(W26)</f>
        <v>#NAME?</v>
      </c>
      <c r="X55" s="128" t="e" cm="1">
        <f t="array" aca="1" ref="X55" ca="1">Notmerged(X26)</f>
        <v>#NAME?</v>
      </c>
      <c r="Y55" s="128" t="e" cm="1">
        <f t="array" aca="1" ref="Y55" ca="1">Notmerged(Y26)</f>
        <v>#NAME?</v>
      </c>
      <c r="Z55" s="128" t="e" cm="1">
        <f t="array" aca="1" ref="Z55" ca="1">Notmerged(Z26)</f>
        <v>#NAME?</v>
      </c>
      <c r="AA55" s="128" t="e" cm="1">
        <f t="array" aca="1" ref="AA55" ca="1">Notmerged(AA26)</f>
        <v>#NAME?</v>
      </c>
      <c r="AB55" s="128" t="e" cm="1">
        <f t="array" aca="1" ref="AB55" ca="1">Notmerged(AB26)</f>
        <v>#NAME?</v>
      </c>
      <c r="AC55" s="128" t="e" cm="1">
        <f t="array" aca="1" ref="AC55" ca="1">Notmerged(AC26)</f>
        <v>#NAME?</v>
      </c>
      <c r="AD55" s="128" t="e" cm="1">
        <f t="array" aca="1" ref="AD55" ca="1">Notmerged(AD26)</f>
        <v>#NAME?</v>
      </c>
      <c r="AE55" s="128" t="e" cm="1">
        <f t="array" aca="1" ref="AE55" ca="1">Notmerged(AE26)</f>
        <v>#NAME?</v>
      </c>
      <c r="AF55" s="128" t="e" cm="1">
        <f t="array" aca="1" ref="AF55" ca="1">Notmerged(AF26)</f>
        <v>#NAME?</v>
      </c>
      <c r="AG55" s="128" t="e" cm="1">
        <f t="array" aca="1" ref="AG55" ca="1">Notmerged(AG26)</f>
        <v>#NAME?</v>
      </c>
      <c r="AH55" s="128" t="e" cm="1">
        <f t="array" aca="1" ref="AH55" ca="1">Notmerged(AH26)</f>
        <v>#NAME?</v>
      </c>
      <c r="AI55" s="128" t="e" cm="1">
        <f t="array" aca="1" ref="AI55" ca="1">Notmerged(AI26)</f>
        <v>#NAME?</v>
      </c>
      <c r="AJ55" s="128" t="e" cm="1">
        <f t="array" aca="1" ref="AJ55" ca="1">Notmerged(AJ26)</f>
        <v>#NAME?</v>
      </c>
      <c r="AK55" s="128" t="e" cm="1">
        <f t="array" aca="1" ref="AK55" ca="1">Notmerged(AK26)</f>
        <v>#NAME?</v>
      </c>
      <c r="AL55" s="128" t="e" cm="1">
        <f t="array" aca="1" ref="AL55" ca="1">Notmerged(AL26)</f>
        <v>#NAME?</v>
      </c>
      <c r="AM55" s="128" t="e" cm="1">
        <f t="array" aca="1" ref="AM55" ca="1">Notmerged(AM26)</f>
        <v>#NAME?</v>
      </c>
      <c r="AN55" s="128" t="e" cm="1">
        <f t="array" aca="1" ref="AN55" ca="1">Notmerged(AN26)</f>
        <v>#NAME?</v>
      </c>
      <c r="AO55" s="128" t="e" cm="1">
        <f t="array" aca="1" ref="AO55" ca="1">Notmerged(AO26)</f>
        <v>#NAME?</v>
      </c>
      <c r="AP55" s="128" t="e" cm="1">
        <f t="array" aca="1" ref="AP55" ca="1">Notmerged(AP26)</f>
        <v>#NAME?</v>
      </c>
      <c r="AQ55" s="128" t="e" cm="1">
        <f t="array" aca="1" ref="AQ55" ca="1">Notmerged(AQ26)</f>
        <v>#NAME?</v>
      </c>
      <c r="AR55" s="128" t="e" cm="1">
        <f t="array" aca="1" ref="AR55" ca="1">Notmerged(AR26)</f>
        <v>#NAME?</v>
      </c>
      <c r="AS55" s="128" t="e" cm="1">
        <f t="array" aca="1" ref="AS55" ca="1">Notmerged(AS26)</f>
        <v>#NAME?</v>
      </c>
      <c r="AT55" s="128" t="e" cm="1">
        <f t="array" aca="1" ref="AT55" ca="1">Notmerged(AT26)</f>
        <v>#NAME?</v>
      </c>
      <c r="AU55" s="128" t="e" cm="1">
        <f t="array" aca="1" ref="AU55" ca="1">Notmerged(AU26)</f>
        <v>#NAME?</v>
      </c>
      <c r="AV55" s="128" t="e" cm="1">
        <f t="array" aca="1" ref="AV55" ca="1">Notmerged(AV26)</f>
        <v>#NAME?</v>
      </c>
      <c r="AW55" s="128" t="e" cm="1">
        <f t="array" aca="1" ref="AW55" ca="1">Notmerged(AW26)</f>
        <v>#NAME?</v>
      </c>
      <c r="AX55" s="128" t="e" cm="1">
        <f t="array" aca="1" ref="AX55" ca="1">Notmerged(AX26)</f>
        <v>#NAME?</v>
      </c>
      <c r="AY55" s="128" t="e" cm="1">
        <f t="array" aca="1" ref="AY55" ca="1">Notmerged(AY26)</f>
        <v>#NAME?</v>
      </c>
      <c r="AZ55" s="128" t="e" cm="1">
        <f t="array" aca="1" ref="AZ55" ca="1">Notmerged(AZ26)</f>
        <v>#NAME?</v>
      </c>
      <c r="BA55" s="128" t="e" cm="1">
        <f t="array" aca="1" ref="BA55" ca="1">Notmerged(BA26)</f>
        <v>#NAME?</v>
      </c>
      <c r="BB55" s="128" t="e" cm="1">
        <f t="array" aca="1" ref="BB55" ca="1">Notmerged(BB26)</f>
        <v>#NAME?</v>
      </c>
      <c r="BC55" s="128" t="e" cm="1">
        <f t="array" aca="1" ref="BC55" ca="1">Notmerged(BC26)</f>
        <v>#NAME?</v>
      </c>
      <c r="BD55" s="128" t="e" cm="1">
        <f t="array" aca="1" ref="BD55" ca="1">Notmerged(BD26)</f>
        <v>#NAME?</v>
      </c>
      <c r="BE55" s="128" t="e" cm="1">
        <f t="array" aca="1" ref="BE55" ca="1">Notmerged(BE26)</f>
        <v>#NAME?</v>
      </c>
      <c r="BF55" s="128" t="e" cm="1">
        <f t="array" aca="1" ref="BF55" ca="1">Notmerged(BF26)</f>
        <v>#NAME?</v>
      </c>
      <c r="BG55" s="128" t="e" cm="1">
        <f t="array" aca="1" ref="BG55" ca="1">Notmerged(BG26)</f>
        <v>#NAME?</v>
      </c>
      <c r="BH55" s="128" t="e" cm="1">
        <f t="array" aca="1" ref="BH55" ca="1">Notmerged(BH26)</f>
        <v>#NAME?</v>
      </c>
      <c r="BI55" s="128" t="e" cm="1">
        <f t="array" aca="1" ref="BI55" ca="1">Notmerged(BI26)</f>
        <v>#NAME?</v>
      </c>
      <c r="BJ55" s="128" t="e" cm="1">
        <f t="array" aca="1" ref="BJ55" ca="1">Notmerged(BJ26)</f>
        <v>#NAME?</v>
      </c>
      <c r="BK55" s="128" t="e" cm="1">
        <f t="array" aca="1" ref="BK55" ca="1">Notmerged(BK26)</f>
        <v>#NAME?</v>
      </c>
    </row>
    <row r="56" spans="2:63" x14ac:dyDescent="0.3">
      <c r="B56" s="128" t="e" cm="1">
        <f t="array" aca="1" ref="B56" ca="1">Notmerged(B25)</f>
        <v>#NAME?</v>
      </c>
      <c r="C56" s="128" t="e" cm="1">
        <f t="array" aca="1" ref="C56" ca="1">Notmerged(C27)</f>
        <v>#NAME?</v>
      </c>
      <c r="D56" s="128" t="e" cm="1">
        <f t="array" aca="1" ref="D56" ca="1">Notmerged(D27)</f>
        <v>#NAME?</v>
      </c>
      <c r="E56" s="128" t="e" cm="1">
        <f t="array" aca="1" ref="E56" ca="1">Notmerged(E27)</f>
        <v>#NAME?</v>
      </c>
      <c r="F56" s="128" t="e" cm="1">
        <f t="array" aca="1" ref="F56" ca="1">Notmerged(F27)</f>
        <v>#NAME?</v>
      </c>
      <c r="G56" s="128" t="e" cm="1">
        <f t="array" aca="1" ref="G56" ca="1">Notmerged(G27)</f>
        <v>#NAME?</v>
      </c>
      <c r="H56" s="128" t="e" cm="1">
        <f t="array" aca="1" ref="H56" ca="1">Notmerged(H27)</f>
        <v>#NAME?</v>
      </c>
      <c r="I56" s="128" t="e" cm="1">
        <f t="array" aca="1" ref="I56" ca="1">Notmerged(I27)</f>
        <v>#NAME?</v>
      </c>
      <c r="J56" s="128" t="e" cm="1">
        <f t="array" aca="1" ref="J56" ca="1">Notmerged(J27)</f>
        <v>#NAME?</v>
      </c>
      <c r="K56" s="128" t="e" cm="1">
        <f t="array" aca="1" ref="K56" ca="1">Notmerged(K27)</f>
        <v>#NAME?</v>
      </c>
      <c r="L56" s="128" t="e" cm="1">
        <f t="array" aca="1" ref="L56" ca="1">Notmerged(L27)</f>
        <v>#NAME?</v>
      </c>
      <c r="M56" s="128" t="e" cm="1">
        <f t="array" aca="1" ref="M56" ca="1">Notmerged(M27)</f>
        <v>#NAME?</v>
      </c>
      <c r="N56" s="128" t="e" cm="1">
        <f t="array" aca="1" ref="N56" ca="1">Notmerged(N27)</f>
        <v>#NAME?</v>
      </c>
      <c r="O56" s="128" t="e" cm="1">
        <f t="array" aca="1" ref="O56" ca="1">Notmerged(O27)</f>
        <v>#NAME?</v>
      </c>
      <c r="P56" s="128" t="e" cm="1">
        <f t="array" aca="1" ref="P56" ca="1">Notmerged(P27)</f>
        <v>#NAME?</v>
      </c>
      <c r="Q56" s="128" t="e" cm="1">
        <f t="array" aca="1" ref="Q56" ca="1">Notmerged(Q27)</f>
        <v>#NAME?</v>
      </c>
      <c r="R56" s="128" t="e" cm="1">
        <f t="array" aca="1" ref="R56" ca="1">Notmerged(R27)</f>
        <v>#NAME?</v>
      </c>
      <c r="S56" s="128" t="e" cm="1">
        <f t="array" aca="1" ref="S56" ca="1">Notmerged(S27)</f>
        <v>#NAME?</v>
      </c>
      <c r="T56" s="128" t="e" cm="1">
        <f t="array" aca="1" ref="T56" ca="1">Notmerged(T27)</f>
        <v>#NAME?</v>
      </c>
      <c r="U56" s="128" t="e" cm="1">
        <f t="array" aca="1" ref="U56" ca="1">Notmerged(U27)</f>
        <v>#NAME?</v>
      </c>
      <c r="V56" s="128" t="e" cm="1">
        <f t="array" aca="1" ref="V56" ca="1">Notmerged(V27)</f>
        <v>#NAME?</v>
      </c>
      <c r="W56" s="128" t="e" cm="1">
        <f t="array" aca="1" ref="W56" ca="1">Notmerged(W27)</f>
        <v>#NAME?</v>
      </c>
      <c r="X56" s="128" t="e" cm="1">
        <f t="array" aca="1" ref="X56" ca="1">Notmerged(X27)</f>
        <v>#NAME?</v>
      </c>
      <c r="Y56" s="128" t="e" cm="1">
        <f t="array" aca="1" ref="Y56" ca="1">Notmerged(Y27)</f>
        <v>#NAME?</v>
      </c>
      <c r="Z56" s="128" t="e" cm="1">
        <f t="array" aca="1" ref="Z56" ca="1">Notmerged(Z27)</f>
        <v>#NAME?</v>
      </c>
      <c r="AA56" s="128" t="e" cm="1">
        <f t="array" aca="1" ref="AA56" ca="1">Notmerged(AA27)</f>
        <v>#NAME?</v>
      </c>
      <c r="AB56" s="128" t="e" cm="1">
        <f t="array" aca="1" ref="AB56" ca="1">Notmerged(AB27)</f>
        <v>#NAME?</v>
      </c>
      <c r="AC56" s="128" t="e" cm="1">
        <f t="array" aca="1" ref="AC56" ca="1">Notmerged(AC27)</f>
        <v>#NAME?</v>
      </c>
      <c r="AD56" s="128" t="e" cm="1">
        <f t="array" aca="1" ref="AD56" ca="1">Notmerged(AD27)</f>
        <v>#NAME?</v>
      </c>
      <c r="AE56" s="128" t="e" cm="1">
        <f t="array" aca="1" ref="AE56" ca="1">Notmerged(AE27)</f>
        <v>#NAME?</v>
      </c>
      <c r="AF56" s="128" t="e" cm="1">
        <f t="array" aca="1" ref="AF56" ca="1">Notmerged(AF27)</f>
        <v>#NAME?</v>
      </c>
      <c r="AG56" s="128" t="e" cm="1">
        <f t="array" aca="1" ref="AG56" ca="1">Notmerged(AG27)</f>
        <v>#NAME?</v>
      </c>
      <c r="AH56" s="128" t="e" cm="1">
        <f t="array" aca="1" ref="AH56" ca="1">Notmerged(AH27)</f>
        <v>#NAME?</v>
      </c>
      <c r="AI56" s="128" t="e" cm="1">
        <f t="array" aca="1" ref="AI56" ca="1">Notmerged(AI27)</f>
        <v>#NAME?</v>
      </c>
      <c r="AJ56" s="128" t="e" cm="1">
        <f t="array" aca="1" ref="AJ56" ca="1">Notmerged(AJ27)</f>
        <v>#NAME?</v>
      </c>
      <c r="AK56" s="128" t="e" cm="1">
        <f t="array" aca="1" ref="AK56" ca="1">Notmerged(AK27)</f>
        <v>#NAME?</v>
      </c>
      <c r="AL56" s="128" t="e" cm="1">
        <f t="array" aca="1" ref="AL56" ca="1">Notmerged(AL27)</f>
        <v>#NAME?</v>
      </c>
      <c r="AM56" s="128" t="e" cm="1">
        <f t="array" aca="1" ref="AM56" ca="1">Notmerged(AM27)</f>
        <v>#NAME?</v>
      </c>
      <c r="AN56" s="128" t="e" cm="1">
        <f t="array" aca="1" ref="AN56" ca="1">Notmerged(AN27)</f>
        <v>#NAME?</v>
      </c>
      <c r="AO56" s="128" t="e" cm="1">
        <f t="array" aca="1" ref="AO56" ca="1">Notmerged(AO27)</f>
        <v>#NAME?</v>
      </c>
      <c r="AP56" s="128" t="e" cm="1">
        <f t="array" aca="1" ref="AP56" ca="1">Notmerged(AP27)</f>
        <v>#NAME?</v>
      </c>
      <c r="AQ56" s="128" t="e" cm="1">
        <f t="array" aca="1" ref="AQ56" ca="1">Notmerged(AQ27)</f>
        <v>#NAME?</v>
      </c>
      <c r="AR56" s="128" t="e" cm="1">
        <f t="array" aca="1" ref="AR56" ca="1">Notmerged(AR27)</f>
        <v>#NAME?</v>
      </c>
      <c r="AS56" s="128" t="e" cm="1">
        <f t="array" aca="1" ref="AS56" ca="1">Notmerged(AS27)</f>
        <v>#NAME?</v>
      </c>
      <c r="AT56" s="128" t="e" cm="1">
        <f t="array" aca="1" ref="AT56" ca="1">Notmerged(AT27)</f>
        <v>#NAME?</v>
      </c>
      <c r="AU56" s="128" t="e" cm="1">
        <f t="array" aca="1" ref="AU56" ca="1">Notmerged(AU27)</f>
        <v>#NAME?</v>
      </c>
      <c r="AV56" s="128" t="e" cm="1">
        <f t="array" aca="1" ref="AV56" ca="1">Notmerged(AV27)</f>
        <v>#NAME?</v>
      </c>
      <c r="AW56" s="128" t="e" cm="1">
        <f t="array" aca="1" ref="AW56" ca="1">Notmerged(AW27)</f>
        <v>#NAME?</v>
      </c>
      <c r="AX56" s="128" t="e" cm="1">
        <f t="array" aca="1" ref="AX56" ca="1">Notmerged(AX27)</f>
        <v>#NAME?</v>
      </c>
      <c r="AY56" s="128" t="e" cm="1">
        <f t="array" aca="1" ref="AY56" ca="1">Notmerged(AY27)</f>
        <v>#NAME?</v>
      </c>
      <c r="AZ56" s="128" t="e" cm="1">
        <f t="array" aca="1" ref="AZ56" ca="1">Notmerged(AZ27)</f>
        <v>#NAME?</v>
      </c>
      <c r="BA56" s="128" t="e" cm="1">
        <f t="array" aca="1" ref="BA56" ca="1">Notmerged(BA27)</f>
        <v>#NAME?</v>
      </c>
      <c r="BB56" s="128" t="e" cm="1">
        <f t="array" aca="1" ref="BB56" ca="1">Notmerged(BB27)</f>
        <v>#NAME?</v>
      </c>
      <c r="BC56" s="128" t="e" cm="1">
        <f t="array" aca="1" ref="BC56" ca="1">Notmerged(BC27)</f>
        <v>#NAME?</v>
      </c>
      <c r="BD56" s="128" t="e" cm="1">
        <f t="array" aca="1" ref="BD56" ca="1">Notmerged(BD27)</f>
        <v>#NAME?</v>
      </c>
      <c r="BE56" s="128" t="e" cm="1">
        <f t="array" aca="1" ref="BE56" ca="1">Notmerged(BE27)</f>
        <v>#NAME?</v>
      </c>
      <c r="BF56" s="128" t="e" cm="1">
        <f t="array" aca="1" ref="BF56" ca="1">Notmerged(BF27)</f>
        <v>#NAME?</v>
      </c>
      <c r="BG56" s="128" t="e" cm="1">
        <f t="array" aca="1" ref="BG56" ca="1">Notmerged(BG27)</f>
        <v>#NAME?</v>
      </c>
      <c r="BH56" s="128" t="e" cm="1">
        <f t="array" aca="1" ref="BH56" ca="1">Notmerged(BH27)</f>
        <v>#NAME?</v>
      </c>
      <c r="BI56" s="128" t="e" cm="1">
        <f t="array" aca="1" ref="BI56" ca="1">Notmerged(BI27)</f>
        <v>#NAME?</v>
      </c>
      <c r="BJ56" s="128" t="e" cm="1">
        <f t="array" aca="1" ref="BJ56" ca="1">Notmerged(BJ27)</f>
        <v>#NAME?</v>
      </c>
      <c r="BK56" s="128" t="e" cm="1">
        <f t="array" aca="1" ref="BK56" ca="1">Notmerged(BK27)</f>
        <v>#NAME?</v>
      </c>
    </row>
    <row r="57" spans="2:63" x14ac:dyDescent="0.3">
      <c r="B57" s="128" t="e" cm="1">
        <f t="array" aca="1" ref="B57" ca="1">Notmerged(B28)</f>
        <v>#NAME?</v>
      </c>
      <c r="C57" s="128" t="e" cm="1">
        <f t="array" aca="1" ref="C57" ca="1">Notmerged(C28)</f>
        <v>#NAME?</v>
      </c>
      <c r="D57" s="128" t="e" cm="1">
        <f t="array" aca="1" ref="D57" ca="1">Notmerged(D28)</f>
        <v>#NAME?</v>
      </c>
      <c r="E57" s="128" t="e" cm="1">
        <f t="array" aca="1" ref="E57" ca="1">Notmerged(E28)</f>
        <v>#NAME?</v>
      </c>
      <c r="F57" s="128" t="e" cm="1">
        <f t="array" aca="1" ref="F57" ca="1">Notmerged(F28)</f>
        <v>#NAME?</v>
      </c>
      <c r="G57" s="128" t="e" cm="1">
        <f t="array" aca="1" ref="G57" ca="1">Notmerged(G28)</f>
        <v>#NAME?</v>
      </c>
      <c r="H57" s="128" t="e" cm="1">
        <f t="array" aca="1" ref="H57" ca="1">Notmerged(H28)</f>
        <v>#NAME?</v>
      </c>
      <c r="I57" s="128" t="e" cm="1">
        <f t="array" aca="1" ref="I57" ca="1">Notmerged(I28)</f>
        <v>#NAME?</v>
      </c>
      <c r="J57" s="128" t="e" cm="1">
        <f t="array" aca="1" ref="J57" ca="1">Notmerged(J28)</f>
        <v>#NAME?</v>
      </c>
      <c r="K57" s="128" t="e" cm="1">
        <f t="array" aca="1" ref="K57" ca="1">Notmerged(K28)</f>
        <v>#NAME?</v>
      </c>
      <c r="L57" s="128" t="e" cm="1">
        <f t="array" aca="1" ref="L57" ca="1">Notmerged(L28)</f>
        <v>#NAME?</v>
      </c>
      <c r="M57" s="128" t="e" cm="1">
        <f t="array" aca="1" ref="M57" ca="1">Notmerged(M28)</f>
        <v>#NAME?</v>
      </c>
      <c r="N57" s="128" t="e" cm="1">
        <f t="array" aca="1" ref="N57" ca="1">Notmerged(N28)</f>
        <v>#NAME?</v>
      </c>
      <c r="O57" s="128" t="e" cm="1">
        <f t="array" aca="1" ref="O57" ca="1">Notmerged(O28)</f>
        <v>#NAME?</v>
      </c>
      <c r="P57" s="128" t="e" cm="1">
        <f t="array" aca="1" ref="P57" ca="1">Notmerged(P28)</f>
        <v>#NAME?</v>
      </c>
      <c r="Q57" s="128" t="e" cm="1">
        <f t="array" aca="1" ref="Q57" ca="1">Notmerged(Q28)</f>
        <v>#NAME?</v>
      </c>
      <c r="R57" s="128" t="e" cm="1">
        <f t="array" aca="1" ref="R57" ca="1">Notmerged(R28)</f>
        <v>#NAME?</v>
      </c>
      <c r="S57" s="128" t="e" cm="1">
        <f t="array" aca="1" ref="S57" ca="1">Notmerged(S28)</f>
        <v>#NAME?</v>
      </c>
      <c r="T57" s="128" t="e" cm="1">
        <f t="array" aca="1" ref="T57" ca="1">Notmerged(T28)</f>
        <v>#NAME?</v>
      </c>
      <c r="U57" s="128" t="e" cm="1">
        <f t="array" aca="1" ref="U57" ca="1">Notmerged(U28)</f>
        <v>#NAME?</v>
      </c>
      <c r="V57" s="128" t="e" cm="1">
        <f t="array" aca="1" ref="V57" ca="1">Notmerged(V28)</f>
        <v>#NAME?</v>
      </c>
      <c r="W57" s="128" t="e" cm="1">
        <f t="array" aca="1" ref="W57" ca="1">Notmerged(W28)</f>
        <v>#NAME?</v>
      </c>
      <c r="X57" s="128" t="e" cm="1">
        <f t="array" aca="1" ref="X57" ca="1">Notmerged(X28)</f>
        <v>#NAME?</v>
      </c>
      <c r="Y57" s="128" t="e" cm="1">
        <f t="array" aca="1" ref="Y57" ca="1">Notmerged(Y28)</f>
        <v>#NAME?</v>
      </c>
      <c r="Z57" s="128" t="e" cm="1">
        <f t="array" aca="1" ref="Z57" ca="1">Notmerged(Z28)</f>
        <v>#NAME?</v>
      </c>
      <c r="AA57" s="128" t="e" cm="1">
        <f t="array" aca="1" ref="AA57" ca="1">Notmerged(AA28)</f>
        <v>#NAME?</v>
      </c>
      <c r="AB57" s="128" t="e" cm="1">
        <f t="array" aca="1" ref="AB57" ca="1">Notmerged(AB28)</f>
        <v>#NAME?</v>
      </c>
      <c r="AC57" s="128" t="e" cm="1">
        <f t="array" aca="1" ref="AC57" ca="1">Notmerged(AC28)</f>
        <v>#NAME?</v>
      </c>
      <c r="AD57" s="128" t="e" cm="1">
        <f t="array" aca="1" ref="AD57" ca="1">Notmerged(AD28)</f>
        <v>#NAME?</v>
      </c>
      <c r="AE57" s="128" t="e" cm="1">
        <f t="array" aca="1" ref="AE57" ca="1">Notmerged(AE28)</f>
        <v>#NAME?</v>
      </c>
      <c r="AF57" s="128" t="e" cm="1">
        <f t="array" aca="1" ref="AF57" ca="1">Notmerged(AF28)</f>
        <v>#NAME?</v>
      </c>
      <c r="AG57" s="128" t="e" cm="1">
        <f t="array" aca="1" ref="AG57" ca="1">Notmerged(AG28)</f>
        <v>#NAME?</v>
      </c>
      <c r="AH57" s="128" t="e" cm="1">
        <f t="array" aca="1" ref="AH57" ca="1">Notmerged(AH28)</f>
        <v>#NAME?</v>
      </c>
      <c r="AI57" s="128" t="e" cm="1">
        <f t="array" aca="1" ref="AI57" ca="1">Notmerged(AI28)</f>
        <v>#NAME?</v>
      </c>
      <c r="AJ57" s="128" t="e" cm="1">
        <f t="array" aca="1" ref="AJ57" ca="1">Notmerged(AJ28)</f>
        <v>#NAME?</v>
      </c>
      <c r="AK57" s="128" t="e" cm="1">
        <f t="array" aca="1" ref="AK57" ca="1">Notmerged(AK28)</f>
        <v>#NAME?</v>
      </c>
      <c r="AL57" s="128" t="e" cm="1">
        <f t="array" aca="1" ref="AL57" ca="1">Notmerged(AL28)</f>
        <v>#NAME?</v>
      </c>
      <c r="AM57" s="128" t="e" cm="1">
        <f t="array" aca="1" ref="AM57" ca="1">Notmerged(AM28)</f>
        <v>#NAME?</v>
      </c>
      <c r="AN57" s="128" t="e" cm="1">
        <f t="array" aca="1" ref="AN57" ca="1">Notmerged(AN28)</f>
        <v>#NAME?</v>
      </c>
      <c r="AO57" s="128" t="e" cm="1">
        <f t="array" aca="1" ref="AO57" ca="1">Notmerged(AO28)</f>
        <v>#NAME?</v>
      </c>
      <c r="AP57" s="128" t="e" cm="1">
        <f t="array" aca="1" ref="AP57" ca="1">Notmerged(AP28)</f>
        <v>#NAME?</v>
      </c>
      <c r="AQ57" s="128" t="e" cm="1">
        <f t="array" aca="1" ref="AQ57" ca="1">Notmerged(AQ28)</f>
        <v>#NAME?</v>
      </c>
      <c r="AR57" s="128" t="e" cm="1">
        <f t="array" aca="1" ref="AR57" ca="1">Notmerged(AR28)</f>
        <v>#NAME?</v>
      </c>
      <c r="AS57" s="128" t="e" cm="1">
        <f t="array" aca="1" ref="AS57" ca="1">Notmerged(AS28)</f>
        <v>#NAME?</v>
      </c>
      <c r="AT57" s="128" t="e" cm="1">
        <f t="array" aca="1" ref="AT57" ca="1">Notmerged(AT28)</f>
        <v>#NAME?</v>
      </c>
      <c r="AU57" s="128" t="e" cm="1">
        <f t="array" aca="1" ref="AU57" ca="1">Notmerged(AU28)</f>
        <v>#NAME?</v>
      </c>
      <c r="AV57" s="128" t="e" cm="1">
        <f t="array" aca="1" ref="AV57" ca="1">Notmerged(AV28)</f>
        <v>#NAME?</v>
      </c>
      <c r="AW57" s="128" t="e" cm="1">
        <f t="array" aca="1" ref="AW57" ca="1">Notmerged(AW28)</f>
        <v>#NAME?</v>
      </c>
      <c r="AX57" s="128" t="e" cm="1">
        <f t="array" aca="1" ref="AX57" ca="1">Notmerged(AX28)</f>
        <v>#NAME?</v>
      </c>
      <c r="AY57" s="128" t="e" cm="1">
        <f t="array" aca="1" ref="AY57" ca="1">Notmerged(AY28)</f>
        <v>#NAME?</v>
      </c>
      <c r="AZ57" s="128" t="e" cm="1">
        <f t="array" aca="1" ref="AZ57" ca="1">Notmerged(AZ28)</f>
        <v>#NAME?</v>
      </c>
      <c r="BA57" s="128" t="e" cm="1">
        <f t="array" aca="1" ref="BA57" ca="1">Notmerged(BA28)</f>
        <v>#NAME?</v>
      </c>
      <c r="BB57" s="128" t="e" cm="1">
        <f t="array" aca="1" ref="BB57" ca="1">Notmerged(BB28)</f>
        <v>#NAME?</v>
      </c>
      <c r="BC57" s="128" t="e" cm="1">
        <f t="array" aca="1" ref="BC57" ca="1">Notmerged(BC28)</f>
        <v>#NAME?</v>
      </c>
      <c r="BD57" s="128" t="e" cm="1">
        <f t="array" aca="1" ref="BD57" ca="1">Notmerged(BD28)</f>
        <v>#NAME?</v>
      </c>
      <c r="BE57" s="128" t="e" cm="1">
        <f t="array" aca="1" ref="BE57" ca="1">Notmerged(BE28)</f>
        <v>#NAME?</v>
      </c>
      <c r="BF57" s="128" t="e" cm="1">
        <f t="array" aca="1" ref="BF57" ca="1">Notmerged(BF28)</f>
        <v>#NAME?</v>
      </c>
      <c r="BG57" s="128" t="e" cm="1">
        <f t="array" aca="1" ref="BG57" ca="1">Notmerged(BG28)</f>
        <v>#NAME?</v>
      </c>
      <c r="BH57" s="128" t="e" cm="1">
        <f t="array" aca="1" ref="BH57" ca="1">Notmerged(BH28)</f>
        <v>#NAME?</v>
      </c>
      <c r="BI57" s="128" t="e" cm="1">
        <f t="array" aca="1" ref="BI57" ca="1">Notmerged(BI28)</f>
        <v>#NAME?</v>
      </c>
      <c r="BJ57" s="128" t="e" cm="1">
        <f t="array" aca="1" ref="BJ57" ca="1">Notmerged(BJ28)</f>
        <v>#NAME?</v>
      </c>
      <c r="BK57" s="128" t="e" cm="1">
        <f t="array" aca="1" ref="BK57" ca="1">Notmerged(BK28)</f>
        <v>#NAME?</v>
      </c>
    </row>
    <row r="58" spans="2:63" x14ac:dyDescent="0.3">
      <c r="B58" s="128" t="e" cm="1">
        <f t="array" aca="1" ref="B58" ca="1">Notmerged(B29)</f>
        <v>#NAME?</v>
      </c>
      <c r="C58" s="128" t="e" cm="1">
        <f t="array" aca="1" ref="C58" ca="1">Notmerged(C29)</f>
        <v>#NAME?</v>
      </c>
      <c r="D58" s="128" t="e" cm="1">
        <f t="array" aca="1" ref="D58" ca="1">Notmerged(D29)</f>
        <v>#NAME?</v>
      </c>
      <c r="E58" s="128" t="e" cm="1">
        <f t="array" aca="1" ref="E58" ca="1">Notmerged(E29)</f>
        <v>#NAME?</v>
      </c>
      <c r="F58" s="128" t="e" cm="1">
        <f t="array" aca="1" ref="F58" ca="1">Notmerged(F29)</f>
        <v>#NAME?</v>
      </c>
      <c r="G58" s="128" t="e" cm="1">
        <f t="array" aca="1" ref="G58" ca="1">Notmerged(G29)</f>
        <v>#NAME?</v>
      </c>
      <c r="H58" s="128" t="e" cm="1">
        <f t="array" aca="1" ref="H58" ca="1">Notmerged(H29)</f>
        <v>#NAME?</v>
      </c>
      <c r="I58" s="128" t="e" cm="1">
        <f t="array" aca="1" ref="I58" ca="1">Notmerged(I29)</f>
        <v>#NAME?</v>
      </c>
      <c r="J58" s="128" t="e" cm="1">
        <f t="array" aca="1" ref="J58" ca="1">Notmerged(J29)</f>
        <v>#NAME?</v>
      </c>
      <c r="K58" s="128" t="e" cm="1">
        <f t="array" aca="1" ref="K58" ca="1">Notmerged(K29)</f>
        <v>#NAME?</v>
      </c>
      <c r="L58" s="128" t="e" cm="1">
        <f t="array" aca="1" ref="L58" ca="1">Notmerged(L29)</f>
        <v>#NAME?</v>
      </c>
      <c r="M58" s="128" t="e" cm="1">
        <f t="array" aca="1" ref="M58" ca="1">Notmerged(M29)</f>
        <v>#NAME?</v>
      </c>
      <c r="N58" s="128" t="e" cm="1">
        <f t="array" aca="1" ref="N58" ca="1">Notmerged(N29)</f>
        <v>#NAME?</v>
      </c>
      <c r="O58" s="128" t="e" cm="1">
        <f t="array" aca="1" ref="O58" ca="1">Notmerged(O29)</f>
        <v>#NAME?</v>
      </c>
      <c r="P58" s="128" t="e" cm="1">
        <f t="array" aca="1" ref="P58" ca="1">Notmerged(P29)</f>
        <v>#NAME?</v>
      </c>
      <c r="Q58" s="128" t="e" cm="1">
        <f t="array" aca="1" ref="Q58" ca="1">Notmerged(Q29)</f>
        <v>#NAME?</v>
      </c>
      <c r="R58" s="128" t="e" cm="1">
        <f t="array" aca="1" ref="R58" ca="1">Notmerged(R29)</f>
        <v>#NAME?</v>
      </c>
      <c r="S58" s="128" t="e" cm="1">
        <f t="array" aca="1" ref="S58" ca="1">Notmerged(S29)</f>
        <v>#NAME?</v>
      </c>
      <c r="T58" s="128" t="e" cm="1">
        <f t="array" aca="1" ref="T58" ca="1">Notmerged(T29)</f>
        <v>#NAME?</v>
      </c>
      <c r="U58" s="128" t="e" cm="1">
        <f t="array" aca="1" ref="U58" ca="1">Notmerged(U29)</f>
        <v>#NAME?</v>
      </c>
      <c r="V58" s="128" t="e" cm="1">
        <f t="array" aca="1" ref="V58" ca="1">Notmerged(V29)</f>
        <v>#NAME?</v>
      </c>
      <c r="W58" s="128" t="e" cm="1">
        <f t="array" aca="1" ref="W58" ca="1">Notmerged(W29)</f>
        <v>#NAME?</v>
      </c>
      <c r="X58" s="128" t="e" cm="1">
        <f t="array" aca="1" ref="X58" ca="1">Notmerged(X29)</f>
        <v>#NAME?</v>
      </c>
      <c r="Y58" s="128" t="e" cm="1">
        <f t="array" aca="1" ref="Y58" ca="1">Notmerged(Y29)</f>
        <v>#NAME?</v>
      </c>
      <c r="Z58" s="128" t="e" cm="1">
        <f t="array" aca="1" ref="Z58" ca="1">Notmerged(Z29)</f>
        <v>#NAME?</v>
      </c>
      <c r="AA58" s="128" t="e" cm="1">
        <f t="array" aca="1" ref="AA58" ca="1">Notmerged(AA29)</f>
        <v>#NAME?</v>
      </c>
      <c r="AB58" s="128" t="e" cm="1">
        <f t="array" aca="1" ref="AB58" ca="1">Notmerged(AB29)</f>
        <v>#NAME?</v>
      </c>
      <c r="AC58" s="128" t="e" cm="1">
        <f t="array" aca="1" ref="AC58" ca="1">Notmerged(AC29)</f>
        <v>#NAME?</v>
      </c>
      <c r="AD58" s="128" t="e" cm="1">
        <f t="array" aca="1" ref="AD58" ca="1">Notmerged(AD29)</f>
        <v>#NAME?</v>
      </c>
      <c r="AE58" s="128" t="e" cm="1">
        <f t="array" aca="1" ref="AE58" ca="1">Notmerged(AE29)</f>
        <v>#NAME?</v>
      </c>
      <c r="AF58" s="128" t="e" cm="1">
        <f t="array" aca="1" ref="AF58" ca="1">Notmerged(AF29)</f>
        <v>#NAME?</v>
      </c>
      <c r="AG58" s="128" t="e" cm="1">
        <f t="array" aca="1" ref="AG58" ca="1">Notmerged(AG29)</f>
        <v>#NAME?</v>
      </c>
      <c r="AH58" s="128" t="e" cm="1">
        <f t="array" aca="1" ref="AH58" ca="1">Notmerged(AH29)</f>
        <v>#NAME?</v>
      </c>
      <c r="AI58" s="128" t="e" cm="1">
        <f t="array" aca="1" ref="AI58" ca="1">Notmerged(AI29)</f>
        <v>#NAME?</v>
      </c>
      <c r="AJ58" s="128" t="e" cm="1">
        <f t="array" aca="1" ref="AJ58" ca="1">Notmerged(AJ29)</f>
        <v>#NAME?</v>
      </c>
      <c r="AK58" s="128" t="e" cm="1">
        <f t="array" aca="1" ref="AK58" ca="1">Notmerged(AK29)</f>
        <v>#NAME?</v>
      </c>
      <c r="AL58" s="128" t="e" cm="1">
        <f t="array" aca="1" ref="AL58" ca="1">Notmerged(AL29)</f>
        <v>#NAME?</v>
      </c>
      <c r="AM58" s="128" t="e" cm="1">
        <f t="array" aca="1" ref="AM58" ca="1">Notmerged(AM29)</f>
        <v>#NAME?</v>
      </c>
      <c r="AN58" s="128" t="e" cm="1">
        <f t="array" aca="1" ref="AN58" ca="1">Notmerged(AN29)</f>
        <v>#NAME?</v>
      </c>
      <c r="AO58" s="128" t="e" cm="1">
        <f t="array" aca="1" ref="AO58" ca="1">Notmerged(AO29)</f>
        <v>#NAME?</v>
      </c>
      <c r="AP58" s="128" t="e" cm="1">
        <f t="array" aca="1" ref="AP58" ca="1">Notmerged(AP29)</f>
        <v>#NAME?</v>
      </c>
      <c r="AQ58" s="128" t="e" cm="1">
        <f t="array" aca="1" ref="AQ58" ca="1">Notmerged(AQ29)</f>
        <v>#NAME?</v>
      </c>
      <c r="AR58" s="128" t="e" cm="1">
        <f t="array" aca="1" ref="AR58" ca="1">Notmerged(AR29)</f>
        <v>#NAME?</v>
      </c>
      <c r="AS58" s="128" t="e" cm="1">
        <f t="array" aca="1" ref="AS58" ca="1">Notmerged(AS29)</f>
        <v>#NAME?</v>
      </c>
      <c r="AT58" s="128" t="e" cm="1">
        <f t="array" aca="1" ref="AT58" ca="1">Notmerged(AT29)</f>
        <v>#NAME?</v>
      </c>
      <c r="AU58" s="128" t="e" cm="1">
        <f t="array" aca="1" ref="AU58" ca="1">Notmerged(AU29)</f>
        <v>#NAME?</v>
      </c>
      <c r="AV58" s="128" t="e" cm="1">
        <f t="array" aca="1" ref="AV58" ca="1">Notmerged(AV29)</f>
        <v>#NAME?</v>
      </c>
      <c r="AW58" s="128" t="e" cm="1">
        <f t="array" aca="1" ref="AW58" ca="1">Notmerged(AW29)</f>
        <v>#NAME?</v>
      </c>
      <c r="AX58" s="128" t="e" cm="1">
        <f t="array" aca="1" ref="AX58" ca="1">Notmerged(AX29)</f>
        <v>#NAME?</v>
      </c>
      <c r="AY58" s="128" t="e" cm="1">
        <f t="array" aca="1" ref="AY58" ca="1">Notmerged(AY29)</f>
        <v>#NAME?</v>
      </c>
      <c r="AZ58" s="128" t="e" cm="1">
        <f t="array" aca="1" ref="AZ58" ca="1">Notmerged(AZ29)</f>
        <v>#NAME?</v>
      </c>
      <c r="BA58" s="128" t="e" cm="1">
        <f t="array" aca="1" ref="BA58" ca="1">Notmerged(BA29)</f>
        <v>#NAME?</v>
      </c>
      <c r="BB58" s="128" t="e" cm="1">
        <f t="array" aca="1" ref="BB58" ca="1">Notmerged(BB29)</f>
        <v>#NAME?</v>
      </c>
      <c r="BC58" s="128" t="e" cm="1">
        <f t="array" aca="1" ref="BC58" ca="1">Notmerged(BC29)</f>
        <v>#NAME?</v>
      </c>
      <c r="BD58" s="128" t="e" cm="1">
        <f t="array" aca="1" ref="BD58" ca="1">Notmerged(BD29)</f>
        <v>#NAME?</v>
      </c>
      <c r="BE58" s="128" t="e" cm="1">
        <f t="array" aca="1" ref="BE58" ca="1">Notmerged(BE29)</f>
        <v>#NAME?</v>
      </c>
      <c r="BF58" s="128" t="e" cm="1">
        <f t="array" aca="1" ref="BF58" ca="1">Notmerged(BF29)</f>
        <v>#NAME?</v>
      </c>
      <c r="BG58" s="128" t="e" cm="1">
        <f t="array" aca="1" ref="BG58" ca="1">Notmerged(BG29)</f>
        <v>#NAME?</v>
      </c>
      <c r="BH58" s="128" t="e" cm="1">
        <f t="array" aca="1" ref="BH58" ca="1">Notmerged(BH29)</f>
        <v>#NAME?</v>
      </c>
      <c r="BI58" s="128" t="e" cm="1">
        <f t="array" aca="1" ref="BI58" ca="1">Notmerged(BI29)</f>
        <v>#NAME?</v>
      </c>
      <c r="BJ58" s="128" t="e" cm="1">
        <f t="array" aca="1" ref="BJ58" ca="1">Notmerged(BJ29)</f>
        <v>#NAME?</v>
      </c>
      <c r="BK58" s="128" t="e" cm="1">
        <f t="array" aca="1" ref="BK58" ca="1">Notmerged(BK29)</f>
        <v>#NAME?</v>
      </c>
    </row>
    <row r="59" spans="2:63" x14ac:dyDescent="0.3">
      <c r="B59" s="128" t="e" cm="1">
        <f t="array" aca="1" ref="B59" ca="1">Notmerged(B30)</f>
        <v>#NAME?</v>
      </c>
      <c r="C59" s="128" t="e" cm="1">
        <f t="array" aca="1" ref="C59" ca="1">Notmerged(C30)</f>
        <v>#NAME?</v>
      </c>
      <c r="D59" s="128" t="e" cm="1">
        <f t="array" aca="1" ref="D59" ca="1">Notmerged(D30)</f>
        <v>#NAME?</v>
      </c>
      <c r="E59" s="128" t="e" cm="1">
        <f t="array" aca="1" ref="E59" ca="1">Notmerged(E30)</f>
        <v>#NAME?</v>
      </c>
      <c r="F59" s="128" t="e" cm="1">
        <f t="array" aca="1" ref="F59" ca="1">Notmerged(F30)</f>
        <v>#NAME?</v>
      </c>
      <c r="G59" s="128" t="e" cm="1">
        <f t="array" aca="1" ref="G59" ca="1">Notmerged(G30)</f>
        <v>#NAME?</v>
      </c>
      <c r="H59" s="128" t="e" cm="1">
        <f t="array" aca="1" ref="H59" ca="1">Notmerged(H30)</f>
        <v>#NAME?</v>
      </c>
      <c r="I59" s="128" t="e" cm="1">
        <f t="array" aca="1" ref="I59" ca="1">Notmerged(I30)</f>
        <v>#NAME?</v>
      </c>
      <c r="J59" s="128" t="e" cm="1">
        <f t="array" aca="1" ref="J59" ca="1">Notmerged(J30)</f>
        <v>#NAME?</v>
      </c>
      <c r="K59" s="128" t="e" cm="1">
        <f t="array" aca="1" ref="K59" ca="1">Notmerged(K30)</f>
        <v>#NAME?</v>
      </c>
      <c r="L59" s="128" t="e" cm="1">
        <f t="array" aca="1" ref="L59" ca="1">Notmerged(L30)</f>
        <v>#NAME?</v>
      </c>
      <c r="M59" s="128" t="e" cm="1">
        <f t="array" aca="1" ref="M59" ca="1">Notmerged(M30)</f>
        <v>#NAME?</v>
      </c>
      <c r="N59" s="128" t="e" cm="1">
        <f t="array" aca="1" ref="N59" ca="1">Notmerged(N30)</f>
        <v>#NAME?</v>
      </c>
      <c r="O59" s="128" t="e" cm="1">
        <f t="array" aca="1" ref="O59" ca="1">Notmerged(O30)</f>
        <v>#NAME?</v>
      </c>
      <c r="P59" s="128" t="e" cm="1">
        <f t="array" aca="1" ref="P59" ca="1">Notmerged(P30)</f>
        <v>#NAME?</v>
      </c>
      <c r="Q59" s="128" t="e" cm="1">
        <f t="array" aca="1" ref="Q59" ca="1">Notmerged(Q30)</f>
        <v>#NAME?</v>
      </c>
      <c r="R59" s="128" t="e" cm="1">
        <f t="array" aca="1" ref="R59" ca="1">Notmerged(R30)</f>
        <v>#NAME?</v>
      </c>
      <c r="S59" s="128" t="e" cm="1">
        <f t="array" aca="1" ref="S59" ca="1">Notmerged(S30)</f>
        <v>#NAME?</v>
      </c>
      <c r="T59" s="128" t="e" cm="1">
        <f t="array" aca="1" ref="T59" ca="1">Notmerged(T30)</f>
        <v>#NAME?</v>
      </c>
      <c r="U59" s="128" t="e" cm="1">
        <f t="array" aca="1" ref="U59" ca="1">Notmerged(U30)</f>
        <v>#NAME?</v>
      </c>
      <c r="V59" s="128" t="e" cm="1">
        <f t="array" aca="1" ref="V59" ca="1">Notmerged(V30)</f>
        <v>#NAME?</v>
      </c>
      <c r="W59" s="128" t="e" cm="1">
        <f t="array" aca="1" ref="W59" ca="1">Notmerged(W30)</f>
        <v>#NAME?</v>
      </c>
      <c r="X59" s="128" t="e" cm="1">
        <f t="array" aca="1" ref="X59" ca="1">Notmerged(X30)</f>
        <v>#NAME?</v>
      </c>
      <c r="Y59" s="128" t="e" cm="1">
        <f t="array" aca="1" ref="Y59" ca="1">Notmerged(Y30)</f>
        <v>#NAME?</v>
      </c>
      <c r="Z59" s="128" t="e" cm="1">
        <f t="array" aca="1" ref="Z59" ca="1">Notmerged(Z30)</f>
        <v>#NAME?</v>
      </c>
      <c r="AA59" s="128" t="e" cm="1">
        <f t="array" aca="1" ref="AA59" ca="1">Notmerged(AA30)</f>
        <v>#NAME?</v>
      </c>
      <c r="AB59" s="128" t="e" cm="1">
        <f t="array" aca="1" ref="AB59" ca="1">Notmerged(AB30)</f>
        <v>#NAME?</v>
      </c>
      <c r="AC59" s="128" t="e" cm="1">
        <f t="array" aca="1" ref="AC59" ca="1">Notmerged(AC30)</f>
        <v>#NAME?</v>
      </c>
      <c r="AD59" s="128" t="e" cm="1">
        <f t="array" aca="1" ref="AD59" ca="1">Notmerged(AD30)</f>
        <v>#NAME?</v>
      </c>
      <c r="AE59" s="128" t="e" cm="1">
        <f t="array" aca="1" ref="AE59" ca="1">Notmerged(AE30)</f>
        <v>#NAME?</v>
      </c>
      <c r="AF59" s="128" t="e" cm="1">
        <f t="array" aca="1" ref="AF59" ca="1">Notmerged(AF30)</f>
        <v>#NAME?</v>
      </c>
      <c r="AG59" s="128" t="e" cm="1">
        <f t="array" aca="1" ref="AG59" ca="1">Notmerged(AG30)</f>
        <v>#NAME?</v>
      </c>
      <c r="AH59" s="128" t="e" cm="1">
        <f t="array" aca="1" ref="AH59" ca="1">Notmerged(AH30)</f>
        <v>#NAME?</v>
      </c>
      <c r="AI59" s="128" t="e" cm="1">
        <f t="array" aca="1" ref="AI59" ca="1">Notmerged(AI30)</f>
        <v>#NAME?</v>
      </c>
      <c r="AJ59" s="128" t="e" cm="1">
        <f t="array" aca="1" ref="AJ59" ca="1">Notmerged(AJ30)</f>
        <v>#NAME?</v>
      </c>
      <c r="AK59" s="128" t="e" cm="1">
        <f t="array" aca="1" ref="AK59" ca="1">Notmerged(AK30)</f>
        <v>#NAME?</v>
      </c>
      <c r="AL59" s="128" t="e" cm="1">
        <f t="array" aca="1" ref="AL59" ca="1">Notmerged(AL30)</f>
        <v>#NAME?</v>
      </c>
      <c r="AM59" s="128" t="e" cm="1">
        <f t="array" aca="1" ref="AM59" ca="1">Notmerged(AM30)</f>
        <v>#NAME?</v>
      </c>
      <c r="AN59" s="128" t="e" cm="1">
        <f t="array" aca="1" ref="AN59" ca="1">Notmerged(AN30)</f>
        <v>#NAME?</v>
      </c>
      <c r="AO59" s="128" t="e" cm="1">
        <f t="array" aca="1" ref="AO59" ca="1">Notmerged(AO30)</f>
        <v>#NAME?</v>
      </c>
      <c r="AP59" s="128" t="e" cm="1">
        <f t="array" aca="1" ref="AP59" ca="1">Notmerged(AP30)</f>
        <v>#NAME?</v>
      </c>
      <c r="AQ59" s="128" t="e" cm="1">
        <f t="array" aca="1" ref="AQ59" ca="1">Notmerged(AQ30)</f>
        <v>#NAME?</v>
      </c>
      <c r="AR59" s="128" t="e" cm="1">
        <f t="array" aca="1" ref="AR59" ca="1">Notmerged(AR30)</f>
        <v>#NAME?</v>
      </c>
      <c r="AS59" s="128" t="e" cm="1">
        <f t="array" aca="1" ref="AS59" ca="1">Notmerged(AS30)</f>
        <v>#NAME?</v>
      </c>
      <c r="AT59" s="128" t="e" cm="1">
        <f t="array" aca="1" ref="AT59" ca="1">Notmerged(AT30)</f>
        <v>#NAME?</v>
      </c>
      <c r="AU59" s="128" t="e" cm="1">
        <f t="array" aca="1" ref="AU59" ca="1">Notmerged(AU30)</f>
        <v>#NAME?</v>
      </c>
      <c r="AV59" s="128" t="e" cm="1">
        <f t="array" aca="1" ref="AV59" ca="1">Notmerged(AV30)</f>
        <v>#NAME?</v>
      </c>
      <c r="AW59" s="128" t="e" cm="1">
        <f t="array" aca="1" ref="AW59" ca="1">Notmerged(AW30)</f>
        <v>#NAME?</v>
      </c>
      <c r="AX59" s="128" t="e" cm="1">
        <f t="array" aca="1" ref="AX59" ca="1">Notmerged(AX30)</f>
        <v>#NAME?</v>
      </c>
      <c r="AY59" s="128" t="e" cm="1">
        <f t="array" aca="1" ref="AY59" ca="1">Notmerged(AY30)</f>
        <v>#NAME?</v>
      </c>
      <c r="AZ59" s="128" t="e" cm="1">
        <f t="array" aca="1" ref="AZ59" ca="1">Notmerged(AZ30)</f>
        <v>#NAME?</v>
      </c>
      <c r="BA59" s="128" t="e" cm="1">
        <f t="array" aca="1" ref="BA59" ca="1">Notmerged(BA30)</f>
        <v>#NAME?</v>
      </c>
      <c r="BB59" s="128" t="e" cm="1">
        <f t="array" aca="1" ref="BB59" ca="1">Notmerged(BB30)</f>
        <v>#NAME?</v>
      </c>
      <c r="BC59" s="128" t="e" cm="1">
        <f t="array" aca="1" ref="BC59" ca="1">Notmerged(BC30)</f>
        <v>#NAME?</v>
      </c>
      <c r="BD59" s="128" t="e" cm="1">
        <f t="array" aca="1" ref="BD59" ca="1">Notmerged(BD30)</f>
        <v>#NAME?</v>
      </c>
      <c r="BE59" s="128" t="e" cm="1">
        <f t="array" aca="1" ref="BE59" ca="1">Notmerged(BE30)</f>
        <v>#NAME?</v>
      </c>
      <c r="BF59" s="128" t="e" cm="1">
        <f t="array" aca="1" ref="BF59" ca="1">Notmerged(BF30)</f>
        <v>#NAME?</v>
      </c>
      <c r="BG59" s="128" t="e" cm="1">
        <f t="array" aca="1" ref="BG59" ca="1">Notmerged(BG30)</f>
        <v>#NAME?</v>
      </c>
      <c r="BH59" s="128" t="e" cm="1">
        <f t="array" aca="1" ref="BH59" ca="1">Notmerged(BH30)</f>
        <v>#NAME?</v>
      </c>
      <c r="BI59" s="128" t="e" cm="1">
        <f t="array" aca="1" ref="BI59" ca="1">Notmerged(BI30)</f>
        <v>#NAME?</v>
      </c>
      <c r="BJ59" s="128" t="e" cm="1">
        <f t="array" aca="1" ref="BJ59" ca="1">Notmerged(BJ30)</f>
        <v>#NAME?</v>
      </c>
      <c r="BK59" s="128" t="e" cm="1">
        <f t="array" aca="1" ref="BK59" ca="1">Notmerged(BK30)</f>
        <v>#NAME?</v>
      </c>
    </row>
    <row r="60" spans="2:63" x14ac:dyDescent="0.3">
      <c r="B60" s="128" t="e" cm="1">
        <f t="array" aca="1" ref="B60" ca="1">Notmerged(B31)</f>
        <v>#NAME?</v>
      </c>
      <c r="C60" s="128" t="e" cm="1">
        <f t="array" aca="1" ref="C60" ca="1">Notmerged(C31)</f>
        <v>#NAME?</v>
      </c>
      <c r="D60" s="128" t="e" cm="1">
        <f t="array" aca="1" ref="D60" ca="1">Notmerged(D31)</f>
        <v>#NAME?</v>
      </c>
      <c r="E60" s="128" t="e" cm="1">
        <f t="array" aca="1" ref="E60" ca="1">Notmerged(E31)</f>
        <v>#NAME?</v>
      </c>
      <c r="F60" s="128" t="e" cm="1">
        <f t="array" aca="1" ref="F60" ca="1">Notmerged(F31)</f>
        <v>#NAME?</v>
      </c>
      <c r="G60" s="128" t="e" cm="1">
        <f t="array" aca="1" ref="G60" ca="1">Notmerged(G31)</f>
        <v>#NAME?</v>
      </c>
      <c r="H60" s="128" t="e" cm="1">
        <f t="array" aca="1" ref="H60" ca="1">Notmerged(H31)</f>
        <v>#NAME?</v>
      </c>
      <c r="I60" s="128" t="e" cm="1">
        <f t="array" aca="1" ref="I60" ca="1">Notmerged(I31)</f>
        <v>#NAME?</v>
      </c>
      <c r="J60" s="128" t="e" cm="1">
        <f t="array" aca="1" ref="J60" ca="1">Notmerged(J31)</f>
        <v>#NAME?</v>
      </c>
      <c r="K60" s="128" t="e" cm="1">
        <f t="array" aca="1" ref="K60" ca="1">Notmerged(K31)</f>
        <v>#NAME?</v>
      </c>
      <c r="L60" s="128" t="e" cm="1">
        <f t="array" aca="1" ref="L60" ca="1">Notmerged(L31)</f>
        <v>#NAME?</v>
      </c>
      <c r="M60" s="128" t="e" cm="1">
        <f t="array" aca="1" ref="M60" ca="1">Notmerged(M31)</f>
        <v>#NAME?</v>
      </c>
      <c r="N60" s="128" t="e" cm="1">
        <f t="array" aca="1" ref="N60" ca="1">Notmerged(N31)</f>
        <v>#NAME?</v>
      </c>
      <c r="O60" s="128" t="e" cm="1">
        <f t="array" aca="1" ref="O60" ca="1">Notmerged(O31)</f>
        <v>#NAME?</v>
      </c>
      <c r="P60" s="128" t="e" cm="1">
        <f t="array" aca="1" ref="P60" ca="1">Notmerged(P31)</f>
        <v>#NAME?</v>
      </c>
      <c r="Q60" s="128" t="e" cm="1">
        <f t="array" aca="1" ref="Q60" ca="1">Notmerged(Q31)</f>
        <v>#NAME?</v>
      </c>
      <c r="R60" s="128" t="e" cm="1">
        <f t="array" aca="1" ref="R60" ca="1">Notmerged(R31)</f>
        <v>#NAME?</v>
      </c>
      <c r="S60" s="128" t="e" cm="1">
        <f t="array" aca="1" ref="S60" ca="1">Notmerged(S31)</f>
        <v>#NAME?</v>
      </c>
      <c r="T60" s="128" t="e" cm="1">
        <f t="array" aca="1" ref="T60" ca="1">Notmerged(T31)</f>
        <v>#NAME?</v>
      </c>
      <c r="U60" s="128" t="e" cm="1">
        <f t="array" aca="1" ref="U60" ca="1">Notmerged(U31)</f>
        <v>#NAME?</v>
      </c>
      <c r="V60" s="128" t="e" cm="1">
        <f t="array" aca="1" ref="V60" ca="1">Notmerged(V31)</f>
        <v>#NAME?</v>
      </c>
      <c r="W60" s="128" t="e" cm="1">
        <f t="array" aca="1" ref="W60" ca="1">Notmerged(W31)</f>
        <v>#NAME?</v>
      </c>
      <c r="X60" s="128" t="e" cm="1">
        <f t="array" aca="1" ref="X60" ca="1">Notmerged(X31)</f>
        <v>#NAME?</v>
      </c>
      <c r="Y60" s="128" t="e" cm="1">
        <f t="array" aca="1" ref="Y60" ca="1">Notmerged(Y31)</f>
        <v>#NAME?</v>
      </c>
      <c r="Z60" s="128" t="e" cm="1">
        <f t="array" aca="1" ref="Z60" ca="1">Notmerged(Z31)</f>
        <v>#NAME?</v>
      </c>
      <c r="AA60" s="128" t="e" cm="1">
        <f t="array" aca="1" ref="AA60" ca="1">Notmerged(AA31)</f>
        <v>#NAME?</v>
      </c>
      <c r="AB60" s="128" t="e" cm="1">
        <f t="array" aca="1" ref="AB60" ca="1">Notmerged(AB31)</f>
        <v>#NAME?</v>
      </c>
      <c r="AC60" s="128" t="e" cm="1">
        <f t="array" aca="1" ref="AC60" ca="1">Notmerged(AC31)</f>
        <v>#NAME?</v>
      </c>
      <c r="AD60" s="128" t="e" cm="1">
        <f t="array" aca="1" ref="AD60" ca="1">Notmerged(AD31)</f>
        <v>#NAME?</v>
      </c>
      <c r="AE60" s="128" t="e" cm="1">
        <f t="array" aca="1" ref="AE60" ca="1">Notmerged(AE31)</f>
        <v>#NAME?</v>
      </c>
      <c r="AF60" s="128" t="e" cm="1">
        <f t="array" aca="1" ref="AF60" ca="1">Notmerged(AF31)</f>
        <v>#NAME?</v>
      </c>
      <c r="AG60" s="128" t="e" cm="1">
        <f t="array" aca="1" ref="AG60" ca="1">Notmerged(AG31)</f>
        <v>#NAME?</v>
      </c>
      <c r="AH60" s="128" t="e" cm="1">
        <f t="array" aca="1" ref="AH60" ca="1">Notmerged(AH31)</f>
        <v>#NAME?</v>
      </c>
      <c r="AI60" s="128" t="e" cm="1">
        <f t="array" aca="1" ref="AI60" ca="1">Notmerged(AI31)</f>
        <v>#NAME?</v>
      </c>
      <c r="AJ60" s="128" t="e" cm="1">
        <f t="array" aca="1" ref="AJ60" ca="1">Notmerged(AJ31)</f>
        <v>#NAME?</v>
      </c>
      <c r="AK60" s="128" t="e" cm="1">
        <f t="array" aca="1" ref="AK60" ca="1">Notmerged(AK31)</f>
        <v>#NAME?</v>
      </c>
      <c r="AL60" s="128" t="e" cm="1">
        <f t="array" aca="1" ref="AL60" ca="1">Notmerged(AL31)</f>
        <v>#NAME?</v>
      </c>
      <c r="AM60" s="128" t="e" cm="1">
        <f t="array" aca="1" ref="AM60" ca="1">Notmerged(AM31)</f>
        <v>#NAME?</v>
      </c>
      <c r="AN60" s="128" t="e" cm="1">
        <f t="array" aca="1" ref="AN60" ca="1">Notmerged(AN31)</f>
        <v>#NAME?</v>
      </c>
      <c r="AO60" s="128" t="e" cm="1">
        <f t="array" aca="1" ref="AO60" ca="1">Notmerged(AO31)</f>
        <v>#NAME?</v>
      </c>
      <c r="AP60" s="128" t="e" cm="1">
        <f t="array" aca="1" ref="AP60" ca="1">Notmerged(AP31)</f>
        <v>#NAME?</v>
      </c>
      <c r="AQ60" s="128" t="e" cm="1">
        <f t="array" aca="1" ref="AQ60" ca="1">Notmerged(AQ31)</f>
        <v>#NAME?</v>
      </c>
      <c r="AR60" s="128" t="e" cm="1">
        <f t="array" aca="1" ref="AR60" ca="1">Notmerged(AR31)</f>
        <v>#NAME?</v>
      </c>
      <c r="AS60" s="128" t="e" cm="1">
        <f t="array" aca="1" ref="AS60" ca="1">Notmerged(AS31)</f>
        <v>#NAME?</v>
      </c>
      <c r="AT60" s="128" t="e" cm="1">
        <f t="array" aca="1" ref="AT60" ca="1">Notmerged(AT31)</f>
        <v>#NAME?</v>
      </c>
      <c r="AU60" s="128" t="e" cm="1">
        <f t="array" aca="1" ref="AU60" ca="1">Notmerged(AU31)</f>
        <v>#NAME?</v>
      </c>
      <c r="AV60" s="128" t="e" cm="1">
        <f t="array" aca="1" ref="AV60" ca="1">Notmerged(AV31)</f>
        <v>#NAME?</v>
      </c>
      <c r="AW60" s="128" t="e" cm="1">
        <f t="array" aca="1" ref="AW60" ca="1">Notmerged(AW31)</f>
        <v>#NAME?</v>
      </c>
      <c r="AX60" s="128" t="e" cm="1">
        <f t="array" aca="1" ref="AX60" ca="1">Notmerged(AX31)</f>
        <v>#NAME?</v>
      </c>
      <c r="AY60" s="128" t="e" cm="1">
        <f t="array" aca="1" ref="AY60" ca="1">Notmerged(AY31)</f>
        <v>#NAME?</v>
      </c>
      <c r="AZ60" s="128" t="e" cm="1">
        <f t="array" aca="1" ref="AZ60" ca="1">Notmerged(AZ31)</f>
        <v>#NAME?</v>
      </c>
      <c r="BA60" s="128" t="e" cm="1">
        <f t="array" aca="1" ref="BA60" ca="1">Notmerged(BA31)</f>
        <v>#NAME?</v>
      </c>
      <c r="BB60" s="128" t="e" cm="1">
        <f t="array" aca="1" ref="BB60" ca="1">Notmerged(BB31)</f>
        <v>#NAME?</v>
      </c>
      <c r="BC60" s="128" t="e" cm="1">
        <f t="array" aca="1" ref="BC60" ca="1">Notmerged(BC31)</f>
        <v>#NAME?</v>
      </c>
      <c r="BD60" s="128" t="e" cm="1">
        <f t="array" aca="1" ref="BD60" ca="1">Notmerged(BD31)</f>
        <v>#NAME?</v>
      </c>
      <c r="BE60" s="128" t="e" cm="1">
        <f t="array" aca="1" ref="BE60" ca="1">Notmerged(BE31)</f>
        <v>#NAME?</v>
      </c>
      <c r="BF60" s="128" t="e" cm="1">
        <f t="array" aca="1" ref="BF60" ca="1">Notmerged(BF31)</f>
        <v>#NAME?</v>
      </c>
      <c r="BG60" s="128" t="e" cm="1">
        <f t="array" aca="1" ref="BG60" ca="1">Notmerged(BG31)</f>
        <v>#NAME?</v>
      </c>
      <c r="BH60" s="128" t="e" cm="1">
        <f t="array" aca="1" ref="BH60" ca="1">Notmerged(BH31)</f>
        <v>#NAME?</v>
      </c>
      <c r="BI60" s="128" t="e" cm="1">
        <f t="array" aca="1" ref="BI60" ca="1">Notmerged(BI31)</f>
        <v>#NAME?</v>
      </c>
      <c r="BJ60" s="128" t="e" cm="1">
        <f t="array" aca="1" ref="BJ60" ca="1">Notmerged(BJ31)</f>
        <v>#NAME?</v>
      </c>
      <c r="BK60" s="128" t="e" cm="1">
        <f t="array" aca="1" ref="BK60" ca="1">Notmerged(BK31)</f>
        <v>#NAME?</v>
      </c>
    </row>
  </sheetData>
  <sheetProtection algorithmName="SHA-512" hashValue="da+iGgSVZZ5II7ChqJQCKZVLpxN0zzcRGiCXbaiRI6lmh00MUywTUkjEsbPNY4SUS96np+D3dwgB78YebPohUw==" saltValue="/eKuEhRaxP4KP3tvHGLlCg==" spinCount="100000" sheet="1" objects="1" scenarios="1" formatCells="0"/>
  <mergeCells count="171">
    <mergeCell ref="AM4:AM9"/>
    <mergeCell ref="AM13:AM18"/>
    <mergeCell ref="AM19:AM24"/>
    <mergeCell ref="AN4:AN9"/>
    <mergeCell ref="AN13:AN18"/>
    <mergeCell ref="AN19:AN24"/>
    <mergeCell ref="AO4:AO9"/>
    <mergeCell ref="AO13:AO18"/>
    <mergeCell ref="AO19:AO24"/>
    <mergeCell ref="AJ4:AJ9"/>
    <mergeCell ref="AJ13:AJ18"/>
    <mergeCell ref="AJ19:AJ24"/>
    <mergeCell ref="AK4:AK9"/>
    <mergeCell ref="AK13:AK18"/>
    <mergeCell ref="AK19:AK24"/>
    <mergeCell ref="AL4:AL9"/>
    <mergeCell ref="AL13:AL18"/>
    <mergeCell ref="AL19:AL24"/>
    <mergeCell ref="AG4:AG9"/>
    <mergeCell ref="AG10:AG15"/>
    <mergeCell ref="AG16:AG21"/>
    <mergeCell ref="AH4:AH9"/>
    <mergeCell ref="AH13:AH18"/>
    <mergeCell ref="AH19:AH24"/>
    <mergeCell ref="AI4:AI9"/>
    <mergeCell ref="AI13:AI18"/>
    <mergeCell ref="AI19:AI24"/>
    <mergeCell ref="BD4:BD9"/>
    <mergeCell ref="BD13:BD18"/>
    <mergeCell ref="BD19:BD24"/>
    <mergeCell ref="BE13:BE18"/>
    <mergeCell ref="BB4:BB9"/>
    <mergeCell ref="BB11:BB16"/>
    <mergeCell ref="BB19:BB24"/>
    <mergeCell ref="BC4:BC9"/>
    <mergeCell ref="BC10:BC15"/>
    <mergeCell ref="BC19:BC24"/>
    <mergeCell ref="AZ4:AZ9"/>
    <mergeCell ref="AZ10:AZ15"/>
    <mergeCell ref="AZ16:AZ21"/>
    <mergeCell ref="AZ22:AZ27"/>
    <mergeCell ref="BA10:BA15"/>
    <mergeCell ref="BA16:BA21"/>
    <mergeCell ref="BA22:BA27"/>
    <mergeCell ref="AX16:AX21"/>
    <mergeCell ref="AX22:AX27"/>
    <mergeCell ref="AX4:AX9"/>
    <mergeCell ref="AX10:AX12"/>
    <mergeCell ref="AY4:AY9"/>
    <mergeCell ref="AY10:AY15"/>
    <mergeCell ref="AY16:AY21"/>
    <mergeCell ref="AY22:AY27"/>
    <mergeCell ref="AW10:AW15"/>
    <mergeCell ref="AW16:AW21"/>
    <mergeCell ref="AW22:AW27"/>
    <mergeCell ref="U4:U9"/>
    <mergeCell ref="U11:U16"/>
    <mergeCell ref="U19:U24"/>
    <mergeCell ref="AU7:AU8"/>
    <mergeCell ref="AU10:AU13"/>
    <mergeCell ref="AU16:AU21"/>
    <mergeCell ref="AB4:AB9"/>
    <mergeCell ref="AB10:AB15"/>
    <mergeCell ref="AB16:AB21"/>
    <mergeCell ref="AC4:AC9"/>
    <mergeCell ref="AC13:AC18"/>
    <mergeCell ref="AC21:AC26"/>
    <mergeCell ref="AD7:AD12"/>
    <mergeCell ref="AD13:AD18"/>
    <mergeCell ref="AD19:AD24"/>
    <mergeCell ref="AE4:AE9"/>
    <mergeCell ref="AE13:AE18"/>
    <mergeCell ref="AE19:AE24"/>
    <mergeCell ref="AF4:AF9"/>
    <mergeCell ref="AF13:AF18"/>
    <mergeCell ref="AF19:AF24"/>
    <mergeCell ref="S4:S9"/>
    <mergeCell ref="S10:S13"/>
    <mergeCell ref="S14:S19"/>
    <mergeCell ref="S20:S25"/>
    <mergeCell ref="T4:T9"/>
    <mergeCell ref="T10:T15"/>
    <mergeCell ref="T16:T21"/>
    <mergeCell ref="T22:T27"/>
    <mergeCell ref="Q4:Q9"/>
    <mergeCell ref="Q10:Q15"/>
    <mergeCell ref="Q18:Q23"/>
    <mergeCell ref="R4:R9"/>
    <mergeCell ref="R11:R16"/>
    <mergeCell ref="R20:R25"/>
    <mergeCell ref="O4:O9"/>
    <mergeCell ref="O11:O16"/>
    <mergeCell ref="O17:O22"/>
    <mergeCell ref="P4:P9"/>
    <mergeCell ref="P11:P16"/>
    <mergeCell ref="N4:N9"/>
    <mergeCell ref="N10:N11"/>
    <mergeCell ref="N13:N14"/>
    <mergeCell ref="N15:N20"/>
    <mergeCell ref="N21:N26"/>
    <mergeCell ref="M7:M12"/>
    <mergeCell ref="M13:M18"/>
    <mergeCell ref="M19:M24"/>
    <mergeCell ref="F7:F12"/>
    <mergeCell ref="F13:F18"/>
    <mergeCell ref="F19:F24"/>
    <mergeCell ref="L4:L9"/>
    <mergeCell ref="L10:L11"/>
    <mergeCell ref="L12:L17"/>
    <mergeCell ref="L19:L24"/>
    <mergeCell ref="K4:K9"/>
    <mergeCell ref="K13:K18"/>
    <mergeCell ref="K19:K24"/>
    <mergeCell ref="K11:K12"/>
    <mergeCell ref="I4:I9"/>
    <mergeCell ref="I10:I15"/>
    <mergeCell ref="I16:I21"/>
    <mergeCell ref="J4:J9"/>
    <mergeCell ref="J11:J16"/>
    <mergeCell ref="J18:J21"/>
    <mergeCell ref="D18:D21"/>
    <mergeCell ref="D22:D23"/>
    <mergeCell ref="E4:E9"/>
    <mergeCell ref="E10:E13"/>
    <mergeCell ref="E14:E17"/>
    <mergeCell ref="E19:E24"/>
    <mergeCell ref="H4:H9"/>
    <mergeCell ref="H13:H18"/>
    <mergeCell ref="H19:H24"/>
    <mergeCell ref="G4:G7"/>
    <mergeCell ref="D6:D9"/>
    <mergeCell ref="D10:D13"/>
    <mergeCell ref="D14:D17"/>
    <mergeCell ref="G8:G9"/>
    <mergeCell ref="G10:G13"/>
    <mergeCell ref="G14:G17"/>
    <mergeCell ref="G18:G21"/>
    <mergeCell ref="G22:G27"/>
    <mergeCell ref="B19:B21"/>
    <mergeCell ref="B4:B6"/>
    <mergeCell ref="B7:B9"/>
    <mergeCell ref="B10:B12"/>
    <mergeCell ref="B13:B15"/>
    <mergeCell ref="C6:C9"/>
    <mergeCell ref="C10:C13"/>
    <mergeCell ref="C16:C21"/>
    <mergeCell ref="C22:C25"/>
    <mergeCell ref="BH4:BH9"/>
    <mergeCell ref="BH10:BH15"/>
    <mergeCell ref="BH16:BH21"/>
    <mergeCell ref="V4:V9"/>
    <mergeCell ref="V13:V18"/>
    <mergeCell ref="V19:V24"/>
    <mergeCell ref="W4:W9"/>
    <mergeCell ref="W10:W15"/>
    <mergeCell ref="W19:W24"/>
    <mergeCell ref="X4:X9"/>
    <mergeCell ref="X13:X18"/>
    <mergeCell ref="X11:X12"/>
    <mergeCell ref="Y4:Y9"/>
    <mergeCell ref="Y13:Y18"/>
    <mergeCell ref="Y19:Y24"/>
    <mergeCell ref="Z4:Z9"/>
    <mergeCell ref="Z13:Z18"/>
    <mergeCell ref="Z19:Z24"/>
    <mergeCell ref="AA4:AA9"/>
    <mergeCell ref="AA10:AA15"/>
    <mergeCell ref="AA19:AA24"/>
    <mergeCell ref="AV10:AV15"/>
    <mergeCell ref="AV18:AV23"/>
    <mergeCell ref="AW4:AW9"/>
  </mergeCells>
  <pageMargins left="0.7" right="0.7" top="0.75" bottom="0.75" header="0.3" footer="0.3"/>
  <pageSetup paperSize="9" scale="14" orientation="landscape"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0]!MergeCells">
                <anchor moveWithCells="1" sizeWithCells="1">
                  <from>
                    <xdr:col>0</xdr:col>
                    <xdr:colOff>68580</xdr:colOff>
                    <xdr:row>0</xdr:row>
                    <xdr:rowOff>7620</xdr:rowOff>
                  </from>
                  <to>
                    <xdr:col>0</xdr:col>
                    <xdr:colOff>1295400</xdr:colOff>
                    <xdr:row>0</xdr:row>
                    <xdr:rowOff>335280</xdr:rowOff>
                  </to>
                </anchor>
              </controlPr>
            </control>
          </mc:Choice>
        </mc:AlternateContent>
        <mc:AlternateContent xmlns:mc="http://schemas.openxmlformats.org/markup-compatibility/2006">
          <mc:Choice Requires="x14">
            <control shapeId="14338" r:id="rId5" name="Button 2">
              <controlPr defaultSize="0" print="0" autoFill="0" autoPict="0" macro="[0]!UnmergeCells">
                <anchor moveWithCells="1" sizeWithCells="1">
                  <from>
                    <xdr:col>0</xdr:col>
                    <xdr:colOff>68580</xdr:colOff>
                    <xdr:row>0</xdr:row>
                    <xdr:rowOff>342900</xdr:rowOff>
                  </from>
                  <to>
                    <xdr:col>0</xdr:col>
                    <xdr:colOff>1295400</xdr:colOff>
                    <xdr:row>0</xdr:row>
                    <xdr:rowOff>640080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BK60"/>
  <sheetViews>
    <sheetView zoomScale="70" zoomScaleNormal="70" workbookViewId="0">
      <pane xSplit="1" ySplit="3" topLeftCell="B4" activePane="bottomRight" state="frozen"/>
      <selection pane="topRight" activeCell="F14" sqref="F14"/>
      <selection pane="bottomLeft" activeCell="F14" sqref="F14"/>
      <selection pane="bottomRight" activeCell="AP18" sqref="AP18"/>
    </sheetView>
  </sheetViews>
  <sheetFormatPr defaultColWidth="9.109375" defaultRowHeight="14.4" x14ac:dyDescent="0.3"/>
  <cols>
    <col min="1" max="1" width="19.44140625" style="117" customWidth="1"/>
    <col min="2" max="63" width="20.5546875" style="129" customWidth="1"/>
    <col min="64" max="16384" width="9.109375" style="117"/>
  </cols>
  <sheetData>
    <row r="1" spans="1:63" ht="53.1" customHeight="1" thickBot="1" x14ac:dyDescent="0.35"/>
    <row r="2" spans="1:63" ht="37.5" customHeight="1" thickBot="1" x14ac:dyDescent="0.55000000000000004">
      <c r="A2" s="120" t="s">
        <v>2396</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row>
    <row r="3" spans="1:63" s="121" customFormat="1" ht="31.5" customHeight="1" x14ac:dyDescent="0.3">
      <c r="A3" s="118" t="s">
        <v>1208</v>
      </c>
      <c r="B3" s="119" t="s">
        <v>1707</v>
      </c>
      <c r="C3" s="278">
        <f>MONDAY!C3</f>
        <v>201</v>
      </c>
      <c r="D3" s="278">
        <f>MONDAY!D3</f>
        <v>202</v>
      </c>
      <c r="E3" s="278">
        <f>MONDAY!E3</f>
        <v>203</v>
      </c>
      <c r="F3" s="278">
        <f>MONDAY!F3</f>
        <v>204</v>
      </c>
      <c r="G3" s="278">
        <f>MONDAY!G3</f>
        <v>205</v>
      </c>
      <c r="H3" s="278">
        <f>MONDAY!H3</f>
        <v>206</v>
      </c>
      <c r="I3" s="278">
        <f>MONDAY!I3</f>
        <v>207</v>
      </c>
      <c r="J3" s="278">
        <f>MONDAY!J3</f>
        <v>212</v>
      </c>
      <c r="K3" s="278">
        <f>MONDAY!K3</f>
        <v>301</v>
      </c>
      <c r="L3" s="278">
        <f>MONDAY!L3</f>
        <v>302</v>
      </c>
      <c r="M3" s="278">
        <f>MONDAY!M3</f>
        <v>303</v>
      </c>
      <c r="N3" s="278">
        <f>MONDAY!N3</f>
        <v>304</v>
      </c>
      <c r="O3" s="278">
        <f>MONDAY!O3</f>
        <v>305</v>
      </c>
      <c r="P3" s="278">
        <f>MONDAY!P3</f>
        <v>306</v>
      </c>
      <c r="Q3" s="278">
        <f>MONDAY!Q3</f>
        <v>307</v>
      </c>
      <c r="R3" s="278">
        <f>MONDAY!R3</f>
        <v>308</v>
      </c>
      <c r="S3" s="278">
        <f>MONDAY!S3</f>
        <v>402</v>
      </c>
      <c r="T3" s="278">
        <f>MONDAY!T3</f>
        <v>407</v>
      </c>
      <c r="U3" s="278">
        <f>MONDAY!U3</f>
        <v>410</v>
      </c>
      <c r="V3" s="278">
        <f>MONDAY!V3</f>
        <v>501</v>
      </c>
      <c r="W3" s="278">
        <f>MONDAY!W3</f>
        <v>502</v>
      </c>
      <c r="X3" s="278">
        <f>MONDAY!X3</f>
        <v>503</v>
      </c>
      <c r="Y3" s="278">
        <f>MONDAY!Y3</f>
        <v>504</v>
      </c>
      <c r="Z3" s="278">
        <f>MONDAY!Z3</f>
        <v>505</v>
      </c>
      <c r="AA3" s="278">
        <f>MONDAY!AA3</f>
        <v>506</v>
      </c>
      <c r="AB3" s="278">
        <f>MONDAY!AB3</f>
        <v>507</v>
      </c>
      <c r="AC3" s="278">
        <f>MONDAY!AC3</f>
        <v>508</v>
      </c>
      <c r="AD3" s="278">
        <f>MONDAY!AD3</f>
        <v>509</v>
      </c>
      <c r="AE3" s="278">
        <f>MONDAY!AE3</f>
        <v>510</v>
      </c>
      <c r="AF3" s="278">
        <f>MONDAY!AF3</f>
        <v>511</v>
      </c>
      <c r="AG3" s="278">
        <f>MONDAY!AG3</f>
        <v>512</v>
      </c>
      <c r="AH3" s="278">
        <f>MONDAY!AH3</f>
        <v>601</v>
      </c>
      <c r="AI3" s="278">
        <f>MONDAY!AI3</f>
        <v>602</v>
      </c>
      <c r="AJ3" s="278">
        <f>MONDAY!AJ3</f>
        <v>603</v>
      </c>
      <c r="AK3" s="278">
        <f>MONDAY!AK3</f>
        <v>604</v>
      </c>
      <c r="AL3" s="278">
        <f>MONDAY!AL3</f>
        <v>605</v>
      </c>
      <c r="AM3" s="278">
        <f>MONDAY!AM3</f>
        <v>606</v>
      </c>
      <c r="AN3" s="278">
        <f>MONDAY!AN3</f>
        <v>607</v>
      </c>
      <c r="AO3" s="278">
        <f>MONDAY!AO3</f>
        <v>608</v>
      </c>
      <c r="AP3" s="278">
        <f>MONDAY!AP3</f>
        <v>0</v>
      </c>
      <c r="AQ3" s="278">
        <f>MONDAY!AQ3</f>
        <v>0</v>
      </c>
      <c r="AR3" s="278">
        <f>MONDAY!AR3</f>
        <v>0</v>
      </c>
      <c r="AS3" s="278" t="str">
        <f>MONDAY!AS3</f>
        <v>&lt;Room&gt;</v>
      </c>
      <c r="AT3" s="278" t="str">
        <f>MONDAY!AT3</f>
        <v>&lt;Room&gt;</v>
      </c>
      <c r="AU3" s="278" t="str">
        <f>MONDAY!AU3</f>
        <v>M01</v>
      </c>
      <c r="AV3" s="278" t="str">
        <f>MONDAY!AV3</f>
        <v>M02</v>
      </c>
      <c r="AW3" s="278">
        <f>MONDAY!AW3</f>
        <v>101</v>
      </c>
      <c r="AX3" s="278">
        <f>MONDAY!AX3</f>
        <v>208</v>
      </c>
      <c r="AY3" s="278">
        <f>MONDAY!AY3</f>
        <v>209</v>
      </c>
      <c r="AZ3" s="278">
        <f>MONDAY!AZ3</f>
        <v>210</v>
      </c>
      <c r="BA3" s="278">
        <f>MONDAY!BA3</f>
        <v>211</v>
      </c>
      <c r="BB3" s="278">
        <f>MONDAY!BB3</f>
        <v>401</v>
      </c>
      <c r="BC3" s="278">
        <f>MONDAY!BC3</f>
        <v>408</v>
      </c>
      <c r="BD3" s="278">
        <f>MONDAY!BD3</f>
        <v>409</v>
      </c>
      <c r="BE3" s="278" t="str">
        <f>MONDAY!BE3</f>
        <v>KITCHEN 1</v>
      </c>
      <c r="BF3" s="278" t="str">
        <f>MONDAY!BF3</f>
        <v>KITCHEN 2</v>
      </c>
      <c r="BG3" s="278" t="str">
        <f>MONDAY!BG3</f>
        <v>BAR</v>
      </c>
      <c r="BH3" s="278" t="str">
        <f>MONDAY!BH3</f>
        <v>SUITE ROOM</v>
      </c>
      <c r="BI3" s="278" t="str">
        <f>MONDAY!BI3</f>
        <v>&lt;Lab&gt;</v>
      </c>
      <c r="BJ3" s="278" t="str">
        <f>MONDAY!BJ3</f>
        <v>&lt;Lab&gt;</v>
      </c>
      <c r="BK3" s="278" t="str">
        <f>MONDAY!BK3</f>
        <v>&lt;Lab&gt;</v>
      </c>
    </row>
    <row r="4" spans="1:63" ht="15.75" customHeight="1" x14ac:dyDescent="0.3">
      <c r="A4" s="122" t="s">
        <v>1713</v>
      </c>
      <c r="B4" s="371" t="s">
        <v>1714</v>
      </c>
      <c r="C4" s="378" t="s">
        <v>2397</v>
      </c>
      <c r="D4" s="263" t="s">
        <v>1716</v>
      </c>
      <c r="E4" s="263" t="s">
        <v>1716</v>
      </c>
      <c r="F4" s="263" t="s">
        <v>1716</v>
      </c>
      <c r="G4" s="374" t="s">
        <v>1718</v>
      </c>
      <c r="H4" s="263" t="s">
        <v>1716</v>
      </c>
      <c r="I4" s="263" t="s">
        <v>1716</v>
      </c>
      <c r="J4" s="263" t="s">
        <v>1716</v>
      </c>
      <c r="K4" s="385" t="s">
        <v>1719</v>
      </c>
      <c r="L4" s="385" t="s">
        <v>1720</v>
      </c>
      <c r="M4" s="385" t="s">
        <v>1721</v>
      </c>
      <c r="N4" s="385" t="s">
        <v>1722</v>
      </c>
      <c r="O4" s="385" t="s">
        <v>1723</v>
      </c>
      <c r="P4" s="385" t="s">
        <v>1724</v>
      </c>
      <c r="Q4" s="385" t="s">
        <v>1725</v>
      </c>
      <c r="R4" s="263" t="s">
        <v>1716</v>
      </c>
      <c r="S4" s="263" t="s">
        <v>1716</v>
      </c>
      <c r="T4" s="263" t="s">
        <v>1716</v>
      </c>
      <c r="U4" s="385" t="s">
        <v>1726</v>
      </c>
      <c r="V4" s="371" t="s">
        <v>2398</v>
      </c>
      <c r="W4" s="263" t="s">
        <v>1716</v>
      </c>
      <c r="X4" s="371" t="s">
        <v>2399</v>
      </c>
      <c r="Y4" s="371" t="s">
        <v>2400</v>
      </c>
      <c r="Z4" s="371" t="s">
        <v>2401</v>
      </c>
      <c r="AA4" s="263" t="s">
        <v>1716</v>
      </c>
      <c r="AB4" s="263" t="s">
        <v>1716</v>
      </c>
      <c r="AC4" s="371" t="s">
        <v>2402</v>
      </c>
      <c r="AD4" s="263" t="s">
        <v>1716</v>
      </c>
      <c r="AE4" s="371" t="s">
        <v>2403</v>
      </c>
      <c r="AF4" s="371" t="s">
        <v>2404</v>
      </c>
      <c r="AG4" s="123"/>
      <c r="AH4" s="371" t="s">
        <v>2405</v>
      </c>
      <c r="AI4" s="371" t="s">
        <v>2263</v>
      </c>
      <c r="AJ4" s="263" t="s">
        <v>1716</v>
      </c>
      <c r="AK4" s="371" t="s">
        <v>2406</v>
      </c>
      <c r="AL4" s="263" t="s">
        <v>1716</v>
      </c>
      <c r="AM4" s="371" t="s">
        <v>2407</v>
      </c>
      <c r="AN4" s="371" t="s">
        <v>2408</v>
      </c>
      <c r="AO4" s="263" t="s">
        <v>1716</v>
      </c>
      <c r="AP4" s="123"/>
      <c r="AQ4" s="123"/>
      <c r="AR4" s="123"/>
      <c r="AS4" s="123"/>
      <c r="AT4" s="123"/>
      <c r="AU4" s="382" t="s">
        <v>2409</v>
      </c>
      <c r="AV4" s="263" t="s">
        <v>1716</v>
      </c>
      <c r="AW4" s="263" t="s">
        <v>1716</v>
      </c>
      <c r="AX4" s="379" t="s">
        <v>2410</v>
      </c>
      <c r="AY4" s="374" t="s">
        <v>2411</v>
      </c>
      <c r="AZ4" s="374" t="s">
        <v>2412</v>
      </c>
      <c r="BA4" s="263" t="s">
        <v>1716</v>
      </c>
      <c r="BB4" s="385" t="s">
        <v>2413</v>
      </c>
      <c r="BC4" s="385" t="s">
        <v>1740</v>
      </c>
      <c r="BD4" s="385" t="s">
        <v>1741</v>
      </c>
      <c r="BE4" s="263" t="s">
        <v>1716</v>
      </c>
      <c r="BF4" s="263" t="s">
        <v>1716</v>
      </c>
      <c r="BG4" s="263" t="s">
        <v>1734</v>
      </c>
      <c r="BH4" s="388" t="s">
        <v>2414</v>
      </c>
      <c r="BI4" s="123"/>
      <c r="BJ4" s="123"/>
      <c r="BK4" s="123"/>
    </row>
    <row r="5" spans="1:63" ht="15.6" x14ac:dyDescent="0.3">
      <c r="A5" s="124" t="s">
        <v>1743</v>
      </c>
      <c r="B5" s="372"/>
      <c r="C5" s="378"/>
      <c r="D5" s="262" t="s">
        <v>1716</v>
      </c>
      <c r="E5" s="262" t="s">
        <v>1716</v>
      </c>
      <c r="F5" s="262" t="s">
        <v>1716</v>
      </c>
      <c r="G5" s="375"/>
      <c r="H5" s="262" t="s">
        <v>1716</v>
      </c>
      <c r="I5" s="262" t="s">
        <v>1716</v>
      </c>
      <c r="J5" s="262" t="s">
        <v>1716</v>
      </c>
      <c r="K5" s="386"/>
      <c r="L5" s="386"/>
      <c r="M5" s="386"/>
      <c r="N5" s="386"/>
      <c r="O5" s="386"/>
      <c r="P5" s="386"/>
      <c r="Q5" s="386"/>
      <c r="R5" s="262" t="s">
        <v>1716</v>
      </c>
      <c r="S5" s="262" t="s">
        <v>1716</v>
      </c>
      <c r="T5" s="262" t="s">
        <v>1716</v>
      </c>
      <c r="U5" s="386"/>
      <c r="V5" s="372"/>
      <c r="W5" s="262" t="s">
        <v>1716</v>
      </c>
      <c r="X5" s="372"/>
      <c r="Y5" s="372"/>
      <c r="Z5" s="372"/>
      <c r="AA5" s="262" t="s">
        <v>1716</v>
      </c>
      <c r="AB5" s="262" t="s">
        <v>1716</v>
      </c>
      <c r="AC5" s="372"/>
      <c r="AD5" s="262" t="s">
        <v>1716</v>
      </c>
      <c r="AE5" s="372"/>
      <c r="AF5" s="372"/>
      <c r="AG5" s="378" t="s">
        <v>2415</v>
      </c>
      <c r="AH5" s="372"/>
      <c r="AI5" s="372"/>
      <c r="AJ5" s="262" t="s">
        <v>1716</v>
      </c>
      <c r="AK5" s="372"/>
      <c r="AL5" s="262" t="s">
        <v>1716</v>
      </c>
      <c r="AM5" s="372"/>
      <c r="AN5" s="372"/>
      <c r="AO5" s="262" t="s">
        <v>1716</v>
      </c>
      <c r="AP5" s="125"/>
      <c r="AQ5" s="125"/>
      <c r="AR5" s="125"/>
      <c r="AS5" s="125"/>
      <c r="AT5" s="125"/>
      <c r="AU5" s="383"/>
      <c r="AV5" s="262" t="s">
        <v>1716</v>
      </c>
      <c r="AW5" s="262" t="s">
        <v>1716</v>
      </c>
      <c r="AX5" s="380"/>
      <c r="AY5" s="375"/>
      <c r="AZ5" s="375"/>
      <c r="BA5" s="262" t="s">
        <v>1716</v>
      </c>
      <c r="BB5" s="386"/>
      <c r="BC5" s="386"/>
      <c r="BD5" s="386"/>
      <c r="BE5" s="262" t="s">
        <v>1716</v>
      </c>
      <c r="BF5" s="262" t="s">
        <v>1716</v>
      </c>
      <c r="BG5" s="125"/>
      <c r="BH5" s="389"/>
      <c r="BI5" s="125"/>
      <c r="BJ5" s="125"/>
      <c r="BK5" s="125"/>
    </row>
    <row r="6" spans="1:63" ht="15.6" customHeight="1" x14ac:dyDescent="0.3">
      <c r="A6" s="124" t="s">
        <v>1744</v>
      </c>
      <c r="B6" s="373"/>
      <c r="C6" s="377" t="s">
        <v>2416</v>
      </c>
      <c r="D6" s="377" t="s">
        <v>2417</v>
      </c>
      <c r="E6" s="377" t="s">
        <v>2418</v>
      </c>
      <c r="F6" s="262" t="s">
        <v>1716</v>
      </c>
      <c r="G6" s="376"/>
      <c r="H6" s="262" t="s">
        <v>1716</v>
      </c>
      <c r="I6" s="262" t="s">
        <v>1716</v>
      </c>
      <c r="J6" s="262" t="s">
        <v>1716</v>
      </c>
      <c r="K6" s="387"/>
      <c r="L6" s="387"/>
      <c r="M6" s="387"/>
      <c r="N6" s="387"/>
      <c r="O6" s="387"/>
      <c r="P6" s="387"/>
      <c r="Q6" s="387"/>
      <c r="R6" s="262" t="s">
        <v>1716</v>
      </c>
      <c r="S6" s="262" t="s">
        <v>1716</v>
      </c>
      <c r="T6" s="262" t="s">
        <v>1716</v>
      </c>
      <c r="U6" s="387"/>
      <c r="V6" s="373"/>
      <c r="W6" s="262" t="s">
        <v>1716</v>
      </c>
      <c r="X6" s="373"/>
      <c r="Y6" s="373"/>
      <c r="Z6" s="373"/>
      <c r="AA6" s="262" t="s">
        <v>1716</v>
      </c>
      <c r="AB6" s="262" t="s">
        <v>1716</v>
      </c>
      <c r="AC6" s="373"/>
      <c r="AD6" s="262" t="s">
        <v>1716</v>
      </c>
      <c r="AE6" s="373"/>
      <c r="AF6" s="373"/>
      <c r="AG6" s="378"/>
      <c r="AH6" s="373"/>
      <c r="AI6" s="373"/>
      <c r="AJ6" s="262" t="s">
        <v>1716</v>
      </c>
      <c r="AK6" s="373"/>
      <c r="AL6" s="262" t="s">
        <v>1716</v>
      </c>
      <c r="AM6" s="373"/>
      <c r="AN6" s="373"/>
      <c r="AO6" s="262" t="s">
        <v>1716</v>
      </c>
      <c r="AP6" s="125"/>
      <c r="AQ6" s="125"/>
      <c r="AR6" s="125"/>
      <c r="AS6" s="125"/>
      <c r="AT6" s="125"/>
      <c r="AU6" s="383"/>
      <c r="AV6" s="377" t="s">
        <v>2419</v>
      </c>
      <c r="AW6" s="262" t="s">
        <v>1716</v>
      </c>
      <c r="AX6" s="380"/>
      <c r="AY6" s="376"/>
      <c r="AZ6" s="376"/>
      <c r="BA6" s="262" t="s">
        <v>1716</v>
      </c>
      <c r="BB6" s="387"/>
      <c r="BC6" s="387"/>
      <c r="BD6" s="387"/>
      <c r="BE6" s="378" t="s">
        <v>2420</v>
      </c>
      <c r="BF6" s="262" t="s">
        <v>1716</v>
      </c>
      <c r="BG6" s="125"/>
      <c r="BH6" s="389"/>
      <c r="BI6" s="125"/>
      <c r="BJ6" s="125"/>
      <c r="BK6" s="125"/>
    </row>
    <row r="7" spans="1:63" ht="15.75" customHeight="1" x14ac:dyDescent="0.3">
      <c r="A7" s="124" t="s">
        <v>1748</v>
      </c>
      <c r="B7" s="371" t="s">
        <v>1714</v>
      </c>
      <c r="C7" s="377"/>
      <c r="D7" s="377"/>
      <c r="E7" s="377"/>
      <c r="F7" s="374" t="s">
        <v>1749</v>
      </c>
      <c r="G7" s="374" t="s">
        <v>1750</v>
      </c>
      <c r="H7" s="374" t="s">
        <v>1751</v>
      </c>
      <c r="I7" s="374" t="s">
        <v>1752</v>
      </c>
      <c r="J7" s="385" t="s">
        <v>2421</v>
      </c>
      <c r="K7" s="385" t="s">
        <v>1754</v>
      </c>
      <c r="L7" s="385" t="s">
        <v>1755</v>
      </c>
      <c r="M7" s="385" t="s">
        <v>1756</v>
      </c>
      <c r="N7" s="385" t="s">
        <v>1757</v>
      </c>
      <c r="O7" s="374" t="s">
        <v>1758</v>
      </c>
      <c r="P7" s="374" t="s">
        <v>1759</v>
      </c>
      <c r="Q7" s="374" t="s">
        <v>1760</v>
      </c>
      <c r="R7" s="385" t="s">
        <v>2422</v>
      </c>
      <c r="S7" s="385" t="s">
        <v>1762</v>
      </c>
      <c r="T7" s="385" t="s">
        <v>1763</v>
      </c>
      <c r="U7" s="374" t="s">
        <v>1764</v>
      </c>
      <c r="V7" s="371" t="s">
        <v>2423</v>
      </c>
      <c r="W7" s="371" t="s">
        <v>2424</v>
      </c>
      <c r="X7" s="371" t="s">
        <v>2425</v>
      </c>
      <c r="Y7" s="371" t="s">
        <v>2426</v>
      </c>
      <c r="Z7" s="371" t="s">
        <v>2427</v>
      </c>
      <c r="AA7" s="371" t="s">
        <v>2428</v>
      </c>
      <c r="AB7" s="371" t="s">
        <v>2429</v>
      </c>
      <c r="AC7" s="371" t="s">
        <v>2430</v>
      </c>
      <c r="AD7" s="371" t="s">
        <v>1783</v>
      </c>
      <c r="AE7" s="371" t="s">
        <v>2431</v>
      </c>
      <c r="AF7" s="371" t="s">
        <v>2432</v>
      </c>
      <c r="AG7" s="371" t="s">
        <v>2433</v>
      </c>
      <c r="AH7" s="371" t="s">
        <v>2434</v>
      </c>
      <c r="AI7" s="371" t="s">
        <v>2435</v>
      </c>
      <c r="AJ7" s="371" t="s">
        <v>2436</v>
      </c>
      <c r="AK7" s="371" t="s">
        <v>2437</v>
      </c>
      <c r="AL7" s="371" t="s">
        <v>2438</v>
      </c>
      <c r="AM7" s="371" t="s">
        <v>2439</v>
      </c>
      <c r="AN7" s="371" t="s">
        <v>2440</v>
      </c>
      <c r="AO7" s="371" t="s">
        <v>2441</v>
      </c>
      <c r="AP7" s="125"/>
      <c r="AQ7" s="125"/>
      <c r="AR7" s="125"/>
      <c r="AS7" s="125"/>
      <c r="AT7" s="125"/>
      <c r="AU7" s="383"/>
      <c r="AV7" s="377"/>
      <c r="AW7" s="374" t="s">
        <v>2442</v>
      </c>
      <c r="AX7" s="380"/>
      <c r="AY7" s="385" t="s">
        <v>2443</v>
      </c>
      <c r="AZ7" s="385" t="s">
        <v>2444</v>
      </c>
      <c r="BA7" s="385" t="s">
        <v>2445</v>
      </c>
      <c r="BB7" s="385" t="s">
        <v>1784</v>
      </c>
      <c r="BC7" s="385" t="s">
        <v>2446</v>
      </c>
      <c r="BD7" s="385" t="s">
        <v>1786</v>
      </c>
      <c r="BE7" s="378"/>
      <c r="BF7" s="385" t="s">
        <v>2447</v>
      </c>
      <c r="BG7" s="125"/>
      <c r="BH7" s="390"/>
      <c r="BI7" s="125"/>
      <c r="BJ7" s="125"/>
      <c r="BK7" s="125"/>
    </row>
    <row r="8" spans="1:63" ht="15.6" x14ac:dyDescent="0.3">
      <c r="A8" s="124" t="s">
        <v>1787</v>
      </c>
      <c r="B8" s="372"/>
      <c r="C8" s="377"/>
      <c r="D8" s="377"/>
      <c r="E8" s="377"/>
      <c r="F8" s="375"/>
      <c r="G8" s="375"/>
      <c r="H8" s="375"/>
      <c r="I8" s="375"/>
      <c r="J8" s="386"/>
      <c r="K8" s="386"/>
      <c r="L8" s="386"/>
      <c r="M8" s="386"/>
      <c r="N8" s="386"/>
      <c r="O8" s="375"/>
      <c r="P8" s="375"/>
      <c r="Q8" s="375"/>
      <c r="R8" s="386"/>
      <c r="S8" s="386"/>
      <c r="T8" s="386"/>
      <c r="U8" s="375"/>
      <c r="V8" s="372"/>
      <c r="W8" s="372"/>
      <c r="X8" s="372"/>
      <c r="Y8" s="372"/>
      <c r="Z8" s="372"/>
      <c r="AA8" s="372"/>
      <c r="AB8" s="372"/>
      <c r="AC8" s="372"/>
      <c r="AD8" s="372"/>
      <c r="AE8" s="372"/>
      <c r="AF8" s="372"/>
      <c r="AG8" s="372"/>
      <c r="AH8" s="372"/>
      <c r="AI8" s="372"/>
      <c r="AJ8" s="372"/>
      <c r="AK8" s="372"/>
      <c r="AL8" s="372"/>
      <c r="AM8" s="372"/>
      <c r="AN8" s="372"/>
      <c r="AO8" s="372"/>
      <c r="AP8" s="125"/>
      <c r="AQ8" s="125"/>
      <c r="AR8" s="125"/>
      <c r="AS8" s="125"/>
      <c r="AT8" s="125"/>
      <c r="AU8" s="383"/>
      <c r="AV8" s="377"/>
      <c r="AW8" s="375"/>
      <c r="AX8" s="380"/>
      <c r="AY8" s="386"/>
      <c r="AZ8" s="386"/>
      <c r="BA8" s="386"/>
      <c r="BB8" s="386"/>
      <c r="BC8" s="386"/>
      <c r="BD8" s="386"/>
      <c r="BE8" s="379" t="s">
        <v>2448</v>
      </c>
      <c r="BF8" s="386"/>
      <c r="BG8" s="125"/>
      <c r="BH8" s="391" t="s">
        <v>2449</v>
      </c>
      <c r="BI8" s="125"/>
      <c r="BJ8" s="125"/>
      <c r="BK8" s="125"/>
    </row>
    <row r="9" spans="1:63" ht="15.6" x14ac:dyDescent="0.3">
      <c r="A9" s="124" t="s">
        <v>1791</v>
      </c>
      <c r="B9" s="373"/>
      <c r="C9" s="377"/>
      <c r="D9" s="377"/>
      <c r="E9" s="377"/>
      <c r="F9" s="376"/>
      <c r="G9" s="376"/>
      <c r="H9" s="376"/>
      <c r="I9" s="376"/>
      <c r="J9" s="387"/>
      <c r="K9" s="387"/>
      <c r="L9" s="387"/>
      <c r="M9" s="387"/>
      <c r="N9" s="387"/>
      <c r="O9" s="376"/>
      <c r="P9" s="376"/>
      <c r="Q9" s="376"/>
      <c r="R9" s="387"/>
      <c r="S9" s="387"/>
      <c r="T9" s="387"/>
      <c r="U9" s="376"/>
      <c r="V9" s="373"/>
      <c r="W9" s="373"/>
      <c r="X9" s="373"/>
      <c r="Y9" s="373"/>
      <c r="Z9" s="373"/>
      <c r="AA9" s="373"/>
      <c r="AB9" s="373"/>
      <c r="AC9" s="373"/>
      <c r="AD9" s="373"/>
      <c r="AE9" s="373"/>
      <c r="AF9" s="373"/>
      <c r="AG9" s="373"/>
      <c r="AH9" s="373"/>
      <c r="AI9" s="373"/>
      <c r="AJ9" s="373"/>
      <c r="AK9" s="373"/>
      <c r="AL9" s="373"/>
      <c r="AM9" s="373"/>
      <c r="AN9" s="373"/>
      <c r="AO9" s="373"/>
      <c r="AP9" s="125"/>
      <c r="AQ9" s="125"/>
      <c r="AR9" s="125"/>
      <c r="AS9" s="125"/>
      <c r="AT9" s="125"/>
      <c r="AU9" s="384"/>
      <c r="AV9" s="377"/>
      <c r="AW9" s="376"/>
      <c r="AX9" s="381"/>
      <c r="AY9" s="387"/>
      <c r="AZ9" s="387"/>
      <c r="BA9" s="387"/>
      <c r="BB9" s="387"/>
      <c r="BC9" s="387"/>
      <c r="BD9" s="387"/>
      <c r="BE9" s="380"/>
      <c r="BF9" s="387"/>
      <c r="BG9" s="125"/>
      <c r="BH9" s="392"/>
      <c r="BI9" s="125"/>
      <c r="BJ9" s="125"/>
      <c r="BK9" s="125"/>
    </row>
    <row r="10" spans="1:63" ht="15.75" customHeight="1" x14ac:dyDescent="0.3">
      <c r="A10" s="124" t="s">
        <v>1792</v>
      </c>
      <c r="B10" s="371" t="s">
        <v>1714</v>
      </c>
      <c r="C10" s="377" t="s">
        <v>2450</v>
      </c>
      <c r="D10" s="377" t="s">
        <v>2451</v>
      </c>
      <c r="E10" s="377" t="s">
        <v>2452</v>
      </c>
      <c r="F10" s="382" t="s">
        <v>2453</v>
      </c>
      <c r="G10" s="377" t="s">
        <v>2454</v>
      </c>
      <c r="H10" s="374" t="s">
        <v>1798</v>
      </c>
      <c r="I10" s="374" t="s">
        <v>1799</v>
      </c>
      <c r="J10" s="374" t="s">
        <v>1800</v>
      </c>
      <c r="K10" s="385" t="s">
        <v>1801</v>
      </c>
      <c r="L10" s="385" t="s">
        <v>1802</v>
      </c>
      <c r="M10" s="385" t="s">
        <v>1803</v>
      </c>
      <c r="N10" s="385" t="s">
        <v>1804</v>
      </c>
      <c r="O10" s="374" t="s">
        <v>1805</v>
      </c>
      <c r="P10" s="374" t="s">
        <v>1806</v>
      </c>
      <c r="Q10" s="374" t="s">
        <v>1807</v>
      </c>
      <c r="R10" s="374" t="s">
        <v>1808</v>
      </c>
      <c r="S10" s="374" t="s">
        <v>1809</v>
      </c>
      <c r="T10" s="374" t="s">
        <v>1810</v>
      </c>
      <c r="U10" s="388" t="s">
        <v>2455</v>
      </c>
      <c r="V10" s="371" t="s">
        <v>2456</v>
      </c>
      <c r="W10" s="371" t="s">
        <v>2457</v>
      </c>
      <c r="X10" s="371" t="s">
        <v>2458</v>
      </c>
      <c r="Y10" s="371" t="s">
        <v>2459</v>
      </c>
      <c r="Z10" s="371" t="s">
        <v>2460</v>
      </c>
      <c r="AA10" s="371" t="s">
        <v>2461</v>
      </c>
      <c r="AB10" s="371" t="s">
        <v>2462</v>
      </c>
      <c r="AC10" s="371" t="s">
        <v>2463</v>
      </c>
      <c r="AD10" s="371" t="s">
        <v>2464</v>
      </c>
      <c r="AE10" s="371" t="s">
        <v>2465</v>
      </c>
      <c r="AF10" s="371" t="s">
        <v>2466</v>
      </c>
      <c r="AG10" s="125"/>
      <c r="AH10" s="371" t="s">
        <v>2467</v>
      </c>
      <c r="AI10" s="371" t="s">
        <v>2468</v>
      </c>
      <c r="AJ10" s="371" t="s">
        <v>2469</v>
      </c>
      <c r="AK10" s="371" t="s">
        <v>2470</v>
      </c>
      <c r="AL10" s="371" t="s">
        <v>2471</v>
      </c>
      <c r="AM10" s="371" t="s">
        <v>2472</v>
      </c>
      <c r="AN10" s="371" t="s">
        <v>2473</v>
      </c>
      <c r="AO10" s="371" t="s">
        <v>2474</v>
      </c>
      <c r="AP10" s="125"/>
      <c r="AQ10" s="125"/>
      <c r="AR10" s="125"/>
      <c r="AS10" s="125"/>
      <c r="AT10" s="125"/>
      <c r="AU10" s="374" t="s">
        <v>1825</v>
      </c>
      <c r="AV10" s="377" t="s">
        <v>2475</v>
      </c>
      <c r="AW10" s="379" t="s">
        <v>2476</v>
      </c>
      <c r="AX10" s="379" t="s">
        <v>2477</v>
      </c>
      <c r="AY10" s="374" t="s">
        <v>2478</v>
      </c>
      <c r="AZ10" s="379" t="s">
        <v>2479</v>
      </c>
      <c r="BA10" s="379" t="s">
        <v>2480</v>
      </c>
      <c r="BB10" s="385" t="s">
        <v>2463</v>
      </c>
      <c r="BC10" s="385" t="s">
        <v>1832</v>
      </c>
      <c r="BD10" s="385" t="s">
        <v>1833</v>
      </c>
      <c r="BE10" s="380"/>
      <c r="BF10" s="385" t="s">
        <v>2481</v>
      </c>
      <c r="BG10" s="125"/>
      <c r="BH10" s="392"/>
      <c r="BI10" s="125"/>
      <c r="BJ10" s="125"/>
      <c r="BK10" s="125"/>
    </row>
    <row r="11" spans="1:63" ht="15.6" customHeight="1" x14ac:dyDescent="0.3">
      <c r="A11" s="124" t="s">
        <v>1834</v>
      </c>
      <c r="B11" s="372"/>
      <c r="C11" s="377"/>
      <c r="D11" s="377"/>
      <c r="E11" s="377"/>
      <c r="F11" s="383"/>
      <c r="G11" s="377"/>
      <c r="H11" s="375"/>
      <c r="I11" s="375"/>
      <c r="J11" s="375"/>
      <c r="K11" s="386"/>
      <c r="L11" s="386"/>
      <c r="M11" s="386"/>
      <c r="N11" s="386"/>
      <c r="O11" s="375"/>
      <c r="P11" s="375"/>
      <c r="Q11" s="375"/>
      <c r="R11" s="375"/>
      <c r="S11" s="375"/>
      <c r="T11" s="375"/>
      <c r="U11" s="389"/>
      <c r="V11" s="372"/>
      <c r="W11" s="372"/>
      <c r="X11" s="372"/>
      <c r="Y11" s="372"/>
      <c r="Z11" s="372"/>
      <c r="AA11" s="372"/>
      <c r="AB11" s="372"/>
      <c r="AC11" s="372"/>
      <c r="AD11" s="372"/>
      <c r="AE11" s="372"/>
      <c r="AF11" s="372"/>
      <c r="AG11" s="125"/>
      <c r="AH11" s="372"/>
      <c r="AI11" s="372"/>
      <c r="AJ11" s="372"/>
      <c r="AK11" s="372"/>
      <c r="AL11" s="372"/>
      <c r="AM11" s="372"/>
      <c r="AN11" s="372"/>
      <c r="AO11" s="372"/>
      <c r="AP11" s="125"/>
      <c r="AQ11" s="125"/>
      <c r="AR11" s="125"/>
      <c r="AS11" s="125"/>
      <c r="AT11" s="125"/>
      <c r="AU11" s="375"/>
      <c r="AV11" s="377"/>
      <c r="AW11" s="380"/>
      <c r="AX11" s="380"/>
      <c r="AY11" s="375"/>
      <c r="AZ11" s="380"/>
      <c r="BA11" s="380"/>
      <c r="BB11" s="386"/>
      <c r="BC11" s="386"/>
      <c r="BD11" s="386"/>
      <c r="BE11" s="380"/>
      <c r="BF11" s="386"/>
      <c r="BG11" s="125"/>
      <c r="BH11" s="392"/>
      <c r="BI11" s="125"/>
      <c r="BJ11" s="125"/>
      <c r="BK11" s="125"/>
    </row>
    <row r="12" spans="1:63" ht="15.6" x14ac:dyDescent="0.3">
      <c r="A12" s="124" t="s">
        <v>1835</v>
      </c>
      <c r="B12" s="373"/>
      <c r="C12" s="377"/>
      <c r="D12" s="377"/>
      <c r="E12" s="377"/>
      <c r="F12" s="383"/>
      <c r="G12" s="377"/>
      <c r="H12" s="376"/>
      <c r="I12" s="376"/>
      <c r="J12" s="376"/>
      <c r="K12" s="387"/>
      <c r="L12" s="387"/>
      <c r="M12" s="387"/>
      <c r="N12" s="387"/>
      <c r="O12" s="376"/>
      <c r="P12" s="376"/>
      <c r="Q12" s="376"/>
      <c r="R12" s="376"/>
      <c r="S12" s="376"/>
      <c r="T12" s="376"/>
      <c r="U12" s="389"/>
      <c r="V12" s="373"/>
      <c r="W12" s="373"/>
      <c r="X12" s="373"/>
      <c r="Y12" s="373"/>
      <c r="Z12" s="373"/>
      <c r="AA12" s="373"/>
      <c r="AB12" s="373"/>
      <c r="AC12" s="373"/>
      <c r="AD12" s="373"/>
      <c r="AE12" s="373"/>
      <c r="AF12" s="373"/>
      <c r="AG12" s="125"/>
      <c r="AH12" s="373"/>
      <c r="AI12" s="373"/>
      <c r="AJ12" s="373"/>
      <c r="AK12" s="373"/>
      <c r="AL12" s="373"/>
      <c r="AM12" s="373"/>
      <c r="AN12" s="373"/>
      <c r="AO12" s="373"/>
      <c r="AP12" s="125"/>
      <c r="AQ12" s="125"/>
      <c r="AR12" s="125"/>
      <c r="AS12" s="125"/>
      <c r="AT12" s="125"/>
      <c r="AU12" s="376"/>
      <c r="AV12" s="377"/>
      <c r="AW12" s="380"/>
      <c r="AX12" s="380"/>
      <c r="AY12" s="376"/>
      <c r="AZ12" s="380"/>
      <c r="BA12" s="380"/>
      <c r="BB12" s="387"/>
      <c r="BC12" s="387"/>
      <c r="BD12" s="387"/>
      <c r="BE12" s="380"/>
      <c r="BF12" s="387"/>
      <c r="BG12" s="125"/>
      <c r="BH12" s="392"/>
      <c r="BI12" s="125"/>
      <c r="BJ12" s="125"/>
      <c r="BK12" s="125"/>
    </row>
    <row r="13" spans="1:63" ht="15.75" customHeight="1" x14ac:dyDescent="0.3">
      <c r="A13" s="124" t="s">
        <v>1836</v>
      </c>
      <c r="B13" s="371" t="s">
        <v>1714</v>
      </c>
      <c r="C13" s="377"/>
      <c r="D13" s="377"/>
      <c r="E13" s="377"/>
      <c r="F13" s="383"/>
      <c r="G13" s="377"/>
      <c r="H13" s="374" t="s">
        <v>1837</v>
      </c>
      <c r="I13" s="374" t="s">
        <v>1838</v>
      </c>
      <c r="J13" s="374" t="s">
        <v>1839</v>
      </c>
      <c r="K13" s="385" t="s">
        <v>1840</v>
      </c>
      <c r="L13" s="385" t="s">
        <v>1841</v>
      </c>
      <c r="M13" s="385" t="s">
        <v>1842</v>
      </c>
      <c r="N13" s="385" t="s">
        <v>1843</v>
      </c>
      <c r="O13" s="374" t="s">
        <v>1844</v>
      </c>
      <c r="P13" s="374" t="s">
        <v>1845</v>
      </c>
      <c r="Q13" s="374" t="s">
        <v>1846</v>
      </c>
      <c r="R13" s="374" t="s">
        <v>2482</v>
      </c>
      <c r="S13" s="374" t="s">
        <v>1848</v>
      </c>
      <c r="T13" s="374" t="s">
        <v>1849</v>
      </c>
      <c r="U13" s="390"/>
      <c r="V13" s="371" t="s">
        <v>2483</v>
      </c>
      <c r="W13" s="371" t="s">
        <v>2484</v>
      </c>
      <c r="X13" s="371" t="s">
        <v>2485</v>
      </c>
      <c r="Y13" s="371" t="s">
        <v>2486</v>
      </c>
      <c r="Z13" s="371" t="s">
        <v>2487</v>
      </c>
      <c r="AA13" s="371" t="s">
        <v>2488</v>
      </c>
      <c r="AB13" s="371" t="s">
        <v>2489</v>
      </c>
      <c r="AC13" s="371" t="s">
        <v>2490</v>
      </c>
      <c r="AD13" s="371" t="s">
        <v>2491</v>
      </c>
      <c r="AE13" s="371" t="s">
        <v>2492</v>
      </c>
      <c r="AF13" s="371" t="s">
        <v>2493</v>
      </c>
      <c r="AG13" s="379" t="s">
        <v>2494</v>
      </c>
      <c r="AH13" s="371" t="s">
        <v>2495</v>
      </c>
      <c r="AI13" s="371" t="s">
        <v>2496</v>
      </c>
      <c r="AJ13" s="371" t="s">
        <v>1870</v>
      </c>
      <c r="AK13" s="371" t="s">
        <v>2497</v>
      </c>
      <c r="AL13" s="371" t="s">
        <v>2498</v>
      </c>
      <c r="AM13" s="371" t="s">
        <v>2499</v>
      </c>
      <c r="AN13" s="371" t="s">
        <v>2500</v>
      </c>
      <c r="AO13" s="371" t="s">
        <v>2501</v>
      </c>
      <c r="AP13" s="125"/>
      <c r="AQ13" s="125"/>
      <c r="AR13" s="125"/>
      <c r="AS13" s="125"/>
      <c r="AT13" s="125"/>
      <c r="AU13" s="374" t="s">
        <v>1869</v>
      </c>
      <c r="AV13" s="377"/>
      <c r="AW13" s="380"/>
      <c r="AX13" s="380"/>
      <c r="AY13" s="385" t="s">
        <v>2502</v>
      </c>
      <c r="AZ13" s="380"/>
      <c r="BA13" s="380"/>
      <c r="BB13" s="385" t="s">
        <v>1872</v>
      </c>
      <c r="BC13" s="385" t="s">
        <v>1873</v>
      </c>
      <c r="BD13" s="385" t="s">
        <v>1874</v>
      </c>
      <c r="BE13" s="381"/>
      <c r="BF13" s="262" t="s">
        <v>1716</v>
      </c>
      <c r="BG13" s="125"/>
      <c r="BH13" s="393"/>
      <c r="BI13" s="125"/>
      <c r="BJ13" s="125"/>
      <c r="BK13" s="125"/>
    </row>
    <row r="14" spans="1:63" ht="15.6" customHeight="1" x14ac:dyDescent="0.3">
      <c r="A14" s="124" t="s">
        <v>1875</v>
      </c>
      <c r="B14" s="372"/>
      <c r="C14" s="262" t="s">
        <v>1716</v>
      </c>
      <c r="D14" s="377" t="s">
        <v>2503</v>
      </c>
      <c r="E14" s="378" t="s">
        <v>2504</v>
      </c>
      <c r="F14" s="383"/>
      <c r="G14" s="262" t="s">
        <v>1716</v>
      </c>
      <c r="H14" s="375"/>
      <c r="I14" s="375"/>
      <c r="J14" s="375"/>
      <c r="K14" s="386"/>
      <c r="L14" s="386"/>
      <c r="M14" s="386"/>
      <c r="N14" s="386"/>
      <c r="O14" s="375"/>
      <c r="P14" s="375"/>
      <c r="Q14" s="375"/>
      <c r="R14" s="375"/>
      <c r="S14" s="375"/>
      <c r="T14" s="375"/>
      <c r="U14" s="262" t="s">
        <v>1716</v>
      </c>
      <c r="V14" s="372"/>
      <c r="W14" s="372"/>
      <c r="X14" s="372"/>
      <c r="Y14" s="372"/>
      <c r="Z14" s="372"/>
      <c r="AA14" s="372"/>
      <c r="AB14" s="372"/>
      <c r="AC14" s="372"/>
      <c r="AD14" s="372"/>
      <c r="AE14" s="372"/>
      <c r="AF14" s="372"/>
      <c r="AG14" s="380"/>
      <c r="AH14" s="372"/>
      <c r="AI14" s="372"/>
      <c r="AJ14" s="372"/>
      <c r="AK14" s="372"/>
      <c r="AL14" s="372"/>
      <c r="AM14" s="372"/>
      <c r="AN14" s="372"/>
      <c r="AO14" s="372"/>
      <c r="AP14" s="125"/>
      <c r="AQ14" s="125"/>
      <c r="AR14" s="125"/>
      <c r="AS14" s="125"/>
      <c r="AT14" s="125"/>
      <c r="AU14" s="375"/>
      <c r="AV14" s="262" t="s">
        <v>1734</v>
      </c>
      <c r="AW14" s="380"/>
      <c r="AX14" s="380"/>
      <c r="AY14" s="386"/>
      <c r="AZ14" s="380"/>
      <c r="BA14" s="380"/>
      <c r="BB14" s="386"/>
      <c r="BC14" s="386"/>
      <c r="BD14" s="386"/>
      <c r="BE14" s="262" t="s">
        <v>1734</v>
      </c>
      <c r="BF14" s="262" t="s">
        <v>1716</v>
      </c>
      <c r="BG14" s="125"/>
      <c r="BH14" s="262" t="s">
        <v>1716</v>
      </c>
      <c r="BI14" s="125"/>
      <c r="BJ14" s="125"/>
      <c r="BK14" s="125"/>
    </row>
    <row r="15" spans="1:63" ht="15.6" customHeight="1" x14ac:dyDescent="0.3">
      <c r="A15" s="124" t="s">
        <v>1876</v>
      </c>
      <c r="B15" s="373"/>
      <c r="C15" s="262" t="s">
        <v>1716</v>
      </c>
      <c r="D15" s="377"/>
      <c r="E15" s="378"/>
      <c r="F15" s="384"/>
      <c r="G15" s="262" t="s">
        <v>1716</v>
      </c>
      <c r="H15" s="376"/>
      <c r="I15" s="376"/>
      <c r="J15" s="376"/>
      <c r="K15" s="387"/>
      <c r="L15" s="387"/>
      <c r="M15" s="387"/>
      <c r="N15" s="387"/>
      <c r="O15" s="376"/>
      <c r="P15" s="376"/>
      <c r="Q15" s="376"/>
      <c r="R15" s="376"/>
      <c r="S15" s="376"/>
      <c r="T15" s="376"/>
      <c r="U15" s="262" t="s">
        <v>1716</v>
      </c>
      <c r="V15" s="373"/>
      <c r="W15" s="373"/>
      <c r="X15" s="373"/>
      <c r="Y15" s="373"/>
      <c r="Z15" s="373"/>
      <c r="AA15" s="373"/>
      <c r="AB15" s="373"/>
      <c r="AC15" s="397"/>
      <c r="AD15" s="397"/>
      <c r="AE15" s="397"/>
      <c r="AF15" s="397"/>
      <c r="AG15" s="380"/>
      <c r="AH15" s="397"/>
      <c r="AI15" s="397"/>
      <c r="AJ15" s="397"/>
      <c r="AK15" s="397"/>
      <c r="AL15" s="397"/>
      <c r="AM15" s="397"/>
      <c r="AN15" s="397"/>
      <c r="AO15" s="397"/>
      <c r="AP15" s="125"/>
      <c r="AQ15" s="125"/>
      <c r="AR15" s="125"/>
      <c r="AS15" s="125"/>
      <c r="AT15" s="125"/>
      <c r="AU15" s="376"/>
      <c r="AV15" s="125"/>
      <c r="AW15" s="381"/>
      <c r="AX15" s="381"/>
      <c r="AY15" s="387"/>
      <c r="AZ15" s="381"/>
      <c r="BA15" s="381"/>
      <c r="BB15" s="387"/>
      <c r="BC15" s="387"/>
      <c r="BD15" s="387"/>
      <c r="BE15" s="125"/>
      <c r="BF15" s="262" t="s">
        <v>1716</v>
      </c>
      <c r="BG15" s="125"/>
      <c r="BH15" s="262" t="s">
        <v>1716</v>
      </c>
      <c r="BI15" s="125"/>
      <c r="BJ15" s="125"/>
      <c r="BK15" s="125"/>
    </row>
    <row r="16" spans="1:63" ht="15.75" customHeight="1" x14ac:dyDescent="0.3">
      <c r="A16" s="124" t="s">
        <v>1877</v>
      </c>
      <c r="B16" s="262" t="s">
        <v>1716</v>
      </c>
      <c r="C16" s="374" t="s">
        <v>1878</v>
      </c>
      <c r="D16" s="377"/>
      <c r="E16" s="374" t="s">
        <v>1879</v>
      </c>
      <c r="F16" s="378" t="s">
        <v>2505</v>
      </c>
      <c r="G16" s="374" t="s">
        <v>1881</v>
      </c>
      <c r="H16" s="374" t="s">
        <v>1882</v>
      </c>
      <c r="I16" s="374" t="s">
        <v>1883</v>
      </c>
      <c r="J16" s="374" t="s">
        <v>1884</v>
      </c>
      <c r="K16" s="385" t="s">
        <v>1885</v>
      </c>
      <c r="L16" s="385" t="s">
        <v>1886</v>
      </c>
      <c r="M16" s="385" t="s">
        <v>1887</v>
      </c>
      <c r="N16" s="385" t="s">
        <v>1888</v>
      </c>
      <c r="O16" s="374" t="s">
        <v>1889</v>
      </c>
      <c r="P16" s="374" t="s">
        <v>1890</v>
      </c>
      <c r="Q16" s="374" t="s">
        <v>1891</v>
      </c>
      <c r="R16" s="378" t="s">
        <v>2506</v>
      </c>
      <c r="S16" s="379" t="s">
        <v>2507</v>
      </c>
      <c r="T16" s="385" t="s">
        <v>1894</v>
      </c>
      <c r="U16" s="385" t="s">
        <v>1895</v>
      </c>
      <c r="V16" s="371" t="s">
        <v>2508</v>
      </c>
      <c r="W16" s="371" t="s">
        <v>2509</v>
      </c>
      <c r="X16" s="371" t="s">
        <v>2510</v>
      </c>
      <c r="Y16" s="371" t="s">
        <v>2511</v>
      </c>
      <c r="Z16" s="371" t="s">
        <v>2512</v>
      </c>
      <c r="AA16" s="371" t="s">
        <v>2513</v>
      </c>
      <c r="AB16" s="371" t="s">
        <v>2514</v>
      </c>
      <c r="AC16" s="398" t="s">
        <v>2402</v>
      </c>
      <c r="AD16" s="398" t="s">
        <v>2515</v>
      </c>
      <c r="AE16" s="398" t="s">
        <v>2516</v>
      </c>
      <c r="AF16" s="398" t="s">
        <v>2517</v>
      </c>
      <c r="AG16" s="380"/>
      <c r="AH16" s="398" t="s">
        <v>2518</v>
      </c>
      <c r="AI16" s="398" t="s">
        <v>2519</v>
      </c>
      <c r="AJ16" s="398" t="s">
        <v>2520</v>
      </c>
      <c r="AK16" s="398" t="s">
        <v>2521</v>
      </c>
      <c r="AL16" s="398" t="s">
        <v>2522</v>
      </c>
      <c r="AM16" s="398" t="s">
        <v>2523</v>
      </c>
      <c r="AN16" s="398" t="s">
        <v>2377</v>
      </c>
      <c r="AO16" s="398" t="s">
        <v>2524</v>
      </c>
      <c r="AP16" s="125"/>
      <c r="AQ16" s="125"/>
      <c r="AR16" s="125"/>
      <c r="AS16" s="125"/>
      <c r="AT16" s="125"/>
      <c r="AU16" s="379" t="s">
        <v>2525</v>
      </c>
      <c r="AV16" s="125"/>
      <c r="AW16" s="379" t="s">
        <v>2526</v>
      </c>
      <c r="AX16" s="379" t="s">
        <v>2527</v>
      </c>
      <c r="AY16" s="385" t="s">
        <v>2528</v>
      </c>
      <c r="AZ16" s="379" t="s">
        <v>2529</v>
      </c>
      <c r="BA16" s="379" t="s">
        <v>2530</v>
      </c>
      <c r="BB16" s="385" t="s">
        <v>1916</v>
      </c>
      <c r="BC16" s="385" t="s">
        <v>1917</v>
      </c>
      <c r="BD16" s="385" t="s">
        <v>1918</v>
      </c>
      <c r="BE16" s="125"/>
      <c r="BF16" s="379" t="s">
        <v>2531</v>
      </c>
      <c r="BG16" s="125"/>
      <c r="BH16" s="388" t="s">
        <v>2532</v>
      </c>
      <c r="BI16" s="125"/>
      <c r="BJ16" s="125"/>
      <c r="BK16" s="125"/>
    </row>
    <row r="17" spans="1:63" ht="15.6" x14ac:dyDescent="0.3">
      <c r="A17" s="124" t="s">
        <v>1921</v>
      </c>
      <c r="B17" s="125"/>
      <c r="C17" s="375"/>
      <c r="D17" s="377"/>
      <c r="E17" s="375"/>
      <c r="F17" s="378"/>
      <c r="G17" s="375"/>
      <c r="H17" s="375"/>
      <c r="I17" s="375"/>
      <c r="J17" s="375"/>
      <c r="K17" s="386"/>
      <c r="L17" s="386"/>
      <c r="M17" s="386"/>
      <c r="N17" s="386"/>
      <c r="O17" s="375"/>
      <c r="P17" s="375"/>
      <c r="Q17" s="375"/>
      <c r="R17" s="378"/>
      <c r="S17" s="380"/>
      <c r="T17" s="386"/>
      <c r="U17" s="386"/>
      <c r="V17" s="372"/>
      <c r="W17" s="372"/>
      <c r="X17" s="372"/>
      <c r="Y17" s="372"/>
      <c r="Z17" s="372"/>
      <c r="AA17" s="372"/>
      <c r="AB17" s="372"/>
      <c r="AC17" s="372"/>
      <c r="AD17" s="372"/>
      <c r="AE17" s="372"/>
      <c r="AF17" s="372"/>
      <c r="AG17" s="380"/>
      <c r="AH17" s="372"/>
      <c r="AI17" s="372"/>
      <c r="AJ17" s="372"/>
      <c r="AK17" s="372"/>
      <c r="AL17" s="372"/>
      <c r="AM17" s="372"/>
      <c r="AN17" s="372"/>
      <c r="AO17" s="372"/>
      <c r="AP17" s="125"/>
      <c r="AQ17" s="125"/>
      <c r="AR17" s="125"/>
      <c r="AS17" s="125"/>
      <c r="AT17" s="125"/>
      <c r="AU17" s="380"/>
      <c r="AV17" s="125"/>
      <c r="AW17" s="380"/>
      <c r="AX17" s="380"/>
      <c r="AY17" s="386"/>
      <c r="AZ17" s="380"/>
      <c r="BA17" s="380"/>
      <c r="BB17" s="386"/>
      <c r="BC17" s="386"/>
      <c r="BD17" s="386"/>
      <c r="BE17" s="125"/>
      <c r="BF17" s="380"/>
      <c r="BG17" s="125"/>
      <c r="BH17" s="389"/>
      <c r="BI17" s="125"/>
      <c r="BJ17" s="125"/>
      <c r="BK17" s="125"/>
    </row>
    <row r="18" spans="1:63" ht="15.6" x14ac:dyDescent="0.3">
      <c r="A18" s="124" t="s">
        <v>1922</v>
      </c>
      <c r="B18" s="125"/>
      <c r="C18" s="376"/>
      <c r="D18" s="377" t="s">
        <v>2533</v>
      </c>
      <c r="E18" s="376"/>
      <c r="F18" s="377" t="s">
        <v>2534</v>
      </c>
      <c r="G18" s="376"/>
      <c r="H18" s="376"/>
      <c r="I18" s="376"/>
      <c r="J18" s="376"/>
      <c r="K18" s="387"/>
      <c r="L18" s="387"/>
      <c r="M18" s="387"/>
      <c r="N18" s="387"/>
      <c r="O18" s="376"/>
      <c r="P18" s="376"/>
      <c r="Q18" s="376"/>
      <c r="R18" s="388" t="s">
        <v>2535</v>
      </c>
      <c r="S18" s="380"/>
      <c r="T18" s="387"/>
      <c r="U18" s="387"/>
      <c r="V18" s="373"/>
      <c r="W18" s="373"/>
      <c r="X18" s="373"/>
      <c r="Y18" s="373"/>
      <c r="Z18" s="373"/>
      <c r="AA18" s="373"/>
      <c r="AB18" s="373"/>
      <c r="AC18" s="373"/>
      <c r="AD18" s="373"/>
      <c r="AE18" s="373"/>
      <c r="AF18" s="373"/>
      <c r="AG18" s="381"/>
      <c r="AH18" s="373"/>
      <c r="AI18" s="373"/>
      <c r="AJ18" s="373"/>
      <c r="AK18" s="373"/>
      <c r="AL18" s="373"/>
      <c r="AM18" s="373"/>
      <c r="AN18" s="373"/>
      <c r="AO18" s="373"/>
      <c r="AP18" s="125"/>
      <c r="AQ18" s="125"/>
      <c r="AR18" s="125"/>
      <c r="AS18" s="125"/>
      <c r="AT18" s="125"/>
      <c r="AU18" s="380"/>
      <c r="AV18" s="125"/>
      <c r="AW18" s="380"/>
      <c r="AX18" s="380"/>
      <c r="AY18" s="387"/>
      <c r="AZ18" s="380"/>
      <c r="BA18" s="380"/>
      <c r="BB18" s="387"/>
      <c r="BC18" s="387"/>
      <c r="BD18" s="387"/>
      <c r="BE18" s="125"/>
      <c r="BF18" s="380"/>
      <c r="BG18" s="125"/>
      <c r="BH18" s="389"/>
      <c r="BI18" s="125"/>
      <c r="BJ18" s="125"/>
      <c r="BK18" s="125"/>
    </row>
    <row r="19" spans="1:63" ht="15.75" customHeight="1" x14ac:dyDescent="0.3">
      <c r="A19" s="124" t="s">
        <v>1926</v>
      </c>
      <c r="B19" s="371" t="s">
        <v>1714</v>
      </c>
      <c r="C19" s="374" t="s">
        <v>1927</v>
      </c>
      <c r="D19" s="377"/>
      <c r="E19" s="374" t="s">
        <v>1928</v>
      </c>
      <c r="F19" s="377"/>
      <c r="G19" s="377" t="s">
        <v>2536</v>
      </c>
      <c r="H19" s="374" t="s">
        <v>2537</v>
      </c>
      <c r="I19" s="382" t="s">
        <v>2538</v>
      </c>
      <c r="J19" s="374" t="s">
        <v>1932</v>
      </c>
      <c r="K19" s="385" t="s">
        <v>1933</v>
      </c>
      <c r="L19" s="379" t="s">
        <v>2539</v>
      </c>
      <c r="M19" s="385" t="s">
        <v>1935</v>
      </c>
      <c r="N19" s="385" t="s">
        <v>1936</v>
      </c>
      <c r="O19" s="385" t="s">
        <v>1937</v>
      </c>
      <c r="P19" s="385" t="s">
        <v>1938</v>
      </c>
      <c r="Q19" s="262" t="s">
        <v>1734</v>
      </c>
      <c r="R19" s="389"/>
      <c r="S19" s="380"/>
      <c r="T19" s="374" t="s">
        <v>1940</v>
      </c>
      <c r="U19" s="374" t="s">
        <v>1941</v>
      </c>
      <c r="V19" s="371" t="s">
        <v>2540</v>
      </c>
      <c r="W19" s="371" t="s">
        <v>2541</v>
      </c>
      <c r="X19" s="371" t="s">
        <v>2542</v>
      </c>
      <c r="Y19" s="371" t="s">
        <v>2543</v>
      </c>
      <c r="Z19" s="371" t="s">
        <v>2544</v>
      </c>
      <c r="AA19" s="371" t="s">
        <v>2545</v>
      </c>
      <c r="AB19" s="371" t="s">
        <v>2546</v>
      </c>
      <c r="AC19" s="371" t="s">
        <v>2547</v>
      </c>
      <c r="AD19" s="371" t="s">
        <v>2548</v>
      </c>
      <c r="AE19" s="371" t="s">
        <v>2549</v>
      </c>
      <c r="AF19" s="371" t="s">
        <v>2550</v>
      </c>
      <c r="AG19" s="378" t="s">
        <v>2551</v>
      </c>
      <c r="AH19" s="371" t="s">
        <v>2552</v>
      </c>
      <c r="AI19" s="371" t="s">
        <v>2553</v>
      </c>
      <c r="AJ19" s="371" t="s">
        <v>2554</v>
      </c>
      <c r="AK19" s="371" t="s">
        <v>1967</v>
      </c>
      <c r="AL19" s="371" t="s">
        <v>2555</v>
      </c>
      <c r="AM19" s="371" t="s">
        <v>2556</v>
      </c>
      <c r="AN19" s="371" t="s">
        <v>2557</v>
      </c>
      <c r="AO19" s="371" t="s">
        <v>2558</v>
      </c>
      <c r="AP19" s="125"/>
      <c r="AQ19" s="125"/>
      <c r="AR19" s="125"/>
      <c r="AS19" s="125"/>
      <c r="AT19" s="125"/>
      <c r="AU19" s="380"/>
      <c r="AV19" s="125"/>
      <c r="AW19" s="380"/>
      <c r="AX19" s="380"/>
      <c r="AY19" s="385" t="s">
        <v>2559</v>
      </c>
      <c r="AZ19" s="380"/>
      <c r="BA19" s="380"/>
      <c r="BB19" s="385" t="s">
        <v>1953</v>
      </c>
      <c r="BC19" s="385" t="s">
        <v>2560</v>
      </c>
      <c r="BD19" s="385" t="s">
        <v>1955</v>
      </c>
      <c r="BE19" s="125"/>
      <c r="BF19" s="380"/>
      <c r="BG19" s="125"/>
      <c r="BH19" s="390"/>
      <c r="BI19" s="125"/>
      <c r="BJ19" s="125"/>
      <c r="BK19" s="125"/>
    </row>
    <row r="20" spans="1:63" ht="15.6" x14ac:dyDescent="0.3">
      <c r="A20" s="124" t="s">
        <v>1956</v>
      </c>
      <c r="B20" s="372"/>
      <c r="C20" s="375"/>
      <c r="D20" s="377"/>
      <c r="E20" s="375"/>
      <c r="F20" s="377"/>
      <c r="G20" s="377"/>
      <c r="H20" s="375"/>
      <c r="I20" s="383"/>
      <c r="J20" s="375"/>
      <c r="K20" s="386"/>
      <c r="L20" s="380"/>
      <c r="M20" s="386"/>
      <c r="N20" s="386"/>
      <c r="O20" s="386"/>
      <c r="P20" s="386"/>
      <c r="Q20" s="262"/>
      <c r="R20" s="389"/>
      <c r="S20" s="380"/>
      <c r="T20" s="375"/>
      <c r="U20" s="375"/>
      <c r="V20" s="372"/>
      <c r="W20" s="372"/>
      <c r="X20" s="372"/>
      <c r="Y20" s="372"/>
      <c r="Z20" s="372"/>
      <c r="AA20" s="372"/>
      <c r="AB20" s="372"/>
      <c r="AC20" s="372"/>
      <c r="AD20" s="372"/>
      <c r="AE20" s="372"/>
      <c r="AF20" s="372"/>
      <c r="AG20" s="378"/>
      <c r="AH20" s="372"/>
      <c r="AI20" s="372"/>
      <c r="AJ20" s="372"/>
      <c r="AK20" s="372"/>
      <c r="AL20" s="372"/>
      <c r="AM20" s="372"/>
      <c r="AN20" s="372"/>
      <c r="AO20" s="372"/>
      <c r="AP20" s="125"/>
      <c r="AQ20" s="125"/>
      <c r="AR20" s="125"/>
      <c r="AS20" s="125"/>
      <c r="AT20" s="125"/>
      <c r="AU20" s="380"/>
      <c r="AV20" s="125"/>
      <c r="AW20" s="380"/>
      <c r="AX20" s="380"/>
      <c r="AY20" s="386"/>
      <c r="AZ20" s="380"/>
      <c r="BA20" s="380"/>
      <c r="BB20" s="386"/>
      <c r="BC20" s="386"/>
      <c r="BD20" s="386"/>
      <c r="BE20" s="125"/>
      <c r="BF20" s="380"/>
      <c r="BG20" s="125"/>
      <c r="BH20" s="391" t="s">
        <v>2561</v>
      </c>
      <c r="BI20" s="125"/>
      <c r="BJ20" s="125"/>
      <c r="BK20" s="125"/>
    </row>
    <row r="21" spans="1:63" ht="15.6" x14ac:dyDescent="0.3">
      <c r="A21" s="124" t="s">
        <v>1958</v>
      </c>
      <c r="B21" s="373"/>
      <c r="C21" s="376"/>
      <c r="D21" s="377"/>
      <c r="E21" s="376"/>
      <c r="F21" s="377"/>
      <c r="G21" s="377"/>
      <c r="H21" s="376"/>
      <c r="I21" s="383"/>
      <c r="J21" s="376"/>
      <c r="K21" s="387"/>
      <c r="L21" s="380"/>
      <c r="M21" s="387"/>
      <c r="N21" s="387"/>
      <c r="O21" s="387"/>
      <c r="P21" s="387"/>
      <c r="Q21" s="262"/>
      <c r="R21" s="390"/>
      <c r="S21" s="381"/>
      <c r="T21" s="376"/>
      <c r="U21" s="376"/>
      <c r="V21" s="373"/>
      <c r="W21" s="373"/>
      <c r="X21" s="373"/>
      <c r="Y21" s="373"/>
      <c r="Z21" s="373"/>
      <c r="AA21" s="373"/>
      <c r="AB21" s="373"/>
      <c r="AC21" s="373"/>
      <c r="AD21" s="373"/>
      <c r="AE21" s="373"/>
      <c r="AF21" s="373"/>
      <c r="AG21" s="262" t="s">
        <v>1734</v>
      </c>
      <c r="AH21" s="373"/>
      <c r="AI21" s="373"/>
      <c r="AJ21" s="373"/>
      <c r="AK21" s="373"/>
      <c r="AL21" s="373"/>
      <c r="AM21" s="373"/>
      <c r="AN21" s="373"/>
      <c r="AO21" s="373"/>
      <c r="AP21" s="125"/>
      <c r="AQ21" s="125"/>
      <c r="AR21" s="125"/>
      <c r="AS21" s="125"/>
      <c r="AT21" s="125"/>
      <c r="AU21" s="381"/>
      <c r="AV21" s="125"/>
      <c r="AW21" s="381"/>
      <c r="AX21" s="381"/>
      <c r="AY21" s="387"/>
      <c r="AZ21" s="381"/>
      <c r="BA21" s="381"/>
      <c r="BB21" s="387"/>
      <c r="BC21" s="387"/>
      <c r="BD21" s="387"/>
      <c r="BE21" s="125"/>
      <c r="BF21" s="381"/>
      <c r="BG21" s="125"/>
      <c r="BH21" s="392"/>
      <c r="BI21" s="125"/>
      <c r="BJ21" s="125"/>
      <c r="BK21" s="125"/>
    </row>
    <row r="22" spans="1:63" ht="15.75" customHeight="1" x14ac:dyDescent="0.3">
      <c r="A22" s="124" t="s">
        <v>1959</v>
      </c>
      <c r="B22" s="262" t="s">
        <v>1734</v>
      </c>
      <c r="C22" s="377" t="s">
        <v>2562</v>
      </c>
      <c r="D22" s="377" t="s">
        <v>2563</v>
      </c>
      <c r="E22" s="374" t="s">
        <v>1962</v>
      </c>
      <c r="F22" s="377" t="s">
        <v>2564</v>
      </c>
      <c r="G22" s="377"/>
      <c r="H22" s="377" t="s">
        <v>2565</v>
      </c>
      <c r="I22" s="383"/>
      <c r="J22" s="385" t="s">
        <v>2566</v>
      </c>
      <c r="K22" s="262" t="s">
        <v>1734</v>
      </c>
      <c r="L22" s="380"/>
      <c r="M22" s="262" t="s">
        <v>1734</v>
      </c>
      <c r="N22" s="262" t="s">
        <v>1734</v>
      </c>
      <c r="O22" s="385" t="s">
        <v>1966</v>
      </c>
      <c r="P22" s="379" t="s">
        <v>2567</v>
      </c>
      <c r="Q22" s="262"/>
      <c r="R22" s="378" t="s">
        <v>2568</v>
      </c>
      <c r="S22" s="374" t="s">
        <v>1967</v>
      </c>
      <c r="T22" s="374" t="s">
        <v>1968</v>
      </c>
      <c r="U22" s="374" t="s">
        <v>1969</v>
      </c>
      <c r="V22" s="262" t="s">
        <v>1734</v>
      </c>
      <c r="W22" s="371" t="s">
        <v>2569</v>
      </c>
      <c r="X22" s="262" t="s">
        <v>1734</v>
      </c>
      <c r="Y22" s="371" t="s">
        <v>2570</v>
      </c>
      <c r="Z22" s="371" t="s">
        <v>2571</v>
      </c>
      <c r="AA22" s="371" t="s">
        <v>2544</v>
      </c>
      <c r="AB22" s="262" t="s">
        <v>1734</v>
      </c>
      <c r="AC22" s="371" t="s">
        <v>2572</v>
      </c>
      <c r="AD22" s="371" t="s">
        <v>2573</v>
      </c>
      <c r="AE22" s="262" t="s">
        <v>1734</v>
      </c>
      <c r="AF22" s="371" t="s">
        <v>2574</v>
      </c>
      <c r="AG22" s="125"/>
      <c r="AH22" s="262" t="s">
        <v>1734</v>
      </c>
      <c r="AI22" s="262" t="s">
        <v>1734</v>
      </c>
      <c r="AJ22" s="262" t="s">
        <v>1734</v>
      </c>
      <c r="AK22" s="379" t="s">
        <v>2575</v>
      </c>
      <c r="AL22" s="262" t="s">
        <v>1734</v>
      </c>
      <c r="AM22" s="262" t="s">
        <v>1734</v>
      </c>
      <c r="AN22" s="262" t="s">
        <v>1734</v>
      </c>
      <c r="AO22" s="262" t="s">
        <v>1734</v>
      </c>
      <c r="AP22" s="125"/>
      <c r="AQ22" s="125"/>
      <c r="AR22" s="125"/>
      <c r="AS22" s="125"/>
      <c r="AT22" s="125"/>
      <c r="AU22" s="262" t="s">
        <v>1734</v>
      </c>
      <c r="AV22" s="125"/>
      <c r="AW22" s="379" t="s">
        <v>2576</v>
      </c>
      <c r="AX22" s="379" t="s">
        <v>2577</v>
      </c>
      <c r="AY22" s="379" t="s">
        <v>2578</v>
      </c>
      <c r="AZ22" s="379" t="s">
        <v>2579</v>
      </c>
      <c r="BA22" s="379" t="s">
        <v>2580</v>
      </c>
      <c r="BB22" s="262" t="s">
        <v>1734</v>
      </c>
      <c r="BC22" s="385" t="s">
        <v>1979</v>
      </c>
      <c r="BD22" s="379" t="s">
        <v>2581</v>
      </c>
      <c r="BE22" s="125"/>
      <c r="BF22" s="262" t="s">
        <v>1734</v>
      </c>
      <c r="BG22" s="125"/>
      <c r="BH22" s="392"/>
      <c r="BI22" s="125"/>
      <c r="BJ22" s="125"/>
      <c r="BK22" s="125"/>
    </row>
    <row r="23" spans="1:63" ht="15.6" x14ac:dyDescent="0.3">
      <c r="A23" s="124" t="s">
        <v>1980</v>
      </c>
      <c r="B23" s="262"/>
      <c r="C23" s="377"/>
      <c r="D23" s="377"/>
      <c r="E23" s="375"/>
      <c r="F23" s="377"/>
      <c r="G23" s="262" t="s">
        <v>1734</v>
      </c>
      <c r="H23" s="377"/>
      <c r="I23" s="383"/>
      <c r="J23" s="386"/>
      <c r="K23" s="125"/>
      <c r="L23" s="380"/>
      <c r="M23" s="125"/>
      <c r="N23" s="125"/>
      <c r="O23" s="386"/>
      <c r="P23" s="380"/>
      <c r="Q23" s="262"/>
      <c r="R23" s="378"/>
      <c r="S23" s="375"/>
      <c r="T23" s="375"/>
      <c r="U23" s="375"/>
      <c r="V23" s="125"/>
      <c r="W23" s="372"/>
      <c r="X23" s="125"/>
      <c r="Y23" s="372"/>
      <c r="Z23" s="372"/>
      <c r="AA23" s="372"/>
      <c r="AB23" s="125"/>
      <c r="AC23" s="372"/>
      <c r="AD23" s="372"/>
      <c r="AE23" s="125"/>
      <c r="AF23" s="372"/>
      <c r="AG23" s="125"/>
      <c r="AH23" s="125"/>
      <c r="AI23" s="125"/>
      <c r="AJ23" s="125"/>
      <c r="AK23" s="380"/>
      <c r="AL23" s="125"/>
      <c r="AM23" s="125"/>
      <c r="AN23" s="125"/>
      <c r="AO23" s="125"/>
      <c r="AP23" s="125"/>
      <c r="AQ23" s="125"/>
      <c r="AR23" s="125"/>
      <c r="AS23" s="125"/>
      <c r="AT23" s="125"/>
      <c r="AU23" s="125"/>
      <c r="AV23" s="125"/>
      <c r="AW23" s="380"/>
      <c r="AX23" s="380"/>
      <c r="AY23" s="380"/>
      <c r="AZ23" s="380"/>
      <c r="BA23" s="380"/>
      <c r="BB23" s="125"/>
      <c r="BC23" s="386"/>
      <c r="BD23" s="380"/>
      <c r="BE23" s="125"/>
      <c r="BF23" s="125"/>
      <c r="BG23" s="125"/>
      <c r="BH23" s="392"/>
      <c r="BI23" s="125"/>
      <c r="BJ23" s="125"/>
      <c r="BK23" s="125"/>
    </row>
    <row r="24" spans="1:63" ht="15.6" x14ac:dyDescent="0.3">
      <c r="A24" s="124" t="s">
        <v>1981</v>
      </c>
      <c r="B24" s="262"/>
      <c r="C24" s="377"/>
      <c r="D24" s="377"/>
      <c r="E24" s="376"/>
      <c r="F24" s="377"/>
      <c r="G24" s="262"/>
      <c r="H24" s="377"/>
      <c r="I24" s="384"/>
      <c r="J24" s="387"/>
      <c r="K24" s="125"/>
      <c r="L24" s="381"/>
      <c r="M24" s="125"/>
      <c r="N24" s="125"/>
      <c r="O24" s="387"/>
      <c r="P24" s="380"/>
      <c r="Q24" s="262"/>
      <c r="R24" s="262" t="s">
        <v>1734</v>
      </c>
      <c r="S24" s="376"/>
      <c r="T24" s="376"/>
      <c r="U24" s="376"/>
      <c r="V24" s="125"/>
      <c r="W24" s="373"/>
      <c r="X24" s="125"/>
      <c r="Y24" s="373"/>
      <c r="Z24" s="373"/>
      <c r="AA24" s="373"/>
      <c r="AB24" s="125"/>
      <c r="AC24" s="373"/>
      <c r="AD24" s="373"/>
      <c r="AE24" s="125"/>
      <c r="AF24" s="373"/>
      <c r="AG24" s="125"/>
      <c r="AH24" s="125"/>
      <c r="AI24" s="125"/>
      <c r="AJ24" s="125"/>
      <c r="AK24" s="380"/>
      <c r="AL24" s="125"/>
      <c r="AM24" s="125"/>
      <c r="AN24" s="125"/>
      <c r="AO24" s="125"/>
      <c r="AP24" s="125"/>
      <c r="AQ24" s="125"/>
      <c r="AR24" s="125"/>
      <c r="AS24" s="125"/>
      <c r="AT24" s="125"/>
      <c r="AU24" s="125"/>
      <c r="AV24" s="125"/>
      <c r="AW24" s="380"/>
      <c r="AX24" s="380"/>
      <c r="AY24" s="380"/>
      <c r="AZ24" s="380"/>
      <c r="BA24" s="380"/>
      <c r="BB24" s="125"/>
      <c r="BC24" s="387"/>
      <c r="BD24" s="380"/>
      <c r="BE24" s="125"/>
      <c r="BF24" s="125"/>
      <c r="BG24" s="125"/>
      <c r="BH24" s="392"/>
      <c r="BI24" s="125"/>
      <c r="BJ24" s="125"/>
      <c r="BK24" s="125"/>
    </row>
    <row r="25" spans="1:63" ht="15.75" customHeight="1" x14ac:dyDescent="0.3">
      <c r="A25" s="124" t="s">
        <v>1982</v>
      </c>
      <c r="B25" s="262"/>
      <c r="C25" s="377"/>
      <c r="D25" s="377"/>
      <c r="E25" s="262" t="s">
        <v>1734</v>
      </c>
      <c r="F25" s="377"/>
      <c r="G25" s="262"/>
      <c r="H25" s="377"/>
      <c r="I25" s="262" t="s">
        <v>1734</v>
      </c>
      <c r="J25" s="262" t="s">
        <v>1734</v>
      </c>
      <c r="K25" s="125"/>
      <c r="L25" s="327" t="s">
        <v>1734</v>
      </c>
      <c r="M25" s="125"/>
      <c r="N25" s="125"/>
      <c r="O25" s="262" t="s">
        <v>1734</v>
      </c>
      <c r="P25" s="380"/>
      <c r="Q25" s="125"/>
      <c r="R25" s="262"/>
      <c r="S25" s="262" t="s">
        <v>1734</v>
      </c>
      <c r="T25" s="262" t="s">
        <v>1734</v>
      </c>
      <c r="U25" s="262" t="s">
        <v>1734</v>
      </c>
      <c r="V25" s="262"/>
      <c r="W25" s="262" t="s">
        <v>1734</v>
      </c>
      <c r="X25" s="125"/>
      <c r="Y25" s="262" t="s">
        <v>1734</v>
      </c>
      <c r="Z25" s="262" t="s">
        <v>1734</v>
      </c>
      <c r="AA25" s="262" t="s">
        <v>1734</v>
      </c>
      <c r="AB25" s="125"/>
      <c r="AC25" s="262" t="s">
        <v>1734</v>
      </c>
      <c r="AD25" s="262" t="s">
        <v>1734</v>
      </c>
      <c r="AE25" s="125"/>
      <c r="AF25" s="262" t="s">
        <v>1734</v>
      </c>
      <c r="AG25" s="125"/>
      <c r="AH25" s="125"/>
      <c r="AI25" s="125"/>
      <c r="AJ25" s="125"/>
      <c r="AK25" s="380"/>
      <c r="AL25" s="125"/>
      <c r="AM25" s="125"/>
      <c r="AN25" s="125"/>
      <c r="AO25" s="125"/>
      <c r="AP25" s="125"/>
      <c r="AQ25" s="125"/>
      <c r="AR25" s="125"/>
      <c r="AS25" s="125"/>
      <c r="AT25" s="125"/>
      <c r="AU25" s="125"/>
      <c r="AV25" s="125"/>
      <c r="AW25" s="380"/>
      <c r="AX25" s="380"/>
      <c r="AY25" s="380"/>
      <c r="AZ25" s="380"/>
      <c r="BA25" s="380"/>
      <c r="BB25" s="125"/>
      <c r="BC25" s="262" t="s">
        <v>1734</v>
      </c>
      <c r="BD25" s="380"/>
      <c r="BE25" s="125"/>
      <c r="BF25" s="125"/>
      <c r="BG25" s="125"/>
      <c r="BH25" s="393"/>
      <c r="BI25" s="125"/>
      <c r="BJ25" s="125"/>
      <c r="BK25" s="125"/>
    </row>
    <row r="26" spans="1:63" ht="15.6" x14ac:dyDescent="0.3">
      <c r="A26" s="124" t="s">
        <v>1983</v>
      </c>
      <c r="B26" s="262"/>
      <c r="C26" s="262" t="s">
        <v>1734</v>
      </c>
      <c r="D26" s="262" t="s">
        <v>1734</v>
      </c>
      <c r="E26" s="262"/>
      <c r="F26" s="262" t="s">
        <v>1734</v>
      </c>
      <c r="G26" s="262"/>
      <c r="H26" s="262" t="s">
        <v>1734</v>
      </c>
      <c r="I26" s="262"/>
      <c r="J26" s="262"/>
      <c r="K26" s="125"/>
      <c r="L26" s="125"/>
      <c r="M26" s="125"/>
      <c r="N26" s="125"/>
      <c r="O26" s="125"/>
      <c r="P26" s="380"/>
      <c r="Q26" s="125"/>
      <c r="R26" s="262"/>
      <c r="S26" s="262"/>
      <c r="T26" s="262"/>
      <c r="U26" s="262"/>
      <c r="V26" s="125"/>
      <c r="W26" s="125"/>
      <c r="X26" s="125"/>
      <c r="Y26" s="125"/>
      <c r="Z26" s="125"/>
      <c r="AA26" s="125"/>
      <c r="AB26" s="125"/>
      <c r="AC26" s="125"/>
      <c r="AD26" s="125"/>
      <c r="AE26" s="125"/>
      <c r="AF26" s="125"/>
      <c r="AG26" s="125"/>
      <c r="AH26" s="125"/>
      <c r="AI26" s="125"/>
      <c r="AJ26" s="125"/>
      <c r="AK26" s="380"/>
      <c r="AL26" s="125"/>
      <c r="AM26" s="125"/>
      <c r="AN26" s="125"/>
      <c r="AO26" s="125"/>
      <c r="AP26" s="125"/>
      <c r="AQ26" s="125"/>
      <c r="AR26" s="125"/>
      <c r="AS26" s="125"/>
      <c r="AT26" s="125"/>
      <c r="AU26" s="125"/>
      <c r="AV26" s="125"/>
      <c r="AW26" s="380"/>
      <c r="AX26" s="380"/>
      <c r="AY26" s="380"/>
      <c r="AZ26" s="380"/>
      <c r="BA26" s="380"/>
      <c r="BB26" s="125"/>
      <c r="BC26" s="125"/>
      <c r="BD26" s="380"/>
      <c r="BE26" s="125"/>
      <c r="BF26" s="125"/>
      <c r="BG26" s="125"/>
      <c r="BH26" s="262" t="s">
        <v>1734</v>
      </c>
      <c r="BI26" s="125"/>
      <c r="BJ26" s="125"/>
      <c r="BK26" s="125"/>
    </row>
    <row r="27" spans="1:63" ht="15.6" x14ac:dyDescent="0.3">
      <c r="A27" s="124" t="s">
        <v>1984</v>
      </c>
      <c r="B27" s="262"/>
      <c r="C27" s="125"/>
      <c r="D27" s="125"/>
      <c r="E27" s="262"/>
      <c r="F27" s="262"/>
      <c r="G27" s="262"/>
      <c r="H27" s="262"/>
      <c r="I27" s="262"/>
      <c r="J27" s="262"/>
      <c r="K27" s="125"/>
      <c r="L27" s="125"/>
      <c r="M27" s="125"/>
      <c r="N27" s="125"/>
      <c r="O27" s="125"/>
      <c r="P27" s="381"/>
      <c r="Q27" s="125"/>
      <c r="R27" s="262"/>
      <c r="S27" s="262"/>
      <c r="T27" s="262"/>
      <c r="U27" s="262"/>
      <c r="V27" s="125"/>
      <c r="W27" s="125"/>
      <c r="X27" s="125"/>
      <c r="Y27" s="125"/>
      <c r="Z27" s="125"/>
      <c r="AA27" s="125"/>
      <c r="AB27" s="125"/>
      <c r="AC27" s="125"/>
      <c r="AD27" s="125"/>
      <c r="AE27" s="125"/>
      <c r="AF27" s="125"/>
      <c r="AG27" s="125"/>
      <c r="AH27" s="125"/>
      <c r="AI27" s="125"/>
      <c r="AJ27" s="125"/>
      <c r="AK27" s="381"/>
      <c r="AL27" s="125"/>
      <c r="AM27" s="125"/>
      <c r="AN27" s="125"/>
      <c r="AO27" s="125"/>
      <c r="AP27" s="125"/>
      <c r="AQ27" s="125"/>
      <c r="AR27" s="125"/>
      <c r="AS27" s="125"/>
      <c r="AT27" s="125"/>
      <c r="AU27" s="125"/>
      <c r="AV27" s="125"/>
      <c r="AW27" s="381"/>
      <c r="AX27" s="381"/>
      <c r="AY27" s="381"/>
      <c r="AZ27" s="381"/>
      <c r="BA27" s="381"/>
      <c r="BB27" s="125"/>
      <c r="BC27" s="125"/>
      <c r="BD27" s="381"/>
      <c r="BE27" s="125"/>
      <c r="BF27" s="125"/>
      <c r="BG27" s="125"/>
      <c r="BH27" s="125"/>
      <c r="BI27" s="125"/>
      <c r="BJ27" s="125"/>
      <c r="BK27" s="125"/>
    </row>
    <row r="28" spans="1:63" ht="15.6" x14ac:dyDescent="0.3">
      <c r="A28" s="124" t="s">
        <v>1985</v>
      </c>
      <c r="B28" s="262"/>
      <c r="C28" s="125"/>
      <c r="D28" s="125"/>
      <c r="E28" s="262"/>
      <c r="F28" s="262"/>
      <c r="G28" s="262"/>
      <c r="H28" s="262"/>
      <c r="I28" s="262"/>
      <c r="J28" s="262"/>
      <c r="K28" s="125"/>
      <c r="L28" s="125"/>
      <c r="M28" s="125"/>
      <c r="N28" s="125"/>
      <c r="O28" s="125"/>
      <c r="P28" s="262" t="s">
        <v>1734</v>
      </c>
      <c r="Q28" s="125"/>
      <c r="R28" s="262"/>
      <c r="S28" s="262"/>
      <c r="T28" s="262"/>
      <c r="U28" s="262"/>
      <c r="V28" s="125"/>
      <c r="W28" s="125"/>
      <c r="X28" s="125"/>
      <c r="Y28" s="125"/>
      <c r="Z28" s="125"/>
      <c r="AA28" s="125"/>
      <c r="AB28" s="125"/>
      <c r="AC28" s="125"/>
      <c r="AD28" s="125"/>
      <c r="AE28" s="125"/>
      <c r="AF28" s="125"/>
      <c r="AG28" s="125"/>
      <c r="AH28" s="125"/>
      <c r="AI28" s="125"/>
      <c r="AJ28" s="125"/>
      <c r="AK28" s="262" t="s">
        <v>1734</v>
      </c>
      <c r="AL28" s="125"/>
      <c r="AM28" s="125"/>
      <c r="AN28" s="125"/>
      <c r="AO28" s="125"/>
      <c r="AP28" s="125"/>
      <c r="AQ28" s="125"/>
      <c r="AR28" s="125"/>
      <c r="AS28" s="125"/>
      <c r="AT28" s="125"/>
      <c r="AU28" s="125"/>
      <c r="AV28" s="125"/>
      <c r="AW28" s="262" t="s">
        <v>1734</v>
      </c>
      <c r="AX28" s="262" t="s">
        <v>1734</v>
      </c>
      <c r="AY28" s="262" t="s">
        <v>1734</v>
      </c>
      <c r="AZ28" s="262" t="s">
        <v>1734</v>
      </c>
      <c r="BA28" s="262" t="s">
        <v>1734</v>
      </c>
      <c r="BB28" s="125"/>
      <c r="BC28" s="125"/>
      <c r="BD28" s="262" t="s">
        <v>1734</v>
      </c>
      <c r="BE28" s="125"/>
      <c r="BF28" s="125"/>
      <c r="BG28" s="125"/>
      <c r="BH28" s="125"/>
      <c r="BI28" s="125"/>
      <c r="BJ28" s="125"/>
      <c r="BK28" s="125"/>
    </row>
    <row r="29" spans="1:63" ht="15.6" x14ac:dyDescent="0.3">
      <c r="A29" s="124" t="s">
        <v>1986</v>
      </c>
      <c r="B29" s="262"/>
      <c r="C29" s="125"/>
      <c r="D29" s="125"/>
      <c r="E29" s="262"/>
      <c r="F29" s="262"/>
      <c r="G29" s="262"/>
      <c r="H29" s="262"/>
      <c r="I29" s="262"/>
      <c r="J29" s="262"/>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row>
    <row r="30" spans="1:63" ht="15.6" x14ac:dyDescent="0.3">
      <c r="A30" s="124" t="s">
        <v>1987</v>
      </c>
      <c r="B30" s="262"/>
      <c r="C30" s="262"/>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row>
    <row r="31" spans="1:63" ht="15.6" x14ac:dyDescent="0.3">
      <c r="A31" s="126" t="s">
        <v>1988</v>
      </c>
      <c r="B31" s="264"/>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row>
    <row r="32" spans="1:63" s="114" customFormat="1" ht="24" customHeight="1" thickBot="1" x14ac:dyDescent="0.35">
      <c r="A32" s="111" t="s">
        <v>1989</v>
      </c>
      <c r="B32" s="112">
        <f t="shared" ref="B32:AG32" ca="1" si="0">IF(COUNTA(B$4:B$31)=0,"",(COUNTA(TIME)-COUNTIF(B$33:B$60,TRUE))/COUNTA(TIME))</f>
        <v>1</v>
      </c>
      <c r="C32" s="113">
        <f t="shared" ca="1" si="0"/>
        <v>1</v>
      </c>
      <c r="D32" s="113">
        <f t="shared" ca="1" si="0"/>
        <v>1</v>
      </c>
      <c r="E32" s="113">
        <f t="shared" ca="1" si="0"/>
        <v>1</v>
      </c>
      <c r="F32" s="113">
        <f t="shared" ca="1" si="0"/>
        <v>1</v>
      </c>
      <c r="G32" s="113">
        <f t="shared" ca="1" si="0"/>
        <v>1</v>
      </c>
      <c r="H32" s="113">
        <f t="shared" ca="1" si="0"/>
        <v>1</v>
      </c>
      <c r="I32" s="113">
        <f t="shared" ca="1" si="0"/>
        <v>1</v>
      </c>
      <c r="J32" s="113">
        <f t="shared" ca="1" si="0"/>
        <v>1</v>
      </c>
      <c r="K32" s="113">
        <f t="shared" ca="1" si="0"/>
        <v>1</v>
      </c>
      <c r="L32" s="113">
        <f t="shared" ca="1" si="0"/>
        <v>1</v>
      </c>
      <c r="M32" s="113">
        <f t="shared" ca="1" si="0"/>
        <v>1</v>
      </c>
      <c r="N32" s="113">
        <f t="shared" ca="1" si="0"/>
        <v>1</v>
      </c>
      <c r="O32" s="113">
        <f t="shared" ca="1" si="0"/>
        <v>1</v>
      </c>
      <c r="P32" s="113">
        <f t="shared" ca="1" si="0"/>
        <v>1</v>
      </c>
      <c r="Q32" s="113">
        <f t="shared" ca="1" si="0"/>
        <v>1</v>
      </c>
      <c r="R32" s="113">
        <f t="shared" ca="1" si="0"/>
        <v>1</v>
      </c>
      <c r="S32" s="113">
        <f t="shared" ca="1" si="0"/>
        <v>1</v>
      </c>
      <c r="T32" s="113">
        <f t="shared" ca="1" si="0"/>
        <v>1</v>
      </c>
      <c r="U32" s="113">
        <f t="shared" ca="1" si="0"/>
        <v>1</v>
      </c>
      <c r="V32" s="113">
        <f t="shared" ca="1" si="0"/>
        <v>1</v>
      </c>
      <c r="W32" s="113">
        <f t="shared" ca="1" si="0"/>
        <v>1</v>
      </c>
      <c r="X32" s="113">
        <f t="shared" ca="1" si="0"/>
        <v>1</v>
      </c>
      <c r="Y32" s="113">
        <f t="shared" ca="1" si="0"/>
        <v>1</v>
      </c>
      <c r="Z32" s="113">
        <f t="shared" ca="1" si="0"/>
        <v>1</v>
      </c>
      <c r="AA32" s="113">
        <f t="shared" ca="1" si="0"/>
        <v>1</v>
      </c>
      <c r="AB32" s="113">
        <f t="shared" ca="1" si="0"/>
        <v>1</v>
      </c>
      <c r="AC32" s="113">
        <f t="shared" ca="1" si="0"/>
        <v>1</v>
      </c>
      <c r="AD32" s="113">
        <f t="shared" ca="1" si="0"/>
        <v>1</v>
      </c>
      <c r="AE32" s="113">
        <f t="shared" ca="1" si="0"/>
        <v>1</v>
      </c>
      <c r="AF32" s="113">
        <f t="shared" ca="1" si="0"/>
        <v>1</v>
      </c>
      <c r="AG32" s="113">
        <f t="shared" ca="1" si="0"/>
        <v>1</v>
      </c>
      <c r="AH32" s="113">
        <f t="shared" ref="AH32:BK32" ca="1" si="1">IF(COUNTA(AH$4:AH$31)=0,"",(COUNTA(TIME)-COUNTIF(AH$33:AH$60,TRUE))/COUNTA(TIME))</f>
        <v>1</v>
      </c>
      <c r="AI32" s="113">
        <f t="shared" ca="1" si="1"/>
        <v>1</v>
      </c>
      <c r="AJ32" s="113">
        <f t="shared" ca="1" si="1"/>
        <v>1</v>
      </c>
      <c r="AK32" s="113">
        <f t="shared" ca="1" si="1"/>
        <v>1</v>
      </c>
      <c r="AL32" s="113">
        <f t="shared" ca="1" si="1"/>
        <v>1</v>
      </c>
      <c r="AM32" s="113">
        <f t="shared" ca="1" si="1"/>
        <v>1</v>
      </c>
      <c r="AN32" s="113">
        <f t="shared" ca="1" si="1"/>
        <v>1</v>
      </c>
      <c r="AO32" s="113">
        <f t="shared" ca="1" si="1"/>
        <v>1</v>
      </c>
      <c r="AP32" s="113" t="str">
        <f t="shared" si="1"/>
        <v/>
      </c>
      <c r="AQ32" s="113" t="str">
        <f t="shared" si="1"/>
        <v/>
      </c>
      <c r="AR32" s="113" t="str">
        <f t="shared" si="1"/>
        <v/>
      </c>
      <c r="AS32" s="113" t="str">
        <f t="shared" si="1"/>
        <v/>
      </c>
      <c r="AT32" s="113" t="str">
        <f t="shared" si="1"/>
        <v/>
      </c>
      <c r="AU32" s="113">
        <f t="shared" ca="1" si="1"/>
        <v>1</v>
      </c>
      <c r="AV32" s="113">
        <f t="shared" ca="1" si="1"/>
        <v>1</v>
      </c>
      <c r="AW32" s="113">
        <f t="shared" ca="1" si="1"/>
        <v>1</v>
      </c>
      <c r="AX32" s="113">
        <f t="shared" ca="1" si="1"/>
        <v>1</v>
      </c>
      <c r="AY32" s="113">
        <f t="shared" ca="1" si="1"/>
        <v>1</v>
      </c>
      <c r="AZ32" s="113">
        <f t="shared" ca="1" si="1"/>
        <v>1</v>
      </c>
      <c r="BA32" s="113">
        <f t="shared" ca="1" si="1"/>
        <v>1</v>
      </c>
      <c r="BB32" s="113">
        <f t="shared" ca="1" si="1"/>
        <v>1</v>
      </c>
      <c r="BC32" s="113">
        <f t="shared" ca="1" si="1"/>
        <v>1</v>
      </c>
      <c r="BD32" s="113">
        <f t="shared" ca="1" si="1"/>
        <v>1</v>
      </c>
      <c r="BE32" s="113">
        <f t="shared" ca="1" si="1"/>
        <v>1</v>
      </c>
      <c r="BF32" s="113">
        <f t="shared" ca="1" si="1"/>
        <v>1</v>
      </c>
      <c r="BG32" s="113">
        <f t="shared" ca="1" si="1"/>
        <v>1</v>
      </c>
      <c r="BH32" s="113">
        <f t="shared" ca="1" si="1"/>
        <v>1</v>
      </c>
      <c r="BI32" s="113" t="str">
        <f t="shared" si="1"/>
        <v/>
      </c>
      <c r="BJ32" s="113" t="str">
        <f t="shared" si="1"/>
        <v/>
      </c>
      <c r="BK32" s="113" t="str">
        <f t="shared" si="1"/>
        <v/>
      </c>
    </row>
    <row r="33" spans="2:63" x14ac:dyDescent="0.3">
      <c r="B33" s="128" t="e" cm="1">
        <f t="array" aca="1" ref="B33" ca="1">Notmerged(B4)</f>
        <v>#NAME?</v>
      </c>
      <c r="C33" s="128" t="e" cm="1">
        <f t="array" aca="1" ref="C33" ca="1">Notmerged(C4)</f>
        <v>#NAME?</v>
      </c>
      <c r="D33" s="128" t="e" cm="1">
        <f t="array" aca="1" ref="D33" ca="1">Notmerged(D4)</f>
        <v>#NAME?</v>
      </c>
      <c r="E33" s="128" t="e" cm="1">
        <f t="array" aca="1" ref="E33" ca="1">Notmerged(E4)</f>
        <v>#NAME?</v>
      </c>
      <c r="F33" s="128" t="e" cm="1">
        <f t="array" aca="1" ref="F33" ca="1">Notmerged(F4)</f>
        <v>#NAME?</v>
      </c>
      <c r="G33" s="128" t="e" cm="1">
        <f t="array" aca="1" ref="G33" ca="1">Notmerged(G4)</f>
        <v>#NAME?</v>
      </c>
      <c r="H33" s="128" t="e" cm="1">
        <f t="array" aca="1" ref="H33" ca="1">Notmerged(H4)</f>
        <v>#NAME?</v>
      </c>
      <c r="I33" s="128" t="e" cm="1">
        <f t="array" aca="1" ref="I33" ca="1">Notmerged(I4)</f>
        <v>#NAME?</v>
      </c>
      <c r="J33" s="128" t="e" cm="1">
        <f t="array" aca="1" ref="J33" ca="1">Notmerged(J4)</f>
        <v>#NAME?</v>
      </c>
      <c r="K33" s="128" t="e" cm="1">
        <f t="array" aca="1" ref="K33" ca="1">Notmerged(K4)</f>
        <v>#NAME?</v>
      </c>
      <c r="L33" s="128" t="e" cm="1">
        <f t="array" aca="1" ref="L33" ca="1">Notmerged(L4)</f>
        <v>#NAME?</v>
      </c>
      <c r="M33" s="128" t="e" cm="1">
        <f t="array" aca="1" ref="M33" ca="1">Notmerged(M4)</f>
        <v>#NAME?</v>
      </c>
      <c r="N33" s="128" t="e" cm="1">
        <f t="array" aca="1" ref="N33" ca="1">Notmerged(N4)</f>
        <v>#NAME?</v>
      </c>
      <c r="O33" s="128" t="e" cm="1">
        <f t="array" aca="1" ref="O33" ca="1">Notmerged(O4)</f>
        <v>#NAME?</v>
      </c>
      <c r="P33" s="128" t="e" cm="1">
        <f t="array" aca="1" ref="P33" ca="1">Notmerged(P4)</f>
        <v>#NAME?</v>
      </c>
      <c r="Q33" s="128" t="e" cm="1">
        <f t="array" aca="1" ref="Q33" ca="1">Notmerged(Q4)</f>
        <v>#NAME?</v>
      </c>
      <c r="R33" s="128" t="e" cm="1">
        <f t="array" aca="1" ref="R33" ca="1">Notmerged(R4)</f>
        <v>#NAME?</v>
      </c>
      <c r="S33" s="128" t="e" cm="1">
        <f t="array" aca="1" ref="S33" ca="1">Notmerged(S4)</f>
        <v>#NAME?</v>
      </c>
      <c r="T33" s="128" t="e" cm="1">
        <f t="array" aca="1" ref="T33" ca="1">Notmerged(T4)</f>
        <v>#NAME?</v>
      </c>
      <c r="U33" s="128" t="e" cm="1">
        <f t="array" aca="1" ref="U33" ca="1">Notmerged(U4)</f>
        <v>#NAME?</v>
      </c>
      <c r="V33" s="128" t="e" cm="1">
        <f t="array" aca="1" ref="V33" ca="1">Notmerged(V4)</f>
        <v>#NAME?</v>
      </c>
      <c r="W33" s="128" t="e" cm="1">
        <f t="array" aca="1" ref="W33" ca="1">Notmerged(W4)</f>
        <v>#NAME?</v>
      </c>
      <c r="X33" s="128" t="e" cm="1">
        <f t="array" aca="1" ref="X33" ca="1">Notmerged(X4)</f>
        <v>#NAME?</v>
      </c>
      <c r="Y33" s="128" t="e" cm="1">
        <f t="array" aca="1" ref="Y33" ca="1">Notmerged(Y4)</f>
        <v>#NAME?</v>
      </c>
      <c r="Z33" s="128" t="e" cm="1">
        <f t="array" aca="1" ref="Z33" ca="1">Notmerged(Z4)</f>
        <v>#NAME?</v>
      </c>
      <c r="AA33" s="128" t="e" cm="1">
        <f t="array" aca="1" ref="AA33" ca="1">Notmerged(AA4)</f>
        <v>#NAME?</v>
      </c>
      <c r="AB33" s="128" t="e" cm="1">
        <f t="array" aca="1" ref="AB33" ca="1">Notmerged(AB4)</f>
        <v>#NAME?</v>
      </c>
      <c r="AC33" s="128" t="e" cm="1">
        <f t="array" aca="1" ref="AC33" ca="1">Notmerged(AC4)</f>
        <v>#NAME?</v>
      </c>
      <c r="AD33" s="128" t="e" cm="1">
        <f t="array" aca="1" ref="AD33" ca="1">Notmerged(AD4)</f>
        <v>#NAME?</v>
      </c>
      <c r="AE33" s="128" t="e" cm="1">
        <f t="array" aca="1" ref="AE33" ca="1">Notmerged(AE4)</f>
        <v>#NAME?</v>
      </c>
      <c r="AF33" s="128" t="e" cm="1">
        <f t="array" aca="1" ref="AF33" ca="1">Notmerged(AF4)</f>
        <v>#NAME?</v>
      </c>
      <c r="AG33" s="128" t="e" cm="1">
        <f t="array" aca="1" ref="AG33" ca="1">Notmerged(AG4)</f>
        <v>#NAME?</v>
      </c>
      <c r="AH33" s="128" t="e" cm="1">
        <f t="array" aca="1" ref="AH33" ca="1">Notmerged(AH4)</f>
        <v>#NAME?</v>
      </c>
      <c r="AI33" s="128" t="e" cm="1">
        <f t="array" aca="1" ref="AI33" ca="1">Notmerged(AI4)</f>
        <v>#NAME?</v>
      </c>
      <c r="AJ33" s="128" t="e" cm="1">
        <f t="array" aca="1" ref="AJ33" ca="1">Notmerged(AJ4)</f>
        <v>#NAME?</v>
      </c>
      <c r="AK33" s="128" t="e" cm="1">
        <f t="array" aca="1" ref="AK33" ca="1">Notmerged(AK4)</f>
        <v>#NAME?</v>
      </c>
      <c r="AL33" s="128" t="e" cm="1">
        <f t="array" aca="1" ref="AL33" ca="1">Notmerged(AL4)</f>
        <v>#NAME?</v>
      </c>
      <c r="AM33" s="128" t="e" cm="1">
        <f t="array" aca="1" ref="AM33" ca="1">Notmerged(AM4)</f>
        <v>#NAME?</v>
      </c>
      <c r="AN33" s="128" t="e" cm="1">
        <f t="array" aca="1" ref="AN33" ca="1">Notmerged(AN4)</f>
        <v>#NAME?</v>
      </c>
      <c r="AO33" s="128" t="e" cm="1">
        <f t="array" aca="1" ref="AO33" ca="1">Notmerged(AO4)</f>
        <v>#NAME?</v>
      </c>
      <c r="AP33" s="128" t="e" cm="1">
        <f t="array" aca="1" ref="AP33" ca="1">Notmerged(AP4)</f>
        <v>#NAME?</v>
      </c>
      <c r="AQ33" s="128" t="e" cm="1">
        <f t="array" aca="1" ref="AQ33" ca="1">Notmerged(AQ4)</f>
        <v>#NAME?</v>
      </c>
      <c r="AR33" s="128" t="e" cm="1">
        <f t="array" aca="1" ref="AR33" ca="1">Notmerged(AR4)</f>
        <v>#NAME?</v>
      </c>
      <c r="AS33" s="128" t="e" cm="1">
        <f t="array" aca="1" ref="AS33" ca="1">Notmerged(AS4)</f>
        <v>#NAME?</v>
      </c>
      <c r="AT33" s="128" t="e" cm="1">
        <f t="array" aca="1" ref="AT33" ca="1">Notmerged(AT4)</f>
        <v>#NAME?</v>
      </c>
      <c r="AU33" s="128" t="e" cm="1">
        <f t="array" aca="1" ref="AU33" ca="1">Notmerged(AU4)</f>
        <v>#NAME?</v>
      </c>
      <c r="AV33" s="128" t="e" cm="1">
        <f t="array" aca="1" ref="AV33" ca="1">Notmerged(AV4)</f>
        <v>#NAME?</v>
      </c>
      <c r="AW33" s="128" t="e" cm="1">
        <f t="array" aca="1" ref="AW33" ca="1">Notmerged(AW4)</f>
        <v>#NAME?</v>
      </c>
      <c r="AX33" s="128" t="e" cm="1">
        <f t="array" aca="1" ref="AX33" ca="1">Notmerged(AX4)</f>
        <v>#NAME?</v>
      </c>
      <c r="AY33" s="128" t="e" cm="1">
        <f t="array" aca="1" ref="AY33" ca="1">Notmerged(AY4)</f>
        <v>#NAME?</v>
      </c>
      <c r="AZ33" s="128" t="e" cm="1">
        <f t="array" aca="1" ref="AZ33" ca="1">Notmerged(AZ4)</f>
        <v>#NAME?</v>
      </c>
      <c r="BA33" s="128" t="e" cm="1">
        <f t="array" aca="1" ref="BA33" ca="1">Notmerged(BA4)</f>
        <v>#NAME?</v>
      </c>
      <c r="BB33" s="128" t="e" cm="1">
        <f t="array" aca="1" ref="BB33" ca="1">Notmerged(BB4)</f>
        <v>#NAME?</v>
      </c>
      <c r="BC33" s="128" t="e" cm="1">
        <f t="array" aca="1" ref="BC33" ca="1">Notmerged(BC4)</f>
        <v>#NAME?</v>
      </c>
      <c r="BD33" s="128" t="e" cm="1">
        <f t="array" aca="1" ref="BD33" ca="1">Notmerged(BD4)</f>
        <v>#NAME?</v>
      </c>
      <c r="BE33" s="128" t="e" cm="1">
        <f t="array" aca="1" ref="BE33" ca="1">Notmerged(BE4)</f>
        <v>#NAME?</v>
      </c>
      <c r="BF33" s="128" t="e" cm="1">
        <f t="array" aca="1" ref="BF33" ca="1">Notmerged(BF4)</f>
        <v>#NAME?</v>
      </c>
      <c r="BG33" s="128" t="e" cm="1">
        <f t="array" aca="1" ref="BG33" ca="1">Notmerged(BG4)</f>
        <v>#NAME?</v>
      </c>
      <c r="BH33" s="128" t="e" cm="1">
        <f t="array" aca="1" ref="BH33" ca="1">Notmerged(BH4)</f>
        <v>#NAME?</v>
      </c>
      <c r="BI33" s="128" t="e" cm="1">
        <f t="array" aca="1" ref="BI33" ca="1">Notmerged(BI4)</f>
        <v>#NAME?</v>
      </c>
      <c r="BJ33" s="128" t="e" cm="1">
        <f t="array" aca="1" ref="BJ33" ca="1">Notmerged(BJ4)</f>
        <v>#NAME?</v>
      </c>
      <c r="BK33" s="128" t="e" cm="1">
        <f t="array" aca="1" ref="BK33" ca="1">Notmerged(BK4)</f>
        <v>#NAME?</v>
      </c>
    </row>
    <row r="34" spans="2:63" x14ac:dyDescent="0.3">
      <c r="B34" s="128" t="e" cm="1">
        <f t="array" aca="1" ref="B34" ca="1">Notmerged(B5)</f>
        <v>#NAME?</v>
      </c>
      <c r="C34" s="128" t="e" cm="1">
        <f t="array" aca="1" ref="C34" ca="1">Notmerged(C5)</f>
        <v>#NAME?</v>
      </c>
      <c r="D34" s="128" t="e" cm="1">
        <f t="array" aca="1" ref="D34" ca="1">Notmerged(D5)</f>
        <v>#NAME?</v>
      </c>
      <c r="E34" s="128" t="e" cm="1">
        <f t="array" aca="1" ref="E34" ca="1">Notmerged(E5)</f>
        <v>#NAME?</v>
      </c>
      <c r="F34" s="128" t="e" cm="1">
        <f t="array" aca="1" ref="F34" ca="1">Notmerged(F5)</f>
        <v>#NAME?</v>
      </c>
      <c r="G34" s="128" t="e" cm="1">
        <f t="array" aca="1" ref="G34" ca="1">Notmerged(G5)</f>
        <v>#NAME?</v>
      </c>
      <c r="H34" s="128" t="e" cm="1">
        <f t="array" aca="1" ref="H34" ca="1">Notmerged(H5)</f>
        <v>#NAME?</v>
      </c>
      <c r="I34" s="128" t="e" cm="1">
        <f t="array" aca="1" ref="I34" ca="1">Notmerged(I5)</f>
        <v>#NAME?</v>
      </c>
      <c r="J34" s="128" t="e" cm="1">
        <f t="array" aca="1" ref="J34" ca="1">Notmerged(J5)</f>
        <v>#NAME?</v>
      </c>
      <c r="K34" s="128" t="e" cm="1">
        <f t="array" aca="1" ref="K34" ca="1">Notmerged(K5)</f>
        <v>#NAME?</v>
      </c>
      <c r="L34" s="128" t="e" cm="1">
        <f t="array" aca="1" ref="L34" ca="1">Notmerged(L5)</f>
        <v>#NAME?</v>
      </c>
      <c r="M34" s="128" t="e" cm="1">
        <f t="array" aca="1" ref="M34" ca="1">Notmerged(M5)</f>
        <v>#NAME?</v>
      </c>
      <c r="N34" s="128" t="e" cm="1">
        <f t="array" aca="1" ref="N34" ca="1">Notmerged(N5)</f>
        <v>#NAME?</v>
      </c>
      <c r="O34" s="128" t="e" cm="1">
        <f t="array" aca="1" ref="O34" ca="1">Notmerged(O5)</f>
        <v>#NAME?</v>
      </c>
      <c r="P34" s="128" t="e" cm="1">
        <f t="array" aca="1" ref="P34" ca="1">Notmerged(P5)</f>
        <v>#NAME?</v>
      </c>
      <c r="Q34" s="128" t="e" cm="1">
        <f t="array" aca="1" ref="Q34" ca="1">Notmerged(Q5)</f>
        <v>#NAME?</v>
      </c>
      <c r="R34" s="128" t="e" cm="1">
        <f t="array" aca="1" ref="R34" ca="1">Notmerged(R5)</f>
        <v>#NAME?</v>
      </c>
      <c r="S34" s="128" t="e" cm="1">
        <f t="array" aca="1" ref="S34" ca="1">Notmerged(S5)</f>
        <v>#NAME?</v>
      </c>
      <c r="T34" s="128" t="e" cm="1">
        <f t="array" aca="1" ref="T34" ca="1">Notmerged(T5)</f>
        <v>#NAME?</v>
      </c>
      <c r="U34" s="128" t="e" cm="1">
        <f t="array" aca="1" ref="U34" ca="1">Notmerged(U5)</f>
        <v>#NAME?</v>
      </c>
      <c r="V34" s="128" t="e" cm="1">
        <f t="array" aca="1" ref="V34" ca="1">Notmerged(V5)</f>
        <v>#NAME?</v>
      </c>
      <c r="W34" s="128" t="e" cm="1">
        <f t="array" aca="1" ref="W34" ca="1">Notmerged(W5)</f>
        <v>#NAME?</v>
      </c>
      <c r="X34" s="128" t="e" cm="1">
        <f t="array" aca="1" ref="X34" ca="1">Notmerged(X5)</f>
        <v>#NAME?</v>
      </c>
      <c r="Y34" s="128" t="e" cm="1">
        <f t="array" aca="1" ref="Y34" ca="1">Notmerged(Y5)</f>
        <v>#NAME?</v>
      </c>
      <c r="Z34" s="128" t="e" cm="1">
        <f t="array" aca="1" ref="Z34" ca="1">Notmerged(Z5)</f>
        <v>#NAME?</v>
      </c>
      <c r="AA34" s="128" t="e" cm="1">
        <f t="array" aca="1" ref="AA34" ca="1">Notmerged(AA5)</f>
        <v>#NAME?</v>
      </c>
      <c r="AB34" s="128" t="e" cm="1">
        <f t="array" aca="1" ref="AB34" ca="1">Notmerged(AB5)</f>
        <v>#NAME?</v>
      </c>
      <c r="AC34" s="128" t="e" cm="1">
        <f t="array" aca="1" ref="AC34" ca="1">Notmerged(AC5)</f>
        <v>#NAME?</v>
      </c>
      <c r="AD34" s="128" t="e" cm="1">
        <f t="array" aca="1" ref="AD34" ca="1">Notmerged(AD5)</f>
        <v>#NAME?</v>
      </c>
      <c r="AE34" s="128" t="e" cm="1">
        <f t="array" aca="1" ref="AE34" ca="1">Notmerged(AE5)</f>
        <v>#NAME?</v>
      </c>
      <c r="AF34" s="128" t="e" cm="1">
        <f t="array" aca="1" ref="AF34" ca="1">Notmerged(AF5)</f>
        <v>#NAME?</v>
      </c>
      <c r="AG34" s="128" t="e" cm="1">
        <f t="array" aca="1" ref="AG34" ca="1">Notmerged(AG5)</f>
        <v>#NAME?</v>
      </c>
      <c r="AH34" s="128" t="e" cm="1">
        <f t="array" aca="1" ref="AH34" ca="1">Notmerged(AH5)</f>
        <v>#NAME?</v>
      </c>
      <c r="AI34" s="128" t="e" cm="1">
        <f t="array" aca="1" ref="AI34" ca="1">Notmerged(AI5)</f>
        <v>#NAME?</v>
      </c>
      <c r="AJ34" s="128" t="e" cm="1">
        <f t="array" aca="1" ref="AJ34" ca="1">Notmerged(AJ5)</f>
        <v>#NAME?</v>
      </c>
      <c r="AK34" s="128" t="e" cm="1">
        <f t="array" aca="1" ref="AK34" ca="1">Notmerged(AK5)</f>
        <v>#NAME?</v>
      </c>
      <c r="AL34" s="128" t="e" cm="1">
        <f t="array" aca="1" ref="AL34" ca="1">Notmerged(AL5)</f>
        <v>#NAME?</v>
      </c>
      <c r="AM34" s="128" t="e" cm="1">
        <f t="array" aca="1" ref="AM34" ca="1">Notmerged(AM5)</f>
        <v>#NAME?</v>
      </c>
      <c r="AN34" s="128" t="e" cm="1">
        <f t="array" aca="1" ref="AN34" ca="1">Notmerged(AN5)</f>
        <v>#NAME?</v>
      </c>
      <c r="AO34" s="128" t="e" cm="1">
        <f t="array" aca="1" ref="AO34" ca="1">Notmerged(AO5)</f>
        <v>#NAME?</v>
      </c>
      <c r="AP34" s="128" t="e" cm="1">
        <f t="array" aca="1" ref="AP34" ca="1">Notmerged(AP5)</f>
        <v>#NAME?</v>
      </c>
      <c r="AQ34" s="128" t="e" cm="1">
        <f t="array" aca="1" ref="AQ34" ca="1">Notmerged(AQ5)</f>
        <v>#NAME?</v>
      </c>
      <c r="AR34" s="128" t="e" cm="1">
        <f t="array" aca="1" ref="AR34" ca="1">Notmerged(AR5)</f>
        <v>#NAME?</v>
      </c>
      <c r="AS34" s="128" t="e" cm="1">
        <f t="array" aca="1" ref="AS34" ca="1">Notmerged(AS5)</f>
        <v>#NAME?</v>
      </c>
      <c r="AT34" s="128" t="e" cm="1">
        <f t="array" aca="1" ref="AT34" ca="1">Notmerged(AT5)</f>
        <v>#NAME?</v>
      </c>
      <c r="AU34" s="128" t="e" cm="1">
        <f t="array" aca="1" ref="AU34" ca="1">Notmerged(AU5)</f>
        <v>#NAME?</v>
      </c>
      <c r="AV34" s="128" t="e" cm="1">
        <f t="array" aca="1" ref="AV34" ca="1">Notmerged(AV5)</f>
        <v>#NAME?</v>
      </c>
      <c r="AW34" s="128" t="e" cm="1">
        <f t="array" aca="1" ref="AW34" ca="1">Notmerged(AW5)</f>
        <v>#NAME?</v>
      </c>
      <c r="AX34" s="128" t="e" cm="1">
        <f t="array" aca="1" ref="AX34" ca="1">Notmerged(AX5)</f>
        <v>#NAME?</v>
      </c>
      <c r="AY34" s="128" t="e" cm="1">
        <f t="array" aca="1" ref="AY34" ca="1">Notmerged(AY5)</f>
        <v>#NAME?</v>
      </c>
      <c r="AZ34" s="128" t="e" cm="1">
        <f t="array" aca="1" ref="AZ34" ca="1">Notmerged(AZ5)</f>
        <v>#NAME?</v>
      </c>
      <c r="BA34" s="128" t="e" cm="1">
        <f t="array" aca="1" ref="BA34" ca="1">Notmerged(BA5)</f>
        <v>#NAME?</v>
      </c>
      <c r="BB34" s="128" t="e" cm="1">
        <f t="array" aca="1" ref="BB34" ca="1">Notmerged(BB5)</f>
        <v>#NAME?</v>
      </c>
      <c r="BC34" s="128" t="e" cm="1">
        <f t="array" aca="1" ref="BC34" ca="1">Notmerged(BC5)</f>
        <v>#NAME?</v>
      </c>
      <c r="BD34" s="128" t="e" cm="1">
        <f t="array" aca="1" ref="BD34" ca="1">Notmerged(BD5)</f>
        <v>#NAME?</v>
      </c>
      <c r="BE34" s="128" t="e" cm="1">
        <f t="array" aca="1" ref="BE34" ca="1">Notmerged(BE5)</f>
        <v>#NAME?</v>
      </c>
      <c r="BF34" s="128" t="e" cm="1">
        <f t="array" aca="1" ref="BF34" ca="1">Notmerged(BF5)</f>
        <v>#NAME?</v>
      </c>
      <c r="BG34" s="128" t="e" cm="1">
        <f t="array" aca="1" ref="BG34" ca="1">Notmerged(BG5)</f>
        <v>#NAME?</v>
      </c>
      <c r="BH34" s="128" t="e" cm="1">
        <f t="array" aca="1" ref="BH34" ca="1">Notmerged(BH5)</f>
        <v>#NAME?</v>
      </c>
      <c r="BI34" s="128" t="e" cm="1">
        <f t="array" aca="1" ref="BI34" ca="1">Notmerged(BI5)</f>
        <v>#NAME?</v>
      </c>
      <c r="BJ34" s="128" t="e" cm="1">
        <f t="array" aca="1" ref="BJ34" ca="1">Notmerged(BJ5)</f>
        <v>#NAME?</v>
      </c>
      <c r="BK34" s="128" t="e" cm="1">
        <f t="array" aca="1" ref="BK34" ca="1">Notmerged(BK5)</f>
        <v>#NAME?</v>
      </c>
    </row>
    <row r="35" spans="2:63" x14ac:dyDescent="0.3">
      <c r="B35" s="128" t="e" cm="1">
        <f t="array" aca="1" ref="B35" ca="1">Notmerged(B6)</f>
        <v>#NAME?</v>
      </c>
      <c r="C35" s="128" t="e" cm="1">
        <f t="array" aca="1" ref="C35" ca="1">Notmerged(C6)</f>
        <v>#NAME?</v>
      </c>
      <c r="D35" s="128" t="e" cm="1">
        <f t="array" aca="1" ref="D35" ca="1">Notmerged(D6)</f>
        <v>#NAME?</v>
      </c>
      <c r="E35" s="128" t="e" cm="1">
        <f t="array" aca="1" ref="E35" ca="1">Notmerged(E6)</f>
        <v>#NAME?</v>
      </c>
      <c r="F35" s="128" t="e" cm="1">
        <f t="array" aca="1" ref="F35" ca="1">Notmerged(F6)</f>
        <v>#NAME?</v>
      </c>
      <c r="G35" s="128" t="e" cm="1">
        <f t="array" aca="1" ref="G35" ca="1">Notmerged(G6)</f>
        <v>#NAME?</v>
      </c>
      <c r="H35" s="128" t="e" cm="1">
        <f t="array" aca="1" ref="H35" ca="1">Notmerged(H6)</f>
        <v>#NAME?</v>
      </c>
      <c r="I35" s="128" t="e" cm="1">
        <f t="array" aca="1" ref="I35" ca="1">Notmerged(I6)</f>
        <v>#NAME?</v>
      </c>
      <c r="J35" s="128" t="e" cm="1">
        <f t="array" aca="1" ref="J35" ca="1">Notmerged(J6)</f>
        <v>#NAME?</v>
      </c>
      <c r="K35" s="128" t="e" cm="1">
        <f t="array" aca="1" ref="K35" ca="1">Notmerged(K6)</f>
        <v>#NAME?</v>
      </c>
      <c r="L35" s="128" t="e" cm="1">
        <f t="array" aca="1" ref="L35" ca="1">Notmerged(L6)</f>
        <v>#NAME?</v>
      </c>
      <c r="M35" s="128" t="e" cm="1">
        <f t="array" aca="1" ref="M35" ca="1">Notmerged(M6)</f>
        <v>#NAME?</v>
      </c>
      <c r="N35" s="128" t="e" cm="1">
        <f t="array" aca="1" ref="N35" ca="1">Notmerged(N6)</f>
        <v>#NAME?</v>
      </c>
      <c r="O35" s="128" t="e" cm="1">
        <f t="array" aca="1" ref="O35" ca="1">Notmerged(O6)</f>
        <v>#NAME?</v>
      </c>
      <c r="P35" s="128" t="e" cm="1">
        <f t="array" aca="1" ref="P35" ca="1">Notmerged(P6)</f>
        <v>#NAME?</v>
      </c>
      <c r="Q35" s="128" t="e" cm="1">
        <f t="array" aca="1" ref="Q35" ca="1">Notmerged(Q6)</f>
        <v>#NAME?</v>
      </c>
      <c r="R35" s="128" t="e" cm="1">
        <f t="array" aca="1" ref="R35" ca="1">Notmerged(R6)</f>
        <v>#NAME?</v>
      </c>
      <c r="S35" s="128" t="e" cm="1">
        <f t="array" aca="1" ref="S35" ca="1">Notmerged(S6)</f>
        <v>#NAME?</v>
      </c>
      <c r="T35" s="128" t="e" cm="1">
        <f t="array" aca="1" ref="T35" ca="1">Notmerged(T6)</f>
        <v>#NAME?</v>
      </c>
      <c r="U35" s="128" t="e" cm="1">
        <f t="array" aca="1" ref="U35" ca="1">Notmerged(U6)</f>
        <v>#NAME?</v>
      </c>
      <c r="V35" s="128" t="e" cm="1">
        <f t="array" aca="1" ref="V35" ca="1">Notmerged(V6)</f>
        <v>#NAME?</v>
      </c>
      <c r="W35" s="128" t="e" cm="1">
        <f t="array" aca="1" ref="W35" ca="1">Notmerged(W6)</f>
        <v>#NAME?</v>
      </c>
      <c r="X35" s="128" t="e" cm="1">
        <f t="array" aca="1" ref="X35" ca="1">Notmerged(X6)</f>
        <v>#NAME?</v>
      </c>
      <c r="Y35" s="128" t="e" cm="1">
        <f t="array" aca="1" ref="Y35" ca="1">Notmerged(Y6)</f>
        <v>#NAME?</v>
      </c>
      <c r="Z35" s="128" t="e" cm="1">
        <f t="array" aca="1" ref="Z35" ca="1">Notmerged(Z6)</f>
        <v>#NAME?</v>
      </c>
      <c r="AA35" s="128" t="e" cm="1">
        <f t="array" aca="1" ref="AA35" ca="1">Notmerged(AA6)</f>
        <v>#NAME?</v>
      </c>
      <c r="AB35" s="128" t="e" cm="1">
        <f t="array" aca="1" ref="AB35" ca="1">Notmerged(AB6)</f>
        <v>#NAME?</v>
      </c>
      <c r="AC35" s="128" t="e" cm="1">
        <f t="array" aca="1" ref="AC35" ca="1">Notmerged(AC6)</f>
        <v>#NAME?</v>
      </c>
      <c r="AD35" s="128" t="e" cm="1">
        <f t="array" aca="1" ref="AD35" ca="1">Notmerged(AD6)</f>
        <v>#NAME?</v>
      </c>
      <c r="AE35" s="128" t="e" cm="1">
        <f t="array" aca="1" ref="AE35" ca="1">Notmerged(AE6)</f>
        <v>#NAME?</v>
      </c>
      <c r="AF35" s="128" t="e" cm="1">
        <f t="array" aca="1" ref="AF35" ca="1">Notmerged(AF6)</f>
        <v>#NAME?</v>
      </c>
      <c r="AG35" s="128" t="e" cm="1">
        <f t="array" aca="1" ref="AG35" ca="1">Notmerged(AG6)</f>
        <v>#NAME?</v>
      </c>
      <c r="AH35" s="128" t="e" cm="1">
        <f t="array" aca="1" ref="AH35" ca="1">Notmerged(AH6)</f>
        <v>#NAME?</v>
      </c>
      <c r="AI35" s="128" t="e" cm="1">
        <f t="array" aca="1" ref="AI35" ca="1">Notmerged(AI6)</f>
        <v>#NAME?</v>
      </c>
      <c r="AJ35" s="128" t="e" cm="1">
        <f t="array" aca="1" ref="AJ35" ca="1">Notmerged(AJ6)</f>
        <v>#NAME?</v>
      </c>
      <c r="AK35" s="128" t="e" cm="1">
        <f t="array" aca="1" ref="AK35" ca="1">Notmerged(AK6)</f>
        <v>#NAME?</v>
      </c>
      <c r="AL35" s="128" t="e" cm="1">
        <f t="array" aca="1" ref="AL35" ca="1">Notmerged(AL6)</f>
        <v>#NAME?</v>
      </c>
      <c r="AM35" s="128" t="e" cm="1">
        <f t="array" aca="1" ref="AM35" ca="1">Notmerged(AM6)</f>
        <v>#NAME?</v>
      </c>
      <c r="AN35" s="128" t="e" cm="1">
        <f t="array" aca="1" ref="AN35" ca="1">Notmerged(AN6)</f>
        <v>#NAME?</v>
      </c>
      <c r="AO35" s="128" t="e" cm="1">
        <f t="array" aca="1" ref="AO35" ca="1">Notmerged(AO6)</f>
        <v>#NAME?</v>
      </c>
      <c r="AP35" s="128" t="e" cm="1">
        <f t="array" aca="1" ref="AP35" ca="1">Notmerged(AP6)</f>
        <v>#NAME?</v>
      </c>
      <c r="AQ35" s="128" t="e" cm="1">
        <f t="array" aca="1" ref="AQ35" ca="1">Notmerged(AQ6)</f>
        <v>#NAME?</v>
      </c>
      <c r="AR35" s="128" t="e" cm="1">
        <f t="array" aca="1" ref="AR35" ca="1">Notmerged(AR6)</f>
        <v>#NAME?</v>
      </c>
      <c r="AS35" s="128" t="e" cm="1">
        <f t="array" aca="1" ref="AS35" ca="1">Notmerged(AS6)</f>
        <v>#NAME?</v>
      </c>
      <c r="AT35" s="128" t="e" cm="1">
        <f t="array" aca="1" ref="AT35" ca="1">Notmerged(AT6)</f>
        <v>#NAME?</v>
      </c>
      <c r="AU35" s="128" t="e" cm="1">
        <f t="array" aca="1" ref="AU35" ca="1">Notmerged(AU6)</f>
        <v>#NAME?</v>
      </c>
      <c r="AV35" s="128" t="e" cm="1">
        <f t="array" aca="1" ref="AV35" ca="1">Notmerged(AV6)</f>
        <v>#NAME?</v>
      </c>
      <c r="AW35" s="128" t="e" cm="1">
        <f t="array" aca="1" ref="AW35" ca="1">Notmerged(AW6)</f>
        <v>#NAME?</v>
      </c>
      <c r="AX35" s="128" t="e" cm="1">
        <f t="array" aca="1" ref="AX35" ca="1">Notmerged(AX6)</f>
        <v>#NAME?</v>
      </c>
      <c r="AY35" s="128" t="e" cm="1">
        <f t="array" aca="1" ref="AY35" ca="1">Notmerged(AY6)</f>
        <v>#NAME?</v>
      </c>
      <c r="AZ35" s="128" t="e" cm="1">
        <f t="array" aca="1" ref="AZ35" ca="1">Notmerged(AZ6)</f>
        <v>#NAME?</v>
      </c>
      <c r="BA35" s="128" t="e" cm="1">
        <f t="array" aca="1" ref="BA35" ca="1">Notmerged(BA6)</f>
        <v>#NAME?</v>
      </c>
      <c r="BB35" s="128" t="e" cm="1">
        <f t="array" aca="1" ref="BB35" ca="1">Notmerged(BB6)</f>
        <v>#NAME?</v>
      </c>
      <c r="BC35" s="128" t="e" cm="1">
        <f t="array" aca="1" ref="BC35" ca="1">Notmerged(BC6)</f>
        <v>#NAME?</v>
      </c>
      <c r="BD35" s="128" t="e" cm="1">
        <f t="array" aca="1" ref="BD35" ca="1">Notmerged(BD6)</f>
        <v>#NAME?</v>
      </c>
      <c r="BE35" s="128" t="e" cm="1">
        <f t="array" aca="1" ref="BE35" ca="1">Notmerged(BE6)</f>
        <v>#NAME?</v>
      </c>
      <c r="BF35" s="128" t="e" cm="1">
        <f t="array" aca="1" ref="BF35" ca="1">Notmerged(BF6)</f>
        <v>#NAME?</v>
      </c>
      <c r="BG35" s="128" t="e" cm="1">
        <f t="array" aca="1" ref="BG35" ca="1">Notmerged(BG6)</f>
        <v>#NAME?</v>
      </c>
      <c r="BH35" s="128" t="e" cm="1">
        <f t="array" aca="1" ref="BH35" ca="1">Notmerged(BH6)</f>
        <v>#NAME?</v>
      </c>
      <c r="BI35" s="128" t="e" cm="1">
        <f t="array" aca="1" ref="BI35" ca="1">Notmerged(BI6)</f>
        <v>#NAME?</v>
      </c>
      <c r="BJ35" s="128" t="e" cm="1">
        <f t="array" aca="1" ref="BJ35" ca="1">Notmerged(BJ6)</f>
        <v>#NAME?</v>
      </c>
      <c r="BK35" s="128" t="e" cm="1">
        <f t="array" aca="1" ref="BK35" ca="1">Notmerged(BK6)</f>
        <v>#NAME?</v>
      </c>
    </row>
    <row r="36" spans="2:63" x14ac:dyDescent="0.3">
      <c r="B36" s="128" t="e" cm="1">
        <f t="array" aca="1" ref="B36" ca="1">Notmerged(B7)</f>
        <v>#NAME?</v>
      </c>
      <c r="C36" s="128" t="e" cm="1">
        <f t="array" aca="1" ref="C36" ca="1">Notmerged(C7)</f>
        <v>#NAME?</v>
      </c>
      <c r="D36" s="128" t="e" cm="1">
        <f t="array" aca="1" ref="D36" ca="1">Notmerged(D7)</f>
        <v>#NAME?</v>
      </c>
      <c r="E36" s="128" t="e" cm="1">
        <f t="array" aca="1" ref="E36" ca="1">Notmerged(E7)</f>
        <v>#NAME?</v>
      </c>
      <c r="F36" s="128" t="e" cm="1">
        <f t="array" aca="1" ref="F36" ca="1">Notmerged(F7)</f>
        <v>#NAME?</v>
      </c>
      <c r="G36" s="128" t="e" cm="1">
        <f t="array" aca="1" ref="G36" ca="1">Notmerged(G7)</f>
        <v>#NAME?</v>
      </c>
      <c r="H36" s="128" t="e" cm="1">
        <f t="array" aca="1" ref="H36" ca="1">Notmerged(H7)</f>
        <v>#NAME?</v>
      </c>
      <c r="I36" s="128" t="e" cm="1">
        <f t="array" aca="1" ref="I36" ca="1">Notmerged(I7)</f>
        <v>#NAME?</v>
      </c>
      <c r="J36" s="128" t="e" cm="1">
        <f t="array" aca="1" ref="J36" ca="1">Notmerged(J7)</f>
        <v>#NAME?</v>
      </c>
      <c r="K36" s="128" t="e" cm="1">
        <f t="array" aca="1" ref="K36" ca="1">Notmerged(K7)</f>
        <v>#NAME?</v>
      </c>
      <c r="L36" s="128" t="e" cm="1">
        <f t="array" aca="1" ref="L36" ca="1">Notmerged(L7)</f>
        <v>#NAME?</v>
      </c>
      <c r="M36" s="128" t="e" cm="1">
        <f t="array" aca="1" ref="M36" ca="1">Notmerged(M7)</f>
        <v>#NAME?</v>
      </c>
      <c r="N36" s="128" t="e" cm="1">
        <f t="array" aca="1" ref="N36" ca="1">Notmerged(N7)</f>
        <v>#NAME?</v>
      </c>
      <c r="O36" s="128" t="e" cm="1">
        <f t="array" aca="1" ref="O36" ca="1">Notmerged(O7)</f>
        <v>#NAME?</v>
      </c>
      <c r="P36" s="128" t="e" cm="1">
        <f t="array" aca="1" ref="P36" ca="1">Notmerged(P7)</f>
        <v>#NAME?</v>
      </c>
      <c r="Q36" s="128" t="e" cm="1">
        <f t="array" aca="1" ref="Q36" ca="1">Notmerged(Q7)</f>
        <v>#NAME?</v>
      </c>
      <c r="R36" s="128" t="e" cm="1">
        <f t="array" aca="1" ref="R36" ca="1">Notmerged(R7)</f>
        <v>#NAME?</v>
      </c>
      <c r="S36" s="128" t="e" cm="1">
        <f t="array" aca="1" ref="S36" ca="1">Notmerged(S7)</f>
        <v>#NAME?</v>
      </c>
      <c r="T36" s="128" t="e" cm="1">
        <f t="array" aca="1" ref="T36" ca="1">Notmerged(T7)</f>
        <v>#NAME?</v>
      </c>
      <c r="U36" s="128" t="e" cm="1">
        <f t="array" aca="1" ref="U36" ca="1">Notmerged(U7)</f>
        <v>#NAME?</v>
      </c>
      <c r="V36" s="128" t="e" cm="1">
        <f t="array" aca="1" ref="V36" ca="1">Notmerged(V7)</f>
        <v>#NAME?</v>
      </c>
      <c r="W36" s="128" t="e" cm="1">
        <f t="array" aca="1" ref="W36" ca="1">Notmerged(W7)</f>
        <v>#NAME?</v>
      </c>
      <c r="X36" s="128" t="e" cm="1">
        <f t="array" aca="1" ref="X36" ca="1">Notmerged(X7)</f>
        <v>#NAME?</v>
      </c>
      <c r="Y36" s="128" t="e" cm="1">
        <f t="array" aca="1" ref="Y36" ca="1">Notmerged(Y7)</f>
        <v>#NAME?</v>
      </c>
      <c r="Z36" s="128" t="e" cm="1">
        <f t="array" aca="1" ref="Z36" ca="1">Notmerged(Z7)</f>
        <v>#NAME?</v>
      </c>
      <c r="AA36" s="128" t="e" cm="1">
        <f t="array" aca="1" ref="AA36" ca="1">Notmerged(AA7)</f>
        <v>#NAME?</v>
      </c>
      <c r="AB36" s="128" t="e" cm="1">
        <f t="array" aca="1" ref="AB36" ca="1">Notmerged(AB7)</f>
        <v>#NAME?</v>
      </c>
      <c r="AC36" s="128" t="e" cm="1">
        <f t="array" aca="1" ref="AC36" ca="1">Notmerged(AC7)</f>
        <v>#NAME?</v>
      </c>
      <c r="AD36" s="128" t="e" cm="1">
        <f t="array" aca="1" ref="AD36" ca="1">Notmerged(AD7)</f>
        <v>#NAME?</v>
      </c>
      <c r="AE36" s="128" t="e" cm="1">
        <f t="array" aca="1" ref="AE36" ca="1">Notmerged(AE7)</f>
        <v>#NAME?</v>
      </c>
      <c r="AF36" s="128" t="e" cm="1">
        <f t="array" aca="1" ref="AF36" ca="1">Notmerged(AF7)</f>
        <v>#NAME?</v>
      </c>
      <c r="AG36" s="128" t="e" cm="1">
        <f t="array" aca="1" ref="AG36" ca="1">Notmerged(AG7)</f>
        <v>#NAME?</v>
      </c>
      <c r="AH36" s="128" t="e" cm="1">
        <f t="array" aca="1" ref="AH36" ca="1">Notmerged(AH7)</f>
        <v>#NAME?</v>
      </c>
      <c r="AI36" s="128" t="e" cm="1">
        <f t="array" aca="1" ref="AI36" ca="1">Notmerged(AI7)</f>
        <v>#NAME?</v>
      </c>
      <c r="AJ36" s="128" t="e" cm="1">
        <f t="array" aca="1" ref="AJ36" ca="1">Notmerged(AJ7)</f>
        <v>#NAME?</v>
      </c>
      <c r="AK36" s="128" t="e" cm="1">
        <f t="array" aca="1" ref="AK36" ca="1">Notmerged(AK7)</f>
        <v>#NAME?</v>
      </c>
      <c r="AL36" s="128" t="e" cm="1">
        <f t="array" aca="1" ref="AL36" ca="1">Notmerged(AL7)</f>
        <v>#NAME?</v>
      </c>
      <c r="AM36" s="128" t="e" cm="1">
        <f t="array" aca="1" ref="AM36" ca="1">Notmerged(AM7)</f>
        <v>#NAME?</v>
      </c>
      <c r="AN36" s="128" t="e" cm="1">
        <f t="array" aca="1" ref="AN36" ca="1">Notmerged(AN7)</f>
        <v>#NAME?</v>
      </c>
      <c r="AO36" s="128" t="e" cm="1">
        <f t="array" aca="1" ref="AO36" ca="1">Notmerged(AO7)</f>
        <v>#NAME?</v>
      </c>
      <c r="AP36" s="128" t="e" cm="1">
        <f t="array" aca="1" ref="AP36" ca="1">Notmerged(AP7)</f>
        <v>#NAME?</v>
      </c>
      <c r="AQ36" s="128" t="e" cm="1">
        <f t="array" aca="1" ref="AQ36" ca="1">Notmerged(AQ7)</f>
        <v>#NAME?</v>
      </c>
      <c r="AR36" s="128" t="e" cm="1">
        <f t="array" aca="1" ref="AR36" ca="1">Notmerged(AR7)</f>
        <v>#NAME?</v>
      </c>
      <c r="AS36" s="128" t="e" cm="1">
        <f t="array" aca="1" ref="AS36" ca="1">Notmerged(AS7)</f>
        <v>#NAME?</v>
      </c>
      <c r="AT36" s="128" t="e" cm="1">
        <f t="array" aca="1" ref="AT36" ca="1">Notmerged(AT7)</f>
        <v>#NAME?</v>
      </c>
      <c r="AU36" s="128" t="e" cm="1">
        <f t="array" aca="1" ref="AU36" ca="1">Notmerged(AU7)</f>
        <v>#NAME?</v>
      </c>
      <c r="AV36" s="128" t="e" cm="1">
        <f t="array" aca="1" ref="AV36" ca="1">Notmerged(AV7)</f>
        <v>#NAME?</v>
      </c>
      <c r="AW36" s="128" t="e" cm="1">
        <f t="array" aca="1" ref="AW36" ca="1">Notmerged(AW7)</f>
        <v>#NAME?</v>
      </c>
      <c r="AX36" s="128" t="e" cm="1">
        <f t="array" aca="1" ref="AX36" ca="1">Notmerged(AX7)</f>
        <v>#NAME?</v>
      </c>
      <c r="AY36" s="128" t="e" cm="1">
        <f t="array" aca="1" ref="AY36" ca="1">Notmerged(AY7)</f>
        <v>#NAME?</v>
      </c>
      <c r="AZ36" s="128" t="e" cm="1">
        <f t="array" aca="1" ref="AZ36" ca="1">Notmerged(AZ7)</f>
        <v>#NAME?</v>
      </c>
      <c r="BA36" s="128" t="e" cm="1">
        <f t="array" aca="1" ref="BA36" ca="1">Notmerged(BA7)</f>
        <v>#NAME?</v>
      </c>
      <c r="BB36" s="128" t="e" cm="1">
        <f t="array" aca="1" ref="BB36" ca="1">Notmerged(BB7)</f>
        <v>#NAME?</v>
      </c>
      <c r="BC36" s="128" t="e" cm="1">
        <f t="array" aca="1" ref="BC36" ca="1">Notmerged(BC7)</f>
        <v>#NAME?</v>
      </c>
      <c r="BD36" s="128" t="e" cm="1">
        <f t="array" aca="1" ref="BD36" ca="1">Notmerged(BD7)</f>
        <v>#NAME?</v>
      </c>
      <c r="BE36" s="128" t="e" cm="1">
        <f t="array" aca="1" ref="BE36" ca="1">Notmerged(BE7)</f>
        <v>#NAME?</v>
      </c>
      <c r="BF36" s="128" t="e" cm="1">
        <f t="array" aca="1" ref="BF36" ca="1">Notmerged(BF7)</f>
        <v>#NAME?</v>
      </c>
      <c r="BG36" s="128" t="e" cm="1">
        <f t="array" aca="1" ref="BG36" ca="1">Notmerged(BG7)</f>
        <v>#NAME?</v>
      </c>
      <c r="BH36" s="128" t="e" cm="1">
        <f t="array" aca="1" ref="BH36" ca="1">Notmerged(BH7)</f>
        <v>#NAME?</v>
      </c>
      <c r="BI36" s="128" t="e" cm="1">
        <f t="array" aca="1" ref="BI36" ca="1">Notmerged(BI7)</f>
        <v>#NAME?</v>
      </c>
      <c r="BJ36" s="128" t="e" cm="1">
        <f t="array" aca="1" ref="BJ36" ca="1">Notmerged(BJ7)</f>
        <v>#NAME?</v>
      </c>
      <c r="BK36" s="128" t="e" cm="1">
        <f t="array" aca="1" ref="BK36" ca="1">Notmerged(BK7)</f>
        <v>#NAME?</v>
      </c>
    </row>
    <row r="37" spans="2:63" x14ac:dyDescent="0.3">
      <c r="B37" s="128" t="e" cm="1">
        <f t="array" aca="1" ref="B37" ca="1">Notmerged(B8)</f>
        <v>#NAME?</v>
      </c>
      <c r="C37" s="128" t="e" cm="1">
        <f t="array" aca="1" ref="C37" ca="1">Notmerged(C8)</f>
        <v>#NAME?</v>
      </c>
      <c r="D37" s="128" t="e" cm="1">
        <f t="array" aca="1" ref="D37" ca="1">Notmerged(D8)</f>
        <v>#NAME?</v>
      </c>
      <c r="E37" s="128" t="e" cm="1">
        <f t="array" aca="1" ref="E37" ca="1">Notmerged(E8)</f>
        <v>#NAME?</v>
      </c>
      <c r="F37" s="128" t="e" cm="1">
        <f t="array" aca="1" ref="F37" ca="1">Notmerged(F8)</f>
        <v>#NAME?</v>
      </c>
      <c r="G37" s="128" t="e" cm="1">
        <f t="array" aca="1" ref="G37" ca="1">Notmerged(G8)</f>
        <v>#NAME?</v>
      </c>
      <c r="H37" s="128" t="e" cm="1">
        <f t="array" aca="1" ref="H37" ca="1">Notmerged(H8)</f>
        <v>#NAME?</v>
      </c>
      <c r="I37" s="128" t="e" cm="1">
        <f t="array" aca="1" ref="I37" ca="1">Notmerged(I8)</f>
        <v>#NAME?</v>
      </c>
      <c r="J37" s="128" t="e" cm="1">
        <f t="array" aca="1" ref="J37" ca="1">Notmerged(J8)</f>
        <v>#NAME?</v>
      </c>
      <c r="K37" s="128" t="e" cm="1">
        <f t="array" aca="1" ref="K37" ca="1">Notmerged(K8)</f>
        <v>#NAME?</v>
      </c>
      <c r="L37" s="128" t="e" cm="1">
        <f t="array" aca="1" ref="L37" ca="1">Notmerged(L8)</f>
        <v>#NAME?</v>
      </c>
      <c r="M37" s="128" t="e" cm="1">
        <f t="array" aca="1" ref="M37" ca="1">Notmerged(M8)</f>
        <v>#NAME?</v>
      </c>
      <c r="N37" s="128" t="e" cm="1">
        <f t="array" aca="1" ref="N37" ca="1">Notmerged(N8)</f>
        <v>#NAME?</v>
      </c>
      <c r="O37" s="128" t="e" cm="1">
        <f t="array" aca="1" ref="O37" ca="1">Notmerged(O8)</f>
        <v>#NAME?</v>
      </c>
      <c r="P37" s="128" t="e" cm="1">
        <f t="array" aca="1" ref="P37" ca="1">Notmerged(P8)</f>
        <v>#NAME?</v>
      </c>
      <c r="Q37" s="128" t="e" cm="1">
        <f t="array" aca="1" ref="Q37" ca="1">Notmerged(Q8)</f>
        <v>#NAME?</v>
      </c>
      <c r="R37" s="128" t="e" cm="1">
        <f t="array" aca="1" ref="R37" ca="1">Notmerged(R8)</f>
        <v>#NAME?</v>
      </c>
      <c r="S37" s="128" t="e" cm="1">
        <f t="array" aca="1" ref="S37" ca="1">Notmerged(S8)</f>
        <v>#NAME?</v>
      </c>
      <c r="T37" s="128" t="e" cm="1">
        <f t="array" aca="1" ref="T37" ca="1">Notmerged(T8)</f>
        <v>#NAME?</v>
      </c>
      <c r="U37" s="128" t="e" cm="1">
        <f t="array" aca="1" ref="U37" ca="1">Notmerged(U8)</f>
        <v>#NAME?</v>
      </c>
      <c r="V37" s="128" t="e" cm="1">
        <f t="array" aca="1" ref="V37" ca="1">Notmerged(V8)</f>
        <v>#NAME?</v>
      </c>
      <c r="W37" s="128" t="e" cm="1">
        <f t="array" aca="1" ref="W37" ca="1">Notmerged(W8)</f>
        <v>#NAME?</v>
      </c>
      <c r="X37" s="128" t="e" cm="1">
        <f t="array" aca="1" ref="X37" ca="1">Notmerged(X8)</f>
        <v>#NAME?</v>
      </c>
      <c r="Y37" s="128" t="e" cm="1">
        <f t="array" aca="1" ref="Y37" ca="1">Notmerged(Y8)</f>
        <v>#NAME?</v>
      </c>
      <c r="Z37" s="128" t="e" cm="1">
        <f t="array" aca="1" ref="Z37" ca="1">Notmerged(Z8)</f>
        <v>#NAME?</v>
      </c>
      <c r="AA37" s="128" t="e" cm="1">
        <f t="array" aca="1" ref="AA37" ca="1">Notmerged(AA8)</f>
        <v>#NAME?</v>
      </c>
      <c r="AB37" s="128" t="e" cm="1">
        <f t="array" aca="1" ref="AB37" ca="1">Notmerged(AB8)</f>
        <v>#NAME?</v>
      </c>
      <c r="AC37" s="128" t="e" cm="1">
        <f t="array" aca="1" ref="AC37" ca="1">Notmerged(AC8)</f>
        <v>#NAME?</v>
      </c>
      <c r="AD37" s="128" t="e" cm="1">
        <f t="array" aca="1" ref="AD37" ca="1">Notmerged(AD8)</f>
        <v>#NAME?</v>
      </c>
      <c r="AE37" s="128" t="e" cm="1">
        <f t="array" aca="1" ref="AE37" ca="1">Notmerged(AE8)</f>
        <v>#NAME?</v>
      </c>
      <c r="AF37" s="128" t="e" cm="1">
        <f t="array" aca="1" ref="AF37" ca="1">Notmerged(AF8)</f>
        <v>#NAME?</v>
      </c>
      <c r="AG37" s="128" t="e" cm="1">
        <f t="array" aca="1" ref="AG37" ca="1">Notmerged(AG8)</f>
        <v>#NAME?</v>
      </c>
      <c r="AH37" s="128" t="e" cm="1">
        <f t="array" aca="1" ref="AH37" ca="1">Notmerged(AH8)</f>
        <v>#NAME?</v>
      </c>
      <c r="AI37" s="128" t="e" cm="1">
        <f t="array" aca="1" ref="AI37" ca="1">Notmerged(AI8)</f>
        <v>#NAME?</v>
      </c>
      <c r="AJ37" s="128" t="e" cm="1">
        <f t="array" aca="1" ref="AJ37" ca="1">Notmerged(AJ8)</f>
        <v>#NAME?</v>
      </c>
      <c r="AK37" s="128" t="e" cm="1">
        <f t="array" aca="1" ref="AK37" ca="1">Notmerged(AK8)</f>
        <v>#NAME?</v>
      </c>
      <c r="AL37" s="128" t="e" cm="1">
        <f t="array" aca="1" ref="AL37" ca="1">Notmerged(AL8)</f>
        <v>#NAME?</v>
      </c>
      <c r="AM37" s="128" t="e" cm="1">
        <f t="array" aca="1" ref="AM37" ca="1">Notmerged(AM8)</f>
        <v>#NAME?</v>
      </c>
      <c r="AN37" s="128" t="e" cm="1">
        <f t="array" aca="1" ref="AN37" ca="1">Notmerged(AN8)</f>
        <v>#NAME?</v>
      </c>
      <c r="AO37" s="128" t="e" cm="1">
        <f t="array" aca="1" ref="AO37" ca="1">Notmerged(AO8)</f>
        <v>#NAME?</v>
      </c>
      <c r="AP37" s="128" t="e" cm="1">
        <f t="array" aca="1" ref="AP37" ca="1">Notmerged(AP8)</f>
        <v>#NAME?</v>
      </c>
      <c r="AQ37" s="128" t="e" cm="1">
        <f t="array" aca="1" ref="AQ37" ca="1">Notmerged(AQ8)</f>
        <v>#NAME?</v>
      </c>
      <c r="AR37" s="128" t="e" cm="1">
        <f t="array" aca="1" ref="AR37" ca="1">Notmerged(AR8)</f>
        <v>#NAME?</v>
      </c>
      <c r="AS37" s="128" t="e" cm="1">
        <f t="array" aca="1" ref="AS37" ca="1">Notmerged(AS8)</f>
        <v>#NAME?</v>
      </c>
      <c r="AT37" s="128" t="e" cm="1">
        <f t="array" aca="1" ref="AT37" ca="1">Notmerged(AT8)</f>
        <v>#NAME?</v>
      </c>
      <c r="AU37" s="128" t="e" cm="1">
        <f t="array" aca="1" ref="AU37" ca="1">Notmerged(AU8)</f>
        <v>#NAME?</v>
      </c>
      <c r="AV37" s="128" t="e" cm="1">
        <f t="array" aca="1" ref="AV37" ca="1">Notmerged(AV8)</f>
        <v>#NAME?</v>
      </c>
      <c r="AW37" s="128" t="e" cm="1">
        <f t="array" aca="1" ref="AW37" ca="1">Notmerged(AW8)</f>
        <v>#NAME?</v>
      </c>
      <c r="AX37" s="128" t="e" cm="1">
        <f t="array" aca="1" ref="AX37" ca="1">Notmerged(AX8)</f>
        <v>#NAME?</v>
      </c>
      <c r="AY37" s="128" t="e" cm="1">
        <f t="array" aca="1" ref="AY37" ca="1">Notmerged(AY8)</f>
        <v>#NAME?</v>
      </c>
      <c r="AZ37" s="128" t="e" cm="1">
        <f t="array" aca="1" ref="AZ37" ca="1">Notmerged(AZ8)</f>
        <v>#NAME?</v>
      </c>
      <c r="BA37" s="128" t="e" cm="1">
        <f t="array" aca="1" ref="BA37" ca="1">Notmerged(BA8)</f>
        <v>#NAME?</v>
      </c>
      <c r="BB37" s="128" t="e" cm="1">
        <f t="array" aca="1" ref="BB37" ca="1">Notmerged(BB8)</f>
        <v>#NAME?</v>
      </c>
      <c r="BC37" s="128" t="e" cm="1">
        <f t="array" aca="1" ref="BC37" ca="1">Notmerged(BC8)</f>
        <v>#NAME?</v>
      </c>
      <c r="BD37" s="128" t="e" cm="1">
        <f t="array" aca="1" ref="BD37" ca="1">Notmerged(BD8)</f>
        <v>#NAME?</v>
      </c>
      <c r="BE37" s="128" t="e" cm="1">
        <f t="array" aca="1" ref="BE37" ca="1">Notmerged(BE8)</f>
        <v>#NAME?</v>
      </c>
      <c r="BF37" s="128" t="e" cm="1">
        <f t="array" aca="1" ref="BF37" ca="1">Notmerged(BF8)</f>
        <v>#NAME?</v>
      </c>
      <c r="BG37" s="128" t="e" cm="1">
        <f t="array" aca="1" ref="BG37" ca="1">Notmerged(BG8)</f>
        <v>#NAME?</v>
      </c>
      <c r="BH37" s="128" t="e" cm="1">
        <f t="array" aca="1" ref="BH37" ca="1">Notmerged(BH8)</f>
        <v>#NAME?</v>
      </c>
      <c r="BI37" s="128" t="e" cm="1">
        <f t="array" aca="1" ref="BI37" ca="1">Notmerged(BI8)</f>
        <v>#NAME?</v>
      </c>
      <c r="BJ37" s="128" t="e" cm="1">
        <f t="array" aca="1" ref="BJ37" ca="1">Notmerged(BJ8)</f>
        <v>#NAME?</v>
      </c>
      <c r="BK37" s="128" t="e" cm="1">
        <f t="array" aca="1" ref="BK37" ca="1">Notmerged(BK8)</f>
        <v>#NAME?</v>
      </c>
    </row>
    <row r="38" spans="2:63" x14ac:dyDescent="0.3">
      <c r="B38" s="128" t="e" cm="1">
        <f t="array" aca="1" ref="B38" ca="1">Notmerged(B9)</f>
        <v>#NAME?</v>
      </c>
      <c r="C38" s="128" t="e" cm="1">
        <f t="array" aca="1" ref="C38" ca="1">Notmerged(C9)</f>
        <v>#NAME?</v>
      </c>
      <c r="D38" s="128" t="e" cm="1">
        <f t="array" aca="1" ref="D38" ca="1">Notmerged(D9)</f>
        <v>#NAME?</v>
      </c>
      <c r="E38" s="128" t="e" cm="1">
        <f t="array" aca="1" ref="E38" ca="1">Notmerged(E9)</f>
        <v>#NAME?</v>
      </c>
      <c r="F38" s="128" t="e" cm="1">
        <f t="array" aca="1" ref="F38" ca="1">Notmerged(F9)</f>
        <v>#NAME?</v>
      </c>
      <c r="G38" s="128" t="e" cm="1">
        <f t="array" aca="1" ref="G38" ca="1">Notmerged(G9)</f>
        <v>#NAME?</v>
      </c>
      <c r="H38" s="128" t="e" cm="1">
        <f t="array" aca="1" ref="H38" ca="1">Notmerged(H9)</f>
        <v>#NAME?</v>
      </c>
      <c r="I38" s="128" t="e" cm="1">
        <f t="array" aca="1" ref="I38" ca="1">Notmerged(I9)</f>
        <v>#NAME?</v>
      </c>
      <c r="J38" s="128" t="e" cm="1">
        <f t="array" aca="1" ref="J38" ca="1">Notmerged(J9)</f>
        <v>#NAME?</v>
      </c>
      <c r="K38" s="128" t="e" cm="1">
        <f t="array" aca="1" ref="K38" ca="1">Notmerged(K9)</f>
        <v>#NAME?</v>
      </c>
      <c r="L38" s="128" t="e" cm="1">
        <f t="array" aca="1" ref="L38" ca="1">Notmerged(L9)</f>
        <v>#NAME?</v>
      </c>
      <c r="M38" s="128" t="e" cm="1">
        <f t="array" aca="1" ref="M38" ca="1">Notmerged(M9)</f>
        <v>#NAME?</v>
      </c>
      <c r="N38" s="128" t="e" cm="1">
        <f t="array" aca="1" ref="N38" ca="1">Notmerged(N9)</f>
        <v>#NAME?</v>
      </c>
      <c r="O38" s="128" t="e" cm="1">
        <f t="array" aca="1" ref="O38" ca="1">Notmerged(O9)</f>
        <v>#NAME?</v>
      </c>
      <c r="P38" s="128" t="e" cm="1">
        <f t="array" aca="1" ref="P38" ca="1">Notmerged(P9)</f>
        <v>#NAME?</v>
      </c>
      <c r="Q38" s="128" t="e" cm="1">
        <f t="array" aca="1" ref="Q38" ca="1">Notmerged(Q9)</f>
        <v>#NAME?</v>
      </c>
      <c r="R38" s="128" t="e" cm="1">
        <f t="array" aca="1" ref="R38" ca="1">Notmerged(R9)</f>
        <v>#NAME?</v>
      </c>
      <c r="S38" s="128" t="e" cm="1">
        <f t="array" aca="1" ref="S38" ca="1">Notmerged(S9)</f>
        <v>#NAME?</v>
      </c>
      <c r="T38" s="128" t="e" cm="1">
        <f t="array" aca="1" ref="T38" ca="1">Notmerged(T9)</f>
        <v>#NAME?</v>
      </c>
      <c r="U38" s="128" t="e" cm="1">
        <f t="array" aca="1" ref="U38" ca="1">Notmerged(U9)</f>
        <v>#NAME?</v>
      </c>
      <c r="V38" s="128" t="e" cm="1">
        <f t="array" aca="1" ref="V38" ca="1">Notmerged(V9)</f>
        <v>#NAME?</v>
      </c>
      <c r="W38" s="128" t="e" cm="1">
        <f t="array" aca="1" ref="W38" ca="1">Notmerged(W9)</f>
        <v>#NAME?</v>
      </c>
      <c r="X38" s="128" t="e" cm="1">
        <f t="array" aca="1" ref="X38" ca="1">Notmerged(X9)</f>
        <v>#NAME?</v>
      </c>
      <c r="Y38" s="128" t="e" cm="1">
        <f t="array" aca="1" ref="Y38" ca="1">Notmerged(Y9)</f>
        <v>#NAME?</v>
      </c>
      <c r="Z38" s="128" t="e" cm="1">
        <f t="array" aca="1" ref="Z38" ca="1">Notmerged(Z9)</f>
        <v>#NAME?</v>
      </c>
      <c r="AA38" s="128" t="e" cm="1">
        <f t="array" aca="1" ref="AA38" ca="1">Notmerged(AA9)</f>
        <v>#NAME?</v>
      </c>
      <c r="AB38" s="128" t="e" cm="1">
        <f t="array" aca="1" ref="AB38" ca="1">Notmerged(AB9)</f>
        <v>#NAME?</v>
      </c>
      <c r="AC38" s="128" t="e" cm="1">
        <f t="array" aca="1" ref="AC38" ca="1">Notmerged(AC9)</f>
        <v>#NAME?</v>
      </c>
      <c r="AD38" s="128" t="e" cm="1">
        <f t="array" aca="1" ref="AD38" ca="1">Notmerged(AD9)</f>
        <v>#NAME?</v>
      </c>
      <c r="AE38" s="128" t="e" cm="1">
        <f t="array" aca="1" ref="AE38" ca="1">Notmerged(AE9)</f>
        <v>#NAME?</v>
      </c>
      <c r="AF38" s="128" t="e" cm="1">
        <f t="array" aca="1" ref="AF38" ca="1">Notmerged(AF9)</f>
        <v>#NAME?</v>
      </c>
      <c r="AG38" s="128" t="e" cm="1">
        <f t="array" aca="1" ref="AG38" ca="1">Notmerged(AG9)</f>
        <v>#NAME?</v>
      </c>
      <c r="AH38" s="128" t="e" cm="1">
        <f t="array" aca="1" ref="AH38" ca="1">Notmerged(AH9)</f>
        <v>#NAME?</v>
      </c>
      <c r="AI38" s="128" t="e" cm="1">
        <f t="array" aca="1" ref="AI38" ca="1">Notmerged(AI9)</f>
        <v>#NAME?</v>
      </c>
      <c r="AJ38" s="128" t="e" cm="1">
        <f t="array" aca="1" ref="AJ38" ca="1">Notmerged(AJ9)</f>
        <v>#NAME?</v>
      </c>
      <c r="AK38" s="128" t="e" cm="1">
        <f t="array" aca="1" ref="AK38" ca="1">Notmerged(AK9)</f>
        <v>#NAME?</v>
      </c>
      <c r="AL38" s="128" t="e" cm="1">
        <f t="array" aca="1" ref="AL38" ca="1">Notmerged(AL9)</f>
        <v>#NAME?</v>
      </c>
      <c r="AM38" s="128" t="e" cm="1">
        <f t="array" aca="1" ref="AM38" ca="1">Notmerged(AM9)</f>
        <v>#NAME?</v>
      </c>
      <c r="AN38" s="128" t="e" cm="1">
        <f t="array" aca="1" ref="AN38" ca="1">Notmerged(AN9)</f>
        <v>#NAME?</v>
      </c>
      <c r="AO38" s="128" t="e" cm="1">
        <f t="array" aca="1" ref="AO38" ca="1">Notmerged(AO9)</f>
        <v>#NAME?</v>
      </c>
      <c r="AP38" s="128" t="e" cm="1">
        <f t="array" aca="1" ref="AP38" ca="1">Notmerged(AP9)</f>
        <v>#NAME?</v>
      </c>
      <c r="AQ38" s="128" t="e" cm="1">
        <f t="array" aca="1" ref="AQ38" ca="1">Notmerged(AQ9)</f>
        <v>#NAME?</v>
      </c>
      <c r="AR38" s="128" t="e" cm="1">
        <f t="array" aca="1" ref="AR38" ca="1">Notmerged(AR9)</f>
        <v>#NAME?</v>
      </c>
      <c r="AS38" s="128" t="e" cm="1">
        <f t="array" aca="1" ref="AS38" ca="1">Notmerged(AS9)</f>
        <v>#NAME?</v>
      </c>
      <c r="AT38" s="128" t="e" cm="1">
        <f t="array" aca="1" ref="AT38" ca="1">Notmerged(AT9)</f>
        <v>#NAME?</v>
      </c>
      <c r="AU38" s="128" t="e" cm="1">
        <f t="array" aca="1" ref="AU38" ca="1">Notmerged(AU9)</f>
        <v>#NAME?</v>
      </c>
      <c r="AV38" s="128" t="e" cm="1">
        <f t="array" aca="1" ref="AV38" ca="1">Notmerged(AV9)</f>
        <v>#NAME?</v>
      </c>
      <c r="AW38" s="128" t="e" cm="1">
        <f t="array" aca="1" ref="AW38" ca="1">Notmerged(AW9)</f>
        <v>#NAME?</v>
      </c>
      <c r="AX38" s="128" t="e" cm="1">
        <f t="array" aca="1" ref="AX38" ca="1">Notmerged(AX9)</f>
        <v>#NAME?</v>
      </c>
      <c r="AY38" s="128" t="e" cm="1">
        <f t="array" aca="1" ref="AY38" ca="1">Notmerged(AY9)</f>
        <v>#NAME?</v>
      </c>
      <c r="AZ38" s="128" t="e" cm="1">
        <f t="array" aca="1" ref="AZ38" ca="1">Notmerged(AZ9)</f>
        <v>#NAME?</v>
      </c>
      <c r="BA38" s="128" t="e" cm="1">
        <f t="array" aca="1" ref="BA38" ca="1">Notmerged(BA9)</f>
        <v>#NAME?</v>
      </c>
      <c r="BB38" s="128" t="e" cm="1">
        <f t="array" aca="1" ref="BB38" ca="1">Notmerged(BB9)</f>
        <v>#NAME?</v>
      </c>
      <c r="BC38" s="128" t="e" cm="1">
        <f t="array" aca="1" ref="BC38" ca="1">Notmerged(BC9)</f>
        <v>#NAME?</v>
      </c>
      <c r="BD38" s="128" t="e" cm="1">
        <f t="array" aca="1" ref="BD38" ca="1">Notmerged(BD9)</f>
        <v>#NAME?</v>
      </c>
      <c r="BE38" s="128" t="e" cm="1">
        <f t="array" aca="1" ref="BE38" ca="1">Notmerged(BE9)</f>
        <v>#NAME?</v>
      </c>
      <c r="BF38" s="128" t="e" cm="1">
        <f t="array" aca="1" ref="BF38" ca="1">Notmerged(BF9)</f>
        <v>#NAME?</v>
      </c>
      <c r="BG38" s="128" t="e" cm="1">
        <f t="array" aca="1" ref="BG38" ca="1">Notmerged(BG9)</f>
        <v>#NAME?</v>
      </c>
      <c r="BH38" s="128" t="e" cm="1">
        <f t="array" aca="1" ref="BH38" ca="1">Notmerged(BH9)</f>
        <v>#NAME?</v>
      </c>
      <c r="BI38" s="128" t="e" cm="1">
        <f t="array" aca="1" ref="BI38" ca="1">Notmerged(BI9)</f>
        <v>#NAME?</v>
      </c>
      <c r="BJ38" s="128" t="e" cm="1">
        <f t="array" aca="1" ref="BJ38" ca="1">Notmerged(BJ9)</f>
        <v>#NAME?</v>
      </c>
      <c r="BK38" s="128" t="e" cm="1">
        <f t="array" aca="1" ref="BK38" ca="1">Notmerged(BK9)</f>
        <v>#NAME?</v>
      </c>
    </row>
    <row r="39" spans="2:63" x14ac:dyDescent="0.3">
      <c r="B39" s="128" t="e" cm="1">
        <f t="array" aca="1" ref="B39" ca="1">Notmerged(B10)</f>
        <v>#NAME?</v>
      </c>
      <c r="C39" s="128" t="e" cm="1">
        <f t="array" aca="1" ref="C39" ca="1">Notmerged(C10)</f>
        <v>#NAME?</v>
      </c>
      <c r="D39" s="128" t="e" cm="1">
        <f t="array" aca="1" ref="D39" ca="1">Notmerged(D10)</f>
        <v>#NAME?</v>
      </c>
      <c r="E39" s="128" t="e" cm="1">
        <f t="array" aca="1" ref="E39" ca="1">Notmerged(E10)</f>
        <v>#NAME?</v>
      </c>
      <c r="F39" s="128" t="e" cm="1">
        <f t="array" aca="1" ref="F39" ca="1">Notmerged(F10)</f>
        <v>#NAME?</v>
      </c>
      <c r="G39" s="128" t="e" cm="1">
        <f t="array" aca="1" ref="G39" ca="1">Notmerged(G10)</f>
        <v>#NAME?</v>
      </c>
      <c r="H39" s="128" t="e" cm="1">
        <f t="array" aca="1" ref="H39" ca="1">Notmerged(H10)</f>
        <v>#NAME?</v>
      </c>
      <c r="I39" s="128" t="e" cm="1">
        <f t="array" aca="1" ref="I39" ca="1">Notmerged(I10)</f>
        <v>#NAME?</v>
      </c>
      <c r="J39" s="128" t="e" cm="1">
        <f t="array" aca="1" ref="J39" ca="1">Notmerged(J10)</f>
        <v>#NAME?</v>
      </c>
      <c r="K39" s="128" t="e" cm="1">
        <f t="array" aca="1" ref="K39" ca="1">Notmerged(K10)</f>
        <v>#NAME?</v>
      </c>
      <c r="L39" s="128" t="e" cm="1">
        <f t="array" aca="1" ref="L39" ca="1">Notmerged(L10)</f>
        <v>#NAME?</v>
      </c>
      <c r="M39" s="128" t="e" cm="1">
        <f t="array" aca="1" ref="M39" ca="1">Notmerged(M10)</f>
        <v>#NAME?</v>
      </c>
      <c r="N39" s="128" t="e" cm="1">
        <f t="array" aca="1" ref="N39" ca="1">Notmerged(N10)</f>
        <v>#NAME?</v>
      </c>
      <c r="O39" s="128" t="e" cm="1">
        <f t="array" aca="1" ref="O39" ca="1">Notmerged(O10)</f>
        <v>#NAME?</v>
      </c>
      <c r="P39" s="128" t="e" cm="1">
        <f t="array" aca="1" ref="P39" ca="1">Notmerged(P10)</f>
        <v>#NAME?</v>
      </c>
      <c r="Q39" s="128" t="e" cm="1">
        <f t="array" aca="1" ref="Q39" ca="1">Notmerged(Q10)</f>
        <v>#NAME?</v>
      </c>
      <c r="R39" s="128" t="e" cm="1">
        <f t="array" aca="1" ref="R39" ca="1">Notmerged(R10)</f>
        <v>#NAME?</v>
      </c>
      <c r="S39" s="128" t="e" cm="1">
        <f t="array" aca="1" ref="S39" ca="1">Notmerged(S10)</f>
        <v>#NAME?</v>
      </c>
      <c r="T39" s="128" t="e" cm="1">
        <f t="array" aca="1" ref="T39" ca="1">Notmerged(T10)</f>
        <v>#NAME?</v>
      </c>
      <c r="U39" s="128" t="e" cm="1">
        <f t="array" aca="1" ref="U39" ca="1">Notmerged(U10)</f>
        <v>#NAME?</v>
      </c>
      <c r="V39" s="128" t="e" cm="1">
        <f t="array" aca="1" ref="V39" ca="1">Notmerged(V10)</f>
        <v>#NAME?</v>
      </c>
      <c r="W39" s="128" t="e" cm="1">
        <f t="array" aca="1" ref="W39" ca="1">Notmerged(W10)</f>
        <v>#NAME?</v>
      </c>
      <c r="X39" s="128" t="e" cm="1">
        <f t="array" aca="1" ref="X39" ca="1">Notmerged(X10)</f>
        <v>#NAME?</v>
      </c>
      <c r="Y39" s="128" t="e" cm="1">
        <f t="array" aca="1" ref="Y39" ca="1">Notmerged(Y10)</f>
        <v>#NAME?</v>
      </c>
      <c r="Z39" s="128" t="e" cm="1">
        <f t="array" aca="1" ref="Z39" ca="1">Notmerged(Z10)</f>
        <v>#NAME?</v>
      </c>
      <c r="AA39" s="128" t="e" cm="1">
        <f t="array" aca="1" ref="AA39" ca="1">Notmerged(AA10)</f>
        <v>#NAME?</v>
      </c>
      <c r="AB39" s="128" t="e" cm="1">
        <f t="array" aca="1" ref="AB39" ca="1">Notmerged(AB10)</f>
        <v>#NAME?</v>
      </c>
      <c r="AC39" s="128" t="e" cm="1">
        <f t="array" aca="1" ref="AC39" ca="1">Notmerged(AC10)</f>
        <v>#NAME?</v>
      </c>
      <c r="AD39" s="128" t="e" cm="1">
        <f t="array" aca="1" ref="AD39" ca="1">Notmerged(AD10)</f>
        <v>#NAME?</v>
      </c>
      <c r="AE39" s="128" t="e" cm="1">
        <f t="array" aca="1" ref="AE39" ca="1">Notmerged(AE10)</f>
        <v>#NAME?</v>
      </c>
      <c r="AF39" s="128" t="e" cm="1">
        <f t="array" aca="1" ref="AF39" ca="1">Notmerged(AF10)</f>
        <v>#NAME?</v>
      </c>
      <c r="AG39" s="128" t="e" cm="1">
        <f t="array" aca="1" ref="AG39" ca="1">Notmerged(AG10)</f>
        <v>#NAME?</v>
      </c>
      <c r="AH39" s="128" t="e" cm="1">
        <f t="array" aca="1" ref="AH39" ca="1">Notmerged(AH10)</f>
        <v>#NAME?</v>
      </c>
      <c r="AI39" s="128" t="e" cm="1">
        <f t="array" aca="1" ref="AI39" ca="1">Notmerged(AI10)</f>
        <v>#NAME?</v>
      </c>
      <c r="AJ39" s="128" t="e" cm="1">
        <f t="array" aca="1" ref="AJ39" ca="1">Notmerged(AJ10)</f>
        <v>#NAME?</v>
      </c>
      <c r="AK39" s="128" t="e" cm="1">
        <f t="array" aca="1" ref="AK39" ca="1">Notmerged(AK10)</f>
        <v>#NAME?</v>
      </c>
      <c r="AL39" s="128" t="e" cm="1">
        <f t="array" aca="1" ref="AL39" ca="1">Notmerged(AL10)</f>
        <v>#NAME?</v>
      </c>
      <c r="AM39" s="128" t="e" cm="1">
        <f t="array" aca="1" ref="AM39" ca="1">Notmerged(AM10)</f>
        <v>#NAME?</v>
      </c>
      <c r="AN39" s="128" t="e" cm="1">
        <f t="array" aca="1" ref="AN39" ca="1">Notmerged(AN10)</f>
        <v>#NAME?</v>
      </c>
      <c r="AO39" s="128" t="e" cm="1">
        <f t="array" aca="1" ref="AO39" ca="1">Notmerged(AO10)</f>
        <v>#NAME?</v>
      </c>
      <c r="AP39" s="128" t="e" cm="1">
        <f t="array" aca="1" ref="AP39" ca="1">Notmerged(AP10)</f>
        <v>#NAME?</v>
      </c>
      <c r="AQ39" s="128" t="e" cm="1">
        <f t="array" aca="1" ref="AQ39" ca="1">Notmerged(AQ10)</f>
        <v>#NAME?</v>
      </c>
      <c r="AR39" s="128" t="e" cm="1">
        <f t="array" aca="1" ref="AR39" ca="1">Notmerged(AR10)</f>
        <v>#NAME?</v>
      </c>
      <c r="AS39" s="128" t="e" cm="1">
        <f t="array" aca="1" ref="AS39" ca="1">Notmerged(AS10)</f>
        <v>#NAME?</v>
      </c>
      <c r="AT39" s="128" t="e" cm="1">
        <f t="array" aca="1" ref="AT39" ca="1">Notmerged(AT10)</f>
        <v>#NAME?</v>
      </c>
      <c r="AU39" s="128" t="e" cm="1">
        <f t="array" aca="1" ref="AU39" ca="1">Notmerged(AU10)</f>
        <v>#NAME?</v>
      </c>
      <c r="AV39" s="128" t="e" cm="1">
        <f t="array" aca="1" ref="AV39" ca="1">Notmerged(AV10)</f>
        <v>#NAME?</v>
      </c>
      <c r="AW39" s="128" t="e" cm="1">
        <f t="array" aca="1" ref="AW39" ca="1">Notmerged(AW10)</f>
        <v>#NAME?</v>
      </c>
      <c r="AX39" s="128" t="e" cm="1">
        <f t="array" aca="1" ref="AX39" ca="1">Notmerged(AX10)</f>
        <v>#NAME?</v>
      </c>
      <c r="AY39" s="128" t="e" cm="1">
        <f t="array" aca="1" ref="AY39" ca="1">Notmerged(AY10)</f>
        <v>#NAME?</v>
      </c>
      <c r="AZ39" s="128" t="e" cm="1">
        <f t="array" aca="1" ref="AZ39" ca="1">Notmerged(AZ10)</f>
        <v>#NAME?</v>
      </c>
      <c r="BA39" s="128" t="e" cm="1">
        <f t="array" aca="1" ref="BA39" ca="1">Notmerged(BA10)</f>
        <v>#NAME?</v>
      </c>
      <c r="BB39" s="128" t="e" cm="1">
        <f t="array" aca="1" ref="BB39" ca="1">Notmerged(BB10)</f>
        <v>#NAME?</v>
      </c>
      <c r="BC39" s="128" t="e" cm="1">
        <f t="array" aca="1" ref="BC39" ca="1">Notmerged(BC10)</f>
        <v>#NAME?</v>
      </c>
      <c r="BD39" s="128" t="e" cm="1">
        <f t="array" aca="1" ref="BD39" ca="1">Notmerged(BD10)</f>
        <v>#NAME?</v>
      </c>
      <c r="BE39" s="128" t="e" cm="1">
        <f t="array" aca="1" ref="BE39" ca="1">Notmerged(BE10)</f>
        <v>#NAME?</v>
      </c>
      <c r="BF39" s="128" t="e" cm="1">
        <f t="array" aca="1" ref="BF39" ca="1">Notmerged(BF10)</f>
        <v>#NAME?</v>
      </c>
      <c r="BG39" s="128" t="e" cm="1">
        <f t="array" aca="1" ref="BG39" ca="1">Notmerged(BG10)</f>
        <v>#NAME?</v>
      </c>
      <c r="BH39" s="128" t="e" cm="1">
        <f t="array" aca="1" ref="BH39" ca="1">Notmerged(BH10)</f>
        <v>#NAME?</v>
      </c>
      <c r="BI39" s="128" t="e" cm="1">
        <f t="array" aca="1" ref="BI39" ca="1">Notmerged(BI10)</f>
        <v>#NAME?</v>
      </c>
      <c r="BJ39" s="128" t="e" cm="1">
        <f t="array" aca="1" ref="BJ39" ca="1">Notmerged(BJ10)</f>
        <v>#NAME?</v>
      </c>
      <c r="BK39" s="128" t="e" cm="1">
        <f t="array" aca="1" ref="BK39" ca="1">Notmerged(BK10)</f>
        <v>#NAME?</v>
      </c>
    </row>
    <row r="40" spans="2:63" x14ac:dyDescent="0.3">
      <c r="B40" s="128" t="e" cm="1">
        <f t="array" aca="1" ref="B40" ca="1">Notmerged(B11)</f>
        <v>#NAME?</v>
      </c>
      <c r="C40" s="128" t="e" cm="1">
        <f t="array" aca="1" ref="C40" ca="1">Notmerged(C11)</f>
        <v>#NAME?</v>
      </c>
      <c r="D40" s="128" t="e" cm="1">
        <f t="array" aca="1" ref="D40" ca="1">Notmerged(D11)</f>
        <v>#NAME?</v>
      </c>
      <c r="E40" s="128" t="e" cm="1">
        <f t="array" aca="1" ref="E40" ca="1">Notmerged(E11)</f>
        <v>#NAME?</v>
      </c>
      <c r="F40" s="128" t="e" cm="1">
        <f t="array" aca="1" ref="F40" ca="1">Notmerged(F11)</f>
        <v>#NAME?</v>
      </c>
      <c r="G40" s="128" t="e" cm="1">
        <f t="array" aca="1" ref="G40" ca="1">Notmerged(G11)</f>
        <v>#NAME?</v>
      </c>
      <c r="H40" s="128" t="e" cm="1">
        <f t="array" aca="1" ref="H40" ca="1">Notmerged(H11)</f>
        <v>#NAME?</v>
      </c>
      <c r="I40" s="128" t="e" cm="1">
        <f t="array" aca="1" ref="I40" ca="1">Notmerged(I11)</f>
        <v>#NAME?</v>
      </c>
      <c r="J40" s="128" t="e" cm="1">
        <f t="array" aca="1" ref="J40" ca="1">Notmerged(J11)</f>
        <v>#NAME?</v>
      </c>
      <c r="K40" s="128" t="e" cm="1">
        <f t="array" aca="1" ref="K40" ca="1">Notmerged(K11)</f>
        <v>#NAME?</v>
      </c>
      <c r="L40" s="128" t="e" cm="1">
        <f t="array" aca="1" ref="L40" ca="1">Notmerged(L11)</f>
        <v>#NAME?</v>
      </c>
      <c r="M40" s="128" t="e" cm="1">
        <f t="array" aca="1" ref="M40" ca="1">Notmerged(M11)</f>
        <v>#NAME?</v>
      </c>
      <c r="N40" s="128" t="e" cm="1">
        <f t="array" aca="1" ref="N40" ca="1">Notmerged(N11)</f>
        <v>#NAME?</v>
      </c>
      <c r="O40" s="128" t="e" cm="1">
        <f t="array" aca="1" ref="O40" ca="1">Notmerged(O11)</f>
        <v>#NAME?</v>
      </c>
      <c r="P40" s="128" t="e" cm="1">
        <f t="array" aca="1" ref="P40" ca="1">Notmerged(P11)</f>
        <v>#NAME?</v>
      </c>
      <c r="Q40" s="128" t="e" cm="1">
        <f t="array" aca="1" ref="Q40" ca="1">Notmerged(Q11)</f>
        <v>#NAME?</v>
      </c>
      <c r="R40" s="128" t="e" cm="1">
        <f t="array" aca="1" ref="R40" ca="1">Notmerged(R11)</f>
        <v>#NAME?</v>
      </c>
      <c r="S40" s="128" t="e" cm="1">
        <f t="array" aca="1" ref="S40" ca="1">Notmerged(S11)</f>
        <v>#NAME?</v>
      </c>
      <c r="T40" s="128" t="e" cm="1">
        <f t="array" aca="1" ref="T40" ca="1">Notmerged(T11)</f>
        <v>#NAME?</v>
      </c>
      <c r="U40" s="128" t="e" cm="1">
        <f t="array" aca="1" ref="U40" ca="1">Notmerged(U11)</f>
        <v>#NAME?</v>
      </c>
      <c r="V40" s="128" t="e" cm="1">
        <f t="array" aca="1" ref="V40" ca="1">Notmerged(V11)</f>
        <v>#NAME?</v>
      </c>
      <c r="W40" s="128" t="e" cm="1">
        <f t="array" aca="1" ref="W40" ca="1">Notmerged(W11)</f>
        <v>#NAME?</v>
      </c>
      <c r="X40" s="128" t="e" cm="1">
        <f t="array" aca="1" ref="X40" ca="1">Notmerged(X11)</f>
        <v>#NAME?</v>
      </c>
      <c r="Y40" s="128" t="e" cm="1">
        <f t="array" aca="1" ref="Y40" ca="1">Notmerged(Y11)</f>
        <v>#NAME?</v>
      </c>
      <c r="Z40" s="128" t="e" cm="1">
        <f t="array" aca="1" ref="Z40" ca="1">Notmerged(Z11)</f>
        <v>#NAME?</v>
      </c>
      <c r="AA40" s="128" t="e" cm="1">
        <f t="array" aca="1" ref="AA40" ca="1">Notmerged(AA11)</f>
        <v>#NAME?</v>
      </c>
      <c r="AB40" s="128" t="e" cm="1">
        <f t="array" aca="1" ref="AB40" ca="1">Notmerged(AB11)</f>
        <v>#NAME?</v>
      </c>
      <c r="AC40" s="128" t="e" cm="1">
        <f t="array" aca="1" ref="AC40" ca="1">Notmerged(AC11)</f>
        <v>#NAME?</v>
      </c>
      <c r="AD40" s="128" t="e" cm="1">
        <f t="array" aca="1" ref="AD40" ca="1">Notmerged(AD11)</f>
        <v>#NAME?</v>
      </c>
      <c r="AE40" s="128" t="e" cm="1">
        <f t="array" aca="1" ref="AE40" ca="1">Notmerged(AE11)</f>
        <v>#NAME?</v>
      </c>
      <c r="AF40" s="128" t="e" cm="1">
        <f t="array" aca="1" ref="AF40" ca="1">Notmerged(AF11)</f>
        <v>#NAME?</v>
      </c>
      <c r="AG40" s="128" t="e" cm="1">
        <f t="array" aca="1" ref="AG40" ca="1">Notmerged(AG11)</f>
        <v>#NAME?</v>
      </c>
      <c r="AH40" s="128" t="e" cm="1">
        <f t="array" aca="1" ref="AH40" ca="1">Notmerged(AH11)</f>
        <v>#NAME?</v>
      </c>
      <c r="AI40" s="128" t="e" cm="1">
        <f t="array" aca="1" ref="AI40" ca="1">Notmerged(AI11)</f>
        <v>#NAME?</v>
      </c>
      <c r="AJ40" s="128" t="e" cm="1">
        <f t="array" aca="1" ref="AJ40" ca="1">Notmerged(AJ11)</f>
        <v>#NAME?</v>
      </c>
      <c r="AK40" s="128" t="e" cm="1">
        <f t="array" aca="1" ref="AK40" ca="1">Notmerged(AK11)</f>
        <v>#NAME?</v>
      </c>
      <c r="AL40" s="128" t="e" cm="1">
        <f t="array" aca="1" ref="AL40" ca="1">Notmerged(AL11)</f>
        <v>#NAME?</v>
      </c>
      <c r="AM40" s="128" t="e" cm="1">
        <f t="array" aca="1" ref="AM40" ca="1">Notmerged(AM11)</f>
        <v>#NAME?</v>
      </c>
      <c r="AN40" s="128" t="e" cm="1">
        <f t="array" aca="1" ref="AN40" ca="1">Notmerged(AN11)</f>
        <v>#NAME?</v>
      </c>
      <c r="AO40" s="128" t="e" cm="1">
        <f t="array" aca="1" ref="AO40" ca="1">Notmerged(AO11)</f>
        <v>#NAME?</v>
      </c>
      <c r="AP40" s="128" t="e" cm="1">
        <f t="array" aca="1" ref="AP40" ca="1">Notmerged(AP11)</f>
        <v>#NAME?</v>
      </c>
      <c r="AQ40" s="128" t="e" cm="1">
        <f t="array" aca="1" ref="AQ40" ca="1">Notmerged(AQ11)</f>
        <v>#NAME?</v>
      </c>
      <c r="AR40" s="128" t="e" cm="1">
        <f t="array" aca="1" ref="AR40" ca="1">Notmerged(AR11)</f>
        <v>#NAME?</v>
      </c>
      <c r="AS40" s="128" t="e" cm="1">
        <f t="array" aca="1" ref="AS40" ca="1">Notmerged(AS11)</f>
        <v>#NAME?</v>
      </c>
      <c r="AT40" s="128" t="e" cm="1">
        <f t="array" aca="1" ref="AT40" ca="1">Notmerged(AT11)</f>
        <v>#NAME?</v>
      </c>
      <c r="AU40" s="128" t="e" cm="1">
        <f t="array" aca="1" ref="AU40" ca="1">Notmerged(AU11)</f>
        <v>#NAME?</v>
      </c>
      <c r="AV40" s="128" t="e" cm="1">
        <f t="array" aca="1" ref="AV40" ca="1">Notmerged(AV11)</f>
        <v>#NAME?</v>
      </c>
      <c r="AW40" s="128" t="e" cm="1">
        <f t="array" aca="1" ref="AW40" ca="1">Notmerged(AW11)</f>
        <v>#NAME?</v>
      </c>
      <c r="AX40" s="128" t="e" cm="1">
        <f t="array" aca="1" ref="AX40" ca="1">Notmerged(AX11)</f>
        <v>#NAME?</v>
      </c>
      <c r="AY40" s="128" t="e" cm="1">
        <f t="array" aca="1" ref="AY40" ca="1">Notmerged(AY11)</f>
        <v>#NAME?</v>
      </c>
      <c r="AZ40" s="128" t="e" cm="1">
        <f t="array" aca="1" ref="AZ40" ca="1">Notmerged(AZ11)</f>
        <v>#NAME?</v>
      </c>
      <c r="BA40" s="128" t="e" cm="1">
        <f t="array" aca="1" ref="BA40" ca="1">Notmerged(BA11)</f>
        <v>#NAME?</v>
      </c>
      <c r="BB40" s="128" t="e" cm="1">
        <f t="array" aca="1" ref="BB40" ca="1">Notmerged(BB11)</f>
        <v>#NAME?</v>
      </c>
      <c r="BC40" s="128" t="e" cm="1">
        <f t="array" aca="1" ref="BC40" ca="1">Notmerged(BC11)</f>
        <v>#NAME?</v>
      </c>
      <c r="BD40" s="128" t="e" cm="1">
        <f t="array" aca="1" ref="BD40" ca="1">Notmerged(BD11)</f>
        <v>#NAME?</v>
      </c>
      <c r="BE40" s="128" t="e" cm="1">
        <f t="array" aca="1" ref="BE40" ca="1">Notmerged(BE11)</f>
        <v>#NAME?</v>
      </c>
      <c r="BF40" s="128" t="e" cm="1">
        <f t="array" aca="1" ref="BF40" ca="1">Notmerged(BF11)</f>
        <v>#NAME?</v>
      </c>
      <c r="BG40" s="128" t="e" cm="1">
        <f t="array" aca="1" ref="BG40" ca="1">Notmerged(BG11)</f>
        <v>#NAME?</v>
      </c>
      <c r="BH40" s="128" t="e" cm="1">
        <f t="array" aca="1" ref="BH40" ca="1">Notmerged(BH11)</f>
        <v>#NAME?</v>
      </c>
      <c r="BI40" s="128" t="e" cm="1">
        <f t="array" aca="1" ref="BI40" ca="1">Notmerged(BI11)</f>
        <v>#NAME?</v>
      </c>
      <c r="BJ40" s="128" t="e" cm="1">
        <f t="array" aca="1" ref="BJ40" ca="1">Notmerged(BJ11)</f>
        <v>#NAME?</v>
      </c>
      <c r="BK40" s="128" t="e" cm="1">
        <f t="array" aca="1" ref="BK40" ca="1">Notmerged(BK11)</f>
        <v>#NAME?</v>
      </c>
    </row>
    <row r="41" spans="2:63" x14ac:dyDescent="0.3">
      <c r="B41" s="128" t="e" cm="1">
        <f t="array" aca="1" ref="B41" ca="1">Notmerged(B12)</f>
        <v>#NAME?</v>
      </c>
      <c r="C41" s="128" t="e" cm="1">
        <f t="array" aca="1" ref="C41" ca="1">Notmerged(C12)</f>
        <v>#NAME?</v>
      </c>
      <c r="D41" s="128" t="e" cm="1">
        <f t="array" aca="1" ref="D41" ca="1">Notmerged(D12)</f>
        <v>#NAME?</v>
      </c>
      <c r="E41" s="128" t="e" cm="1">
        <f t="array" aca="1" ref="E41" ca="1">Notmerged(E12)</f>
        <v>#NAME?</v>
      </c>
      <c r="F41" s="128" t="e" cm="1">
        <f t="array" aca="1" ref="F41" ca="1">Notmerged(F12)</f>
        <v>#NAME?</v>
      </c>
      <c r="G41" s="128" t="e" cm="1">
        <f t="array" aca="1" ref="G41" ca="1">Notmerged(G12)</f>
        <v>#NAME?</v>
      </c>
      <c r="H41" s="128" t="e" cm="1">
        <f t="array" aca="1" ref="H41" ca="1">Notmerged(H12)</f>
        <v>#NAME?</v>
      </c>
      <c r="I41" s="128" t="e" cm="1">
        <f t="array" aca="1" ref="I41" ca="1">Notmerged(I12)</f>
        <v>#NAME?</v>
      </c>
      <c r="J41" s="128" t="e" cm="1">
        <f t="array" aca="1" ref="J41" ca="1">Notmerged(J12)</f>
        <v>#NAME?</v>
      </c>
      <c r="K41" s="128" t="e" cm="1">
        <f t="array" aca="1" ref="K41" ca="1">Notmerged(K12)</f>
        <v>#NAME?</v>
      </c>
      <c r="L41" s="128" t="e" cm="1">
        <f t="array" aca="1" ref="L41" ca="1">Notmerged(L12)</f>
        <v>#NAME?</v>
      </c>
      <c r="M41" s="128" t="e" cm="1">
        <f t="array" aca="1" ref="M41" ca="1">Notmerged(M12)</f>
        <v>#NAME?</v>
      </c>
      <c r="N41" s="128" t="e" cm="1">
        <f t="array" aca="1" ref="N41" ca="1">Notmerged(N12)</f>
        <v>#NAME?</v>
      </c>
      <c r="O41" s="128" t="e" cm="1">
        <f t="array" aca="1" ref="O41" ca="1">Notmerged(O12)</f>
        <v>#NAME?</v>
      </c>
      <c r="P41" s="128" t="e" cm="1">
        <f t="array" aca="1" ref="P41" ca="1">Notmerged(P12)</f>
        <v>#NAME?</v>
      </c>
      <c r="Q41" s="128" t="e" cm="1">
        <f t="array" aca="1" ref="Q41" ca="1">Notmerged(Q12)</f>
        <v>#NAME?</v>
      </c>
      <c r="R41" s="128" t="e" cm="1">
        <f t="array" aca="1" ref="R41" ca="1">Notmerged(R12)</f>
        <v>#NAME?</v>
      </c>
      <c r="S41" s="128" t="e" cm="1">
        <f t="array" aca="1" ref="S41" ca="1">Notmerged(S12)</f>
        <v>#NAME?</v>
      </c>
      <c r="T41" s="128" t="e" cm="1">
        <f t="array" aca="1" ref="T41" ca="1">Notmerged(T12)</f>
        <v>#NAME?</v>
      </c>
      <c r="U41" s="128" t="e" cm="1">
        <f t="array" aca="1" ref="U41" ca="1">Notmerged(U12)</f>
        <v>#NAME?</v>
      </c>
      <c r="V41" s="128" t="e" cm="1">
        <f t="array" aca="1" ref="V41" ca="1">Notmerged(V12)</f>
        <v>#NAME?</v>
      </c>
      <c r="W41" s="128" t="e" cm="1">
        <f t="array" aca="1" ref="W41" ca="1">Notmerged(W12)</f>
        <v>#NAME?</v>
      </c>
      <c r="X41" s="128" t="e" cm="1">
        <f t="array" aca="1" ref="X41" ca="1">Notmerged(X12)</f>
        <v>#NAME?</v>
      </c>
      <c r="Y41" s="128" t="e" cm="1">
        <f t="array" aca="1" ref="Y41" ca="1">Notmerged(Y12)</f>
        <v>#NAME?</v>
      </c>
      <c r="Z41" s="128" t="e" cm="1">
        <f t="array" aca="1" ref="Z41" ca="1">Notmerged(Z12)</f>
        <v>#NAME?</v>
      </c>
      <c r="AA41" s="128" t="e" cm="1">
        <f t="array" aca="1" ref="AA41" ca="1">Notmerged(AA12)</f>
        <v>#NAME?</v>
      </c>
      <c r="AB41" s="128" t="e" cm="1">
        <f t="array" aca="1" ref="AB41" ca="1">Notmerged(AB12)</f>
        <v>#NAME?</v>
      </c>
      <c r="AC41" s="128" t="e" cm="1">
        <f t="array" aca="1" ref="AC41" ca="1">Notmerged(AC12)</f>
        <v>#NAME?</v>
      </c>
      <c r="AD41" s="128" t="e" cm="1">
        <f t="array" aca="1" ref="AD41" ca="1">Notmerged(AD12)</f>
        <v>#NAME?</v>
      </c>
      <c r="AE41" s="128" t="e" cm="1">
        <f t="array" aca="1" ref="AE41" ca="1">Notmerged(AE12)</f>
        <v>#NAME?</v>
      </c>
      <c r="AF41" s="128" t="e" cm="1">
        <f t="array" aca="1" ref="AF41" ca="1">Notmerged(AF12)</f>
        <v>#NAME?</v>
      </c>
      <c r="AG41" s="128" t="e" cm="1">
        <f t="array" aca="1" ref="AG41" ca="1">Notmerged(AG12)</f>
        <v>#NAME?</v>
      </c>
      <c r="AH41" s="128" t="e" cm="1">
        <f t="array" aca="1" ref="AH41" ca="1">Notmerged(AH12)</f>
        <v>#NAME?</v>
      </c>
      <c r="AI41" s="128" t="e" cm="1">
        <f t="array" aca="1" ref="AI41" ca="1">Notmerged(AI12)</f>
        <v>#NAME?</v>
      </c>
      <c r="AJ41" s="128" t="e" cm="1">
        <f t="array" aca="1" ref="AJ41" ca="1">Notmerged(AJ12)</f>
        <v>#NAME?</v>
      </c>
      <c r="AK41" s="128" t="e" cm="1">
        <f t="array" aca="1" ref="AK41" ca="1">Notmerged(AK12)</f>
        <v>#NAME?</v>
      </c>
      <c r="AL41" s="128" t="e" cm="1">
        <f t="array" aca="1" ref="AL41" ca="1">Notmerged(AL12)</f>
        <v>#NAME?</v>
      </c>
      <c r="AM41" s="128" t="e" cm="1">
        <f t="array" aca="1" ref="AM41" ca="1">Notmerged(AM12)</f>
        <v>#NAME?</v>
      </c>
      <c r="AN41" s="128" t="e" cm="1">
        <f t="array" aca="1" ref="AN41" ca="1">Notmerged(AN12)</f>
        <v>#NAME?</v>
      </c>
      <c r="AO41" s="128" t="e" cm="1">
        <f t="array" aca="1" ref="AO41" ca="1">Notmerged(AO12)</f>
        <v>#NAME?</v>
      </c>
      <c r="AP41" s="128" t="e" cm="1">
        <f t="array" aca="1" ref="AP41" ca="1">Notmerged(AP12)</f>
        <v>#NAME?</v>
      </c>
      <c r="AQ41" s="128" t="e" cm="1">
        <f t="array" aca="1" ref="AQ41" ca="1">Notmerged(AQ12)</f>
        <v>#NAME?</v>
      </c>
      <c r="AR41" s="128" t="e" cm="1">
        <f t="array" aca="1" ref="AR41" ca="1">Notmerged(AR12)</f>
        <v>#NAME?</v>
      </c>
      <c r="AS41" s="128" t="e" cm="1">
        <f t="array" aca="1" ref="AS41" ca="1">Notmerged(AS12)</f>
        <v>#NAME?</v>
      </c>
      <c r="AT41" s="128" t="e" cm="1">
        <f t="array" aca="1" ref="AT41" ca="1">Notmerged(AT12)</f>
        <v>#NAME?</v>
      </c>
      <c r="AU41" s="128" t="e" cm="1">
        <f t="array" aca="1" ref="AU41" ca="1">Notmerged(AU12)</f>
        <v>#NAME?</v>
      </c>
      <c r="AV41" s="128" t="e" cm="1">
        <f t="array" aca="1" ref="AV41" ca="1">Notmerged(AV12)</f>
        <v>#NAME?</v>
      </c>
      <c r="AW41" s="128" t="e" cm="1">
        <f t="array" aca="1" ref="AW41" ca="1">Notmerged(AW12)</f>
        <v>#NAME?</v>
      </c>
      <c r="AX41" s="128" t="e" cm="1">
        <f t="array" aca="1" ref="AX41" ca="1">Notmerged(AX12)</f>
        <v>#NAME?</v>
      </c>
      <c r="AY41" s="128" t="e" cm="1">
        <f t="array" aca="1" ref="AY41" ca="1">Notmerged(AY12)</f>
        <v>#NAME?</v>
      </c>
      <c r="AZ41" s="128" t="e" cm="1">
        <f t="array" aca="1" ref="AZ41" ca="1">Notmerged(AZ12)</f>
        <v>#NAME?</v>
      </c>
      <c r="BA41" s="128" t="e" cm="1">
        <f t="array" aca="1" ref="BA41" ca="1">Notmerged(BA12)</f>
        <v>#NAME?</v>
      </c>
      <c r="BB41" s="128" t="e" cm="1">
        <f t="array" aca="1" ref="BB41" ca="1">Notmerged(BB12)</f>
        <v>#NAME?</v>
      </c>
      <c r="BC41" s="128" t="e" cm="1">
        <f t="array" aca="1" ref="BC41" ca="1">Notmerged(BC12)</f>
        <v>#NAME?</v>
      </c>
      <c r="BD41" s="128" t="e" cm="1">
        <f t="array" aca="1" ref="BD41" ca="1">Notmerged(BD12)</f>
        <v>#NAME?</v>
      </c>
      <c r="BE41" s="128" t="e" cm="1">
        <f t="array" aca="1" ref="BE41" ca="1">Notmerged(BE12)</f>
        <v>#NAME?</v>
      </c>
      <c r="BF41" s="128" t="e" cm="1">
        <f t="array" aca="1" ref="BF41" ca="1">Notmerged(BF12)</f>
        <v>#NAME?</v>
      </c>
      <c r="BG41" s="128" t="e" cm="1">
        <f t="array" aca="1" ref="BG41" ca="1">Notmerged(BG12)</f>
        <v>#NAME?</v>
      </c>
      <c r="BH41" s="128" t="e" cm="1">
        <f t="array" aca="1" ref="BH41" ca="1">Notmerged(BH12)</f>
        <v>#NAME?</v>
      </c>
      <c r="BI41" s="128" t="e" cm="1">
        <f t="array" aca="1" ref="BI41" ca="1">Notmerged(BI12)</f>
        <v>#NAME?</v>
      </c>
      <c r="BJ41" s="128" t="e" cm="1">
        <f t="array" aca="1" ref="BJ41" ca="1">Notmerged(BJ12)</f>
        <v>#NAME?</v>
      </c>
      <c r="BK41" s="128" t="e" cm="1">
        <f t="array" aca="1" ref="BK41" ca="1">Notmerged(BK12)</f>
        <v>#NAME?</v>
      </c>
    </row>
    <row r="42" spans="2:63" x14ac:dyDescent="0.3">
      <c r="B42" s="128" t="e" cm="1">
        <f t="array" aca="1" ref="B42" ca="1">Notmerged(B13)</f>
        <v>#NAME?</v>
      </c>
      <c r="C42" s="128" t="e" cm="1">
        <f t="array" aca="1" ref="C42" ca="1">Notmerged(C13)</f>
        <v>#NAME?</v>
      </c>
      <c r="D42" s="128" t="e" cm="1">
        <f t="array" aca="1" ref="D42" ca="1">Notmerged(D13)</f>
        <v>#NAME?</v>
      </c>
      <c r="E42" s="128" t="e" cm="1">
        <f t="array" aca="1" ref="E42" ca="1">Notmerged(E13)</f>
        <v>#NAME?</v>
      </c>
      <c r="F42" s="128" t="e" cm="1">
        <f t="array" aca="1" ref="F42" ca="1">Notmerged(F13)</f>
        <v>#NAME?</v>
      </c>
      <c r="G42" s="128" t="e" cm="1">
        <f t="array" aca="1" ref="G42" ca="1">Notmerged(G13)</f>
        <v>#NAME?</v>
      </c>
      <c r="H42" s="128" t="e" cm="1">
        <f t="array" aca="1" ref="H42" ca="1">Notmerged(H13)</f>
        <v>#NAME?</v>
      </c>
      <c r="I42" s="128" t="e" cm="1">
        <f t="array" aca="1" ref="I42" ca="1">Notmerged(I13)</f>
        <v>#NAME?</v>
      </c>
      <c r="J42" s="128" t="e" cm="1">
        <f t="array" aca="1" ref="J42" ca="1">Notmerged(J13)</f>
        <v>#NAME?</v>
      </c>
      <c r="K42" s="128" t="e" cm="1">
        <f t="array" aca="1" ref="K42" ca="1">Notmerged(K13)</f>
        <v>#NAME?</v>
      </c>
      <c r="L42" s="128" t="e" cm="1">
        <f t="array" aca="1" ref="L42" ca="1">Notmerged(L13)</f>
        <v>#NAME?</v>
      </c>
      <c r="M42" s="128" t="e" cm="1">
        <f t="array" aca="1" ref="M42" ca="1">Notmerged(M13)</f>
        <v>#NAME?</v>
      </c>
      <c r="N42" s="128" t="e" cm="1">
        <f t="array" aca="1" ref="N42" ca="1">Notmerged(N13)</f>
        <v>#NAME?</v>
      </c>
      <c r="O42" s="128" t="e" cm="1">
        <f t="array" aca="1" ref="O42" ca="1">Notmerged(O13)</f>
        <v>#NAME?</v>
      </c>
      <c r="P42" s="128" t="e" cm="1">
        <f t="array" aca="1" ref="P42" ca="1">Notmerged(P13)</f>
        <v>#NAME?</v>
      </c>
      <c r="Q42" s="128" t="e" cm="1">
        <f t="array" aca="1" ref="Q42" ca="1">Notmerged(Q13)</f>
        <v>#NAME?</v>
      </c>
      <c r="R42" s="128" t="e" cm="1">
        <f t="array" aca="1" ref="R42" ca="1">Notmerged(R13)</f>
        <v>#NAME?</v>
      </c>
      <c r="S42" s="128" t="e" cm="1">
        <f t="array" aca="1" ref="S42" ca="1">Notmerged(S13)</f>
        <v>#NAME?</v>
      </c>
      <c r="T42" s="128" t="e" cm="1">
        <f t="array" aca="1" ref="T42" ca="1">Notmerged(T13)</f>
        <v>#NAME?</v>
      </c>
      <c r="U42" s="128" t="e" cm="1">
        <f t="array" aca="1" ref="U42" ca="1">Notmerged(U13)</f>
        <v>#NAME?</v>
      </c>
      <c r="V42" s="128" t="e" cm="1">
        <f t="array" aca="1" ref="V42" ca="1">Notmerged(V13)</f>
        <v>#NAME?</v>
      </c>
      <c r="W42" s="128" t="e" cm="1">
        <f t="array" aca="1" ref="W42" ca="1">Notmerged(W13)</f>
        <v>#NAME?</v>
      </c>
      <c r="X42" s="128" t="e" cm="1">
        <f t="array" aca="1" ref="X42" ca="1">Notmerged(X13)</f>
        <v>#NAME?</v>
      </c>
      <c r="Y42" s="128" t="e" cm="1">
        <f t="array" aca="1" ref="Y42" ca="1">Notmerged(Y13)</f>
        <v>#NAME?</v>
      </c>
      <c r="Z42" s="128" t="e" cm="1">
        <f t="array" aca="1" ref="Z42" ca="1">Notmerged(Z13)</f>
        <v>#NAME?</v>
      </c>
      <c r="AA42" s="128" t="e" cm="1">
        <f t="array" aca="1" ref="AA42" ca="1">Notmerged(AA13)</f>
        <v>#NAME?</v>
      </c>
      <c r="AB42" s="128" t="e" cm="1">
        <f t="array" aca="1" ref="AB42" ca="1">Notmerged(AB13)</f>
        <v>#NAME?</v>
      </c>
      <c r="AC42" s="128" t="e" cm="1">
        <f t="array" aca="1" ref="AC42" ca="1">Notmerged(AC13)</f>
        <v>#NAME?</v>
      </c>
      <c r="AD42" s="128" t="e" cm="1">
        <f t="array" aca="1" ref="AD42" ca="1">Notmerged(AD13)</f>
        <v>#NAME?</v>
      </c>
      <c r="AE42" s="128" t="e" cm="1">
        <f t="array" aca="1" ref="AE42" ca="1">Notmerged(AE13)</f>
        <v>#NAME?</v>
      </c>
      <c r="AF42" s="128" t="e" cm="1">
        <f t="array" aca="1" ref="AF42" ca="1">Notmerged(AF13)</f>
        <v>#NAME?</v>
      </c>
      <c r="AG42" s="128" t="e" cm="1">
        <f t="array" aca="1" ref="AG42" ca="1">Notmerged(AG13)</f>
        <v>#NAME?</v>
      </c>
      <c r="AH42" s="128" t="e" cm="1">
        <f t="array" aca="1" ref="AH42" ca="1">Notmerged(AH13)</f>
        <v>#NAME?</v>
      </c>
      <c r="AI42" s="128" t="e" cm="1">
        <f t="array" aca="1" ref="AI42" ca="1">Notmerged(AI13)</f>
        <v>#NAME?</v>
      </c>
      <c r="AJ42" s="128" t="e" cm="1">
        <f t="array" aca="1" ref="AJ42" ca="1">Notmerged(AJ13)</f>
        <v>#NAME?</v>
      </c>
      <c r="AK42" s="128" t="e" cm="1">
        <f t="array" aca="1" ref="AK42" ca="1">Notmerged(AK13)</f>
        <v>#NAME?</v>
      </c>
      <c r="AL42" s="128" t="e" cm="1">
        <f t="array" aca="1" ref="AL42" ca="1">Notmerged(AL13)</f>
        <v>#NAME?</v>
      </c>
      <c r="AM42" s="128" t="e" cm="1">
        <f t="array" aca="1" ref="AM42" ca="1">Notmerged(AM13)</f>
        <v>#NAME?</v>
      </c>
      <c r="AN42" s="128" t="e" cm="1">
        <f t="array" aca="1" ref="AN42" ca="1">Notmerged(AN13)</f>
        <v>#NAME?</v>
      </c>
      <c r="AO42" s="128" t="e" cm="1">
        <f t="array" aca="1" ref="AO42" ca="1">Notmerged(AO13)</f>
        <v>#NAME?</v>
      </c>
      <c r="AP42" s="128" t="e" cm="1">
        <f t="array" aca="1" ref="AP42" ca="1">Notmerged(AP13)</f>
        <v>#NAME?</v>
      </c>
      <c r="AQ42" s="128" t="e" cm="1">
        <f t="array" aca="1" ref="AQ42" ca="1">Notmerged(AQ13)</f>
        <v>#NAME?</v>
      </c>
      <c r="AR42" s="128" t="e" cm="1">
        <f t="array" aca="1" ref="AR42" ca="1">Notmerged(AR13)</f>
        <v>#NAME?</v>
      </c>
      <c r="AS42" s="128" t="e" cm="1">
        <f t="array" aca="1" ref="AS42" ca="1">Notmerged(AS13)</f>
        <v>#NAME?</v>
      </c>
      <c r="AT42" s="128" t="e" cm="1">
        <f t="array" aca="1" ref="AT42" ca="1">Notmerged(AT13)</f>
        <v>#NAME?</v>
      </c>
      <c r="AU42" s="128" t="e" cm="1">
        <f t="array" aca="1" ref="AU42" ca="1">Notmerged(AU13)</f>
        <v>#NAME?</v>
      </c>
      <c r="AV42" s="128" t="e" cm="1">
        <f t="array" aca="1" ref="AV42" ca="1">Notmerged(AV13)</f>
        <v>#NAME?</v>
      </c>
      <c r="AW42" s="128" t="e" cm="1">
        <f t="array" aca="1" ref="AW42" ca="1">Notmerged(AW13)</f>
        <v>#NAME?</v>
      </c>
      <c r="AX42" s="128" t="e" cm="1">
        <f t="array" aca="1" ref="AX42" ca="1">Notmerged(AX13)</f>
        <v>#NAME?</v>
      </c>
      <c r="AY42" s="128" t="e" cm="1">
        <f t="array" aca="1" ref="AY42" ca="1">Notmerged(AY13)</f>
        <v>#NAME?</v>
      </c>
      <c r="AZ42" s="128" t="e" cm="1">
        <f t="array" aca="1" ref="AZ42" ca="1">Notmerged(AZ13)</f>
        <v>#NAME?</v>
      </c>
      <c r="BA42" s="128" t="e" cm="1">
        <f t="array" aca="1" ref="BA42" ca="1">Notmerged(BA13)</f>
        <v>#NAME?</v>
      </c>
      <c r="BB42" s="128" t="e" cm="1">
        <f t="array" aca="1" ref="BB42" ca="1">Notmerged(BB13)</f>
        <v>#NAME?</v>
      </c>
      <c r="BC42" s="128" t="e" cm="1">
        <f t="array" aca="1" ref="BC42" ca="1">Notmerged(BC13)</f>
        <v>#NAME?</v>
      </c>
      <c r="BD42" s="128" t="e" cm="1">
        <f t="array" aca="1" ref="BD42" ca="1">Notmerged(BD13)</f>
        <v>#NAME?</v>
      </c>
      <c r="BE42" s="128" t="e" cm="1">
        <f t="array" aca="1" ref="BE42" ca="1">Notmerged(BE13)</f>
        <v>#NAME?</v>
      </c>
      <c r="BF42" s="128" t="e" cm="1">
        <f t="array" aca="1" ref="BF42" ca="1">Notmerged(BF13)</f>
        <v>#NAME?</v>
      </c>
      <c r="BG42" s="128" t="e" cm="1">
        <f t="array" aca="1" ref="BG42" ca="1">Notmerged(BG13)</f>
        <v>#NAME?</v>
      </c>
      <c r="BH42" s="128" t="e" cm="1">
        <f t="array" aca="1" ref="BH42" ca="1">Notmerged(BH13)</f>
        <v>#NAME?</v>
      </c>
      <c r="BI42" s="128" t="e" cm="1">
        <f t="array" aca="1" ref="BI42" ca="1">Notmerged(BI13)</f>
        <v>#NAME?</v>
      </c>
      <c r="BJ42" s="128" t="e" cm="1">
        <f t="array" aca="1" ref="BJ42" ca="1">Notmerged(BJ13)</f>
        <v>#NAME?</v>
      </c>
      <c r="BK42" s="128" t="e" cm="1">
        <f t="array" aca="1" ref="BK42" ca="1">Notmerged(BK13)</f>
        <v>#NAME?</v>
      </c>
    </row>
    <row r="43" spans="2:63" x14ac:dyDescent="0.3">
      <c r="B43" s="128" t="e" cm="1">
        <f t="array" aca="1" ref="B43" ca="1">Notmerged(B14)</f>
        <v>#NAME?</v>
      </c>
      <c r="C43" s="128" t="e" cm="1">
        <f t="array" aca="1" ref="C43" ca="1">Notmerged(C14)</f>
        <v>#NAME?</v>
      </c>
      <c r="D43" s="128" t="e" cm="1">
        <f t="array" aca="1" ref="D43" ca="1">Notmerged(D14)</f>
        <v>#NAME?</v>
      </c>
      <c r="E43" s="128" t="e" cm="1">
        <f t="array" aca="1" ref="E43" ca="1">Notmerged(E14)</f>
        <v>#NAME?</v>
      </c>
      <c r="F43" s="128" t="e" cm="1">
        <f t="array" aca="1" ref="F43" ca="1">Notmerged(F14)</f>
        <v>#NAME?</v>
      </c>
      <c r="G43" s="128" t="e" cm="1">
        <f t="array" aca="1" ref="G43" ca="1">Notmerged(G14)</f>
        <v>#NAME?</v>
      </c>
      <c r="H43" s="128" t="e" cm="1">
        <f t="array" aca="1" ref="H43" ca="1">Notmerged(H14)</f>
        <v>#NAME?</v>
      </c>
      <c r="I43" s="128" t="e" cm="1">
        <f t="array" aca="1" ref="I43" ca="1">Notmerged(I14)</f>
        <v>#NAME?</v>
      </c>
      <c r="J43" s="128" t="e" cm="1">
        <f t="array" aca="1" ref="J43" ca="1">Notmerged(J14)</f>
        <v>#NAME?</v>
      </c>
      <c r="K43" s="128" t="e" cm="1">
        <f t="array" aca="1" ref="K43" ca="1">Notmerged(K14)</f>
        <v>#NAME?</v>
      </c>
      <c r="L43" s="128" t="e" cm="1">
        <f t="array" aca="1" ref="L43" ca="1">Notmerged(L14)</f>
        <v>#NAME?</v>
      </c>
      <c r="M43" s="128" t="e" cm="1">
        <f t="array" aca="1" ref="M43" ca="1">Notmerged(M14)</f>
        <v>#NAME?</v>
      </c>
      <c r="N43" s="128" t="e" cm="1">
        <f t="array" aca="1" ref="N43" ca="1">Notmerged(N14)</f>
        <v>#NAME?</v>
      </c>
      <c r="O43" s="128" t="e" cm="1">
        <f t="array" aca="1" ref="O43" ca="1">Notmerged(O14)</f>
        <v>#NAME?</v>
      </c>
      <c r="P43" s="128" t="e" cm="1">
        <f t="array" aca="1" ref="P43" ca="1">Notmerged(P14)</f>
        <v>#NAME?</v>
      </c>
      <c r="Q43" s="128" t="e" cm="1">
        <f t="array" aca="1" ref="Q43" ca="1">Notmerged(Q14)</f>
        <v>#NAME?</v>
      </c>
      <c r="R43" s="128" t="e" cm="1">
        <f t="array" aca="1" ref="R43" ca="1">Notmerged(R14)</f>
        <v>#NAME?</v>
      </c>
      <c r="S43" s="128" t="e" cm="1">
        <f t="array" aca="1" ref="S43" ca="1">Notmerged(S14)</f>
        <v>#NAME?</v>
      </c>
      <c r="T43" s="128" t="e" cm="1">
        <f t="array" aca="1" ref="T43" ca="1">Notmerged(T14)</f>
        <v>#NAME?</v>
      </c>
      <c r="U43" s="128" t="e" cm="1">
        <f t="array" aca="1" ref="U43" ca="1">Notmerged(U14)</f>
        <v>#NAME?</v>
      </c>
      <c r="V43" s="128" t="e" cm="1">
        <f t="array" aca="1" ref="V43" ca="1">Notmerged(V14)</f>
        <v>#NAME?</v>
      </c>
      <c r="W43" s="128" t="e" cm="1">
        <f t="array" aca="1" ref="W43" ca="1">Notmerged(W14)</f>
        <v>#NAME?</v>
      </c>
      <c r="X43" s="128" t="e" cm="1">
        <f t="array" aca="1" ref="X43" ca="1">Notmerged(X14)</f>
        <v>#NAME?</v>
      </c>
      <c r="Y43" s="128" t="e" cm="1">
        <f t="array" aca="1" ref="Y43" ca="1">Notmerged(Y14)</f>
        <v>#NAME?</v>
      </c>
      <c r="Z43" s="128" t="e" cm="1">
        <f t="array" aca="1" ref="Z43" ca="1">Notmerged(Z14)</f>
        <v>#NAME?</v>
      </c>
      <c r="AA43" s="128" t="e" cm="1">
        <f t="array" aca="1" ref="AA43" ca="1">Notmerged(AA14)</f>
        <v>#NAME?</v>
      </c>
      <c r="AB43" s="128" t="e" cm="1">
        <f t="array" aca="1" ref="AB43" ca="1">Notmerged(AB14)</f>
        <v>#NAME?</v>
      </c>
      <c r="AC43" s="128" t="e" cm="1">
        <f t="array" aca="1" ref="AC43" ca="1">Notmerged(AC14)</f>
        <v>#NAME?</v>
      </c>
      <c r="AD43" s="128" t="e" cm="1">
        <f t="array" aca="1" ref="AD43" ca="1">Notmerged(AD14)</f>
        <v>#NAME?</v>
      </c>
      <c r="AE43" s="128" t="e" cm="1">
        <f t="array" aca="1" ref="AE43" ca="1">Notmerged(AE14)</f>
        <v>#NAME?</v>
      </c>
      <c r="AF43" s="128" t="e" cm="1">
        <f t="array" aca="1" ref="AF43" ca="1">Notmerged(AF14)</f>
        <v>#NAME?</v>
      </c>
      <c r="AG43" s="128" t="e" cm="1">
        <f t="array" aca="1" ref="AG43" ca="1">Notmerged(AG14)</f>
        <v>#NAME?</v>
      </c>
      <c r="AH43" s="128" t="e" cm="1">
        <f t="array" aca="1" ref="AH43" ca="1">Notmerged(AH14)</f>
        <v>#NAME?</v>
      </c>
      <c r="AI43" s="128" t="e" cm="1">
        <f t="array" aca="1" ref="AI43" ca="1">Notmerged(AI14)</f>
        <v>#NAME?</v>
      </c>
      <c r="AJ43" s="128" t="e" cm="1">
        <f t="array" aca="1" ref="AJ43" ca="1">Notmerged(AJ14)</f>
        <v>#NAME?</v>
      </c>
      <c r="AK43" s="128" t="e" cm="1">
        <f t="array" aca="1" ref="AK43" ca="1">Notmerged(AK14)</f>
        <v>#NAME?</v>
      </c>
      <c r="AL43" s="128" t="e" cm="1">
        <f t="array" aca="1" ref="AL43" ca="1">Notmerged(AL14)</f>
        <v>#NAME?</v>
      </c>
      <c r="AM43" s="128" t="e" cm="1">
        <f t="array" aca="1" ref="AM43" ca="1">Notmerged(AM14)</f>
        <v>#NAME?</v>
      </c>
      <c r="AN43" s="128" t="e" cm="1">
        <f t="array" aca="1" ref="AN43" ca="1">Notmerged(AN14)</f>
        <v>#NAME?</v>
      </c>
      <c r="AO43" s="128" t="e" cm="1">
        <f t="array" aca="1" ref="AO43" ca="1">Notmerged(AO14)</f>
        <v>#NAME?</v>
      </c>
      <c r="AP43" s="128" t="e" cm="1">
        <f t="array" aca="1" ref="AP43" ca="1">Notmerged(AP14)</f>
        <v>#NAME?</v>
      </c>
      <c r="AQ43" s="128" t="e" cm="1">
        <f t="array" aca="1" ref="AQ43" ca="1">Notmerged(AQ14)</f>
        <v>#NAME?</v>
      </c>
      <c r="AR43" s="128" t="e" cm="1">
        <f t="array" aca="1" ref="AR43" ca="1">Notmerged(AR14)</f>
        <v>#NAME?</v>
      </c>
      <c r="AS43" s="128" t="e" cm="1">
        <f t="array" aca="1" ref="AS43" ca="1">Notmerged(AS14)</f>
        <v>#NAME?</v>
      </c>
      <c r="AT43" s="128" t="e" cm="1">
        <f t="array" aca="1" ref="AT43" ca="1">Notmerged(AT14)</f>
        <v>#NAME?</v>
      </c>
      <c r="AU43" s="128" t="e" cm="1">
        <f t="array" aca="1" ref="AU43" ca="1">Notmerged(AU14)</f>
        <v>#NAME?</v>
      </c>
      <c r="AV43" s="128" t="e" cm="1">
        <f t="array" aca="1" ref="AV43" ca="1">Notmerged(AV14)</f>
        <v>#NAME?</v>
      </c>
      <c r="AW43" s="128" t="e" cm="1">
        <f t="array" aca="1" ref="AW43" ca="1">Notmerged(AW14)</f>
        <v>#NAME?</v>
      </c>
      <c r="AX43" s="128" t="e" cm="1">
        <f t="array" aca="1" ref="AX43" ca="1">Notmerged(AX14)</f>
        <v>#NAME?</v>
      </c>
      <c r="AY43" s="128" t="e" cm="1">
        <f t="array" aca="1" ref="AY43" ca="1">Notmerged(AY14)</f>
        <v>#NAME?</v>
      </c>
      <c r="AZ43" s="128" t="e" cm="1">
        <f t="array" aca="1" ref="AZ43" ca="1">Notmerged(AZ14)</f>
        <v>#NAME?</v>
      </c>
      <c r="BA43" s="128" t="e" cm="1">
        <f t="array" aca="1" ref="BA43" ca="1">Notmerged(BA14)</f>
        <v>#NAME?</v>
      </c>
      <c r="BB43" s="128" t="e" cm="1">
        <f t="array" aca="1" ref="BB43" ca="1">Notmerged(BB14)</f>
        <v>#NAME?</v>
      </c>
      <c r="BC43" s="128" t="e" cm="1">
        <f t="array" aca="1" ref="BC43" ca="1">Notmerged(BC14)</f>
        <v>#NAME?</v>
      </c>
      <c r="BD43" s="128" t="e" cm="1">
        <f t="array" aca="1" ref="BD43" ca="1">Notmerged(BD14)</f>
        <v>#NAME?</v>
      </c>
      <c r="BE43" s="128" t="e" cm="1">
        <f t="array" aca="1" ref="BE43" ca="1">Notmerged(BE14)</f>
        <v>#NAME?</v>
      </c>
      <c r="BF43" s="128" t="e" cm="1">
        <f t="array" aca="1" ref="BF43" ca="1">Notmerged(BF14)</f>
        <v>#NAME?</v>
      </c>
      <c r="BG43" s="128" t="e" cm="1">
        <f t="array" aca="1" ref="BG43" ca="1">Notmerged(BG14)</f>
        <v>#NAME?</v>
      </c>
      <c r="BH43" s="128" t="e" cm="1">
        <f t="array" aca="1" ref="BH43" ca="1">Notmerged(BH14)</f>
        <v>#NAME?</v>
      </c>
      <c r="BI43" s="128" t="e" cm="1">
        <f t="array" aca="1" ref="BI43" ca="1">Notmerged(BI14)</f>
        <v>#NAME?</v>
      </c>
      <c r="BJ43" s="128" t="e" cm="1">
        <f t="array" aca="1" ref="BJ43" ca="1">Notmerged(BJ14)</f>
        <v>#NAME?</v>
      </c>
      <c r="BK43" s="128" t="e" cm="1">
        <f t="array" aca="1" ref="BK43" ca="1">Notmerged(BK14)</f>
        <v>#NAME?</v>
      </c>
    </row>
    <row r="44" spans="2:63" x14ac:dyDescent="0.3">
      <c r="B44" s="128" t="e" cm="1">
        <f t="array" aca="1" ref="B44" ca="1">Notmerged(B15)</f>
        <v>#NAME?</v>
      </c>
      <c r="C44" s="128" t="e" cm="1">
        <f t="array" aca="1" ref="C44" ca="1">Notmerged(C15)</f>
        <v>#NAME?</v>
      </c>
      <c r="D44" s="128" t="e" cm="1">
        <f t="array" aca="1" ref="D44" ca="1">Notmerged(D15)</f>
        <v>#NAME?</v>
      </c>
      <c r="E44" s="128" t="e" cm="1">
        <f t="array" aca="1" ref="E44" ca="1">Notmerged(E15)</f>
        <v>#NAME?</v>
      </c>
      <c r="F44" s="128" t="e" cm="1">
        <f t="array" aca="1" ref="F44" ca="1">Notmerged(F15)</f>
        <v>#NAME?</v>
      </c>
      <c r="G44" s="128" t="e" cm="1">
        <f t="array" aca="1" ref="G44" ca="1">Notmerged(G15)</f>
        <v>#NAME?</v>
      </c>
      <c r="H44" s="128" t="e" cm="1">
        <f t="array" aca="1" ref="H44" ca="1">Notmerged(H15)</f>
        <v>#NAME?</v>
      </c>
      <c r="I44" s="128" t="e" cm="1">
        <f t="array" aca="1" ref="I44" ca="1">Notmerged(I15)</f>
        <v>#NAME?</v>
      </c>
      <c r="J44" s="128" t="e" cm="1">
        <f t="array" aca="1" ref="J44" ca="1">Notmerged(J15)</f>
        <v>#NAME?</v>
      </c>
      <c r="K44" s="128" t="e" cm="1">
        <f t="array" aca="1" ref="K44" ca="1">Notmerged(K15)</f>
        <v>#NAME?</v>
      </c>
      <c r="L44" s="128" t="e" cm="1">
        <f t="array" aca="1" ref="L44" ca="1">Notmerged(L15)</f>
        <v>#NAME?</v>
      </c>
      <c r="M44" s="128" t="e" cm="1">
        <f t="array" aca="1" ref="M44" ca="1">Notmerged(M15)</f>
        <v>#NAME?</v>
      </c>
      <c r="N44" s="128" t="e" cm="1">
        <f t="array" aca="1" ref="N44" ca="1">Notmerged(N15)</f>
        <v>#NAME?</v>
      </c>
      <c r="O44" s="128" t="e" cm="1">
        <f t="array" aca="1" ref="O44" ca="1">Notmerged(O15)</f>
        <v>#NAME?</v>
      </c>
      <c r="P44" s="128" t="e" cm="1">
        <f t="array" aca="1" ref="P44" ca="1">Notmerged(P15)</f>
        <v>#NAME?</v>
      </c>
      <c r="Q44" s="128" t="e" cm="1">
        <f t="array" aca="1" ref="Q44" ca="1">Notmerged(Q15)</f>
        <v>#NAME?</v>
      </c>
      <c r="R44" s="128" t="e" cm="1">
        <f t="array" aca="1" ref="R44" ca="1">Notmerged(R15)</f>
        <v>#NAME?</v>
      </c>
      <c r="S44" s="128" t="e" cm="1">
        <f t="array" aca="1" ref="S44" ca="1">Notmerged(S15)</f>
        <v>#NAME?</v>
      </c>
      <c r="T44" s="128" t="e" cm="1">
        <f t="array" aca="1" ref="T44" ca="1">Notmerged(T15)</f>
        <v>#NAME?</v>
      </c>
      <c r="U44" s="128" t="e" cm="1">
        <f t="array" aca="1" ref="U44" ca="1">Notmerged(U15)</f>
        <v>#NAME?</v>
      </c>
      <c r="V44" s="128" t="e" cm="1">
        <f t="array" aca="1" ref="V44" ca="1">Notmerged(V15)</f>
        <v>#NAME?</v>
      </c>
      <c r="W44" s="128" t="e" cm="1">
        <f t="array" aca="1" ref="W44" ca="1">Notmerged(W15)</f>
        <v>#NAME?</v>
      </c>
      <c r="X44" s="128" t="e" cm="1">
        <f t="array" aca="1" ref="X44" ca="1">Notmerged(X15)</f>
        <v>#NAME?</v>
      </c>
      <c r="Y44" s="128" t="e" cm="1">
        <f t="array" aca="1" ref="Y44" ca="1">Notmerged(Y15)</f>
        <v>#NAME?</v>
      </c>
      <c r="Z44" s="128" t="e" cm="1">
        <f t="array" aca="1" ref="Z44" ca="1">Notmerged(Z15)</f>
        <v>#NAME?</v>
      </c>
      <c r="AA44" s="128" t="e" cm="1">
        <f t="array" aca="1" ref="AA44" ca="1">Notmerged(AA15)</f>
        <v>#NAME?</v>
      </c>
      <c r="AB44" s="128" t="e" cm="1">
        <f t="array" aca="1" ref="AB44" ca="1">Notmerged(AB15)</f>
        <v>#NAME?</v>
      </c>
      <c r="AC44" s="128" t="e" cm="1">
        <f t="array" aca="1" ref="AC44" ca="1">Notmerged(AC15)</f>
        <v>#NAME?</v>
      </c>
      <c r="AD44" s="128" t="e" cm="1">
        <f t="array" aca="1" ref="AD44" ca="1">Notmerged(AD15)</f>
        <v>#NAME?</v>
      </c>
      <c r="AE44" s="128" t="e" cm="1">
        <f t="array" aca="1" ref="AE44" ca="1">Notmerged(AE15)</f>
        <v>#NAME?</v>
      </c>
      <c r="AF44" s="128" t="e" cm="1">
        <f t="array" aca="1" ref="AF44" ca="1">Notmerged(AF15)</f>
        <v>#NAME?</v>
      </c>
      <c r="AG44" s="128" t="e" cm="1">
        <f t="array" aca="1" ref="AG44" ca="1">Notmerged(AG15)</f>
        <v>#NAME?</v>
      </c>
      <c r="AH44" s="128" t="e" cm="1">
        <f t="array" aca="1" ref="AH44" ca="1">Notmerged(AH15)</f>
        <v>#NAME?</v>
      </c>
      <c r="AI44" s="128" t="e" cm="1">
        <f t="array" aca="1" ref="AI44" ca="1">Notmerged(AI15)</f>
        <v>#NAME?</v>
      </c>
      <c r="AJ44" s="128" t="e" cm="1">
        <f t="array" aca="1" ref="AJ44" ca="1">Notmerged(AJ15)</f>
        <v>#NAME?</v>
      </c>
      <c r="AK44" s="128" t="e" cm="1">
        <f t="array" aca="1" ref="AK44" ca="1">Notmerged(AK15)</f>
        <v>#NAME?</v>
      </c>
      <c r="AL44" s="128" t="e" cm="1">
        <f t="array" aca="1" ref="AL44" ca="1">Notmerged(AL15)</f>
        <v>#NAME?</v>
      </c>
      <c r="AM44" s="128" t="e" cm="1">
        <f t="array" aca="1" ref="AM44" ca="1">Notmerged(AM15)</f>
        <v>#NAME?</v>
      </c>
      <c r="AN44" s="128" t="e" cm="1">
        <f t="array" aca="1" ref="AN44" ca="1">Notmerged(AN15)</f>
        <v>#NAME?</v>
      </c>
      <c r="AO44" s="128" t="e" cm="1">
        <f t="array" aca="1" ref="AO44" ca="1">Notmerged(AO15)</f>
        <v>#NAME?</v>
      </c>
      <c r="AP44" s="128" t="e" cm="1">
        <f t="array" aca="1" ref="AP44" ca="1">Notmerged(AP15)</f>
        <v>#NAME?</v>
      </c>
      <c r="AQ44" s="128" t="e" cm="1">
        <f t="array" aca="1" ref="AQ44" ca="1">Notmerged(AQ15)</f>
        <v>#NAME?</v>
      </c>
      <c r="AR44" s="128" t="e" cm="1">
        <f t="array" aca="1" ref="AR44" ca="1">Notmerged(AR15)</f>
        <v>#NAME?</v>
      </c>
      <c r="AS44" s="128" t="e" cm="1">
        <f t="array" aca="1" ref="AS44" ca="1">Notmerged(AS15)</f>
        <v>#NAME?</v>
      </c>
      <c r="AT44" s="128" t="e" cm="1">
        <f t="array" aca="1" ref="AT44" ca="1">Notmerged(AT15)</f>
        <v>#NAME?</v>
      </c>
      <c r="AU44" s="128" t="e" cm="1">
        <f t="array" aca="1" ref="AU44" ca="1">Notmerged(AU15)</f>
        <v>#NAME?</v>
      </c>
      <c r="AV44" s="128" t="e" cm="1">
        <f t="array" aca="1" ref="AV44" ca="1">Notmerged(AV15)</f>
        <v>#NAME?</v>
      </c>
      <c r="AW44" s="128" t="e" cm="1">
        <f t="array" aca="1" ref="AW44" ca="1">Notmerged(AW15)</f>
        <v>#NAME?</v>
      </c>
      <c r="AX44" s="128" t="e" cm="1">
        <f t="array" aca="1" ref="AX44" ca="1">Notmerged(AX15)</f>
        <v>#NAME?</v>
      </c>
      <c r="AY44" s="128" t="e" cm="1">
        <f t="array" aca="1" ref="AY44" ca="1">Notmerged(AY15)</f>
        <v>#NAME?</v>
      </c>
      <c r="AZ44" s="128" t="e" cm="1">
        <f t="array" aca="1" ref="AZ44" ca="1">Notmerged(AZ15)</f>
        <v>#NAME?</v>
      </c>
      <c r="BA44" s="128" t="e" cm="1">
        <f t="array" aca="1" ref="BA44" ca="1">Notmerged(BA15)</f>
        <v>#NAME?</v>
      </c>
      <c r="BB44" s="128" t="e" cm="1">
        <f t="array" aca="1" ref="BB44" ca="1">Notmerged(BB15)</f>
        <v>#NAME?</v>
      </c>
      <c r="BC44" s="128" t="e" cm="1">
        <f t="array" aca="1" ref="BC44" ca="1">Notmerged(BC15)</f>
        <v>#NAME?</v>
      </c>
      <c r="BD44" s="128" t="e" cm="1">
        <f t="array" aca="1" ref="BD44" ca="1">Notmerged(BD15)</f>
        <v>#NAME?</v>
      </c>
      <c r="BE44" s="128" t="e" cm="1">
        <f t="array" aca="1" ref="BE44" ca="1">Notmerged(BE15)</f>
        <v>#NAME?</v>
      </c>
      <c r="BF44" s="128" t="e" cm="1">
        <f t="array" aca="1" ref="BF44" ca="1">Notmerged(BF15)</f>
        <v>#NAME?</v>
      </c>
      <c r="BG44" s="128" t="e" cm="1">
        <f t="array" aca="1" ref="BG44" ca="1">Notmerged(BG15)</f>
        <v>#NAME?</v>
      </c>
      <c r="BH44" s="128" t="e" cm="1">
        <f t="array" aca="1" ref="BH44" ca="1">Notmerged(BH15)</f>
        <v>#NAME?</v>
      </c>
      <c r="BI44" s="128" t="e" cm="1">
        <f t="array" aca="1" ref="BI44" ca="1">Notmerged(BI15)</f>
        <v>#NAME?</v>
      </c>
      <c r="BJ44" s="128" t="e" cm="1">
        <f t="array" aca="1" ref="BJ44" ca="1">Notmerged(BJ15)</f>
        <v>#NAME?</v>
      </c>
      <c r="BK44" s="128" t="e" cm="1">
        <f t="array" aca="1" ref="BK44" ca="1">Notmerged(BK15)</f>
        <v>#NAME?</v>
      </c>
    </row>
    <row r="45" spans="2:63" x14ac:dyDescent="0.3">
      <c r="B45" s="128" t="e" cm="1">
        <f t="array" aca="1" ref="B45" ca="1">Notmerged(B16)</f>
        <v>#NAME?</v>
      </c>
      <c r="C45" s="128" t="e" cm="1">
        <f t="array" aca="1" ref="C45" ca="1">Notmerged(C16)</f>
        <v>#NAME?</v>
      </c>
      <c r="D45" s="128" t="e" cm="1">
        <f t="array" aca="1" ref="D45" ca="1">Notmerged(D16)</f>
        <v>#NAME?</v>
      </c>
      <c r="E45" s="128" t="e" cm="1">
        <f t="array" aca="1" ref="E45" ca="1">Notmerged(E16)</f>
        <v>#NAME?</v>
      </c>
      <c r="F45" s="128" t="e" cm="1">
        <f t="array" aca="1" ref="F45" ca="1">Notmerged(F16)</f>
        <v>#NAME?</v>
      </c>
      <c r="G45" s="128" t="e" cm="1">
        <f t="array" aca="1" ref="G45" ca="1">Notmerged(G16)</f>
        <v>#NAME?</v>
      </c>
      <c r="H45" s="128" t="e" cm="1">
        <f t="array" aca="1" ref="H45" ca="1">Notmerged(H16)</f>
        <v>#NAME?</v>
      </c>
      <c r="I45" s="128" t="e" cm="1">
        <f t="array" aca="1" ref="I45" ca="1">Notmerged(I16)</f>
        <v>#NAME?</v>
      </c>
      <c r="J45" s="128" t="e" cm="1">
        <f t="array" aca="1" ref="J45" ca="1">Notmerged(J16)</f>
        <v>#NAME?</v>
      </c>
      <c r="K45" s="128" t="e" cm="1">
        <f t="array" aca="1" ref="K45" ca="1">Notmerged(K16)</f>
        <v>#NAME?</v>
      </c>
      <c r="L45" s="128" t="e" cm="1">
        <f t="array" aca="1" ref="L45" ca="1">Notmerged(L16)</f>
        <v>#NAME?</v>
      </c>
      <c r="M45" s="128" t="e" cm="1">
        <f t="array" aca="1" ref="M45" ca="1">Notmerged(M16)</f>
        <v>#NAME?</v>
      </c>
      <c r="N45" s="128" t="e" cm="1">
        <f t="array" aca="1" ref="N45" ca="1">Notmerged(N16)</f>
        <v>#NAME?</v>
      </c>
      <c r="O45" s="128" t="e" cm="1">
        <f t="array" aca="1" ref="O45" ca="1">Notmerged(O16)</f>
        <v>#NAME?</v>
      </c>
      <c r="P45" s="128" t="e" cm="1">
        <f t="array" aca="1" ref="P45" ca="1">Notmerged(P16)</f>
        <v>#NAME?</v>
      </c>
      <c r="Q45" s="128" t="e" cm="1">
        <f t="array" aca="1" ref="Q45" ca="1">Notmerged(Q16)</f>
        <v>#NAME?</v>
      </c>
      <c r="R45" s="128" t="e" cm="1">
        <f t="array" aca="1" ref="R45" ca="1">Notmerged(R16)</f>
        <v>#NAME?</v>
      </c>
      <c r="S45" s="128" t="e" cm="1">
        <f t="array" aca="1" ref="S45" ca="1">Notmerged(S16)</f>
        <v>#NAME?</v>
      </c>
      <c r="T45" s="128" t="e" cm="1">
        <f t="array" aca="1" ref="T45" ca="1">Notmerged(T16)</f>
        <v>#NAME?</v>
      </c>
      <c r="U45" s="128" t="e" cm="1">
        <f t="array" aca="1" ref="U45" ca="1">Notmerged(U16)</f>
        <v>#NAME?</v>
      </c>
      <c r="V45" s="128" t="e" cm="1">
        <f t="array" aca="1" ref="V45" ca="1">Notmerged(V16)</f>
        <v>#NAME?</v>
      </c>
      <c r="W45" s="128" t="e" cm="1">
        <f t="array" aca="1" ref="W45" ca="1">Notmerged(W16)</f>
        <v>#NAME?</v>
      </c>
      <c r="X45" s="128" t="e" cm="1">
        <f t="array" aca="1" ref="X45" ca="1">Notmerged(X16)</f>
        <v>#NAME?</v>
      </c>
      <c r="Y45" s="128" t="e" cm="1">
        <f t="array" aca="1" ref="Y45" ca="1">Notmerged(Y16)</f>
        <v>#NAME?</v>
      </c>
      <c r="Z45" s="128" t="e" cm="1">
        <f t="array" aca="1" ref="Z45" ca="1">Notmerged(Z16)</f>
        <v>#NAME?</v>
      </c>
      <c r="AA45" s="128" t="e" cm="1">
        <f t="array" aca="1" ref="AA45" ca="1">Notmerged(AA16)</f>
        <v>#NAME?</v>
      </c>
      <c r="AB45" s="128" t="e" cm="1">
        <f t="array" aca="1" ref="AB45" ca="1">Notmerged(AB16)</f>
        <v>#NAME?</v>
      </c>
      <c r="AC45" s="128" t="e" cm="1">
        <f t="array" aca="1" ref="AC45" ca="1">Notmerged(AC16)</f>
        <v>#NAME?</v>
      </c>
      <c r="AD45" s="128" t="e" cm="1">
        <f t="array" aca="1" ref="AD45" ca="1">Notmerged(AD16)</f>
        <v>#NAME?</v>
      </c>
      <c r="AE45" s="128" t="e" cm="1">
        <f t="array" aca="1" ref="AE45" ca="1">Notmerged(AE16)</f>
        <v>#NAME?</v>
      </c>
      <c r="AF45" s="128" t="e" cm="1">
        <f t="array" aca="1" ref="AF45" ca="1">Notmerged(AF16)</f>
        <v>#NAME?</v>
      </c>
      <c r="AG45" s="128" t="e" cm="1">
        <f t="array" aca="1" ref="AG45" ca="1">Notmerged(AG16)</f>
        <v>#NAME?</v>
      </c>
      <c r="AH45" s="128" t="e" cm="1">
        <f t="array" aca="1" ref="AH45" ca="1">Notmerged(AH16)</f>
        <v>#NAME?</v>
      </c>
      <c r="AI45" s="128" t="e" cm="1">
        <f t="array" aca="1" ref="AI45" ca="1">Notmerged(AI16)</f>
        <v>#NAME?</v>
      </c>
      <c r="AJ45" s="128" t="e" cm="1">
        <f t="array" aca="1" ref="AJ45" ca="1">Notmerged(AJ16)</f>
        <v>#NAME?</v>
      </c>
      <c r="AK45" s="128" t="e" cm="1">
        <f t="array" aca="1" ref="AK45" ca="1">Notmerged(AK16)</f>
        <v>#NAME?</v>
      </c>
      <c r="AL45" s="128" t="e" cm="1">
        <f t="array" aca="1" ref="AL45" ca="1">Notmerged(AL16)</f>
        <v>#NAME?</v>
      </c>
      <c r="AM45" s="128" t="e" cm="1">
        <f t="array" aca="1" ref="AM45" ca="1">Notmerged(AM16)</f>
        <v>#NAME?</v>
      </c>
      <c r="AN45" s="128" t="e" cm="1">
        <f t="array" aca="1" ref="AN45" ca="1">Notmerged(AN16)</f>
        <v>#NAME?</v>
      </c>
      <c r="AO45" s="128" t="e" cm="1">
        <f t="array" aca="1" ref="AO45" ca="1">Notmerged(AO16)</f>
        <v>#NAME?</v>
      </c>
      <c r="AP45" s="128" t="e" cm="1">
        <f t="array" aca="1" ref="AP45" ca="1">Notmerged(AP16)</f>
        <v>#NAME?</v>
      </c>
      <c r="AQ45" s="128" t="e" cm="1">
        <f t="array" aca="1" ref="AQ45" ca="1">Notmerged(AQ16)</f>
        <v>#NAME?</v>
      </c>
      <c r="AR45" s="128" t="e" cm="1">
        <f t="array" aca="1" ref="AR45" ca="1">Notmerged(AR16)</f>
        <v>#NAME?</v>
      </c>
      <c r="AS45" s="128" t="e" cm="1">
        <f t="array" aca="1" ref="AS45" ca="1">Notmerged(AS16)</f>
        <v>#NAME?</v>
      </c>
      <c r="AT45" s="128" t="e" cm="1">
        <f t="array" aca="1" ref="AT45" ca="1">Notmerged(AT16)</f>
        <v>#NAME?</v>
      </c>
      <c r="AU45" s="128" t="e" cm="1">
        <f t="array" aca="1" ref="AU45" ca="1">Notmerged(AU16)</f>
        <v>#NAME?</v>
      </c>
      <c r="AV45" s="128" t="e" cm="1">
        <f t="array" aca="1" ref="AV45" ca="1">Notmerged(AV16)</f>
        <v>#NAME?</v>
      </c>
      <c r="AW45" s="128" t="e" cm="1">
        <f t="array" aca="1" ref="AW45" ca="1">Notmerged(AW16)</f>
        <v>#NAME?</v>
      </c>
      <c r="AX45" s="128" t="e" cm="1">
        <f t="array" aca="1" ref="AX45" ca="1">Notmerged(AX16)</f>
        <v>#NAME?</v>
      </c>
      <c r="AY45" s="128" t="e" cm="1">
        <f t="array" aca="1" ref="AY45" ca="1">Notmerged(AY16)</f>
        <v>#NAME?</v>
      </c>
      <c r="AZ45" s="128" t="e" cm="1">
        <f t="array" aca="1" ref="AZ45" ca="1">Notmerged(AZ16)</f>
        <v>#NAME?</v>
      </c>
      <c r="BA45" s="128" t="e" cm="1">
        <f t="array" aca="1" ref="BA45" ca="1">Notmerged(BA16)</f>
        <v>#NAME?</v>
      </c>
      <c r="BB45" s="128" t="e" cm="1">
        <f t="array" aca="1" ref="BB45" ca="1">Notmerged(BB16)</f>
        <v>#NAME?</v>
      </c>
      <c r="BC45" s="128" t="e" cm="1">
        <f t="array" aca="1" ref="BC45" ca="1">Notmerged(BC16)</f>
        <v>#NAME?</v>
      </c>
      <c r="BD45" s="128" t="e" cm="1">
        <f t="array" aca="1" ref="BD45" ca="1">Notmerged(BD16)</f>
        <v>#NAME?</v>
      </c>
      <c r="BE45" s="128" t="e" cm="1">
        <f t="array" aca="1" ref="BE45" ca="1">Notmerged(BE16)</f>
        <v>#NAME?</v>
      </c>
      <c r="BF45" s="128" t="e" cm="1">
        <f t="array" aca="1" ref="BF45" ca="1">Notmerged(BF16)</f>
        <v>#NAME?</v>
      </c>
      <c r="BG45" s="128" t="e" cm="1">
        <f t="array" aca="1" ref="BG45" ca="1">Notmerged(BG16)</f>
        <v>#NAME?</v>
      </c>
      <c r="BH45" s="128" t="e" cm="1">
        <f t="array" aca="1" ref="BH45" ca="1">Notmerged(BH16)</f>
        <v>#NAME?</v>
      </c>
      <c r="BI45" s="128" t="e" cm="1">
        <f t="array" aca="1" ref="BI45" ca="1">Notmerged(BI16)</f>
        <v>#NAME?</v>
      </c>
      <c r="BJ45" s="128" t="e" cm="1">
        <f t="array" aca="1" ref="BJ45" ca="1">Notmerged(BJ16)</f>
        <v>#NAME?</v>
      </c>
      <c r="BK45" s="128" t="e" cm="1">
        <f t="array" aca="1" ref="BK45" ca="1">Notmerged(BK16)</f>
        <v>#NAME?</v>
      </c>
    </row>
    <row r="46" spans="2:63" x14ac:dyDescent="0.3">
      <c r="B46" s="128" t="e" cm="1">
        <f t="array" aca="1" ref="B46" ca="1">Notmerged(B17)</f>
        <v>#NAME?</v>
      </c>
      <c r="C46" s="128" t="e" cm="1">
        <f t="array" aca="1" ref="C46" ca="1">Notmerged(C17)</f>
        <v>#NAME?</v>
      </c>
      <c r="D46" s="128" t="e" cm="1">
        <f t="array" aca="1" ref="D46" ca="1">Notmerged(D17)</f>
        <v>#NAME?</v>
      </c>
      <c r="E46" s="128" t="e" cm="1">
        <f t="array" aca="1" ref="E46" ca="1">Notmerged(E17)</f>
        <v>#NAME?</v>
      </c>
      <c r="F46" s="128" t="e" cm="1">
        <f t="array" aca="1" ref="F46" ca="1">Notmerged(F17)</f>
        <v>#NAME?</v>
      </c>
      <c r="G46" s="128" t="e" cm="1">
        <f t="array" aca="1" ref="G46" ca="1">Notmerged(G17)</f>
        <v>#NAME?</v>
      </c>
      <c r="H46" s="128" t="e" cm="1">
        <f t="array" aca="1" ref="H46" ca="1">Notmerged(H17)</f>
        <v>#NAME?</v>
      </c>
      <c r="I46" s="128" t="e" cm="1">
        <f t="array" aca="1" ref="I46" ca="1">Notmerged(I17)</f>
        <v>#NAME?</v>
      </c>
      <c r="J46" s="128" t="e" cm="1">
        <f t="array" aca="1" ref="J46" ca="1">Notmerged(J17)</f>
        <v>#NAME?</v>
      </c>
      <c r="K46" s="128" t="e" cm="1">
        <f t="array" aca="1" ref="K46" ca="1">Notmerged(K17)</f>
        <v>#NAME?</v>
      </c>
      <c r="L46" s="128" t="e" cm="1">
        <f t="array" aca="1" ref="L46" ca="1">Notmerged(L17)</f>
        <v>#NAME?</v>
      </c>
      <c r="M46" s="128" t="e" cm="1">
        <f t="array" aca="1" ref="M46" ca="1">Notmerged(M17)</f>
        <v>#NAME?</v>
      </c>
      <c r="N46" s="128" t="e" cm="1">
        <f t="array" aca="1" ref="N46" ca="1">Notmerged(N17)</f>
        <v>#NAME?</v>
      </c>
      <c r="O46" s="128" t="e" cm="1">
        <f t="array" aca="1" ref="O46" ca="1">Notmerged(O17)</f>
        <v>#NAME?</v>
      </c>
      <c r="P46" s="128" t="e" cm="1">
        <f t="array" aca="1" ref="P46" ca="1">Notmerged(P17)</f>
        <v>#NAME?</v>
      </c>
      <c r="Q46" s="128" t="e" cm="1">
        <f t="array" aca="1" ref="Q46" ca="1">Notmerged(Q17)</f>
        <v>#NAME?</v>
      </c>
      <c r="R46" s="128" t="e" cm="1">
        <f t="array" aca="1" ref="R46" ca="1">Notmerged(R17)</f>
        <v>#NAME?</v>
      </c>
      <c r="S46" s="128" t="e" cm="1">
        <f t="array" aca="1" ref="S46" ca="1">Notmerged(S17)</f>
        <v>#NAME?</v>
      </c>
      <c r="T46" s="128" t="e" cm="1">
        <f t="array" aca="1" ref="T46" ca="1">Notmerged(T17)</f>
        <v>#NAME?</v>
      </c>
      <c r="U46" s="128" t="e" cm="1">
        <f t="array" aca="1" ref="U46" ca="1">Notmerged(U17)</f>
        <v>#NAME?</v>
      </c>
      <c r="V46" s="128" t="e" cm="1">
        <f t="array" aca="1" ref="V46" ca="1">Notmerged(V17)</f>
        <v>#NAME?</v>
      </c>
      <c r="W46" s="128" t="e" cm="1">
        <f t="array" aca="1" ref="W46" ca="1">Notmerged(W17)</f>
        <v>#NAME?</v>
      </c>
      <c r="X46" s="128" t="e" cm="1">
        <f t="array" aca="1" ref="X46" ca="1">Notmerged(X17)</f>
        <v>#NAME?</v>
      </c>
      <c r="Y46" s="128" t="e" cm="1">
        <f t="array" aca="1" ref="Y46" ca="1">Notmerged(Y17)</f>
        <v>#NAME?</v>
      </c>
      <c r="Z46" s="128" t="e" cm="1">
        <f t="array" aca="1" ref="Z46" ca="1">Notmerged(Z17)</f>
        <v>#NAME?</v>
      </c>
      <c r="AA46" s="128" t="e" cm="1">
        <f t="array" aca="1" ref="AA46" ca="1">Notmerged(AA17)</f>
        <v>#NAME?</v>
      </c>
      <c r="AB46" s="128" t="e" cm="1">
        <f t="array" aca="1" ref="AB46" ca="1">Notmerged(AB17)</f>
        <v>#NAME?</v>
      </c>
      <c r="AC46" s="128" t="e" cm="1">
        <f t="array" aca="1" ref="AC46" ca="1">Notmerged(AC17)</f>
        <v>#NAME?</v>
      </c>
      <c r="AD46" s="128" t="e" cm="1">
        <f t="array" aca="1" ref="AD46" ca="1">Notmerged(AD17)</f>
        <v>#NAME?</v>
      </c>
      <c r="AE46" s="128" t="e" cm="1">
        <f t="array" aca="1" ref="AE46" ca="1">Notmerged(AE17)</f>
        <v>#NAME?</v>
      </c>
      <c r="AF46" s="128" t="e" cm="1">
        <f t="array" aca="1" ref="AF46" ca="1">Notmerged(AF17)</f>
        <v>#NAME?</v>
      </c>
      <c r="AG46" s="128" t="e" cm="1">
        <f t="array" aca="1" ref="AG46" ca="1">Notmerged(AG17)</f>
        <v>#NAME?</v>
      </c>
      <c r="AH46" s="128" t="e" cm="1">
        <f t="array" aca="1" ref="AH46" ca="1">Notmerged(AH17)</f>
        <v>#NAME?</v>
      </c>
      <c r="AI46" s="128" t="e" cm="1">
        <f t="array" aca="1" ref="AI46" ca="1">Notmerged(AI17)</f>
        <v>#NAME?</v>
      </c>
      <c r="AJ46" s="128" t="e" cm="1">
        <f t="array" aca="1" ref="AJ46" ca="1">Notmerged(AJ17)</f>
        <v>#NAME?</v>
      </c>
      <c r="AK46" s="128" t="e" cm="1">
        <f t="array" aca="1" ref="AK46" ca="1">Notmerged(AK17)</f>
        <v>#NAME?</v>
      </c>
      <c r="AL46" s="128" t="e" cm="1">
        <f t="array" aca="1" ref="AL46" ca="1">Notmerged(AL17)</f>
        <v>#NAME?</v>
      </c>
      <c r="AM46" s="128" t="e" cm="1">
        <f t="array" aca="1" ref="AM46" ca="1">Notmerged(AM17)</f>
        <v>#NAME?</v>
      </c>
      <c r="AN46" s="128" t="e" cm="1">
        <f t="array" aca="1" ref="AN46" ca="1">Notmerged(AN17)</f>
        <v>#NAME?</v>
      </c>
      <c r="AO46" s="128" t="e" cm="1">
        <f t="array" aca="1" ref="AO46" ca="1">Notmerged(AO17)</f>
        <v>#NAME?</v>
      </c>
      <c r="AP46" s="128" t="e" cm="1">
        <f t="array" aca="1" ref="AP46" ca="1">Notmerged(AP17)</f>
        <v>#NAME?</v>
      </c>
      <c r="AQ46" s="128" t="e" cm="1">
        <f t="array" aca="1" ref="AQ46" ca="1">Notmerged(AQ17)</f>
        <v>#NAME?</v>
      </c>
      <c r="AR46" s="128" t="e" cm="1">
        <f t="array" aca="1" ref="AR46" ca="1">Notmerged(AR17)</f>
        <v>#NAME?</v>
      </c>
      <c r="AS46" s="128" t="e" cm="1">
        <f t="array" aca="1" ref="AS46" ca="1">Notmerged(AS17)</f>
        <v>#NAME?</v>
      </c>
      <c r="AT46" s="128" t="e" cm="1">
        <f t="array" aca="1" ref="AT46" ca="1">Notmerged(AT17)</f>
        <v>#NAME?</v>
      </c>
      <c r="AU46" s="128" t="e" cm="1">
        <f t="array" aca="1" ref="AU46" ca="1">Notmerged(AU17)</f>
        <v>#NAME?</v>
      </c>
      <c r="AV46" s="128" t="e" cm="1">
        <f t="array" aca="1" ref="AV46" ca="1">Notmerged(AV17)</f>
        <v>#NAME?</v>
      </c>
      <c r="AW46" s="128" t="e" cm="1">
        <f t="array" aca="1" ref="AW46" ca="1">Notmerged(AW17)</f>
        <v>#NAME?</v>
      </c>
      <c r="AX46" s="128" t="e" cm="1">
        <f t="array" aca="1" ref="AX46" ca="1">Notmerged(AX17)</f>
        <v>#NAME?</v>
      </c>
      <c r="AY46" s="128" t="e" cm="1">
        <f t="array" aca="1" ref="AY46" ca="1">Notmerged(AY17)</f>
        <v>#NAME?</v>
      </c>
      <c r="AZ46" s="128" t="e" cm="1">
        <f t="array" aca="1" ref="AZ46" ca="1">Notmerged(AZ17)</f>
        <v>#NAME?</v>
      </c>
      <c r="BA46" s="128" t="e" cm="1">
        <f t="array" aca="1" ref="BA46" ca="1">Notmerged(BA17)</f>
        <v>#NAME?</v>
      </c>
      <c r="BB46" s="128" t="e" cm="1">
        <f t="array" aca="1" ref="BB46" ca="1">Notmerged(BB17)</f>
        <v>#NAME?</v>
      </c>
      <c r="BC46" s="128" t="e" cm="1">
        <f t="array" aca="1" ref="BC46" ca="1">Notmerged(BC17)</f>
        <v>#NAME?</v>
      </c>
      <c r="BD46" s="128" t="e" cm="1">
        <f t="array" aca="1" ref="BD46" ca="1">Notmerged(BD17)</f>
        <v>#NAME?</v>
      </c>
      <c r="BE46" s="128" t="e" cm="1">
        <f t="array" aca="1" ref="BE46" ca="1">Notmerged(BE17)</f>
        <v>#NAME?</v>
      </c>
      <c r="BF46" s="128" t="e" cm="1">
        <f t="array" aca="1" ref="BF46" ca="1">Notmerged(BF17)</f>
        <v>#NAME?</v>
      </c>
      <c r="BG46" s="128" t="e" cm="1">
        <f t="array" aca="1" ref="BG46" ca="1">Notmerged(BG17)</f>
        <v>#NAME?</v>
      </c>
      <c r="BH46" s="128" t="e" cm="1">
        <f t="array" aca="1" ref="BH46" ca="1">Notmerged(BH17)</f>
        <v>#NAME?</v>
      </c>
      <c r="BI46" s="128" t="e" cm="1">
        <f t="array" aca="1" ref="BI46" ca="1">Notmerged(BI17)</f>
        <v>#NAME?</v>
      </c>
      <c r="BJ46" s="128" t="e" cm="1">
        <f t="array" aca="1" ref="BJ46" ca="1">Notmerged(BJ17)</f>
        <v>#NAME?</v>
      </c>
      <c r="BK46" s="128" t="e" cm="1">
        <f t="array" aca="1" ref="BK46" ca="1">Notmerged(BK17)</f>
        <v>#NAME?</v>
      </c>
    </row>
    <row r="47" spans="2:63" x14ac:dyDescent="0.3">
      <c r="B47" s="128" t="e" cm="1">
        <f t="array" aca="1" ref="B47" ca="1">Notmerged(B18)</f>
        <v>#NAME?</v>
      </c>
      <c r="C47" s="128" t="e" cm="1">
        <f t="array" aca="1" ref="C47" ca="1">Notmerged(C18)</f>
        <v>#NAME?</v>
      </c>
      <c r="D47" s="128" t="e" cm="1">
        <f t="array" aca="1" ref="D47" ca="1">Notmerged(D18)</f>
        <v>#NAME?</v>
      </c>
      <c r="E47" s="128" t="e" cm="1">
        <f t="array" aca="1" ref="E47" ca="1">Notmerged(E18)</f>
        <v>#NAME?</v>
      </c>
      <c r="F47" s="128" t="e" cm="1">
        <f t="array" aca="1" ref="F47" ca="1">Notmerged(F18)</f>
        <v>#NAME?</v>
      </c>
      <c r="G47" s="128" t="e" cm="1">
        <f t="array" aca="1" ref="G47" ca="1">Notmerged(G18)</f>
        <v>#NAME?</v>
      </c>
      <c r="H47" s="128" t="e" cm="1">
        <f t="array" aca="1" ref="H47" ca="1">Notmerged(H18)</f>
        <v>#NAME?</v>
      </c>
      <c r="I47" s="128" t="e" cm="1">
        <f t="array" aca="1" ref="I47" ca="1">Notmerged(I18)</f>
        <v>#NAME?</v>
      </c>
      <c r="J47" s="128" t="e" cm="1">
        <f t="array" aca="1" ref="J47" ca="1">Notmerged(J18)</f>
        <v>#NAME?</v>
      </c>
      <c r="K47" s="128" t="e" cm="1">
        <f t="array" aca="1" ref="K47" ca="1">Notmerged(K18)</f>
        <v>#NAME?</v>
      </c>
      <c r="L47" s="128" t="e" cm="1">
        <f t="array" aca="1" ref="L47" ca="1">Notmerged(L18)</f>
        <v>#NAME?</v>
      </c>
      <c r="M47" s="128" t="e" cm="1">
        <f t="array" aca="1" ref="M47" ca="1">Notmerged(M18)</f>
        <v>#NAME?</v>
      </c>
      <c r="N47" s="128" t="e" cm="1">
        <f t="array" aca="1" ref="N47" ca="1">Notmerged(N18)</f>
        <v>#NAME?</v>
      </c>
      <c r="O47" s="128" t="e" cm="1">
        <f t="array" aca="1" ref="O47" ca="1">Notmerged(O18)</f>
        <v>#NAME?</v>
      </c>
      <c r="P47" s="128" t="e" cm="1">
        <f t="array" aca="1" ref="P47" ca="1">Notmerged(P18)</f>
        <v>#NAME?</v>
      </c>
      <c r="Q47" s="128" t="e" cm="1">
        <f t="array" aca="1" ref="Q47" ca="1">Notmerged(Q18)</f>
        <v>#NAME?</v>
      </c>
      <c r="R47" s="128" t="e" cm="1">
        <f t="array" aca="1" ref="R47" ca="1">Notmerged(R18)</f>
        <v>#NAME?</v>
      </c>
      <c r="S47" s="128" t="e" cm="1">
        <f t="array" aca="1" ref="S47" ca="1">Notmerged(S18)</f>
        <v>#NAME?</v>
      </c>
      <c r="T47" s="128" t="e" cm="1">
        <f t="array" aca="1" ref="T47" ca="1">Notmerged(T18)</f>
        <v>#NAME?</v>
      </c>
      <c r="U47" s="128" t="e" cm="1">
        <f t="array" aca="1" ref="U47" ca="1">Notmerged(U18)</f>
        <v>#NAME?</v>
      </c>
      <c r="V47" s="128" t="e" cm="1">
        <f t="array" aca="1" ref="V47" ca="1">Notmerged(V18)</f>
        <v>#NAME?</v>
      </c>
      <c r="W47" s="128" t="e" cm="1">
        <f t="array" aca="1" ref="W47" ca="1">Notmerged(W18)</f>
        <v>#NAME?</v>
      </c>
      <c r="X47" s="128" t="e" cm="1">
        <f t="array" aca="1" ref="X47" ca="1">Notmerged(X18)</f>
        <v>#NAME?</v>
      </c>
      <c r="Y47" s="128" t="e" cm="1">
        <f t="array" aca="1" ref="Y47" ca="1">Notmerged(Y18)</f>
        <v>#NAME?</v>
      </c>
      <c r="Z47" s="128" t="e" cm="1">
        <f t="array" aca="1" ref="Z47" ca="1">Notmerged(Z18)</f>
        <v>#NAME?</v>
      </c>
      <c r="AA47" s="128" t="e" cm="1">
        <f t="array" aca="1" ref="AA47" ca="1">Notmerged(AA18)</f>
        <v>#NAME?</v>
      </c>
      <c r="AB47" s="128" t="e" cm="1">
        <f t="array" aca="1" ref="AB47" ca="1">Notmerged(AB18)</f>
        <v>#NAME?</v>
      </c>
      <c r="AC47" s="128" t="e" cm="1">
        <f t="array" aca="1" ref="AC47" ca="1">Notmerged(AC18)</f>
        <v>#NAME?</v>
      </c>
      <c r="AD47" s="128" t="e" cm="1">
        <f t="array" aca="1" ref="AD47" ca="1">Notmerged(AD18)</f>
        <v>#NAME?</v>
      </c>
      <c r="AE47" s="128" t="e" cm="1">
        <f t="array" aca="1" ref="AE47" ca="1">Notmerged(AE18)</f>
        <v>#NAME?</v>
      </c>
      <c r="AF47" s="128" t="e" cm="1">
        <f t="array" aca="1" ref="AF47" ca="1">Notmerged(AF18)</f>
        <v>#NAME?</v>
      </c>
      <c r="AG47" s="128" t="e" cm="1">
        <f t="array" aca="1" ref="AG47" ca="1">Notmerged(AG18)</f>
        <v>#NAME?</v>
      </c>
      <c r="AH47" s="128" t="e" cm="1">
        <f t="array" aca="1" ref="AH47" ca="1">Notmerged(AH18)</f>
        <v>#NAME?</v>
      </c>
      <c r="AI47" s="128" t="e" cm="1">
        <f t="array" aca="1" ref="AI47" ca="1">Notmerged(AI18)</f>
        <v>#NAME?</v>
      </c>
      <c r="AJ47" s="128" t="e" cm="1">
        <f t="array" aca="1" ref="AJ47" ca="1">Notmerged(AJ18)</f>
        <v>#NAME?</v>
      </c>
      <c r="AK47" s="128" t="e" cm="1">
        <f t="array" aca="1" ref="AK47" ca="1">Notmerged(AK18)</f>
        <v>#NAME?</v>
      </c>
      <c r="AL47" s="128" t="e" cm="1">
        <f t="array" aca="1" ref="AL47" ca="1">Notmerged(AL18)</f>
        <v>#NAME?</v>
      </c>
      <c r="AM47" s="128" t="e" cm="1">
        <f t="array" aca="1" ref="AM47" ca="1">Notmerged(AM18)</f>
        <v>#NAME?</v>
      </c>
      <c r="AN47" s="128" t="e" cm="1">
        <f t="array" aca="1" ref="AN47" ca="1">Notmerged(AN18)</f>
        <v>#NAME?</v>
      </c>
      <c r="AO47" s="128" t="e" cm="1">
        <f t="array" aca="1" ref="AO47" ca="1">Notmerged(AO18)</f>
        <v>#NAME?</v>
      </c>
      <c r="AP47" s="128" t="e" cm="1">
        <f t="array" aca="1" ref="AP47" ca="1">Notmerged(AP18)</f>
        <v>#NAME?</v>
      </c>
      <c r="AQ47" s="128" t="e" cm="1">
        <f t="array" aca="1" ref="AQ47" ca="1">Notmerged(AQ18)</f>
        <v>#NAME?</v>
      </c>
      <c r="AR47" s="128" t="e" cm="1">
        <f t="array" aca="1" ref="AR47" ca="1">Notmerged(AR18)</f>
        <v>#NAME?</v>
      </c>
      <c r="AS47" s="128" t="e" cm="1">
        <f t="array" aca="1" ref="AS47" ca="1">Notmerged(AS18)</f>
        <v>#NAME?</v>
      </c>
      <c r="AT47" s="128" t="e" cm="1">
        <f t="array" aca="1" ref="AT47" ca="1">Notmerged(AT18)</f>
        <v>#NAME?</v>
      </c>
      <c r="AU47" s="128" t="e" cm="1">
        <f t="array" aca="1" ref="AU47" ca="1">Notmerged(AU18)</f>
        <v>#NAME?</v>
      </c>
      <c r="AV47" s="128" t="e" cm="1">
        <f t="array" aca="1" ref="AV47" ca="1">Notmerged(AV18)</f>
        <v>#NAME?</v>
      </c>
      <c r="AW47" s="128" t="e" cm="1">
        <f t="array" aca="1" ref="AW47" ca="1">Notmerged(AW18)</f>
        <v>#NAME?</v>
      </c>
      <c r="AX47" s="128" t="e" cm="1">
        <f t="array" aca="1" ref="AX47" ca="1">Notmerged(AX18)</f>
        <v>#NAME?</v>
      </c>
      <c r="AY47" s="128" t="e" cm="1">
        <f t="array" aca="1" ref="AY47" ca="1">Notmerged(AY18)</f>
        <v>#NAME?</v>
      </c>
      <c r="AZ47" s="128" t="e" cm="1">
        <f t="array" aca="1" ref="AZ47" ca="1">Notmerged(AZ18)</f>
        <v>#NAME?</v>
      </c>
      <c r="BA47" s="128" t="e" cm="1">
        <f t="array" aca="1" ref="BA47" ca="1">Notmerged(BA18)</f>
        <v>#NAME?</v>
      </c>
      <c r="BB47" s="128" t="e" cm="1">
        <f t="array" aca="1" ref="BB47" ca="1">Notmerged(BB18)</f>
        <v>#NAME?</v>
      </c>
      <c r="BC47" s="128" t="e" cm="1">
        <f t="array" aca="1" ref="BC47" ca="1">Notmerged(BC18)</f>
        <v>#NAME?</v>
      </c>
      <c r="BD47" s="128" t="e" cm="1">
        <f t="array" aca="1" ref="BD47" ca="1">Notmerged(BD18)</f>
        <v>#NAME?</v>
      </c>
      <c r="BE47" s="128" t="e" cm="1">
        <f t="array" aca="1" ref="BE47" ca="1">Notmerged(BE18)</f>
        <v>#NAME?</v>
      </c>
      <c r="BF47" s="128" t="e" cm="1">
        <f t="array" aca="1" ref="BF47" ca="1">Notmerged(BF18)</f>
        <v>#NAME?</v>
      </c>
      <c r="BG47" s="128" t="e" cm="1">
        <f t="array" aca="1" ref="BG47" ca="1">Notmerged(BG18)</f>
        <v>#NAME?</v>
      </c>
      <c r="BH47" s="128" t="e" cm="1">
        <f t="array" aca="1" ref="BH47" ca="1">Notmerged(BH18)</f>
        <v>#NAME?</v>
      </c>
      <c r="BI47" s="128" t="e" cm="1">
        <f t="array" aca="1" ref="BI47" ca="1">Notmerged(BI18)</f>
        <v>#NAME?</v>
      </c>
      <c r="BJ47" s="128" t="e" cm="1">
        <f t="array" aca="1" ref="BJ47" ca="1">Notmerged(BJ18)</f>
        <v>#NAME?</v>
      </c>
      <c r="BK47" s="128" t="e" cm="1">
        <f t="array" aca="1" ref="BK47" ca="1">Notmerged(BK18)</f>
        <v>#NAME?</v>
      </c>
    </row>
    <row r="48" spans="2:63" x14ac:dyDescent="0.3">
      <c r="B48" s="128" t="e" cm="1">
        <f t="array" aca="1" ref="B48" ca="1">Notmerged(B19)</f>
        <v>#NAME?</v>
      </c>
      <c r="C48" s="128" t="e" cm="1">
        <f t="array" aca="1" ref="C48" ca="1">Notmerged(C19)</f>
        <v>#NAME?</v>
      </c>
      <c r="D48" s="128" t="e" cm="1">
        <f t="array" aca="1" ref="D48" ca="1">Notmerged(D19)</f>
        <v>#NAME?</v>
      </c>
      <c r="E48" s="128" t="e" cm="1">
        <f t="array" aca="1" ref="E48" ca="1">Notmerged(E19)</f>
        <v>#NAME?</v>
      </c>
      <c r="F48" s="128" t="e" cm="1">
        <f t="array" aca="1" ref="F48" ca="1">Notmerged(F19)</f>
        <v>#NAME?</v>
      </c>
      <c r="G48" s="128" t="e" cm="1">
        <f t="array" aca="1" ref="G48" ca="1">Notmerged(G19)</f>
        <v>#NAME?</v>
      </c>
      <c r="H48" s="128" t="e" cm="1">
        <f t="array" aca="1" ref="H48" ca="1">Notmerged(H19)</f>
        <v>#NAME?</v>
      </c>
      <c r="I48" s="128" t="e" cm="1">
        <f t="array" aca="1" ref="I48" ca="1">Notmerged(I19)</f>
        <v>#NAME?</v>
      </c>
      <c r="J48" s="128" t="e" cm="1">
        <f t="array" aca="1" ref="J48" ca="1">Notmerged(J19)</f>
        <v>#NAME?</v>
      </c>
      <c r="K48" s="128" t="e" cm="1">
        <f t="array" aca="1" ref="K48" ca="1">Notmerged(K19)</f>
        <v>#NAME?</v>
      </c>
      <c r="L48" s="128" t="e" cm="1">
        <f t="array" aca="1" ref="L48" ca="1">Notmerged(L19)</f>
        <v>#NAME?</v>
      </c>
      <c r="M48" s="128" t="e" cm="1">
        <f t="array" aca="1" ref="M48" ca="1">Notmerged(M19)</f>
        <v>#NAME?</v>
      </c>
      <c r="N48" s="128" t="e" cm="1">
        <f t="array" aca="1" ref="N48" ca="1">Notmerged(N19)</f>
        <v>#NAME?</v>
      </c>
      <c r="O48" s="128" t="e" cm="1">
        <f t="array" aca="1" ref="O48" ca="1">Notmerged(O19)</f>
        <v>#NAME?</v>
      </c>
      <c r="P48" s="128" t="e" cm="1">
        <f t="array" aca="1" ref="P48" ca="1">Notmerged(P19)</f>
        <v>#NAME?</v>
      </c>
      <c r="Q48" s="128" t="e" cm="1">
        <f t="array" aca="1" ref="Q48" ca="1">Notmerged(Q19)</f>
        <v>#NAME?</v>
      </c>
      <c r="R48" s="128" t="e" cm="1">
        <f t="array" aca="1" ref="R48" ca="1">Notmerged(R19)</f>
        <v>#NAME?</v>
      </c>
      <c r="S48" s="128" t="e" cm="1">
        <f t="array" aca="1" ref="S48" ca="1">Notmerged(S19)</f>
        <v>#NAME?</v>
      </c>
      <c r="T48" s="128" t="e" cm="1">
        <f t="array" aca="1" ref="T48" ca="1">Notmerged(T19)</f>
        <v>#NAME?</v>
      </c>
      <c r="U48" s="128" t="e" cm="1">
        <f t="array" aca="1" ref="U48" ca="1">Notmerged(U19)</f>
        <v>#NAME?</v>
      </c>
      <c r="V48" s="128" t="e" cm="1">
        <f t="array" aca="1" ref="V48" ca="1">Notmerged(V19)</f>
        <v>#NAME?</v>
      </c>
      <c r="W48" s="128" t="e" cm="1">
        <f t="array" aca="1" ref="W48" ca="1">Notmerged(W19)</f>
        <v>#NAME?</v>
      </c>
      <c r="X48" s="128" t="e" cm="1">
        <f t="array" aca="1" ref="X48" ca="1">Notmerged(X19)</f>
        <v>#NAME?</v>
      </c>
      <c r="Y48" s="128" t="e" cm="1">
        <f t="array" aca="1" ref="Y48" ca="1">Notmerged(Y19)</f>
        <v>#NAME?</v>
      </c>
      <c r="Z48" s="128" t="e" cm="1">
        <f t="array" aca="1" ref="Z48" ca="1">Notmerged(Z19)</f>
        <v>#NAME?</v>
      </c>
      <c r="AA48" s="128" t="e" cm="1">
        <f t="array" aca="1" ref="AA48" ca="1">Notmerged(AA19)</f>
        <v>#NAME?</v>
      </c>
      <c r="AB48" s="128" t="e" cm="1">
        <f t="array" aca="1" ref="AB48" ca="1">Notmerged(AB19)</f>
        <v>#NAME?</v>
      </c>
      <c r="AC48" s="128" t="e" cm="1">
        <f t="array" aca="1" ref="AC48" ca="1">Notmerged(AC19)</f>
        <v>#NAME?</v>
      </c>
      <c r="AD48" s="128" t="e" cm="1">
        <f t="array" aca="1" ref="AD48" ca="1">Notmerged(AD19)</f>
        <v>#NAME?</v>
      </c>
      <c r="AE48" s="128" t="e" cm="1">
        <f t="array" aca="1" ref="AE48" ca="1">Notmerged(AE19)</f>
        <v>#NAME?</v>
      </c>
      <c r="AF48" s="128" t="e" cm="1">
        <f t="array" aca="1" ref="AF48" ca="1">Notmerged(AF19)</f>
        <v>#NAME?</v>
      </c>
      <c r="AG48" s="128" t="e" cm="1">
        <f t="array" aca="1" ref="AG48" ca="1">Notmerged(AG19)</f>
        <v>#NAME?</v>
      </c>
      <c r="AH48" s="128" t="e" cm="1">
        <f t="array" aca="1" ref="AH48" ca="1">Notmerged(AH19)</f>
        <v>#NAME?</v>
      </c>
      <c r="AI48" s="128" t="e" cm="1">
        <f t="array" aca="1" ref="AI48" ca="1">Notmerged(AI19)</f>
        <v>#NAME?</v>
      </c>
      <c r="AJ48" s="128" t="e" cm="1">
        <f t="array" aca="1" ref="AJ48" ca="1">Notmerged(AJ19)</f>
        <v>#NAME?</v>
      </c>
      <c r="AK48" s="128" t="e" cm="1">
        <f t="array" aca="1" ref="AK48" ca="1">Notmerged(AK19)</f>
        <v>#NAME?</v>
      </c>
      <c r="AL48" s="128" t="e" cm="1">
        <f t="array" aca="1" ref="AL48" ca="1">Notmerged(AL19)</f>
        <v>#NAME?</v>
      </c>
      <c r="AM48" s="128" t="e" cm="1">
        <f t="array" aca="1" ref="AM48" ca="1">Notmerged(AM19)</f>
        <v>#NAME?</v>
      </c>
      <c r="AN48" s="128" t="e" cm="1">
        <f t="array" aca="1" ref="AN48" ca="1">Notmerged(AN19)</f>
        <v>#NAME?</v>
      </c>
      <c r="AO48" s="128" t="e" cm="1">
        <f t="array" aca="1" ref="AO48" ca="1">Notmerged(AO19)</f>
        <v>#NAME?</v>
      </c>
      <c r="AP48" s="128" t="e" cm="1">
        <f t="array" aca="1" ref="AP48" ca="1">Notmerged(AP19)</f>
        <v>#NAME?</v>
      </c>
      <c r="AQ48" s="128" t="e" cm="1">
        <f t="array" aca="1" ref="AQ48" ca="1">Notmerged(AQ19)</f>
        <v>#NAME?</v>
      </c>
      <c r="AR48" s="128" t="e" cm="1">
        <f t="array" aca="1" ref="AR48" ca="1">Notmerged(AR19)</f>
        <v>#NAME?</v>
      </c>
      <c r="AS48" s="128" t="e" cm="1">
        <f t="array" aca="1" ref="AS48" ca="1">Notmerged(AS19)</f>
        <v>#NAME?</v>
      </c>
      <c r="AT48" s="128" t="e" cm="1">
        <f t="array" aca="1" ref="AT48" ca="1">Notmerged(AT19)</f>
        <v>#NAME?</v>
      </c>
      <c r="AU48" s="128" t="e" cm="1">
        <f t="array" aca="1" ref="AU48" ca="1">Notmerged(AU19)</f>
        <v>#NAME?</v>
      </c>
      <c r="AV48" s="128" t="e" cm="1">
        <f t="array" aca="1" ref="AV48" ca="1">Notmerged(AV19)</f>
        <v>#NAME?</v>
      </c>
      <c r="AW48" s="128" t="e" cm="1">
        <f t="array" aca="1" ref="AW48" ca="1">Notmerged(AW19)</f>
        <v>#NAME?</v>
      </c>
      <c r="AX48" s="128" t="e" cm="1">
        <f t="array" aca="1" ref="AX48" ca="1">Notmerged(AX19)</f>
        <v>#NAME?</v>
      </c>
      <c r="AY48" s="128" t="e" cm="1">
        <f t="array" aca="1" ref="AY48" ca="1">Notmerged(AY19)</f>
        <v>#NAME?</v>
      </c>
      <c r="AZ48" s="128" t="e" cm="1">
        <f t="array" aca="1" ref="AZ48" ca="1">Notmerged(AZ19)</f>
        <v>#NAME?</v>
      </c>
      <c r="BA48" s="128" t="e" cm="1">
        <f t="array" aca="1" ref="BA48" ca="1">Notmerged(BA19)</f>
        <v>#NAME?</v>
      </c>
      <c r="BB48" s="128" t="e" cm="1">
        <f t="array" aca="1" ref="BB48" ca="1">Notmerged(BB19)</f>
        <v>#NAME?</v>
      </c>
      <c r="BC48" s="128" t="e" cm="1">
        <f t="array" aca="1" ref="BC48" ca="1">Notmerged(BC19)</f>
        <v>#NAME?</v>
      </c>
      <c r="BD48" s="128" t="e" cm="1">
        <f t="array" aca="1" ref="BD48" ca="1">Notmerged(BD19)</f>
        <v>#NAME?</v>
      </c>
      <c r="BE48" s="128" t="e" cm="1">
        <f t="array" aca="1" ref="BE48" ca="1">Notmerged(BE19)</f>
        <v>#NAME?</v>
      </c>
      <c r="BF48" s="128" t="e" cm="1">
        <f t="array" aca="1" ref="BF48" ca="1">Notmerged(BF19)</f>
        <v>#NAME?</v>
      </c>
      <c r="BG48" s="128" t="e" cm="1">
        <f t="array" aca="1" ref="BG48" ca="1">Notmerged(BG19)</f>
        <v>#NAME?</v>
      </c>
      <c r="BH48" s="128" t="e" cm="1">
        <f t="array" aca="1" ref="BH48" ca="1">Notmerged(BH19)</f>
        <v>#NAME?</v>
      </c>
      <c r="BI48" s="128" t="e" cm="1">
        <f t="array" aca="1" ref="BI48" ca="1">Notmerged(BI19)</f>
        <v>#NAME?</v>
      </c>
      <c r="BJ48" s="128" t="e" cm="1">
        <f t="array" aca="1" ref="BJ48" ca="1">Notmerged(BJ19)</f>
        <v>#NAME?</v>
      </c>
      <c r="BK48" s="128" t="e" cm="1">
        <f t="array" aca="1" ref="BK48" ca="1">Notmerged(BK19)</f>
        <v>#NAME?</v>
      </c>
    </row>
    <row r="49" spans="2:63" x14ac:dyDescent="0.3">
      <c r="B49" s="128" t="e" cm="1">
        <f t="array" aca="1" ref="B49" ca="1">Notmerged(B20)</f>
        <v>#NAME?</v>
      </c>
      <c r="C49" s="128" t="e" cm="1">
        <f t="array" aca="1" ref="C49" ca="1">Notmerged(C20)</f>
        <v>#NAME?</v>
      </c>
      <c r="D49" s="128" t="e" cm="1">
        <f t="array" aca="1" ref="D49" ca="1">Notmerged(D20)</f>
        <v>#NAME?</v>
      </c>
      <c r="E49" s="128" t="e" cm="1">
        <f t="array" aca="1" ref="E49" ca="1">Notmerged(E20)</f>
        <v>#NAME?</v>
      </c>
      <c r="F49" s="128" t="e" cm="1">
        <f t="array" aca="1" ref="F49" ca="1">Notmerged(F20)</f>
        <v>#NAME?</v>
      </c>
      <c r="G49" s="128" t="e" cm="1">
        <f t="array" aca="1" ref="G49" ca="1">Notmerged(G20)</f>
        <v>#NAME?</v>
      </c>
      <c r="H49" s="128" t="e" cm="1">
        <f t="array" aca="1" ref="H49" ca="1">Notmerged(H20)</f>
        <v>#NAME?</v>
      </c>
      <c r="I49" s="128" t="e" cm="1">
        <f t="array" aca="1" ref="I49" ca="1">Notmerged(I20)</f>
        <v>#NAME?</v>
      </c>
      <c r="J49" s="128" t="e" cm="1">
        <f t="array" aca="1" ref="J49" ca="1">Notmerged(J20)</f>
        <v>#NAME?</v>
      </c>
      <c r="K49" s="128" t="e" cm="1">
        <f t="array" aca="1" ref="K49" ca="1">Notmerged(K20)</f>
        <v>#NAME?</v>
      </c>
      <c r="L49" s="128" t="e" cm="1">
        <f t="array" aca="1" ref="L49" ca="1">Notmerged(L20)</f>
        <v>#NAME?</v>
      </c>
      <c r="M49" s="128" t="e" cm="1">
        <f t="array" aca="1" ref="M49" ca="1">Notmerged(M20)</f>
        <v>#NAME?</v>
      </c>
      <c r="N49" s="128" t="e" cm="1">
        <f t="array" aca="1" ref="N49" ca="1">Notmerged(N20)</f>
        <v>#NAME?</v>
      </c>
      <c r="O49" s="128" t="e" cm="1">
        <f t="array" aca="1" ref="O49" ca="1">Notmerged(O20)</f>
        <v>#NAME?</v>
      </c>
      <c r="P49" s="128" t="e" cm="1">
        <f t="array" aca="1" ref="P49" ca="1">Notmerged(P20)</f>
        <v>#NAME?</v>
      </c>
      <c r="Q49" s="128" t="e" cm="1">
        <f t="array" aca="1" ref="Q49" ca="1">Notmerged(Q20)</f>
        <v>#NAME?</v>
      </c>
      <c r="R49" s="128" t="e" cm="1">
        <f t="array" aca="1" ref="R49" ca="1">Notmerged(R20)</f>
        <v>#NAME?</v>
      </c>
      <c r="S49" s="128" t="e" cm="1">
        <f t="array" aca="1" ref="S49" ca="1">Notmerged(S20)</f>
        <v>#NAME?</v>
      </c>
      <c r="T49" s="128" t="e" cm="1">
        <f t="array" aca="1" ref="T49" ca="1">Notmerged(T20)</f>
        <v>#NAME?</v>
      </c>
      <c r="U49" s="128" t="e" cm="1">
        <f t="array" aca="1" ref="U49" ca="1">Notmerged(U20)</f>
        <v>#NAME?</v>
      </c>
      <c r="V49" s="128" t="e" cm="1">
        <f t="array" aca="1" ref="V49" ca="1">Notmerged(V20)</f>
        <v>#NAME?</v>
      </c>
      <c r="W49" s="128" t="e" cm="1">
        <f t="array" aca="1" ref="W49" ca="1">Notmerged(W20)</f>
        <v>#NAME?</v>
      </c>
      <c r="X49" s="128" t="e" cm="1">
        <f t="array" aca="1" ref="X49" ca="1">Notmerged(X20)</f>
        <v>#NAME?</v>
      </c>
      <c r="Y49" s="128" t="e" cm="1">
        <f t="array" aca="1" ref="Y49" ca="1">Notmerged(Y20)</f>
        <v>#NAME?</v>
      </c>
      <c r="Z49" s="128" t="e" cm="1">
        <f t="array" aca="1" ref="Z49" ca="1">Notmerged(Z20)</f>
        <v>#NAME?</v>
      </c>
      <c r="AA49" s="128" t="e" cm="1">
        <f t="array" aca="1" ref="AA49" ca="1">Notmerged(AA20)</f>
        <v>#NAME?</v>
      </c>
      <c r="AB49" s="128" t="e" cm="1">
        <f t="array" aca="1" ref="AB49" ca="1">Notmerged(AB20)</f>
        <v>#NAME?</v>
      </c>
      <c r="AC49" s="128" t="e" cm="1">
        <f t="array" aca="1" ref="AC49" ca="1">Notmerged(AC20)</f>
        <v>#NAME?</v>
      </c>
      <c r="AD49" s="128" t="e" cm="1">
        <f t="array" aca="1" ref="AD49" ca="1">Notmerged(AD20)</f>
        <v>#NAME?</v>
      </c>
      <c r="AE49" s="128" t="e" cm="1">
        <f t="array" aca="1" ref="AE49" ca="1">Notmerged(AE20)</f>
        <v>#NAME?</v>
      </c>
      <c r="AF49" s="128" t="e" cm="1">
        <f t="array" aca="1" ref="AF49" ca="1">Notmerged(AF20)</f>
        <v>#NAME?</v>
      </c>
      <c r="AG49" s="128" t="e" cm="1">
        <f t="array" aca="1" ref="AG49" ca="1">Notmerged(AG20)</f>
        <v>#NAME?</v>
      </c>
      <c r="AH49" s="128" t="e" cm="1">
        <f t="array" aca="1" ref="AH49" ca="1">Notmerged(AH20)</f>
        <v>#NAME?</v>
      </c>
      <c r="AI49" s="128" t="e" cm="1">
        <f t="array" aca="1" ref="AI49" ca="1">Notmerged(AI20)</f>
        <v>#NAME?</v>
      </c>
      <c r="AJ49" s="128" t="e" cm="1">
        <f t="array" aca="1" ref="AJ49" ca="1">Notmerged(AJ20)</f>
        <v>#NAME?</v>
      </c>
      <c r="AK49" s="128" t="e" cm="1">
        <f t="array" aca="1" ref="AK49" ca="1">Notmerged(AK20)</f>
        <v>#NAME?</v>
      </c>
      <c r="AL49" s="128" t="e" cm="1">
        <f t="array" aca="1" ref="AL49" ca="1">Notmerged(AL20)</f>
        <v>#NAME?</v>
      </c>
      <c r="AM49" s="128" t="e" cm="1">
        <f t="array" aca="1" ref="AM49" ca="1">Notmerged(AM20)</f>
        <v>#NAME?</v>
      </c>
      <c r="AN49" s="128" t="e" cm="1">
        <f t="array" aca="1" ref="AN49" ca="1">Notmerged(AN20)</f>
        <v>#NAME?</v>
      </c>
      <c r="AO49" s="128" t="e" cm="1">
        <f t="array" aca="1" ref="AO49" ca="1">Notmerged(AO20)</f>
        <v>#NAME?</v>
      </c>
      <c r="AP49" s="128" t="e" cm="1">
        <f t="array" aca="1" ref="AP49" ca="1">Notmerged(AP20)</f>
        <v>#NAME?</v>
      </c>
      <c r="AQ49" s="128" t="e" cm="1">
        <f t="array" aca="1" ref="AQ49" ca="1">Notmerged(AQ20)</f>
        <v>#NAME?</v>
      </c>
      <c r="AR49" s="128" t="e" cm="1">
        <f t="array" aca="1" ref="AR49" ca="1">Notmerged(AR20)</f>
        <v>#NAME?</v>
      </c>
      <c r="AS49" s="128" t="e" cm="1">
        <f t="array" aca="1" ref="AS49" ca="1">Notmerged(AS20)</f>
        <v>#NAME?</v>
      </c>
      <c r="AT49" s="128" t="e" cm="1">
        <f t="array" aca="1" ref="AT49" ca="1">Notmerged(AT20)</f>
        <v>#NAME?</v>
      </c>
      <c r="AU49" s="128" t="e" cm="1">
        <f t="array" aca="1" ref="AU49" ca="1">Notmerged(AU20)</f>
        <v>#NAME?</v>
      </c>
      <c r="AV49" s="128" t="e" cm="1">
        <f t="array" aca="1" ref="AV49" ca="1">Notmerged(AV20)</f>
        <v>#NAME?</v>
      </c>
      <c r="AW49" s="128" t="e" cm="1">
        <f t="array" aca="1" ref="AW49" ca="1">Notmerged(AW20)</f>
        <v>#NAME?</v>
      </c>
      <c r="AX49" s="128" t="e" cm="1">
        <f t="array" aca="1" ref="AX49" ca="1">Notmerged(AX20)</f>
        <v>#NAME?</v>
      </c>
      <c r="AY49" s="128" t="e" cm="1">
        <f t="array" aca="1" ref="AY49" ca="1">Notmerged(AY20)</f>
        <v>#NAME?</v>
      </c>
      <c r="AZ49" s="128" t="e" cm="1">
        <f t="array" aca="1" ref="AZ49" ca="1">Notmerged(AZ20)</f>
        <v>#NAME?</v>
      </c>
      <c r="BA49" s="128" t="e" cm="1">
        <f t="array" aca="1" ref="BA49" ca="1">Notmerged(BA20)</f>
        <v>#NAME?</v>
      </c>
      <c r="BB49" s="128" t="e" cm="1">
        <f t="array" aca="1" ref="BB49" ca="1">Notmerged(BB20)</f>
        <v>#NAME?</v>
      </c>
      <c r="BC49" s="128" t="e" cm="1">
        <f t="array" aca="1" ref="BC49" ca="1">Notmerged(BC20)</f>
        <v>#NAME?</v>
      </c>
      <c r="BD49" s="128" t="e" cm="1">
        <f t="array" aca="1" ref="BD49" ca="1">Notmerged(BD20)</f>
        <v>#NAME?</v>
      </c>
      <c r="BE49" s="128" t="e" cm="1">
        <f t="array" aca="1" ref="BE49" ca="1">Notmerged(BE20)</f>
        <v>#NAME?</v>
      </c>
      <c r="BF49" s="128" t="e" cm="1">
        <f t="array" aca="1" ref="BF49" ca="1">Notmerged(BF20)</f>
        <v>#NAME?</v>
      </c>
      <c r="BG49" s="128" t="e" cm="1">
        <f t="array" aca="1" ref="BG49" ca="1">Notmerged(BG20)</f>
        <v>#NAME?</v>
      </c>
      <c r="BH49" s="128" t="e" cm="1">
        <f t="array" aca="1" ref="BH49" ca="1">Notmerged(BH20)</f>
        <v>#NAME?</v>
      </c>
      <c r="BI49" s="128" t="e" cm="1">
        <f t="array" aca="1" ref="BI49" ca="1">Notmerged(BI20)</f>
        <v>#NAME?</v>
      </c>
      <c r="BJ49" s="128" t="e" cm="1">
        <f t="array" aca="1" ref="BJ49" ca="1">Notmerged(BJ20)</f>
        <v>#NAME?</v>
      </c>
      <c r="BK49" s="128" t="e" cm="1">
        <f t="array" aca="1" ref="BK49" ca="1">Notmerged(BK20)</f>
        <v>#NAME?</v>
      </c>
    </row>
    <row r="50" spans="2:63" x14ac:dyDescent="0.3">
      <c r="B50" s="128" t="e" cm="1">
        <f t="array" aca="1" ref="B50" ca="1">Notmerged(B21)</f>
        <v>#NAME?</v>
      </c>
      <c r="C50" s="128" t="e" cm="1">
        <f t="array" aca="1" ref="C50" ca="1">Notmerged(C21)</f>
        <v>#NAME?</v>
      </c>
      <c r="D50" s="128" t="e" cm="1">
        <f t="array" aca="1" ref="D50" ca="1">Notmerged(D21)</f>
        <v>#NAME?</v>
      </c>
      <c r="E50" s="128" t="e" cm="1">
        <f t="array" aca="1" ref="E50" ca="1">Notmerged(E21)</f>
        <v>#NAME?</v>
      </c>
      <c r="F50" s="128" t="e" cm="1">
        <f t="array" aca="1" ref="F50" ca="1">Notmerged(F21)</f>
        <v>#NAME?</v>
      </c>
      <c r="G50" s="128" t="e" cm="1">
        <f t="array" aca="1" ref="G50" ca="1">Notmerged(G21)</f>
        <v>#NAME?</v>
      </c>
      <c r="H50" s="128" t="e" cm="1">
        <f t="array" aca="1" ref="H50" ca="1">Notmerged(H21)</f>
        <v>#NAME?</v>
      </c>
      <c r="I50" s="128" t="e" cm="1">
        <f t="array" aca="1" ref="I50" ca="1">Notmerged(I21)</f>
        <v>#NAME?</v>
      </c>
      <c r="J50" s="128" t="e" cm="1">
        <f t="array" aca="1" ref="J50" ca="1">Notmerged(J21)</f>
        <v>#NAME?</v>
      </c>
      <c r="K50" s="128" t="e" cm="1">
        <f t="array" aca="1" ref="K50" ca="1">Notmerged(K21)</f>
        <v>#NAME?</v>
      </c>
      <c r="L50" s="128" t="e" cm="1">
        <f t="array" aca="1" ref="L50" ca="1">Notmerged(L21)</f>
        <v>#NAME?</v>
      </c>
      <c r="M50" s="128" t="e" cm="1">
        <f t="array" aca="1" ref="M50" ca="1">Notmerged(M21)</f>
        <v>#NAME?</v>
      </c>
      <c r="N50" s="128" t="e" cm="1">
        <f t="array" aca="1" ref="N50" ca="1">Notmerged(N21)</f>
        <v>#NAME?</v>
      </c>
      <c r="O50" s="128" t="e" cm="1">
        <f t="array" aca="1" ref="O50" ca="1">Notmerged(O21)</f>
        <v>#NAME?</v>
      </c>
      <c r="P50" s="128" t="e" cm="1">
        <f t="array" aca="1" ref="P50" ca="1">Notmerged(P21)</f>
        <v>#NAME?</v>
      </c>
      <c r="Q50" s="128" t="e" cm="1">
        <f t="array" aca="1" ref="Q50" ca="1">Notmerged(Q21)</f>
        <v>#NAME?</v>
      </c>
      <c r="R50" s="128" t="e" cm="1">
        <f t="array" aca="1" ref="R50" ca="1">Notmerged(R21)</f>
        <v>#NAME?</v>
      </c>
      <c r="S50" s="128" t="e" cm="1">
        <f t="array" aca="1" ref="S50" ca="1">Notmerged(S21)</f>
        <v>#NAME?</v>
      </c>
      <c r="T50" s="128" t="e" cm="1">
        <f t="array" aca="1" ref="T50" ca="1">Notmerged(T21)</f>
        <v>#NAME?</v>
      </c>
      <c r="U50" s="128" t="e" cm="1">
        <f t="array" aca="1" ref="U50" ca="1">Notmerged(U21)</f>
        <v>#NAME?</v>
      </c>
      <c r="V50" s="128" t="e" cm="1">
        <f t="array" aca="1" ref="V50" ca="1">Notmerged(V21)</f>
        <v>#NAME?</v>
      </c>
      <c r="W50" s="128" t="e" cm="1">
        <f t="array" aca="1" ref="W50" ca="1">Notmerged(W21)</f>
        <v>#NAME?</v>
      </c>
      <c r="X50" s="128" t="e" cm="1">
        <f t="array" aca="1" ref="X50" ca="1">Notmerged(X21)</f>
        <v>#NAME?</v>
      </c>
      <c r="Y50" s="128" t="e" cm="1">
        <f t="array" aca="1" ref="Y50" ca="1">Notmerged(Y21)</f>
        <v>#NAME?</v>
      </c>
      <c r="Z50" s="128" t="e" cm="1">
        <f t="array" aca="1" ref="Z50" ca="1">Notmerged(Z21)</f>
        <v>#NAME?</v>
      </c>
      <c r="AA50" s="128" t="e" cm="1">
        <f t="array" aca="1" ref="AA50" ca="1">Notmerged(AA21)</f>
        <v>#NAME?</v>
      </c>
      <c r="AB50" s="128" t="e" cm="1">
        <f t="array" aca="1" ref="AB50" ca="1">Notmerged(AB21)</f>
        <v>#NAME?</v>
      </c>
      <c r="AC50" s="128" t="e" cm="1">
        <f t="array" aca="1" ref="AC50" ca="1">Notmerged(AC21)</f>
        <v>#NAME?</v>
      </c>
      <c r="AD50" s="128" t="e" cm="1">
        <f t="array" aca="1" ref="AD50" ca="1">Notmerged(AD21)</f>
        <v>#NAME?</v>
      </c>
      <c r="AE50" s="128" t="e" cm="1">
        <f t="array" aca="1" ref="AE50" ca="1">Notmerged(AE21)</f>
        <v>#NAME?</v>
      </c>
      <c r="AF50" s="128" t="e" cm="1">
        <f t="array" aca="1" ref="AF50" ca="1">Notmerged(AF21)</f>
        <v>#NAME?</v>
      </c>
      <c r="AG50" s="128" t="e" cm="1">
        <f t="array" aca="1" ref="AG50" ca="1">Notmerged(AG21)</f>
        <v>#NAME?</v>
      </c>
      <c r="AH50" s="128" t="e" cm="1">
        <f t="array" aca="1" ref="AH50" ca="1">Notmerged(AH21)</f>
        <v>#NAME?</v>
      </c>
      <c r="AI50" s="128" t="e" cm="1">
        <f t="array" aca="1" ref="AI50" ca="1">Notmerged(AI21)</f>
        <v>#NAME?</v>
      </c>
      <c r="AJ50" s="128" t="e" cm="1">
        <f t="array" aca="1" ref="AJ50" ca="1">Notmerged(AJ21)</f>
        <v>#NAME?</v>
      </c>
      <c r="AK50" s="128" t="e" cm="1">
        <f t="array" aca="1" ref="AK50" ca="1">Notmerged(AK21)</f>
        <v>#NAME?</v>
      </c>
      <c r="AL50" s="128" t="e" cm="1">
        <f t="array" aca="1" ref="AL50" ca="1">Notmerged(AL21)</f>
        <v>#NAME?</v>
      </c>
      <c r="AM50" s="128" t="e" cm="1">
        <f t="array" aca="1" ref="AM50" ca="1">Notmerged(AM21)</f>
        <v>#NAME?</v>
      </c>
      <c r="AN50" s="128" t="e" cm="1">
        <f t="array" aca="1" ref="AN50" ca="1">Notmerged(AN21)</f>
        <v>#NAME?</v>
      </c>
      <c r="AO50" s="128" t="e" cm="1">
        <f t="array" aca="1" ref="AO50" ca="1">Notmerged(AO21)</f>
        <v>#NAME?</v>
      </c>
      <c r="AP50" s="128" t="e" cm="1">
        <f t="array" aca="1" ref="AP50" ca="1">Notmerged(AP21)</f>
        <v>#NAME?</v>
      </c>
      <c r="AQ50" s="128" t="e" cm="1">
        <f t="array" aca="1" ref="AQ50" ca="1">Notmerged(AQ21)</f>
        <v>#NAME?</v>
      </c>
      <c r="AR50" s="128" t="e" cm="1">
        <f t="array" aca="1" ref="AR50" ca="1">Notmerged(AR21)</f>
        <v>#NAME?</v>
      </c>
      <c r="AS50" s="128" t="e" cm="1">
        <f t="array" aca="1" ref="AS50" ca="1">Notmerged(AS21)</f>
        <v>#NAME?</v>
      </c>
      <c r="AT50" s="128" t="e" cm="1">
        <f t="array" aca="1" ref="AT50" ca="1">Notmerged(AT21)</f>
        <v>#NAME?</v>
      </c>
      <c r="AU50" s="128" t="e" cm="1">
        <f t="array" aca="1" ref="AU50" ca="1">Notmerged(AU21)</f>
        <v>#NAME?</v>
      </c>
      <c r="AV50" s="128" t="e" cm="1">
        <f t="array" aca="1" ref="AV50" ca="1">Notmerged(AV21)</f>
        <v>#NAME?</v>
      </c>
      <c r="AW50" s="128" t="e" cm="1">
        <f t="array" aca="1" ref="AW50" ca="1">Notmerged(AW21)</f>
        <v>#NAME?</v>
      </c>
      <c r="AX50" s="128" t="e" cm="1">
        <f t="array" aca="1" ref="AX50" ca="1">Notmerged(AX21)</f>
        <v>#NAME?</v>
      </c>
      <c r="AY50" s="128" t="e" cm="1">
        <f t="array" aca="1" ref="AY50" ca="1">Notmerged(AY21)</f>
        <v>#NAME?</v>
      </c>
      <c r="AZ50" s="128" t="e" cm="1">
        <f t="array" aca="1" ref="AZ50" ca="1">Notmerged(AZ21)</f>
        <v>#NAME?</v>
      </c>
      <c r="BA50" s="128" t="e" cm="1">
        <f t="array" aca="1" ref="BA50" ca="1">Notmerged(BA21)</f>
        <v>#NAME?</v>
      </c>
      <c r="BB50" s="128" t="e" cm="1">
        <f t="array" aca="1" ref="BB50" ca="1">Notmerged(BB21)</f>
        <v>#NAME?</v>
      </c>
      <c r="BC50" s="128" t="e" cm="1">
        <f t="array" aca="1" ref="BC50" ca="1">Notmerged(BC21)</f>
        <v>#NAME?</v>
      </c>
      <c r="BD50" s="128" t="e" cm="1">
        <f t="array" aca="1" ref="BD50" ca="1">Notmerged(BD21)</f>
        <v>#NAME?</v>
      </c>
      <c r="BE50" s="128" t="e" cm="1">
        <f t="array" aca="1" ref="BE50" ca="1">Notmerged(BE21)</f>
        <v>#NAME?</v>
      </c>
      <c r="BF50" s="128" t="e" cm="1">
        <f t="array" aca="1" ref="BF50" ca="1">Notmerged(BF21)</f>
        <v>#NAME?</v>
      </c>
      <c r="BG50" s="128" t="e" cm="1">
        <f t="array" aca="1" ref="BG50" ca="1">Notmerged(BG21)</f>
        <v>#NAME?</v>
      </c>
      <c r="BH50" s="128" t="e" cm="1">
        <f t="array" aca="1" ref="BH50" ca="1">Notmerged(BH21)</f>
        <v>#NAME?</v>
      </c>
      <c r="BI50" s="128" t="e" cm="1">
        <f t="array" aca="1" ref="BI50" ca="1">Notmerged(BI21)</f>
        <v>#NAME?</v>
      </c>
      <c r="BJ50" s="128" t="e" cm="1">
        <f t="array" aca="1" ref="BJ50" ca="1">Notmerged(BJ21)</f>
        <v>#NAME?</v>
      </c>
      <c r="BK50" s="128" t="e" cm="1">
        <f t="array" aca="1" ref="BK50" ca="1">Notmerged(BK21)</f>
        <v>#NAME?</v>
      </c>
    </row>
    <row r="51" spans="2:63" x14ac:dyDescent="0.3">
      <c r="B51" s="128" t="e" cm="1">
        <f t="array" aca="1" ref="B51" ca="1">Notmerged(#REF!)</f>
        <v>#NAME?</v>
      </c>
      <c r="C51" s="128" t="e" cm="1">
        <f t="array" aca="1" ref="C51" ca="1">Notmerged(C22)</f>
        <v>#NAME?</v>
      </c>
      <c r="D51" s="128" t="e" cm="1">
        <f t="array" aca="1" ref="D51" ca="1">Notmerged(D22)</f>
        <v>#NAME?</v>
      </c>
      <c r="E51" s="128" t="e" cm="1">
        <f t="array" aca="1" ref="E51" ca="1">Notmerged(E22)</f>
        <v>#NAME?</v>
      </c>
      <c r="F51" s="128" t="e" cm="1">
        <f t="array" aca="1" ref="F51" ca="1">Notmerged(F22)</f>
        <v>#NAME?</v>
      </c>
      <c r="G51" s="128" t="e" cm="1">
        <f t="array" aca="1" ref="G51" ca="1">Notmerged(G22)</f>
        <v>#NAME?</v>
      </c>
      <c r="H51" s="128" t="e" cm="1">
        <f t="array" aca="1" ref="H51" ca="1">Notmerged(H22)</f>
        <v>#NAME?</v>
      </c>
      <c r="I51" s="128" t="e" cm="1">
        <f t="array" aca="1" ref="I51" ca="1">Notmerged(I22)</f>
        <v>#NAME?</v>
      </c>
      <c r="J51" s="128" t="e" cm="1">
        <f t="array" aca="1" ref="J51" ca="1">Notmerged(J22)</f>
        <v>#NAME?</v>
      </c>
      <c r="K51" s="128" t="e" cm="1">
        <f t="array" aca="1" ref="K51" ca="1">Notmerged(K22)</f>
        <v>#NAME?</v>
      </c>
      <c r="L51" s="128" t="e" cm="1">
        <f t="array" aca="1" ref="L51" ca="1">Notmerged(L22)</f>
        <v>#NAME?</v>
      </c>
      <c r="M51" s="128" t="e" cm="1">
        <f t="array" aca="1" ref="M51" ca="1">Notmerged(M22)</f>
        <v>#NAME?</v>
      </c>
      <c r="N51" s="128" t="e" cm="1">
        <f t="array" aca="1" ref="N51" ca="1">Notmerged(N22)</f>
        <v>#NAME?</v>
      </c>
      <c r="O51" s="128" t="e" cm="1">
        <f t="array" aca="1" ref="O51" ca="1">Notmerged(O22)</f>
        <v>#NAME?</v>
      </c>
      <c r="P51" s="128" t="e" cm="1">
        <f t="array" aca="1" ref="P51" ca="1">Notmerged(P22)</f>
        <v>#NAME?</v>
      </c>
      <c r="Q51" s="128" t="e" cm="1">
        <f t="array" aca="1" ref="Q51" ca="1">Notmerged(Q22)</f>
        <v>#NAME?</v>
      </c>
      <c r="R51" s="128" t="e" cm="1">
        <f t="array" aca="1" ref="R51" ca="1">Notmerged(R22)</f>
        <v>#NAME?</v>
      </c>
      <c r="S51" s="128" t="e" cm="1">
        <f t="array" aca="1" ref="S51" ca="1">Notmerged(S22)</f>
        <v>#NAME?</v>
      </c>
      <c r="T51" s="128" t="e" cm="1">
        <f t="array" aca="1" ref="T51" ca="1">Notmerged(T22)</f>
        <v>#NAME?</v>
      </c>
      <c r="U51" s="128" t="e" cm="1">
        <f t="array" aca="1" ref="U51" ca="1">Notmerged(U22)</f>
        <v>#NAME?</v>
      </c>
      <c r="V51" s="128" t="e" cm="1">
        <f t="array" aca="1" ref="V51" ca="1">Notmerged(V22)</f>
        <v>#NAME?</v>
      </c>
      <c r="W51" s="128" t="e" cm="1">
        <f t="array" aca="1" ref="W51" ca="1">Notmerged(W22)</f>
        <v>#NAME?</v>
      </c>
      <c r="X51" s="128" t="e" cm="1">
        <f t="array" aca="1" ref="X51" ca="1">Notmerged(X22)</f>
        <v>#NAME?</v>
      </c>
      <c r="Y51" s="128" t="e" cm="1">
        <f t="array" aca="1" ref="Y51" ca="1">Notmerged(Y22)</f>
        <v>#NAME?</v>
      </c>
      <c r="Z51" s="128" t="e" cm="1">
        <f t="array" aca="1" ref="Z51" ca="1">Notmerged(Z22)</f>
        <v>#NAME?</v>
      </c>
      <c r="AA51" s="128" t="e" cm="1">
        <f t="array" aca="1" ref="AA51" ca="1">Notmerged(AA22)</f>
        <v>#NAME?</v>
      </c>
      <c r="AB51" s="128" t="e" cm="1">
        <f t="array" aca="1" ref="AB51" ca="1">Notmerged(AB22)</f>
        <v>#NAME?</v>
      </c>
      <c r="AC51" s="128" t="e" cm="1">
        <f t="array" aca="1" ref="AC51" ca="1">Notmerged(AC22)</f>
        <v>#NAME?</v>
      </c>
      <c r="AD51" s="128" t="e" cm="1">
        <f t="array" aca="1" ref="AD51" ca="1">Notmerged(AD22)</f>
        <v>#NAME?</v>
      </c>
      <c r="AE51" s="128" t="e" cm="1">
        <f t="array" aca="1" ref="AE51" ca="1">Notmerged(AE22)</f>
        <v>#NAME?</v>
      </c>
      <c r="AF51" s="128" t="e" cm="1">
        <f t="array" aca="1" ref="AF51" ca="1">Notmerged(AF22)</f>
        <v>#NAME?</v>
      </c>
      <c r="AG51" s="128" t="e" cm="1">
        <f t="array" aca="1" ref="AG51" ca="1">Notmerged(AG22)</f>
        <v>#NAME?</v>
      </c>
      <c r="AH51" s="128" t="e" cm="1">
        <f t="array" aca="1" ref="AH51" ca="1">Notmerged(AH22)</f>
        <v>#NAME?</v>
      </c>
      <c r="AI51" s="128" t="e" cm="1">
        <f t="array" aca="1" ref="AI51" ca="1">Notmerged(AI22)</f>
        <v>#NAME?</v>
      </c>
      <c r="AJ51" s="128" t="e" cm="1">
        <f t="array" aca="1" ref="AJ51" ca="1">Notmerged(AJ22)</f>
        <v>#NAME?</v>
      </c>
      <c r="AK51" s="128" t="e" cm="1">
        <f t="array" aca="1" ref="AK51" ca="1">Notmerged(AK22)</f>
        <v>#NAME?</v>
      </c>
      <c r="AL51" s="128" t="e" cm="1">
        <f t="array" aca="1" ref="AL51" ca="1">Notmerged(AL22)</f>
        <v>#NAME?</v>
      </c>
      <c r="AM51" s="128" t="e" cm="1">
        <f t="array" aca="1" ref="AM51" ca="1">Notmerged(AM22)</f>
        <v>#NAME?</v>
      </c>
      <c r="AN51" s="128" t="e" cm="1">
        <f t="array" aca="1" ref="AN51" ca="1">Notmerged(AN22)</f>
        <v>#NAME?</v>
      </c>
      <c r="AO51" s="128" t="e" cm="1">
        <f t="array" aca="1" ref="AO51" ca="1">Notmerged(AO22)</f>
        <v>#NAME?</v>
      </c>
      <c r="AP51" s="128" t="e" cm="1">
        <f t="array" aca="1" ref="AP51" ca="1">Notmerged(AP22)</f>
        <v>#NAME?</v>
      </c>
      <c r="AQ51" s="128" t="e" cm="1">
        <f t="array" aca="1" ref="AQ51" ca="1">Notmerged(AQ22)</f>
        <v>#NAME?</v>
      </c>
      <c r="AR51" s="128" t="e" cm="1">
        <f t="array" aca="1" ref="AR51" ca="1">Notmerged(AR22)</f>
        <v>#NAME?</v>
      </c>
      <c r="AS51" s="128" t="e" cm="1">
        <f t="array" aca="1" ref="AS51" ca="1">Notmerged(AS22)</f>
        <v>#NAME?</v>
      </c>
      <c r="AT51" s="128" t="e" cm="1">
        <f t="array" aca="1" ref="AT51" ca="1">Notmerged(AT22)</f>
        <v>#NAME?</v>
      </c>
      <c r="AU51" s="128" t="e" cm="1">
        <f t="array" aca="1" ref="AU51" ca="1">Notmerged(AU22)</f>
        <v>#NAME?</v>
      </c>
      <c r="AV51" s="128" t="e" cm="1">
        <f t="array" aca="1" ref="AV51" ca="1">Notmerged(AV22)</f>
        <v>#NAME?</v>
      </c>
      <c r="AW51" s="128" t="e" cm="1">
        <f t="array" aca="1" ref="AW51" ca="1">Notmerged(AW22)</f>
        <v>#NAME?</v>
      </c>
      <c r="AX51" s="128" t="e" cm="1">
        <f t="array" aca="1" ref="AX51" ca="1">Notmerged(AX22)</f>
        <v>#NAME?</v>
      </c>
      <c r="AY51" s="128" t="e" cm="1">
        <f t="array" aca="1" ref="AY51" ca="1">Notmerged(AY22)</f>
        <v>#NAME?</v>
      </c>
      <c r="AZ51" s="128" t="e" cm="1">
        <f t="array" aca="1" ref="AZ51" ca="1">Notmerged(AZ22)</f>
        <v>#NAME?</v>
      </c>
      <c r="BA51" s="128" t="e" cm="1">
        <f t="array" aca="1" ref="BA51" ca="1">Notmerged(BA22)</f>
        <v>#NAME?</v>
      </c>
      <c r="BB51" s="128" t="e" cm="1">
        <f t="array" aca="1" ref="BB51" ca="1">Notmerged(BB22)</f>
        <v>#NAME?</v>
      </c>
      <c r="BC51" s="128" t="e" cm="1">
        <f t="array" aca="1" ref="BC51" ca="1">Notmerged(BC22)</f>
        <v>#NAME?</v>
      </c>
      <c r="BD51" s="128" t="e" cm="1">
        <f t="array" aca="1" ref="BD51" ca="1">Notmerged(BD22)</f>
        <v>#NAME?</v>
      </c>
      <c r="BE51" s="128" t="e" cm="1">
        <f t="array" aca="1" ref="BE51" ca="1">Notmerged(BE22)</f>
        <v>#NAME?</v>
      </c>
      <c r="BF51" s="128" t="e" cm="1">
        <f t="array" aca="1" ref="BF51" ca="1">Notmerged(BF22)</f>
        <v>#NAME?</v>
      </c>
      <c r="BG51" s="128" t="e" cm="1">
        <f t="array" aca="1" ref="BG51" ca="1">Notmerged(BG22)</f>
        <v>#NAME?</v>
      </c>
      <c r="BH51" s="128" t="e" cm="1">
        <f t="array" aca="1" ref="BH51" ca="1">Notmerged(BH22)</f>
        <v>#NAME?</v>
      </c>
      <c r="BI51" s="128" t="e" cm="1">
        <f t="array" aca="1" ref="BI51" ca="1">Notmerged(BI22)</f>
        <v>#NAME?</v>
      </c>
      <c r="BJ51" s="128" t="e" cm="1">
        <f t="array" aca="1" ref="BJ51" ca="1">Notmerged(BJ22)</f>
        <v>#NAME?</v>
      </c>
      <c r="BK51" s="128" t="e" cm="1">
        <f t="array" aca="1" ref="BK51" ca="1">Notmerged(BK22)</f>
        <v>#NAME?</v>
      </c>
    </row>
    <row r="52" spans="2:63" x14ac:dyDescent="0.3">
      <c r="B52" s="128" t="e" cm="1">
        <f t="array" aca="1" ref="B52" ca="1">Notmerged(B23)</f>
        <v>#NAME?</v>
      </c>
      <c r="C52" s="128" t="e" cm="1">
        <f t="array" aca="1" ref="C52" ca="1">Notmerged(#REF!)</f>
        <v>#NAME?</v>
      </c>
      <c r="D52" s="128" t="e" cm="1">
        <f t="array" aca="1" ref="D52" ca="1">Notmerged(D23)</f>
        <v>#NAME?</v>
      </c>
      <c r="E52" s="128" t="e" cm="1">
        <f t="array" aca="1" ref="E52" ca="1">Notmerged(E23)</f>
        <v>#NAME?</v>
      </c>
      <c r="F52" s="128" t="e" cm="1">
        <f t="array" aca="1" ref="F52" ca="1">Notmerged(F23)</f>
        <v>#NAME?</v>
      </c>
      <c r="G52" s="128" t="e" cm="1">
        <f t="array" aca="1" ref="G52" ca="1">Notmerged(G23)</f>
        <v>#NAME?</v>
      </c>
      <c r="H52" s="128" t="e" cm="1">
        <f t="array" aca="1" ref="H52" ca="1">Notmerged(H23)</f>
        <v>#NAME?</v>
      </c>
      <c r="I52" s="128" t="e" cm="1">
        <f t="array" aca="1" ref="I52" ca="1">Notmerged(I23)</f>
        <v>#NAME?</v>
      </c>
      <c r="J52" s="128" t="e" cm="1">
        <f t="array" aca="1" ref="J52" ca="1">Notmerged(J23)</f>
        <v>#NAME?</v>
      </c>
      <c r="K52" s="128" t="e" cm="1">
        <f t="array" aca="1" ref="K52" ca="1">Notmerged(K23)</f>
        <v>#NAME?</v>
      </c>
      <c r="L52" s="128" t="e" cm="1">
        <f t="array" aca="1" ref="L52" ca="1">Notmerged(L23)</f>
        <v>#NAME?</v>
      </c>
      <c r="M52" s="128" t="e" cm="1">
        <f t="array" aca="1" ref="M52" ca="1">Notmerged(M23)</f>
        <v>#NAME?</v>
      </c>
      <c r="N52" s="128" t="e" cm="1">
        <f t="array" aca="1" ref="N52" ca="1">Notmerged(N23)</f>
        <v>#NAME?</v>
      </c>
      <c r="O52" s="128" t="e" cm="1">
        <f t="array" aca="1" ref="O52" ca="1">Notmerged(O23)</f>
        <v>#NAME?</v>
      </c>
      <c r="P52" s="128" t="e" cm="1">
        <f t="array" aca="1" ref="P52" ca="1">Notmerged(P23)</f>
        <v>#NAME?</v>
      </c>
      <c r="Q52" s="128" t="e" cm="1">
        <f t="array" aca="1" ref="Q52" ca="1">Notmerged(Q23)</f>
        <v>#NAME?</v>
      </c>
      <c r="R52" s="128" t="e" cm="1">
        <f t="array" aca="1" ref="R52" ca="1">Notmerged(R23)</f>
        <v>#NAME?</v>
      </c>
      <c r="S52" s="128" t="e" cm="1">
        <f t="array" aca="1" ref="S52" ca="1">Notmerged(S23)</f>
        <v>#NAME?</v>
      </c>
      <c r="T52" s="128" t="e" cm="1">
        <f t="array" aca="1" ref="T52" ca="1">Notmerged(T23)</f>
        <v>#NAME?</v>
      </c>
      <c r="U52" s="128" t="e" cm="1">
        <f t="array" aca="1" ref="U52" ca="1">Notmerged(U23)</f>
        <v>#NAME?</v>
      </c>
      <c r="V52" s="128" t="e" cm="1">
        <f t="array" aca="1" ref="V52" ca="1">Notmerged(V23)</f>
        <v>#NAME?</v>
      </c>
      <c r="W52" s="128" t="e" cm="1">
        <f t="array" aca="1" ref="W52" ca="1">Notmerged(W23)</f>
        <v>#NAME?</v>
      </c>
      <c r="X52" s="128" t="e" cm="1">
        <f t="array" aca="1" ref="X52" ca="1">Notmerged(X23)</f>
        <v>#NAME?</v>
      </c>
      <c r="Y52" s="128" t="e" cm="1">
        <f t="array" aca="1" ref="Y52" ca="1">Notmerged(Y23)</f>
        <v>#NAME?</v>
      </c>
      <c r="Z52" s="128" t="e" cm="1">
        <f t="array" aca="1" ref="Z52" ca="1">Notmerged(Z23)</f>
        <v>#NAME?</v>
      </c>
      <c r="AA52" s="128" t="e" cm="1">
        <f t="array" aca="1" ref="AA52" ca="1">Notmerged(AA23)</f>
        <v>#NAME?</v>
      </c>
      <c r="AB52" s="128" t="e" cm="1">
        <f t="array" aca="1" ref="AB52" ca="1">Notmerged(AB23)</f>
        <v>#NAME?</v>
      </c>
      <c r="AC52" s="128" t="e" cm="1">
        <f t="array" aca="1" ref="AC52" ca="1">Notmerged(AC23)</f>
        <v>#NAME?</v>
      </c>
      <c r="AD52" s="128" t="e" cm="1">
        <f t="array" aca="1" ref="AD52" ca="1">Notmerged(AD23)</f>
        <v>#NAME?</v>
      </c>
      <c r="AE52" s="128" t="e" cm="1">
        <f t="array" aca="1" ref="AE52" ca="1">Notmerged(AE23)</f>
        <v>#NAME?</v>
      </c>
      <c r="AF52" s="128" t="e" cm="1">
        <f t="array" aca="1" ref="AF52" ca="1">Notmerged(AF23)</f>
        <v>#NAME?</v>
      </c>
      <c r="AG52" s="128" t="e" cm="1">
        <f t="array" aca="1" ref="AG52" ca="1">Notmerged(AG23)</f>
        <v>#NAME?</v>
      </c>
      <c r="AH52" s="128" t="e" cm="1">
        <f t="array" aca="1" ref="AH52" ca="1">Notmerged(AH23)</f>
        <v>#NAME?</v>
      </c>
      <c r="AI52" s="128" t="e" cm="1">
        <f t="array" aca="1" ref="AI52" ca="1">Notmerged(AI23)</f>
        <v>#NAME?</v>
      </c>
      <c r="AJ52" s="128" t="e" cm="1">
        <f t="array" aca="1" ref="AJ52" ca="1">Notmerged(AJ23)</f>
        <v>#NAME?</v>
      </c>
      <c r="AK52" s="128" t="e" cm="1">
        <f t="array" aca="1" ref="AK52" ca="1">Notmerged(AK23)</f>
        <v>#NAME?</v>
      </c>
      <c r="AL52" s="128" t="e" cm="1">
        <f t="array" aca="1" ref="AL52" ca="1">Notmerged(AL23)</f>
        <v>#NAME?</v>
      </c>
      <c r="AM52" s="128" t="e" cm="1">
        <f t="array" aca="1" ref="AM52" ca="1">Notmerged(AM23)</f>
        <v>#NAME?</v>
      </c>
      <c r="AN52" s="128" t="e" cm="1">
        <f t="array" aca="1" ref="AN52" ca="1">Notmerged(AN23)</f>
        <v>#NAME?</v>
      </c>
      <c r="AO52" s="128" t="e" cm="1">
        <f t="array" aca="1" ref="AO52" ca="1">Notmerged(AO23)</f>
        <v>#NAME?</v>
      </c>
      <c r="AP52" s="128" t="e" cm="1">
        <f t="array" aca="1" ref="AP52" ca="1">Notmerged(AP23)</f>
        <v>#NAME?</v>
      </c>
      <c r="AQ52" s="128" t="e" cm="1">
        <f t="array" aca="1" ref="AQ52" ca="1">Notmerged(AQ23)</f>
        <v>#NAME?</v>
      </c>
      <c r="AR52" s="128" t="e" cm="1">
        <f t="array" aca="1" ref="AR52" ca="1">Notmerged(AR23)</f>
        <v>#NAME?</v>
      </c>
      <c r="AS52" s="128" t="e" cm="1">
        <f t="array" aca="1" ref="AS52" ca="1">Notmerged(AS23)</f>
        <v>#NAME?</v>
      </c>
      <c r="AT52" s="128" t="e" cm="1">
        <f t="array" aca="1" ref="AT52" ca="1">Notmerged(AT23)</f>
        <v>#NAME?</v>
      </c>
      <c r="AU52" s="128" t="e" cm="1">
        <f t="array" aca="1" ref="AU52" ca="1">Notmerged(AU23)</f>
        <v>#NAME?</v>
      </c>
      <c r="AV52" s="128" t="e" cm="1">
        <f t="array" aca="1" ref="AV52" ca="1">Notmerged(AV23)</f>
        <v>#NAME?</v>
      </c>
      <c r="AW52" s="128" t="e" cm="1">
        <f t="array" aca="1" ref="AW52" ca="1">Notmerged(AW23)</f>
        <v>#NAME?</v>
      </c>
      <c r="AX52" s="128" t="e" cm="1">
        <f t="array" aca="1" ref="AX52" ca="1">Notmerged(AX23)</f>
        <v>#NAME?</v>
      </c>
      <c r="AY52" s="128" t="e" cm="1">
        <f t="array" aca="1" ref="AY52" ca="1">Notmerged(AY23)</f>
        <v>#NAME?</v>
      </c>
      <c r="AZ52" s="128" t="e" cm="1">
        <f t="array" aca="1" ref="AZ52" ca="1">Notmerged(AZ23)</f>
        <v>#NAME?</v>
      </c>
      <c r="BA52" s="128" t="e" cm="1">
        <f t="array" aca="1" ref="BA52" ca="1">Notmerged(BA23)</f>
        <v>#NAME?</v>
      </c>
      <c r="BB52" s="128" t="e" cm="1">
        <f t="array" aca="1" ref="BB52" ca="1">Notmerged(BB23)</f>
        <v>#NAME?</v>
      </c>
      <c r="BC52" s="128" t="e" cm="1">
        <f t="array" aca="1" ref="BC52" ca="1">Notmerged(BC23)</f>
        <v>#NAME?</v>
      </c>
      <c r="BD52" s="128" t="e" cm="1">
        <f t="array" aca="1" ref="BD52" ca="1">Notmerged(BD23)</f>
        <v>#NAME?</v>
      </c>
      <c r="BE52" s="128" t="e" cm="1">
        <f t="array" aca="1" ref="BE52" ca="1">Notmerged(BE23)</f>
        <v>#NAME?</v>
      </c>
      <c r="BF52" s="128" t="e" cm="1">
        <f t="array" aca="1" ref="BF52" ca="1">Notmerged(BF23)</f>
        <v>#NAME?</v>
      </c>
      <c r="BG52" s="128" t="e" cm="1">
        <f t="array" aca="1" ref="BG52" ca="1">Notmerged(BG23)</f>
        <v>#NAME?</v>
      </c>
      <c r="BH52" s="128" t="e" cm="1">
        <f t="array" aca="1" ref="BH52" ca="1">Notmerged(BH23)</f>
        <v>#NAME?</v>
      </c>
      <c r="BI52" s="128" t="e" cm="1">
        <f t="array" aca="1" ref="BI52" ca="1">Notmerged(BI23)</f>
        <v>#NAME?</v>
      </c>
      <c r="BJ52" s="128" t="e" cm="1">
        <f t="array" aca="1" ref="BJ52" ca="1">Notmerged(BJ23)</f>
        <v>#NAME?</v>
      </c>
      <c r="BK52" s="128" t="e" cm="1">
        <f t="array" aca="1" ref="BK52" ca="1">Notmerged(BK23)</f>
        <v>#NAME?</v>
      </c>
    </row>
    <row r="53" spans="2:63" x14ac:dyDescent="0.3">
      <c r="B53" s="128" t="e" cm="1">
        <f t="array" aca="1" ref="B53" ca="1">Notmerged(B22)</f>
        <v>#NAME?</v>
      </c>
      <c r="C53" s="128" t="e" cm="1">
        <f t="array" aca="1" ref="C53" ca="1">Notmerged(C23)</f>
        <v>#NAME?</v>
      </c>
      <c r="D53" s="128" t="e" cm="1">
        <f t="array" aca="1" ref="D53" ca="1">Notmerged(D24)</f>
        <v>#NAME?</v>
      </c>
      <c r="E53" s="128" t="e" cm="1">
        <f t="array" aca="1" ref="E53" ca="1">Notmerged(E24)</f>
        <v>#NAME?</v>
      </c>
      <c r="F53" s="128" t="e" cm="1">
        <f t="array" aca="1" ref="F53" ca="1">Notmerged(F24)</f>
        <v>#NAME?</v>
      </c>
      <c r="G53" s="128" t="e" cm="1">
        <f t="array" aca="1" ref="G53" ca="1">Notmerged(G24)</f>
        <v>#NAME?</v>
      </c>
      <c r="H53" s="128" t="e" cm="1">
        <f t="array" aca="1" ref="H53" ca="1">Notmerged(H24)</f>
        <v>#NAME?</v>
      </c>
      <c r="I53" s="128" t="e" cm="1">
        <f t="array" aca="1" ref="I53" ca="1">Notmerged(I24)</f>
        <v>#NAME?</v>
      </c>
      <c r="J53" s="128" t="e" cm="1">
        <f t="array" aca="1" ref="J53" ca="1">Notmerged(J24)</f>
        <v>#NAME?</v>
      </c>
      <c r="K53" s="128" t="e" cm="1">
        <f t="array" aca="1" ref="K53" ca="1">Notmerged(K24)</f>
        <v>#NAME?</v>
      </c>
      <c r="L53" s="128" t="e" cm="1">
        <f t="array" aca="1" ref="L53" ca="1">Notmerged(L24)</f>
        <v>#NAME?</v>
      </c>
      <c r="M53" s="128" t="e" cm="1">
        <f t="array" aca="1" ref="M53" ca="1">Notmerged(M24)</f>
        <v>#NAME?</v>
      </c>
      <c r="N53" s="128" t="e" cm="1">
        <f t="array" aca="1" ref="N53" ca="1">Notmerged(N24)</f>
        <v>#NAME?</v>
      </c>
      <c r="O53" s="128" t="e" cm="1">
        <f t="array" aca="1" ref="O53" ca="1">Notmerged(O24)</f>
        <v>#NAME?</v>
      </c>
      <c r="P53" s="128" t="e" cm="1">
        <f t="array" aca="1" ref="P53" ca="1">Notmerged(P24)</f>
        <v>#NAME?</v>
      </c>
      <c r="Q53" s="128" t="e" cm="1">
        <f t="array" aca="1" ref="Q53" ca="1">Notmerged(Q24)</f>
        <v>#NAME?</v>
      </c>
      <c r="R53" s="128" t="e" cm="1">
        <f t="array" aca="1" ref="R53" ca="1">Notmerged(R24)</f>
        <v>#NAME?</v>
      </c>
      <c r="S53" s="128" t="e" cm="1">
        <f t="array" aca="1" ref="S53" ca="1">Notmerged(S24)</f>
        <v>#NAME?</v>
      </c>
      <c r="T53" s="128" t="e" cm="1">
        <f t="array" aca="1" ref="T53" ca="1">Notmerged(T24)</f>
        <v>#NAME?</v>
      </c>
      <c r="U53" s="128" t="e" cm="1">
        <f t="array" aca="1" ref="U53" ca="1">Notmerged(U24)</f>
        <v>#NAME?</v>
      </c>
      <c r="V53" s="128" t="e" cm="1">
        <f t="array" aca="1" ref="V53" ca="1">Notmerged(V24)</f>
        <v>#NAME?</v>
      </c>
      <c r="W53" s="128" t="e" cm="1">
        <f t="array" aca="1" ref="W53" ca="1">Notmerged(W24)</f>
        <v>#NAME?</v>
      </c>
      <c r="X53" s="128" t="e" cm="1">
        <f t="array" aca="1" ref="X53" ca="1">Notmerged(X24)</f>
        <v>#NAME?</v>
      </c>
      <c r="Y53" s="128" t="e" cm="1">
        <f t="array" aca="1" ref="Y53" ca="1">Notmerged(Y24)</f>
        <v>#NAME?</v>
      </c>
      <c r="Z53" s="128" t="e" cm="1">
        <f t="array" aca="1" ref="Z53" ca="1">Notmerged(Z24)</f>
        <v>#NAME?</v>
      </c>
      <c r="AA53" s="128" t="e" cm="1">
        <f t="array" aca="1" ref="AA53" ca="1">Notmerged(AA24)</f>
        <v>#NAME?</v>
      </c>
      <c r="AB53" s="128" t="e" cm="1">
        <f t="array" aca="1" ref="AB53" ca="1">Notmerged(AB24)</f>
        <v>#NAME?</v>
      </c>
      <c r="AC53" s="128" t="e" cm="1">
        <f t="array" aca="1" ref="AC53" ca="1">Notmerged(AC24)</f>
        <v>#NAME?</v>
      </c>
      <c r="AD53" s="128" t="e" cm="1">
        <f t="array" aca="1" ref="AD53" ca="1">Notmerged(AD24)</f>
        <v>#NAME?</v>
      </c>
      <c r="AE53" s="128" t="e" cm="1">
        <f t="array" aca="1" ref="AE53" ca="1">Notmerged(AE24)</f>
        <v>#NAME?</v>
      </c>
      <c r="AF53" s="128" t="e" cm="1">
        <f t="array" aca="1" ref="AF53" ca="1">Notmerged(AF24)</f>
        <v>#NAME?</v>
      </c>
      <c r="AG53" s="128" t="e" cm="1">
        <f t="array" aca="1" ref="AG53" ca="1">Notmerged(AG24)</f>
        <v>#NAME?</v>
      </c>
      <c r="AH53" s="128" t="e" cm="1">
        <f t="array" aca="1" ref="AH53" ca="1">Notmerged(AH24)</f>
        <v>#NAME?</v>
      </c>
      <c r="AI53" s="128" t="e" cm="1">
        <f t="array" aca="1" ref="AI53" ca="1">Notmerged(AI24)</f>
        <v>#NAME?</v>
      </c>
      <c r="AJ53" s="128" t="e" cm="1">
        <f t="array" aca="1" ref="AJ53" ca="1">Notmerged(AJ24)</f>
        <v>#NAME?</v>
      </c>
      <c r="AK53" s="128" t="e" cm="1">
        <f t="array" aca="1" ref="AK53" ca="1">Notmerged(AK24)</f>
        <v>#NAME?</v>
      </c>
      <c r="AL53" s="128" t="e" cm="1">
        <f t="array" aca="1" ref="AL53" ca="1">Notmerged(AL24)</f>
        <v>#NAME?</v>
      </c>
      <c r="AM53" s="128" t="e" cm="1">
        <f t="array" aca="1" ref="AM53" ca="1">Notmerged(AM24)</f>
        <v>#NAME?</v>
      </c>
      <c r="AN53" s="128" t="e" cm="1">
        <f t="array" aca="1" ref="AN53" ca="1">Notmerged(AN24)</f>
        <v>#NAME?</v>
      </c>
      <c r="AO53" s="128" t="e" cm="1">
        <f t="array" aca="1" ref="AO53" ca="1">Notmerged(AO24)</f>
        <v>#NAME?</v>
      </c>
      <c r="AP53" s="128" t="e" cm="1">
        <f t="array" aca="1" ref="AP53" ca="1">Notmerged(AP24)</f>
        <v>#NAME?</v>
      </c>
      <c r="AQ53" s="128" t="e" cm="1">
        <f t="array" aca="1" ref="AQ53" ca="1">Notmerged(AQ24)</f>
        <v>#NAME?</v>
      </c>
      <c r="AR53" s="128" t="e" cm="1">
        <f t="array" aca="1" ref="AR53" ca="1">Notmerged(AR24)</f>
        <v>#NAME?</v>
      </c>
      <c r="AS53" s="128" t="e" cm="1">
        <f t="array" aca="1" ref="AS53" ca="1">Notmerged(AS24)</f>
        <v>#NAME?</v>
      </c>
      <c r="AT53" s="128" t="e" cm="1">
        <f t="array" aca="1" ref="AT53" ca="1">Notmerged(AT24)</f>
        <v>#NAME?</v>
      </c>
      <c r="AU53" s="128" t="e" cm="1">
        <f t="array" aca="1" ref="AU53" ca="1">Notmerged(AU24)</f>
        <v>#NAME?</v>
      </c>
      <c r="AV53" s="128" t="e" cm="1">
        <f t="array" aca="1" ref="AV53" ca="1">Notmerged(AV24)</f>
        <v>#NAME?</v>
      </c>
      <c r="AW53" s="128" t="e" cm="1">
        <f t="array" aca="1" ref="AW53" ca="1">Notmerged(AW24)</f>
        <v>#NAME?</v>
      </c>
      <c r="AX53" s="128" t="e" cm="1">
        <f t="array" aca="1" ref="AX53" ca="1">Notmerged(AX24)</f>
        <v>#NAME?</v>
      </c>
      <c r="AY53" s="128" t="e" cm="1">
        <f t="array" aca="1" ref="AY53" ca="1">Notmerged(AY24)</f>
        <v>#NAME?</v>
      </c>
      <c r="AZ53" s="128" t="e" cm="1">
        <f t="array" aca="1" ref="AZ53" ca="1">Notmerged(AZ24)</f>
        <v>#NAME?</v>
      </c>
      <c r="BA53" s="128" t="e" cm="1">
        <f t="array" aca="1" ref="BA53" ca="1">Notmerged(BA24)</f>
        <v>#NAME?</v>
      </c>
      <c r="BB53" s="128" t="e" cm="1">
        <f t="array" aca="1" ref="BB53" ca="1">Notmerged(BB24)</f>
        <v>#NAME?</v>
      </c>
      <c r="BC53" s="128" t="e" cm="1">
        <f t="array" aca="1" ref="BC53" ca="1">Notmerged(BC24)</f>
        <v>#NAME?</v>
      </c>
      <c r="BD53" s="128" t="e" cm="1">
        <f t="array" aca="1" ref="BD53" ca="1">Notmerged(BD24)</f>
        <v>#NAME?</v>
      </c>
      <c r="BE53" s="128" t="e" cm="1">
        <f t="array" aca="1" ref="BE53" ca="1">Notmerged(BE24)</f>
        <v>#NAME?</v>
      </c>
      <c r="BF53" s="128" t="e" cm="1">
        <f t="array" aca="1" ref="BF53" ca="1">Notmerged(BF24)</f>
        <v>#NAME?</v>
      </c>
      <c r="BG53" s="128" t="e" cm="1">
        <f t="array" aca="1" ref="BG53" ca="1">Notmerged(BG24)</f>
        <v>#NAME?</v>
      </c>
      <c r="BH53" s="128" t="e" cm="1">
        <f t="array" aca="1" ref="BH53" ca="1">Notmerged(BH24)</f>
        <v>#NAME?</v>
      </c>
      <c r="BI53" s="128" t="e" cm="1">
        <f t="array" aca="1" ref="BI53" ca="1">Notmerged(BI24)</f>
        <v>#NAME?</v>
      </c>
      <c r="BJ53" s="128" t="e" cm="1">
        <f t="array" aca="1" ref="BJ53" ca="1">Notmerged(BJ24)</f>
        <v>#NAME?</v>
      </c>
      <c r="BK53" s="128" t="e" cm="1">
        <f t="array" aca="1" ref="BK53" ca="1">Notmerged(BK24)</f>
        <v>#NAME?</v>
      </c>
    </row>
    <row r="54" spans="2:63" x14ac:dyDescent="0.3">
      <c r="B54" s="128" t="e" cm="1">
        <f t="array" aca="1" ref="B54" ca="1">Notmerged(#REF!)</f>
        <v>#NAME?</v>
      </c>
      <c r="C54" s="128" t="e" cm="1">
        <f t="array" aca="1" ref="C54" ca="1">Notmerged(C25)</f>
        <v>#NAME?</v>
      </c>
      <c r="D54" s="128" t="e" cm="1">
        <f t="array" aca="1" ref="D54" ca="1">Notmerged(D25)</f>
        <v>#NAME?</v>
      </c>
      <c r="E54" s="128" t="e" cm="1">
        <f t="array" aca="1" ref="E54" ca="1">Notmerged(E25)</f>
        <v>#NAME?</v>
      </c>
      <c r="F54" s="128" t="e" cm="1">
        <f t="array" aca="1" ref="F54" ca="1">Notmerged(F25)</f>
        <v>#NAME?</v>
      </c>
      <c r="G54" s="128" t="e" cm="1">
        <f t="array" aca="1" ref="G54" ca="1">Notmerged(G25)</f>
        <v>#NAME?</v>
      </c>
      <c r="H54" s="128" t="e" cm="1">
        <f t="array" aca="1" ref="H54" ca="1">Notmerged(H25)</f>
        <v>#NAME?</v>
      </c>
      <c r="I54" s="128" t="e" cm="1">
        <f t="array" aca="1" ref="I54" ca="1">Notmerged(I25)</f>
        <v>#NAME?</v>
      </c>
      <c r="J54" s="128" t="e" cm="1">
        <f t="array" aca="1" ref="J54" ca="1">Notmerged(J25)</f>
        <v>#NAME?</v>
      </c>
      <c r="K54" s="128" t="e" cm="1">
        <f t="array" aca="1" ref="K54" ca="1">Notmerged(K25)</f>
        <v>#NAME?</v>
      </c>
      <c r="L54" s="128" t="e" cm="1">
        <f t="array" aca="1" ref="L54" ca="1">Notmerged(L25)</f>
        <v>#NAME?</v>
      </c>
      <c r="M54" s="128" t="e" cm="1">
        <f t="array" aca="1" ref="M54" ca="1">Notmerged(M25)</f>
        <v>#NAME?</v>
      </c>
      <c r="N54" s="128" t="e" cm="1">
        <f t="array" aca="1" ref="N54" ca="1">Notmerged(N25)</f>
        <v>#NAME?</v>
      </c>
      <c r="O54" s="128" t="e" cm="1">
        <f t="array" aca="1" ref="O54" ca="1">Notmerged(O25)</f>
        <v>#NAME?</v>
      </c>
      <c r="P54" s="128" t="e" cm="1">
        <f t="array" aca="1" ref="P54" ca="1">Notmerged(P25)</f>
        <v>#NAME?</v>
      </c>
      <c r="Q54" s="128" t="e" cm="1">
        <f t="array" aca="1" ref="Q54" ca="1">Notmerged(Q25)</f>
        <v>#NAME?</v>
      </c>
      <c r="R54" s="128" t="e" cm="1">
        <f t="array" aca="1" ref="R54" ca="1">Notmerged(R25)</f>
        <v>#NAME?</v>
      </c>
      <c r="S54" s="128" t="e" cm="1">
        <f t="array" aca="1" ref="S54" ca="1">Notmerged(S25)</f>
        <v>#NAME?</v>
      </c>
      <c r="T54" s="128" t="e" cm="1">
        <f t="array" aca="1" ref="T54" ca="1">Notmerged(T25)</f>
        <v>#NAME?</v>
      </c>
      <c r="U54" s="128" t="e" cm="1">
        <f t="array" aca="1" ref="U54" ca="1">Notmerged(U25)</f>
        <v>#NAME?</v>
      </c>
      <c r="V54" s="128" t="e" cm="1">
        <f t="array" aca="1" ref="V54" ca="1">Notmerged(V25)</f>
        <v>#NAME?</v>
      </c>
      <c r="W54" s="128" t="e" cm="1">
        <f t="array" aca="1" ref="W54" ca="1">Notmerged(W25)</f>
        <v>#NAME?</v>
      </c>
      <c r="X54" s="128" t="e" cm="1">
        <f t="array" aca="1" ref="X54" ca="1">Notmerged(X25)</f>
        <v>#NAME?</v>
      </c>
      <c r="Y54" s="128" t="e" cm="1">
        <f t="array" aca="1" ref="Y54" ca="1">Notmerged(Y25)</f>
        <v>#NAME?</v>
      </c>
      <c r="Z54" s="128" t="e" cm="1">
        <f t="array" aca="1" ref="Z54" ca="1">Notmerged(Z25)</f>
        <v>#NAME?</v>
      </c>
      <c r="AA54" s="128" t="e" cm="1">
        <f t="array" aca="1" ref="AA54" ca="1">Notmerged(AA25)</f>
        <v>#NAME?</v>
      </c>
      <c r="AB54" s="128" t="e" cm="1">
        <f t="array" aca="1" ref="AB54" ca="1">Notmerged(AB25)</f>
        <v>#NAME?</v>
      </c>
      <c r="AC54" s="128" t="e" cm="1">
        <f t="array" aca="1" ref="AC54" ca="1">Notmerged(AC25)</f>
        <v>#NAME?</v>
      </c>
      <c r="AD54" s="128" t="e" cm="1">
        <f t="array" aca="1" ref="AD54" ca="1">Notmerged(AD25)</f>
        <v>#NAME?</v>
      </c>
      <c r="AE54" s="128" t="e" cm="1">
        <f t="array" aca="1" ref="AE54" ca="1">Notmerged(AE25)</f>
        <v>#NAME?</v>
      </c>
      <c r="AF54" s="128" t="e" cm="1">
        <f t="array" aca="1" ref="AF54" ca="1">Notmerged(AF25)</f>
        <v>#NAME?</v>
      </c>
      <c r="AG54" s="128" t="e" cm="1">
        <f t="array" aca="1" ref="AG54" ca="1">Notmerged(AG25)</f>
        <v>#NAME?</v>
      </c>
      <c r="AH54" s="128" t="e" cm="1">
        <f t="array" aca="1" ref="AH54" ca="1">Notmerged(AH25)</f>
        <v>#NAME?</v>
      </c>
      <c r="AI54" s="128" t="e" cm="1">
        <f t="array" aca="1" ref="AI54" ca="1">Notmerged(AI25)</f>
        <v>#NAME?</v>
      </c>
      <c r="AJ54" s="128" t="e" cm="1">
        <f t="array" aca="1" ref="AJ54" ca="1">Notmerged(AJ25)</f>
        <v>#NAME?</v>
      </c>
      <c r="AK54" s="128" t="e" cm="1">
        <f t="array" aca="1" ref="AK54" ca="1">Notmerged(AK25)</f>
        <v>#NAME?</v>
      </c>
      <c r="AL54" s="128" t="e" cm="1">
        <f t="array" aca="1" ref="AL54" ca="1">Notmerged(AL25)</f>
        <v>#NAME?</v>
      </c>
      <c r="AM54" s="128" t="e" cm="1">
        <f t="array" aca="1" ref="AM54" ca="1">Notmerged(AM25)</f>
        <v>#NAME?</v>
      </c>
      <c r="AN54" s="128" t="e" cm="1">
        <f t="array" aca="1" ref="AN54" ca="1">Notmerged(AN25)</f>
        <v>#NAME?</v>
      </c>
      <c r="AO54" s="128" t="e" cm="1">
        <f t="array" aca="1" ref="AO54" ca="1">Notmerged(AO25)</f>
        <v>#NAME?</v>
      </c>
      <c r="AP54" s="128" t="e" cm="1">
        <f t="array" aca="1" ref="AP54" ca="1">Notmerged(AP25)</f>
        <v>#NAME?</v>
      </c>
      <c r="AQ54" s="128" t="e" cm="1">
        <f t="array" aca="1" ref="AQ54" ca="1">Notmerged(AQ25)</f>
        <v>#NAME?</v>
      </c>
      <c r="AR54" s="128" t="e" cm="1">
        <f t="array" aca="1" ref="AR54" ca="1">Notmerged(AR25)</f>
        <v>#NAME?</v>
      </c>
      <c r="AS54" s="128" t="e" cm="1">
        <f t="array" aca="1" ref="AS54" ca="1">Notmerged(AS25)</f>
        <v>#NAME?</v>
      </c>
      <c r="AT54" s="128" t="e" cm="1">
        <f t="array" aca="1" ref="AT54" ca="1">Notmerged(AT25)</f>
        <v>#NAME?</v>
      </c>
      <c r="AU54" s="128" t="e" cm="1">
        <f t="array" aca="1" ref="AU54" ca="1">Notmerged(AU25)</f>
        <v>#NAME?</v>
      </c>
      <c r="AV54" s="128" t="e" cm="1">
        <f t="array" aca="1" ref="AV54" ca="1">Notmerged(AV25)</f>
        <v>#NAME?</v>
      </c>
      <c r="AW54" s="128" t="e" cm="1">
        <f t="array" aca="1" ref="AW54" ca="1">Notmerged(AW25)</f>
        <v>#NAME?</v>
      </c>
      <c r="AX54" s="128" t="e" cm="1">
        <f t="array" aca="1" ref="AX54" ca="1">Notmerged(AX25)</f>
        <v>#NAME?</v>
      </c>
      <c r="AY54" s="128" t="e" cm="1">
        <f t="array" aca="1" ref="AY54" ca="1">Notmerged(AY25)</f>
        <v>#NAME?</v>
      </c>
      <c r="AZ54" s="128" t="e" cm="1">
        <f t="array" aca="1" ref="AZ54" ca="1">Notmerged(AZ25)</f>
        <v>#NAME?</v>
      </c>
      <c r="BA54" s="128" t="e" cm="1">
        <f t="array" aca="1" ref="BA54" ca="1">Notmerged(BA25)</f>
        <v>#NAME?</v>
      </c>
      <c r="BB54" s="128" t="e" cm="1">
        <f t="array" aca="1" ref="BB54" ca="1">Notmerged(BB25)</f>
        <v>#NAME?</v>
      </c>
      <c r="BC54" s="128" t="e" cm="1">
        <f t="array" aca="1" ref="BC54" ca="1">Notmerged(BC25)</f>
        <v>#NAME?</v>
      </c>
      <c r="BD54" s="128" t="e" cm="1">
        <f t="array" aca="1" ref="BD54" ca="1">Notmerged(BD25)</f>
        <v>#NAME?</v>
      </c>
      <c r="BE54" s="128" t="e" cm="1">
        <f t="array" aca="1" ref="BE54" ca="1">Notmerged(BE25)</f>
        <v>#NAME?</v>
      </c>
      <c r="BF54" s="128" t="e" cm="1">
        <f t="array" aca="1" ref="BF54" ca="1">Notmerged(BF25)</f>
        <v>#NAME?</v>
      </c>
      <c r="BG54" s="128" t="e" cm="1">
        <f t="array" aca="1" ref="BG54" ca="1">Notmerged(BG25)</f>
        <v>#NAME?</v>
      </c>
      <c r="BH54" s="128" t="e" cm="1">
        <f t="array" aca="1" ref="BH54" ca="1">Notmerged(BH25)</f>
        <v>#NAME?</v>
      </c>
      <c r="BI54" s="128" t="e" cm="1">
        <f t="array" aca="1" ref="BI54" ca="1">Notmerged(BI25)</f>
        <v>#NAME?</v>
      </c>
      <c r="BJ54" s="128" t="e" cm="1">
        <f t="array" aca="1" ref="BJ54" ca="1">Notmerged(BJ25)</f>
        <v>#NAME?</v>
      </c>
      <c r="BK54" s="128" t="e" cm="1">
        <f t="array" aca="1" ref="BK54" ca="1">Notmerged(BK25)</f>
        <v>#NAME?</v>
      </c>
    </row>
    <row r="55" spans="2:63" x14ac:dyDescent="0.3">
      <c r="B55" s="128" t="e" cm="1">
        <f t="array" aca="1" ref="B55" ca="1">Notmerged(B26)</f>
        <v>#NAME?</v>
      </c>
      <c r="C55" s="128" t="e" cm="1">
        <f t="array" aca="1" ref="C55" ca="1">Notmerged(C26)</f>
        <v>#NAME?</v>
      </c>
      <c r="D55" s="128" t="e" cm="1">
        <f t="array" aca="1" ref="D55" ca="1">Notmerged(D26)</f>
        <v>#NAME?</v>
      </c>
      <c r="E55" s="128" t="e" cm="1">
        <f t="array" aca="1" ref="E55" ca="1">Notmerged(E26)</f>
        <v>#NAME?</v>
      </c>
      <c r="F55" s="128" t="e" cm="1">
        <f t="array" aca="1" ref="F55" ca="1">Notmerged(F26)</f>
        <v>#NAME?</v>
      </c>
      <c r="G55" s="128" t="e" cm="1">
        <f t="array" aca="1" ref="G55" ca="1">Notmerged(G26)</f>
        <v>#NAME?</v>
      </c>
      <c r="H55" s="128" t="e" cm="1">
        <f t="array" aca="1" ref="H55" ca="1">Notmerged(H26)</f>
        <v>#NAME?</v>
      </c>
      <c r="I55" s="128" t="e" cm="1">
        <f t="array" aca="1" ref="I55" ca="1">Notmerged(I26)</f>
        <v>#NAME?</v>
      </c>
      <c r="J55" s="128" t="e" cm="1">
        <f t="array" aca="1" ref="J55" ca="1">Notmerged(J26)</f>
        <v>#NAME?</v>
      </c>
      <c r="K55" s="128" t="e" cm="1">
        <f t="array" aca="1" ref="K55" ca="1">Notmerged(K26)</f>
        <v>#NAME?</v>
      </c>
      <c r="L55" s="128" t="e" cm="1">
        <f t="array" aca="1" ref="L55" ca="1">Notmerged(L26)</f>
        <v>#NAME?</v>
      </c>
      <c r="M55" s="128" t="e" cm="1">
        <f t="array" aca="1" ref="M55" ca="1">Notmerged(M26)</f>
        <v>#NAME?</v>
      </c>
      <c r="N55" s="128" t="e" cm="1">
        <f t="array" aca="1" ref="N55" ca="1">Notmerged(N26)</f>
        <v>#NAME?</v>
      </c>
      <c r="O55" s="128" t="e" cm="1">
        <f t="array" aca="1" ref="O55" ca="1">Notmerged(O26)</f>
        <v>#NAME?</v>
      </c>
      <c r="P55" s="128" t="e" cm="1">
        <f t="array" aca="1" ref="P55" ca="1">Notmerged(P26)</f>
        <v>#NAME?</v>
      </c>
      <c r="Q55" s="128" t="e" cm="1">
        <f t="array" aca="1" ref="Q55" ca="1">Notmerged(Q26)</f>
        <v>#NAME?</v>
      </c>
      <c r="R55" s="128" t="e" cm="1">
        <f t="array" aca="1" ref="R55" ca="1">Notmerged(R26)</f>
        <v>#NAME?</v>
      </c>
      <c r="S55" s="128" t="e" cm="1">
        <f t="array" aca="1" ref="S55" ca="1">Notmerged(S26)</f>
        <v>#NAME?</v>
      </c>
      <c r="T55" s="128" t="e" cm="1">
        <f t="array" aca="1" ref="T55" ca="1">Notmerged(T26)</f>
        <v>#NAME?</v>
      </c>
      <c r="U55" s="128" t="e" cm="1">
        <f t="array" aca="1" ref="U55" ca="1">Notmerged(U26)</f>
        <v>#NAME?</v>
      </c>
      <c r="V55" s="128" t="e" cm="1">
        <f t="array" aca="1" ref="V55" ca="1">Notmerged(V26)</f>
        <v>#NAME?</v>
      </c>
      <c r="W55" s="128" t="e" cm="1">
        <f t="array" aca="1" ref="W55" ca="1">Notmerged(W26)</f>
        <v>#NAME?</v>
      </c>
      <c r="X55" s="128" t="e" cm="1">
        <f t="array" aca="1" ref="X55" ca="1">Notmerged(X26)</f>
        <v>#NAME?</v>
      </c>
      <c r="Y55" s="128" t="e" cm="1">
        <f t="array" aca="1" ref="Y55" ca="1">Notmerged(Y26)</f>
        <v>#NAME?</v>
      </c>
      <c r="Z55" s="128" t="e" cm="1">
        <f t="array" aca="1" ref="Z55" ca="1">Notmerged(Z26)</f>
        <v>#NAME?</v>
      </c>
      <c r="AA55" s="128" t="e" cm="1">
        <f t="array" aca="1" ref="AA55" ca="1">Notmerged(AA26)</f>
        <v>#NAME?</v>
      </c>
      <c r="AB55" s="128" t="e" cm="1">
        <f t="array" aca="1" ref="AB55" ca="1">Notmerged(AB26)</f>
        <v>#NAME?</v>
      </c>
      <c r="AC55" s="128" t="e" cm="1">
        <f t="array" aca="1" ref="AC55" ca="1">Notmerged(AC26)</f>
        <v>#NAME?</v>
      </c>
      <c r="AD55" s="128" t="e" cm="1">
        <f t="array" aca="1" ref="AD55" ca="1">Notmerged(AD26)</f>
        <v>#NAME?</v>
      </c>
      <c r="AE55" s="128" t="e" cm="1">
        <f t="array" aca="1" ref="AE55" ca="1">Notmerged(AE26)</f>
        <v>#NAME?</v>
      </c>
      <c r="AF55" s="128" t="e" cm="1">
        <f t="array" aca="1" ref="AF55" ca="1">Notmerged(AF26)</f>
        <v>#NAME?</v>
      </c>
      <c r="AG55" s="128" t="e" cm="1">
        <f t="array" aca="1" ref="AG55" ca="1">Notmerged(AG26)</f>
        <v>#NAME?</v>
      </c>
      <c r="AH55" s="128" t="e" cm="1">
        <f t="array" aca="1" ref="AH55" ca="1">Notmerged(AH26)</f>
        <v>#NAME?</v>
      </c>
      <c r="AI55" s="128" t="e" cm="1">
        <f t="array" aca="1" ref="AI55" ca="1">Notmerged(AI26)</f>
        <v>#NAME?</v>
      </c>
      <c r="AJ55" s="128" t="e" cm="1">
        <f t="array" aca="1" ref="AJ55" ca="1">Notmerged(AJ26)</f>
        <v>#NAME?</v>
      </c>
      <c r="AK55" s="128" t="e" cm="1">
        <f t="array" aca="1" ref="AK55" ca="1">Notmerged(AK26)</f>
        <v>#NAME?</v>
      </c>
      <c r="AL55" s="128" t="e" cm="1">
        <f t="array" aca="1" ref="AL55" ca="1">Notmerged(AL26)</f>
        <v>#NAME?</v>
      </c>
      <c r="AM55" s="128" t="e" cm="1">
        <f t="array" aca="1" ref="AM55" ca="1">Notmerged(AM26)</f>
        <v>#NAME?</v>
      </c>
      <c r="AN55" s="128" t="e" cm="1">
        <f t="array" aca="1" ref="AN55" ca="1">Notmerged(AN26)</f>
        <v>#NAME?</v>
      </c>
      <c r="AO55" s="128" t="e" cm="1">
        <f t="array" aca="1" ref="AO55" ca="1">Notmerged(AO26)</f>
        <v>#NAME?</v>
      </c>
      <c r="AP55" s="128" t="e" cm="1">
        <f t="array" aca="1" ref="AP55" ca="1">Notmerged(AP26)</f>
        <v>#NAME?</v>
      </c>
      <c r="AQ55" s="128" t="e" cm="1">
        <f t="array" aca="1" ref="AQ55" ca="1">Notmerged(AQ26)</f>
        <v>#NAME?</v>
      </c>
      <c r="AR55" s="128" t="e" cm="1">
        <f t="array" aca="1" ref="AR55" ca="1">Notmerged(AR26)</f>
        <v>#NAME?</v>
      </c>
      <c r="AS55" s="128" t="e" cm="1">
        <f t="array" aca="1" ref="AS55" ca="1">Notmerged(AS26)</f>
        <v>#NAME?</v>
      </c>
      <c r="AT55" s="128" t="e" cm="1">
        <f t="array" aca="1" ref="AT55" ca="1">Notmerged(AT26)</f>
        <v>#NAME?</v>
      </c>
      <c r="AU55" s="128" t="e" cm="1">
        <f t="array" aca="1" ref="AU55" ca="1">Notmerged(AU26)</f>
        <v>#NAME?</v>
      </c>
      <c r="AV55" s="128" t="e" cm="1">
        <f t="array" aca="1" ref="AV55" ca="1">Notmerged(AV26)</f>
        <v>#NAME?</v>
      </c>
      <c r="AW55" s="128" t="e" cm="1">
        <f t="array" aca="1" ref="AW55" ca="1">Notmerged(AW26)</f>
        <v>#NAME?</v>
      </c>
      <c r="AX55" s="128" t="e" cm="1">
        <f t="array" aca="1" ref="AX55" ca="1">Notmerged(AX26)</f>
        <v>#NAME?</v>
      </c>
      <c r="AY55" s="128" t="e" cm="1">
        <f t="array" aca="1" ref="AY55" ca="1">Notmerged(AY26)</f>
        <v>#NAME?</v>
      </c>
      <c r="AZ55" s="128" t="e" cm="1">
        <f t="array" aca="1" ref="AZ55" ca="1">Notmerged(AZ26)</f>
        <v>#NAME?</v>
      </c>
      <c r="BA55" s="128" t="e" cm="1">
        <f t="array" aca="1" ref="BA55" ca="1">Notmerged(BA26)</f>
        <v>#NAME?</v>
      </c>
      <c r="BB55" s="128" t="e" cm="1">
        <f t="array" aca="1" ref="BB55" ca="1">Notmerged(BB26)</f>
        <v>#NAME?</v>
      </c>
      <c r="BC55" s="128" t="e" cm="1">
        <f t="array" aca="1" ref="BC55" ca="1">Notmerged(BC26)</f>
        <v>#NAME?</v>
      </c>
      <c r="BD55" s="128" t="e" cm="1">
        <f t="array" aca="1" ref="BD55" ca="1">Notmerged(BD26)</f>
        <v>#NAME?</v>
      </c>
      <c r="BE55" s="128" t="e" cm="1">
        <f t="array" aca="1" ref="BE55" ca="1">Notmerged(BE26)</f>
        <v>#NAME?</v>
      </c>
      <c r="BF55" s="128" t="e" cm="1">
        <f t="array" aca="1" ref="BF55" ca="1">Notmerged(BF26)</f>
        <v>#NAME?</v>
      </c>
      <c r="BG55" s="128" t="e" cm="1">
        <f t="array" aca="1" ref="BG55" ca="1">Notmerged(BG26)</f>
        <v>#NAME?</v>
      </c>
      <c r="BH55" s="128" t="e" cm="1">
        <f t="array" aca="1" ref="BH55" ca="1">Notmerged(BH26)</f>
        <v>#NAME?</v>
      </c>
      <c r="BI55" s="128" t="e" cm="1">
        <f t="array" aca="1" ref="BI55" ca="1">Notmerged(BI26)</f>
        <v>#NAME?</v>
      </c>
      <c r="BJ55" s="128" t="e" cm="1">
        <f t="array" aca="1" ref="BJ55" ca="1">Notmerged(BJ26)</f>
        <v>#NAME?</v>
      </c>
      <c r="BK55" s="128" t="e" cm="1">
        <f t="array" aca="1" ref="BK55" ca="1">Notmerged(BK26)</f>
        <v>#NAME?</v>
      </c>
    </row>
    <row r="56" spans="2:63" x14ac:dyDescent="0.3">
      <c r="B56" s="128" t="e" cm="1">
        <f t="array" aca="1" ref="B56" ca="1">Notmerged(B25)</f>
        <v>#NAME?</v>
      </c>
      <c r="C56" s="128" t="e" cm="1">
        <f t="array" aca="1" ref="C56" ca="1">Notmerged(C27)</f>
        <v>#NAME?</v>
      </c>
      <c r="D56" s="128" t="e" cm="1">
        <f t="array" aca="1" ref="D56" ca="1">Notmerged(D27)</f>
        <v>#NAME?</v>
      </c>
      <c r="E56" s="128" t="e" cm="1">
        <f t="array" aca="1" ref="E56" ca="1">Notmerged(E27)</f>
        <v>#NAME?</v>
      </c>
      <c r="F56" s="128" t="e" cm="1">
        <f t="array" aca="1" ref="F56" ca="1">Notmerged(F27)</f>
        <v>#NAME?</v>
      </c>
      <c r="G56" s="128" t="e" cm="1">
        <f t="array" aca="1" ref="G56" ca="1">Notmerged(G27)</f>
        <v>#NAME?</v>
      </c>
      <c r="H56" s="128" t="e" cm="1">
        <f t="array" aca="1" ref="H56" ca="1">Notmerged(H27)</f>
        <v>#NAME?</v>
      </c>
      <c r="I56" s="128" t="e" cm="1">
        <f t="array" aca="1" ref="I56" ca="1">Notmerged(I27)</f>
        <v>#NAME?</v>
      </c>
      <c r="J56" s="128" t="e" cm="1">
        <f t="array" aca="1" ref="J56" ca="1">Notmerged(J27)</f>
        <v>#NAME?</v>
      </c>
      <c r="K56" s="128" t="e" cm="1">
        <f t="array" aca="1" ref="K56" ca="1">Notmerged(K27)</f>
        <v>#NAME?</v>
      </c>
      <c r="L56" s="128" t="e" cm="1">
        <f t="array" aca="1" ref="L56" ca="1">Notmerged(L27)</f>
        <v>#NAME?</v>
      </c>
      <c r="M56" s="128" t="e" cm="1">
        <f t="array" aca="1" ref="M56" ca="1">Notmerged(M27)</f>
        <v>#NAME?</v>
      </c>
      <c r="N56" s="128" t="e" cm="1">
        <f t="array" aca="1" ref="N56" ca="1">Notmerged(N27)</f>
        <v>#NAME?</v>
      </c>
      <c r="O56" s="128" t="e" cm="1">
        <f t="array" aca="1" ref="O56" ca="1">Notmerged(O27)</f>
        <v>#NAME?</v>
      </c>
      <c r="P56" s="128" t="e" cm="1">
        <f t="array" aca="1" ref="P56" ca="1">Notmerged(P27)</f>
        <v>#NAME?</v>
      </c>
      <c r="Q56" s="128" t="e" cm="1">
        <f t="array" aca="1" ref="Q56" ca="1">Notmerged(Q27)</f>
        <v>#NAME?</v>
      </c>
      <c r="R56" s="128" t="e" cm="1">
        <f t="array" aca="1" ref="R56" ca="1">Notmerged(R27)</f>
        <v>#NAME?</v>
      </c>
      <c r="S56" s="128" t="e" cm="1">
        <f t="array" aca="1" ref="S56" ca="1">Notmerged(S27)</f>
        <v>#NAME?</v>
      </c>
      <c r="T56" s="128" t="e" cm="1">
        <f t="array" aca="1" ref="T56" ca="1">Notmerged(T27)</f>
        <v>#NAME?</v>
      </c>
      <c r="U56" s="128" t="e" cm="1">
        <f t="array" aca="1" ref="U56" ca="1">Notmerged(U27)</f>
        <v>#NAME?</v>
      </c>
      <c r="V56" s="128" t="e" cm="1">
        <f t="array" aca="1" ref="V56" ca="1">Notmerged(V27)</f>
        <v>#NAME?</v>
      </c>
      <c r="W56" s="128" t="e" cm="1">
        <f t="array" aca="1" ref="W56" ca="1">Notmerged(W27)</f>
        <v>#NAME?</v>
      </c>
      <c r="X56" s="128" t="e" cm="1">
        <f t="array" aca="1" ref="X56" ca="1">Notmerged(X27)</f>
        <v>#NAME?</v>
      </c>
      <c r="Y56" s="128" t="e" cm="1">
        <f t="array" aca="1" ref="Y56" ca="1">Notmerged(Y27)</f>
        <v>#NAME?</v>
      </c>
      <c r="Z56" s="128" t="e" cm="1">
        <f t="array" aca="1" ref="Z56" ca="1">Notmerged(Z27)</f>
        <v>#NAME?</v>
      </c>
      <c r="AA56" s="128" t="e" cm="1">
        <f t="array" aca="1" ref="AA56" ca="1">Notmerged(AA27)</f>
        <v>#NAME?</v>
      </c>
      <c r="AB56" s="128" t="e" cm="1">
        <f t="array" aca="1" ref="AB56" ca="1">Notmerged(AB27)</f>
        <v>#NAME?</v>
      </c>
      <c r="AC56" s="128" t="e" cm="1">
        <f t="array" aca="1" ref="AC56" ca="1">Notmerged(AC27)</f>
        <v>#NAME?</v>
      </c>
      <c r="AD56" s="128" t="e" cm="1">
        <f t="array" aca="1" ref="AD56" ca="1">Notmerged(AD27)</f>
        <v>#NAME?</v>
      </c>
      <c r="AE56" s="128" t="e" cm="1">
        <f t="array" aca="1" ref="AE56" ca="1">Notmerged(AE27)</f>
        <v>#NAME?</v>
      </c>
      <c r="AF56" s="128" t="e" cm="1">
        <f t="array" aca="1" ref="AF56" ca="1">Notmerged(AF27)</f>
        <v>#NAME?</v>
      </c>
      <c r="AG56" s="128" t="e" cm="1">
        <f t="array" aca="1" ref="AG56" ca="1">Notmerged(AG27)</f>
        <v>#NAME?</v>
      </c>
      <c r="AH56" s="128" t="e" cm="1">
        <f t="array" aca="1" ref="AH56" ca="1">Notmerged(AH27)</f>
        <v>#NAME?</v>
      </c>
      <c r="AI56" s="128" t="e" cm="1">
        <f t="array" aca="1" ref="AI56" ca="1">Notmerged(AI27)</f>
        <v>#NAME?</v>
      </c>
      <c r="AJ56" s="128" t="e" cm="1">
        <f t="array" aca="1" ref="AJ56" ca="1">Notmerged(AJ27)</f>
        <v>#NAME?</v>
      </c>
      <c r="AK56" s="128" t="e" cm="1">
        <f t="array" aca="1" ref="AK56" ca="1">Notmerged(AK27)</f>
        <v>#NAME?</v>
      </c>
      <c r="AL56" s="128" t="e" cm="1">
        <f t="array" aca="1" ref="AL56" ca="1">Notmerged(AL27)</f>
        <v>#NAME?</v>
      </c>
      <c r="AM56" s="128" t="e" cm="1">
        <f t="array" aca="1" ref="AM56" ca="1">Notmerged(AM27)</f>
        <v>#NAME?</v>
      </c>
      <c r="AN56" s="128" t="e" cm="1">
        <f t="array" aca="1" ref="AN56" ca="1">Notmerged(AN27)</f>
        <v>#NAME?</v>
      </c>
      <c r="AO56" s="128" t="e" cm="1">
        <f t="array" aca="1" ref="AO56" ca="1">Notmerged(AO27)</f>
        <v>#NAME?</v>
      </c>
      <c r="AP56" s="128" t="e" cm="1">
        <f t="array" aca="1" ref="AP56" ca="1">Notmerged(AP27)</f>
        <v>#NAME?</v>
      </c>
      <c r="AQ56" s="128" t="e" cm="1">
        <f t="array" aca="1" ref="AQ56" ca="1">Notmerged(AQ27)</f>
        <v>#NAME?</v>
      </c>
      <c r="AR56" s="128" t="e" cm="1">
        <f t="array" aca="1" ref="AR56" ca="1">Notmerged(AR27)</f>
        <v>#NAME?</v>
      </c>
      <c r="AS56" s="128" t="e" cm="1">
        <f t="array" aca="1" ref="AS56" ca="1">Notmerged(AS27)</f>
        <v>#NAME?</v>
      </c>
      <c r="AT56" s="128" t="e" cm="1">
        <f t="array" aca="1" ref="AT56" ca="1">Notmerged(AT27)</f>
        <v>#NAME?</v>
      </c>
      <c r="AU56" s="128" t="e" cm="1">
        <f t="array" aca="1" ref="AU56" ca="1">Notmerged(AU27)</f>
        <v>#NAME?</v>
      </c>
      <c r="AV56" s="128" t="e" cm="1">
        <f t="array" aca="1" ref="AV56" ca="1">Notmerged(AV27)</f>
        <v>#NAME?</v>
      </c>
      <c r="AW56" s="128" t="e" cm="1">
        <f t="array" aca="1" ref="AW56" ca="1">Notmerged(AW27)</f>
        <v>#NAME?</v>
      </c>
      <c r="AX56" s="128" t="e" cm="1">
        <f t="array" aca="1" ref="AX56" ca="1">Notmerged(AX27)</f>
        <v>#NAME?</v>
      </c>
      <c r="AY56" s="128" t="e" cm="1">
        <f t="array" aca="1" ref="AY56" ca="1">Notmerged(AY27)</f>
        <v>#NAME?</v>
      </c>
      <c r="AZ56" s="128" t="e" cm="1">
        <f t="array" aca="1" ref="AZ56" ca="1">Notmerged(AZ27)</f>
        <v>#NAME?</v>
      </c>
      <c r="BA56" s="128" t="e" cm="1">
        <f t="array" aca="1" ref="BA56" ca="1">Notmerged(BA27)</f>
        <v>#NAME?</v>
      </c>
      <c r="BB56" s="128" t="e" cm="1">
        <f t="array" aca="1" ref="BB56" ca="1">Notmerged(BB27)</f>
        <v>#NAME?</v>
      </c>
      <c r="BC56" s="128" t="e" cm="1">
        <f t="array" aca="1" ref="BC56" ca="1">Notmerged(BC27)</f>
        <v>#NAME?</v>
      </c>
      <c r="BD56" s="128" t="e" cm="1">
        <f t="array" aca="1" ref="BD56" ca="1">Notmerged(BD27)</f>
        <v>#NAME?</v>
      </c>
      <c r="BE56" s="128" t="e" cm="1">
        <f t="array" aca="1" ref="BE56" ca="1">Notmerged(BE27)</f>
        <v>#NAME?</v>
      </c>
      <c r="BF56" s="128" t="e" cm="1">
        <f t="array" aca="1" ref="BF56" ca="1">Notmerged(BF27)</f>
        <v>#NAME?</v>
      </c>
      <c r="BG56" s="128" t="e" cm="1">
        <f t="array" aca="1" ref="BG56" ca="1">Notmerged(BG27)</f>
        <v>#NAME?</v>
      </c>
      <c r="BH56" s="128" t="e" cm="1">
        <f t="array" aca="1" ref="BH56" ca="1">Notmerged(BH27)</f>
        <v>#NAME?</v>
      </c>
      <c r="BI56" s="128" t="e" cm="1">
        <f t="array" aca="1" ref="BI56" ca="1">Notmerged(BI27)</f>
        <v>#NAME?</v>
      </c>
      <c r="BJ56" s="128" t="e" cm="1">
        <f t="array" aca="1" ref="BJ56" ca="1">Notmerged(BJ27)</f>
        <v>#NAME?</v>
      </c>
      <c r="BK56" s="128" t="e" cm="1">
        <f t="array" aca="1" ref="BK56" ca="1">Notmerged(BK27)</f>
        <v>#NAME?</v>
      </c>
    </row>
    <row r="57" spans="2:63" x14ac:dyDescent="0.3">
      <c r="B57" s="128" t="e" cm="1">
        <f t="array" aca="1" ref="B57" ca="1">Notmerged(B28)</f>
        <v>#NAME?</v>
      </c>
      <c r="C57" s="128" t="e" cm="1">
        <f t="array" aca="1" ref="C57" ca="1">Notmerged(C28)</f>
        <v>#NAME?</v>
      </c>
      <c r="D57" s="128" t="e" cm="1">
        <f t="array" aca="1" ref="D57" ca="1">Notmerged(D28)</f>
        <v>#NAME?</v>
      </c>
      <c r="E57" s="128" t="e" cm="1">
        <f t="array" aca="1" ref="E57" ca="1">Notmerged(E28)</f>
        <v>#NAME?</v>
      </c>
      <c r="F57" s="128" t="e" cm="1">
        <f t="array" aca="1" ref="F57" ca="1">Notmerged(F28)</f>
        <v>#NAME?</v>
      </c>
      <c r="G57" s="128" t="e" cm="1">
        <f t="array" aca="1" ref="G57" ca="1">Notmerged(G28)</f>
        <v>#NAME?</v>
      </c>
      <c r="H57" s="128" t="e" cm="1">
        <f t="array" aca="1" ref="H57" ca="1">Notmerged(H28)</f>
        <v>#NAME?</v>
      </c>
      <c r="I57" s="128" t="e" cm="1">
        <f t="array" aca="1" ref="I57" ca="1">Notmerged(I28)</f>
        <v>#NAME?</v>
      </c>
      <c r="J57" s="128" t="e" cm="1">
        <f t="array" aca="1" ref="J57" ca="1">Notmerged(J28)</f>
        <v>#NAME?</v>
      </c>
      <c r="K57" s="128" t="e" cm="1">
        <f t="array" aca="1" ref="K57" ca="1">Notmerged(K28)</f>
        <v>#NAME?</v>
      </c>
      <c r="L57" s="128" t="e" cm="1">
        <f t="array" aca="1" ref="L57" ca="1">Notmerged(L28)</f>
        <v>#NAME?</v>
      </c>
      <c r="M57" s="128" t="e" cm="1">
        <f t="array" aca="1" ref="M57" ca="1">Notmerged(M28)</f>
        <v>#NAME?</v>
      </c>
      <c r="N57" s="128" t="e" cm="1">
        <f t="array" aca="1" ref="N57" ca="1">Notmerged(N28)</f>
        <v>#NAME?</v>
      </c>
      <c r="O57" s="128" t="e" cm="1">
        <f t="array" aca="1" ref="O57" ca="1">Notmerged(O28)</f>
        <v>#NAME?</v>
      </c>
      <c r="P57" s="128" t="e" cm="1">
        <f t="array" aca="1" ref="P57" ca="1">Notmerged(P28)</f>
        <v>#NAME?</v>
      </c>
      <c r="Q57" s="128" t="e" cm="1">
        <f t="array" aca="1" ref="Q57" ca="1">Notmerged(Q28)</f>
        <v>#NAME?</v>
      </c>
      <c r="R57" s="128" t="e" cm="1">
        <f t="array" aca="1" ref="R57" ca="1">Notmerged(R28)</f>
        <v>#NAME?</v>
      </c>
      <c r="S57" s="128" t="e" cm="1">
        <f t="array" aca="1" ref="S57" ca="1">Notmerged(S28)</f>
        <v>#NAME?</v>
      </c>
      <c r="T57" s="128" t="e" cm="1">
        <f t="array" aca="1" ref="T57" ca="1">Notmerged(T28)</f>
        <v>#NAME?</v>
      </c>
      <c r="U57" s="128" t="e" cm="1">
        <f t="array" aca="1" ref="U57" ca="1">Notmerged(U28)</f>
        <v>#NAME?</v>
      </c>
      <c r="V57" s="128" t="e" cm="1">
        <f t="array" aca="1" ref="V57" ca="1">Notmerged(V28)</f>
        <v>#NAME?</v>
      </c>
      <c r="W57" s="128" t="e" cm="1">
        <f t="array" aca="1" ref="W57" ca="1">Notmerged(W28)</f>
        <v>#NAME?</v>
      </c>
      <c r="X57" s="128" t="e" cm="1">
        <f t="array" aca="1" ref="X57" ca="1">Notmerged(X28)</f>
        <v>#NAME?</v>
      </c>
      <c r="Y57" s="128" t="e" cm="1">
        <f t="array" aca="1" ref="Y57" ca="1">Notmerged(Y28)</f>
        <v>#NAME?</v>
      </c>
      <c r="Z57" s="128" t="e" cm="1">
        <f t="array" aca="1" ref="Z57" ca="1">Notmerged(Z28)</f>
        <v>#NAME?</v>
      </c>
      <c r="AA57" s="128" t="e" cm="1">
        <f t="array" aca="1" ref="AA57" ca="1">Notmerged(AA28)</f>
        <v>#NAME?</v>
      </c>
      <c r="AB57" s="128" t="e" cm="1">
        <f t="array" aca="1" ref="AB57" ca="1">Notmerged(AB28)</f>
        <v>#NAME?</v>
      </c>
      <c r="AC57" s="128" t="e" cm="1">
        <f t="array" aca="1" ref="AC57" ca="1">Notmerged(AC28)</f>
        <v>#NAME?</v>
      </c>
      <c r="AD57" s="128" t="e" cm="1">
        <f t="array" aca="1" ref="AD57" ca="1">Notmerged(AD28)</f>
        <v>#NAME?</v>
      </c>
      <c r="AE57" s="128" t="e" cm="1">
        <f t="array" aca="1" ref="AE57" ca="1">Notmerged(AE28)</f>
        <v>#NAME?</v>
      </c>
      <c r="AF57" s="128" t="e" cm="1">
        <f t="array" aca="1" ref="AF57" ca="1">Notmerged(AF28)</f>
        <v>#NAME?</v>
      </c>
      <c r="AG57" s="128" t="e" cm="1">
        <f t="array" aca="1" ref="AG57" ca="1">Notmerged(AG28)</f>
        <v>#NAME?</v>
      </c>
      <c r="AH57" s="128" t="e" cm="1">
        <f t="array" aca="1" ref="AH57" ca="1">Notmerged(AH28)</f>
        <v>#NAME?</v>
      </c>
      <c r="AI57" s="128" t="e" cm="1">
        <f t="array" aca="1" ref="AI57" ca="1">Notmerged(AI28)</f>
        <v>#NAME?</v>
      </c>
      <c r="AJ57" s="128" t="e" cm="1">
        <f t="array" aca="1" ref="AJ57" ca="1">Notmerged(AJ28)</f>
        <v>#NAME?</v>
      </c>
      <c r="AK57" s="128" t="e" cm="1">
        <f t="array" aca="1" ref="AK57" ca="1">Notmerged(AK28)</f>
        <v>#NAME?</v>
      </c>
      <c r="AL57" s="128" t="e" cm="1">
        <f t="array" aca="1" ref="AL57" ca="1">Notmerged(AL28)</f>
        <v>#NAME?</v>
      </c>
      <c r="AM57" s="128" t="e" cm="1">
        <f t="array" aca="1" ref="AM57" ca="1">Notmerged(AM28)</f>
        <v>#NAME?</v>
      </c>
      <c r="AN57" s="128" t="e" cm="1">
        <f t="array" aca="1" ref="AN57" ca="1">Notmerged(AN28)</f>
        <v>#NAME?</v>
      </c>
      <c r="AO57" s="128" t="e" cm="1">
        <f t="array" aca="1" ref="AO57" ca="1">Notmerged(AO28)</f>
        <v>#NAME?</v>
      </c>
      <c r="AP57" s="128" t="e" cm="1">
        <f t="array" aca="1" ref="AP57" ca="1">Notmerged(AP28)</f>
        <v>#NAME?</v>
      </c>
      <c r="AQ57" s="128" t="e" cm="1">
        <f t="array" aca="1" ref="AQ57" ca="1">Notmerged(AQ28)</f>
        <v>#NAME?</v>
      </c>
      <c r="AR57" s="128" t="e" cm="1">
        <f t="array" aca="1" ref="AR57" ca="1">Notmerged(AR28)</f>
        <v>#NAME?</v>
      </c>
      <c r="AS57" s="128" t="e" cm="1">
        <f t="array" aca="1" ref="AS57" ca="1">Notmerged(AS28)</f>
        <v>#NAME?</v>
      </c>
      <c r="AT57" s="128" t="e" cm="1">
        <f t="array" aca="1" ref="AT57" ca="1">Notmerged(AT28)</f>
        <v>#NAME?</v>
      </c>
      <c r="AU57" s="128" t="e" cm="1">
        <f t="array" aca="1" ref="AU57" ca="1">Notmerged(AU28)</f>
        <v>#NAME?</v>
      </c>
      <c r="AV57" s="128" t="e" cm="1">
        <f t="array" aca="1" ref="AV57" ca="1">Notmerged(AV28)</f>
        <v>#NAME?</v>
      </c>
      <c r="AW57" s="128" t="e" cm="1">
        <f t="array" aca="1" ref="AW57" ca="1">Notmerged(AW28)</f>
        <v>#NAME?</v>
      </c>
      <c r="AX57" s="128" t="e" cm="1">
        <f t="array" aca="1" ref="AX57" ca="1">Notmerged(AX28)</f>
        <v>#NAME?</v>
      </c>
      <c r="AY57" s="128" t="e" cm="1">
        <f t="array" aca="1" ref="AY57" ca="1">Notmerged(AY28)</f>
        <v>#NAME?</v>
      </c>
      <c r="AZ57" s="128" t="e" cm="1">
        <f t="array" aca="1" ref="AZ57" ca="1">Notmerged(AZ28)</f>
        <v>#NAME?</v>
      </c>
      <c r="BA57" s="128" t="e" cm="1">
        <f t="array" aca="1" ref="BA57" ca="1">Notmerged(BA28)</f>
        <v>#NAME?</v>
      </c>
      <c r="BB57" s="128" t="e" cm="1">
        <f t="array" aca="1" ref="BB57" ca="1">Notmerged(BB28)</f>
        <v>#NAME?</v>
      </c>
      <c r="BC57" s="128" t="e" cm="1">
        <f t="array" aca="1" ref="BC57" ca="1">Notmerged(BC28)</f>
        <v>#NAME?</v>
      </c>
      <c r="BD57" s="128" t="e" cm="1">
        <f t="array" aca="1" ref="BD57" ca="1">Notmerged(BD28)</f>
        <v>#NAME?</v>
      </c>
      <c r="BE57" s="128" t="e" cm="1">
        <f t="array" aca="1" ref="BE57" ca="1">Notmerged(BE28)</f>
        <v>#NAME?</v>
      </c>
      <c r="BF57" s="128" t="e" cm="1">
        <f t="array" aca="1" ref="BF57" ca="1">Notmerged(BF28)</f>
        <v>#NAME?</v>
      </c>
      <c r="BG57" s="128" t="e" cm="1">
        <f t="array" aca="1" ref="BG57" ca="1">Notmerged(BG28)</f>
        <v>#NAME?</v>
      </c>
      <c r="BH57" s="128" t="e" cm="1">
        <f t="array" aca="1" ref="BH57" ca="1">Notmerged(BH28)</f>
        <v>#NAME?</v>
      </c>
      <c r="BI57" s="128" t="e" cm="1">
        <f t="array" aca="1" ref="BI57" ca="1">Notmerged(BI28)</f>
        <v>#NAME?</v>
      </c>
      <c r="BJ57" s="128" t="e" cm="1">
        <f t="array" aca="1" ref="BJ57" ca="1">Notmerged(BJ28)</f>
        <v>#NAME?</v>
      </c>
      <c r="BK57" s="128" t="e" cm="1">
        <f t="array" aca="1" ref="BK57" ca="1">Notmerged(BK28)</f>
        <v>#NAME?</v>
      </c>
    </row>
    <row r="58" spans="2:63" x14ac:dyDescent="0.3">
      <c r="B58" s="128" t="e" cm="1">
        <f t="array" aca="1" ref="B58" ca="1">Notmerged(B29)</f>
        <v>#NAME?</v>
      </c>
      <c r="C58" s="128" t="e" cm="1">
        <f t="array" aca="1" ref="C58" ca="1">Notmerged(C29)</f>
        <v>#NAME?</v>
      </c>
      <c r="D58" s="128" t="e" cm="1">
        <f t="array" aca="1" ref="D58" ca="1">Notmerged(D29)</f>
        <v>#NAME?</v>
      </c>
      <c r="E58" s="128" t="e" cm="1">
        <f t="array" aca="1" ref="E58" ca="1">Notmerged(E29)</f>
        <v>#NAME?</v>
      </c>
      <c r="F58" s="128" t="e" cm="1">
        <f t="array" aca="1" ref="F58" ca="1">Notmerged(F29)</f>
        <v>#NAME?</v>
      </c>
      <c r="G58" s="128" t="e" cm="1">
        <f t="array" aca="1" ref="G58" ca="1">Notmerged(G29)</f>
        <v>#NAME?</v>
      </c>
      <c r="H58" s="128" t="e" cm="1">
        <f t="array" aca="1" ref="H58" ca="1">Notmerged(H29)</f>
        <v>#NAME?</v>
      </c>
      <c r="I58" s="128" t="e" cm="1">
        <f t="array" aca="1" ref="I58" ca="1">Notmerged(I29)</f>
        <v>#NAME?</v>
      </c>
      <c r="J58" s="128" t="e" cm="1">
        <f t="array" aca="1" ref="J58" ca="1">Notmerged(J29)</f>
        <v>#NAME?</v>
      </c>
      <c r="K58" s="128" t="e" cm="1">
        <f t="array" aca="1" ref="K58" ca="1">Notmerged(K29)</f>
        <v>#NAME?</v>
      </c>
      <c r="L58" s="128" t="e" cm="1">
        <f t="array" aca="1" ref="L58" ca="1">Notmerged(L29)</f>
        <v>#NAME?</v>
      </c>
      <c r="M58" s="128" t="e" cm="1">
        <f t="array" aca="1" ref="M58" ca="1">Notmerged(M29)</f>
        <v>#NAME?</v>
      </c>
      <c r="N58" s="128" t="e" cm="1">
        <f t="array" aca="1" ref="N58" ca="1">Notmerged(N29)</f>
        <v>#NAME?</v>
      </c>
      <c r="O58" s="128" t="e" cm="1">
        <f t="array" aca="1" ref="O58" ca="1">Notmerged(O29)</f>
        <v>#NAME?</v>
      </c>
      <c r="P58" s="128" t="e" cm="1">
        <f t="array" aca="1" ref="P58" ca="1">Notmerged(P29)</f>
        <v>#NAME?</v>
      </c>
      <c r="Q58" s="128" t="e" cm="1">
        <f t="array" aca="1" ref="Q58" ca="1">Notmerged(Q29)</f>
        <v>#NAME?</v>
      </c>
      <c r="R58" s="128" t="e" cm="1">
        <f t="array" aca="1" ref="R58" ca="1">Notmerged(R29)</f>
        <v>#NAME?</v>
      </c>
      <c r="S58" s="128" t="e" cm="1">
        <f t="array" aca="1" ref="S58" ca="1">Notmerged(S29)</f>
        <v>#NAME?</v>
      </c>
      <c r="T58" s="128" t="e" cm="1">
        <f t="array" aca="1" ref="T58" ca="1">Notmerged(T29)</f>
        <v>#NAME?</v>
      </c>
      <c r="U58" s="128" t="e" cm="1">
        <f t="array" aca="1" ref="U58" ca="1">Notmerged(U29)</f>
        <v>#NAME?</v>
      </c>
      <c r="V58" s="128" t="e" cm="1">
        <f t="array" aca="1" ref="V58" ca="1">Notmerged(V29)</f>
        <v>#NAME?</v>
      </c>
      <c r="W58" s="128" t="e" cm="1">
        <f t="array" aca="1" ref="W58" ca="1">Notmerged(W29)</f>
        <v>#NAME?</v>
      </c>
      <c r="X58" s="128" t="e" cm="1">
        <f t="array" aca="1" ref="X58" ca="1">Notmerged(X29)</f>
        <v>#NAME?</v>
      </c>
      <c r="Y58" s="128" t="e" cm="1">
        <f t="array" aca="1" ref="Y58" ca="1">Notmerged(Y29)</f>
        <v>#NAME?</v>
      </c>
      <c r="Z58" s="128" t="e" cm="1">
        <f t="array" aca="1" ref="Z58" ca="1">Notmerged(Z29)</f>
        <v>#NAME?</v>
      </c>
      <c r="AA58" s="128" t="e" cm="1">
        <f t="array" aca="1" ref="AA58" ca="1">Notmerged(AA29)</f>
        <v>#NAME?</v>
      </c>
      <c r="AB58" s="128" t="e" cm="1">
        <f t="array" aca="1" ref="AB58" ca="1">Notmerged(AB29)</f>
        <v>#NAME?</v>
      </c>
      <c r="AC58" s="128" t="e" cm="1">
        <f t="array" aca="1" ref="AC58" ca="1">Notmerged(AC29)</f>
        <v>#NAME?</v>
      </c>
      <c r="AD58" s="128" t="e" cm="1">
        <f t="array" aca="1" ref="AD58" ca="1">Notmerged(AD29)</f>
        <v>#NAME?</v>
      </c>
      <c r="AE58" s="128" t="e" cm="1">
        <f t="array" aca="1" ref="AE58" ca="1">Notmerged(AE29)</f>
        <v>#NAME?</v>
      </c>
      <c r="AF58" s="128" t="e" cm="1">
        <f t="array" aca="1" ref="AF58" ca="1">Notmerged(AF29)</f>
        <v>#NAME?</v>
      </c>
      <c r="AG58" s="128" t="e" cm="1">
        <f t="array" aca="1" ref="AG58" ca="1">Notmerged(AG29)</f>
        <v>#NAME?</v>
      </c>
      <c r="AH58" s="128" t="e" cm="1">
        <f t="array" aca="1" ref="AH58" ca="1">Notmerged(AH29)</f>
        <v>#NAME?</v>
      </c>
      <c r="AI58" s="128" t="e" cm="1">
        <f t="array" aca="1" ref="AI58" ca="1">Notmerged(AI29)</f>
        <v>#NAME?</v>
      </c>
      <c r="AJ58" s="128" t="e" cm="1">
        <f t="array" aca="1" ref="AJ58" ca="1">Notmerged(AJ29)</f>
        <v>#NAME?</v>
      </c>
      <c r="AK58" s="128" t="e" cm="1">
        <f t="array" aca="1" ref="AK58" ca="1">Notmerged(AK29)</f>
        <v>#NAME?</v>
      </c>
      <c r="AL58" s="128" t="e" cm="1">
        <f t="array" aca="1" ref="AL58" ca="1">Notmerged(AL29)</f>
        <v>#NAME?</v>
      </c>
      <c r="AM58" s="128" t="e" cm="1">
        <f t="array" aca="1" ref="AM58" ca="1">Notmerged(AM29)</f>
        <v>#NAME?</v>
      </c>
      <c r="AN58" s="128" t="e" cm="1">
        <f t="array" aca="1" ref="AN58" ca="1">Notmerged(AN29)</f>
        <v>#NAME?</v>
      </c>
      <c r="AO58" s="128" t="e" cm="1">
        <f t="array" aca="1" ref="AO58" ca="1">Notmerged(AO29)</f>
        <v>#NAME?</v>
      </c>
      <c r="AP58" s="128" t="e" cm="1">
        <f t="array" aca="1" ref="AP58" ca="1">Notmerged(AP29)</f>
        <v>#NAME?</v>
      </c>
      <c r="AQ58" s="128" t="e" cm="1">
        <f t="array" aca="1" ref="AQ58" ca="1">Notmerged(AQ29)</f>
        <v>#NAME?</v>
      </c>
      <c r="AR58" s="128" t="e" cm="1">
        <f t="array" aca="1" ref="AR58" ca="1">Notmerged(AR29)</f>
        <v>#NAME?</v>
      </c>
      <c r="AS58" s="128" t="e" cm="1">
        <f t="array" aca="1" ref="AS58" ca="1">Notmerged(AS29)</f>
        <v>#NAME?</v>
      </c>
      <c r="AT58" s="128" t="e" cm="1">
        <f t="array" aca="1" ref="AT58" ca="1">Notmerged(AT29)</f>
        <v>#NAME?</v>
      </c>
      <c r="AU58" s="128" t="e" cm="1">
        <f t="array" aca="1" ref="AU58" ca="1">Notmerged(AU29)</f>
        <v>#NAME?</v>
      </c>
      <c r="AV58" s="128" t="e" cm="1">
        <f t="array" aca="1" ref="AV58" ca="1">Notmerged(AV29)</f>
        <v>#NAME?</v>
      </c>
      <c r="AW58" s="128" t="e" cm="1">
        <f t="array" aca="1" ref="AW58" ca="1">Notmerged(AW29)</f>
        <v>#NAME?</v>
      </c>
      <c r="AX58" s="128" t="e" cm="1">
        <f t="array" aca="1" ref="AX58" ca="1">Notmerged(AX29)</f>
        <v>#NAME?</v>
      </c>
      <c r="AY58" s="128" t="e" cm="1">
        <f t="array" aca="1" ref="AY58" ca="1">Notmerged(AY29)</f>
        <v>#NAME?</v>
      </c>
      <c r="AZ58" s="128" t="e" cm="1">
        <f t="array" aca="1" ref="AZ58" ca="1">Notmerged(AZ29)</f>
        <v>#NAME?</v>
      </c>
      <c r="BA58" s="128" t="e" cm="1">
        <f t="array" aca="1" ref="BA58" ca="1">Notmerged(BA29)</f>
        <v>#NAME?</v>
      </c>
      <c r="BB58" s="128" t="e" cm="1">
        <f t="array" aca="1" ref="BB58" ca="1">Notmerged(BB29)</f>
        <v>#NAME?</v>
      </c>
      <c r="BC58" s="128" t="e" cm="1">
        <f t="array" aca="1" ref="BC58" ca="1">Notmerged(BC29)</f>
        <v>#NAME?</v>
      </c>
      <c r="BD58" s="128" t="e" cm="1">
        <f t="array" aca="1" ref="BD58" ca="1">Notmerged(BD29)</f>
        <v>#NAME?</v>
      </c>
      <c r="BE58" s="128" t="e" cm="1">
        <f t="array" aca="1" ref="BE58" ca="1">Notmerged(BE29)</f>
        <v>#NAME?</v>
      </c>
      <c r="BF58" s="128" t="e" cm="1">
        <f t="array" aca="1" ref="BF58" ca="1">Notmerged(BF29)</f>
        <v>#NAME?</v>
      </c>
      <c r="BG58" s="128" t="e" cm="1">
        <f t="array" aca="1" ref="BG58" ca="1">Notmerged(BG29)</f>
        <v>#NAME?</v>
      </c>
      <c r="BH58" s="128" t="e" cm="1">
        <f t="array" aca="1" ref="BH58" ca="1">Notmerged(BH29)</f>
        <v>#NAME?</v>
      </c>
      <c r="BI58" s="128" t="e" cm="1">
        <f t="array" aca="1" ref="BI58" ca="1">Notmerged(BI29)</f>
        <v>#NAME?</v>
      </c>
      <c r="BJ58" s="128" t="e" cm="1">
        <f t="array" aca="1" ref="BJ58" ca="1">Notmerged(BJ29)</f>
        <v>#NAME?</v>
      </c>
      <c r="BK58" s="128" t="e" cm="1">
        <f t="array" aca="1" ref="BK58" ca="1">Notmerged(BK29)</f>
        <v>#NAME?</v>
      </c>
    </row>
    <row r="59" spans="2:63" x14ac:dyDescent="0.3">
      <c r="B59" s="128" t="e" cm="1">
        <f t="array" aca="1" ref="B59" ca="1">Notmerged(B30)</f>
        <v>#NAME?</v>
      </c>
      <c r="C59" s="128" t="e" cm="1">
        <f t="array" aca="1" ref="C59" ca="1">Notmerged(C30)</f>
        <v>#NAME?</v>
      </c>
      <c r="D59" s="128" t="e" cm="1">
        <f t="array" aca="1" ref="D59" ca="1">Notmerged(D30)</f>
        <v>#NAME?</v>
      </c>
      <c r="E59" s="128" t="e" cm="1">
        <f t="array" aca="1" ref="E59" ca="1">Notmerged(E30)</f>
        <v>#NAME?</v>
      </c>
      <c r="F59" s="128" t="e" cm="1">
        <f t="array" aca="1" ref="F59" ca="1">Notmerged(F30)</f>
        <v>#NAME?</v>
      </c>
      <c r="G59" s="128" t="e" cm="1">
        <f t="array" aca="1" ref="G59" ca="1">Notmerged(G30)</f>
        <v>#NAME?</v>
      </c>
      <c r="H59" s="128" t="e" cm="1">
        <f t="array" aca="1" ref="H59" ca="1">Notmerged(H30)</f>
        <v>#NAME?</v>
      </c>
      <c r="I59" s="128" t="e" cm="1">
        <f t="array" aca="1" ref="I59" ca="1">Notmerged(I30)</f>
        <v>#NAME?</v>
      </c>
      <c r="J59" s="128" t="e" cm="1">
        <f t="array" aca="1" ref="J59" ca="1">Notmerged(J30)</f>
        <v>#NAME?</v>
      </c>
      <c r="K59" s="128" t="e" cm="1">
        <f t="array" aca="1" ref="K59" ca="1">Notmerged(K30)</f>
        <v>#NAME?</v>
      </c>
      <c r="L59" s="128" t="e" cm="1">
        <f t="array" aca="1" ref="L59" ca="1">Notmerged(L30)</f>
        <v>#NAME?</v>
      </c>
      <c r="M59" s="128" t="e" cm="1">
        <f t="array" aca="1" ref="M59" ca="1">Notmerged(M30)</f>
        <v>#NAME?</v>
      </c>
      <c r="N59" s="128" t="e" cm="1">
        <f t="array" aca="1" ref="N59" ca="1">Notmerged(N30)</f>
        <v>#NAME?</v>
      </c>
      <c r="O59" s="128" t="e" cm="1">
        <f t="array" aca="1" ref="O59" ca="1">Notmerged(O30)</f>
        <v>#NAME?</v>
      </c>
      <c r="P59" s="128" t="e" cm="1">
        <f t="array" aca="1" ref="P59" ca="1">Notmerged(P30)</f>
        <v>#NAME?</v>
      </c>
      <c r="Q59" s="128" t="e" cm="1">
        <f t="array" aca="1" ref="Q59" ca="1">Notmerged(Q30)</f>
        <v>#NAME?</v>
      </c>
      <c r="R59" s="128" t="e" cm="1">
        <f t="array" aca="1" ref="R59" ca="1">Notmerged(R30)</f>
        <v>#NAME?</v>
      </c>
      <c r="S59" s="128" t="e" cm="1">
        <f t="array" aca="1" ref="S59" ca="1">Notmerged(S30)</f>
        <v>#NAME?</v>
      </c>
      <c r="T59" s="128" t="e" cm="1">
        <f t="array" aca="1" ref="T59" ca="1">Notmerged(T30)</f>
        <v>#NAME?</v>
      </c>
      <c r="U59" s="128" t="e" cm="1">
        <f t="array" aca="1" ref="U59" ca="1">Notmerged(U30)</f>
        <v>#NAME?</v>
      </c>
      <c r="V59" s="128" t="e" cm="1">
        <f t="array" aca="1" ref="V59" ca="1">Notmerged(V30)</f>
        <v>#NAME?</v>
      </c>
      <c r="W59" s="128" t="e" cm="1">
        <f t="array" aca="1" ref="W59" ca="1">Notmerged(W30)</f>
        <v>#NAME?</v>
      </c>
      <c r="X59" s="128" t="e" cm="1">
        <f t="array" aca="1" ref="X59" ca="1">Notmerged(X30)</f>
        <v>#NAME?</v>
      </c>
      <c r="Y59" s="128" t="e" cm="1">
        <f t="array" aca="1" ref="Y59" ca="1">Notmerged(Y30)</f>
        <v>#NAME?</v>
      </c>
      <c r="Z59" s="128" t="e" cm="1">
        <f t="array" aca="1" ref="Z59" ca="1">Notmerged(Z30)</f>
        <v>#NAME?</v>
      </c>
      <c r="AA59" s="128" t="e" cm="1">
        <f t="array" aca="1" ref="AA59" ca="1">Notmerged(AA30)</f>
        <v>#NAME?</v>
      </c>
      <c r="AB59" s="128" t="e" cm="1">
        <f t="array" aca="1" ref="AB59" ca="1">Notmerged(AB30)</f>
        <v>#NAME?</v>
      </c>
      <c r="AC59" s="128" t="e" cm="1">
        <f t="array" aca="1" ref="AC59" ca="1">Notmerged(AC30)</f>
        <v>#NAME?</v>
      </c>
      <c r="AD59" s="128" t="e" cm="1">
        <f t="array" aca="1" ref="AD59" ca="1">Notmerged(AD30)</f>
        <v>#NAME?</v>
      </c>
      <c r="AE59" s="128" t="e" cm="1">
        <f t="array" aca="1" ref="AE59" ca="1">Notmerged(AE30)</f>
        <v>#NAME?</v>
      </c>
      <c r="AF59" s="128" t="e" cm="1">
        <f t="array" aca="1" ref="AF59" ca="1">Notmerged(AF30)</f>
        <v>#NAME?</v>
      </c>
      <c r="AG59" s="128" t="e" cm="1">
        <f t="array" aca="1" ref="AG59" ca="1">Notmerged(AG30)</f>
        <v>#NAME?</v>
      </c>
      <c r="AH59" s="128" t="e" cm="1">
        <f t="array" aca="1" ref="AH59" ca="1">Notmerged(AH30)</f>
        <v>#NAME?</v>
      </c>
      <c r="AI59" s="128" t="e" cm="1">
        <f t="array" aca="1" ref="AI59" ca="1">Notmerged(AI30)</f>
        <v>#NAME?</v>
      </c>
      <c r="AJ59" s="128" t="e" cm="1">
        <f t="array" aca="1" ref="AJ59" ca="1">Notmerged(AJ30)</f>
        <v>#NAME?</v>
      </c>
      <c r="AK59" s="128" t="e" cm="1">
        <f t="array" aca="1" ref="AK59" ca="1">Notmerged(AK30)</f>
        <v>#NAME?</v>
      </c>
      <c r="AL59" s="128" t="e" cm="1">
        <f t="array" aca="1" ref="AL59" ca="1">Notmerged(AL30)</f>
        <v>#NAME?</v>
      </c>
      <c r="AM59" s="128" t="e" cm="1">
        <f t="array" aca="1" ref="AM59" ca="1">Notmerged(AM30)</f>
        <v>#NAME?</v>
      </c>
      <c r="AN59" s="128" t="e" cm="1">
        <f t="array" aca="1" ref="AN59" ca="1">Notmerged(AN30)</f>
        <v>#NAME?</v>
      </c>
      <c r="AO59" s="128" t="e" cm="1">
        <f t="array" aca="1" ref="AO59" ca="1">Notmerged(AO30)</f>
        <v>#NAME?</v>
      </c>
      <c r="AP59" s="128" t="e" cm="1">
        <f t="array" aca="1" ref="AP59" ca="1">Notmerged(AP30)</f>
        <v>#NAME?</v>
      </c>
      <c r="AQ59" s="128" t="e" cm="1">
        <f t="array" aca="1" ref="AQ59" ca="1">Notmerged(AQ30)</f>
        <v>#NAME?</v>
      </c>
      <c r="AR59" s="128" t="e" cm="1">
        <f t="array" aca="1" ref="AR59" ca="1">Notmerged(AR30)</f>
        <v>#NAME?</v>
      </c>
      <c r="AS59" s="128" t="e" cm="1">
        <f t="array" aca="1" ref="AS59" ca="1">Notmerged(AS30)</f>
        <v>#NAME?</v>
      </c>
      <c r="AT59" s="128" t="e" cm="1">
        <f t="array" aca="1" ref="AT59" ca="1">Notmerged(AT30)</f>
        <v>#NAME?</v>
      </c>
      <c r="AU59" s="128" t="e" cm="1">
        <f t="array" aca="1" ref="AU59" ca="1">Notmerged(AU30)</f>
        <v>#NAME?</v>
      </c>
      <c r="AV59" s="128" t="e" cm="1">
        <f t="array" aca="1" ref="AV59" ca="1">Notmerged(AV30)</f>
        <v>#NAME?</v>
      </c>
      <c r="AW59" s="128" t="e" cm="1">
        <f t="array" aca="1" ref="AW59" ca="1">Notmerged(AW30)</f>
        <v>#NAME?</v>
      </c>
      <c r="AX59" s="128" t="e" cm="1">
        <f t="array" aca="1" ref="AX59" ca="1">Notmerged(AX30)</f>
        <v>#NAME?</v>
      </c>
      <c r="AY59" s="128" t="e" cm="1">
        <f t="array" aca="1" ref="AY59" ca="1">Notmerged(AY30)</f>
        <v>#NAME?</v>
      </c>
      <c r="AZ59" s="128" t="e" cm="1">
        <f t="array" aca="1" ref="AZ59" ca="1">Notmerged(AZ30)</f>
        <v>#NAME?</v>
      </c>
      <c r="BA59" s="128" t="e" cm="1">
        <f t="array" aca="1" ref="BA59" ca="1">Notmerged(BA30)</f>
        <v>#NAME?</v>
      </c>
      <c r="BB59" s="128" t="e" cm="1">
        <f t="array" aca="1" ref="BB59" ca="1">Notmerged(BB30)</f>
        <v>#NAME?</v>
      </c>
      <c r="BC59" s="128" t="e" cm="1">
        <f t="array" aca="1" ref="BC59" ca="1">Notmerged(BC30)</f>
        <v>#NAME?</v>
      </c>
      <c r="BD59" s="128" t="e" cm="1">
        <f t="array" aca="1" ref="BD59" ca="1">Notmerged(BD30)</f>
        <v>#NAME?</v>
      </c>
      <c r="BE59" s="128" t="e" cm="1">
        <f t="array" aca="1" ref="BE59" ca="1">Notmerged(BE30)</f>
        <v>#NAME?</v>
      </c>
      <c r="BF59" s="128" t="e" cm="1">
        <f t="array" aca="1" ref="BF59" ca="1">Notmerged(BF30)</f>
        <v>#NAME?</v>
      </c>
      <c r="BG59" s="128" t="e" cm="1">
        <f t="array" aca="1" ref="BG59" ca="1">Notmerged(BG30)</f>
        <v>#NAME?</v>
      </c>
      <c r="BH59" s="128" t="e" cm="1">
        <f t="array" aca="1" ref="BH59" ca="1">Notmerged(BH30)</f>
        <v>#NAME?</v>
      </c>
      <c r="BI59" s="128" t="e" cm="1">
        <f t="array" aca="1" ref="BI59" ca="1">Notmerged(BI30)</f>
        <v>#NAME?</v>
      </c>
      <c r="BJ59" s="128" t="e" cm="1">
        <f t="array" aca="1" ref="BJ59" ca="1">Notmerged(BJ30)</f>
        <v>#NAME?</v>
      </c>
      <c r="BK59" s="128" t="e" cm="1">
        <f t="array" aca="1" ref="BK59" ca="1">Notmerged(BK30)</f>
        <v>#NAME?</v>
      </c>
    </row>
    <row r="60" spans="2:63" x14ac:dyDescent="0.3">
      <c r="B60" s="128" t="e" cm="1">
        <f t="array" aca="1" ref="B60" ca="1">Notmerged(B31)</f>
        <v>#NAME?</v>
      </c>
      <c r="C60" s="128" t="e" cm="1">
        <f t="array" aca="1" ref="C60" ca="1">Notmerged(C31)</f>
        <v>#NAME?</v>
      </c>
      <c r="D60" s="128" t="e" cm="1">
        <f t="array" aca="1" ref="D60" ca="1">Notmerged(D31)</f>
        <v>#NAME?</v>
      </c>
      <c r="E60" s="128" t="e" cm="1">
        <f t="array" aca="1" ref="E60" ca="1">Notmerged(E31)</f>
        <v>#NAME?</v>
      </c>
      <c r="F60" s="128" t="e" cm="1">
        <f t="array" aca="1" ref="F60" ca="1">Notmerged(F31)</f>
        <v>#NAME?</v>
      </c>
      <c r="G60" s="128" t="e" cm="1">
        <f t="array" aca="1" ref="G60" ca="1">Notmerged(G31)</f>
        <v>#NAME?</v>
      </c>
      <c r="H60" s="128" t="e" cm="1">
        <f t="array" aca="1" ref="H60" ca="1">Notmerged(H31)</f>
        <v>#NAME?</v>
      </c>
      <c r="I60" s="128" t="e" cm="1">
        <f t="array" aca="1" ref="I60" ca="1">Notmerged(I31)</f>
        <v>#NAME?</v>
      </c>
      <c r="J60" s="128" t="e" cm="1">
        <f t="array" aca="1" ref="J60" ca="1">Notmerged(J31)</f>
        <v>#NAME?</v>
      </c>
      <c r="K60" s="128" t="e" cm="1">
        <f t="array" aca="1" ref="K60" ca="1">Notmerged(K31)</f>
        <v>#NAME?</v>
      </c>
      <c r="L60" s="128" t="e" cm="1">
        <f t="array" aca="1" ref="L60" ca="1">Notmerged(L31)</f>
        <v>#NAME?</v>
      </c>
      <c r="M60" s="128" t="e" cm="1">
        <f t="array" aca="1" ref="M60" ca="1">Notmerged(M31)</f>
        <v>#NAME?</v>
      </c>
      <c r="N60" s="128" t="e" cm="1">
        <f t="array" aca="1" ref="N60" ca="1">Notmerged(N31)</f>
        <v>#NAME?</v>
      </c>
      <c r="O60" s="128" t="e" cm="1">
        <f t="array" aca="1" ref="O60" ca="1">Notmerged(O31)</f>
        <v>#NAME?</v>
      </c>
      <c r="P60" s="128" t="e" cm="1">
        <f t="array" aca="1" ref="P60" ca="1">Notmerged(P31)</f>
        <v>#NAME?</v>
      </c>
      <c r="Q60" s="128" t="e" cm="1">
        <f t="array" aca="1" ref="Q60" ca="1">Notmerged(Q31)</f>
        <v>#NAME?</v>
      </c>
      <c r="R60" s="128" t="e" cm="1">
        <f t="array" aca="1" ref="R60" ca="1">Notmerged(R31)</f>
        <v>#NAME?</v>
      </c>
      <c r="S60" s="128" t="e" cm="1">
        <f t="array" aca="1" ref="S60" ca="1">Notmerged(S31)</f>
        <v>#NAME?</v>
      </c>
      <c r="T60" s="128" t="e" cm="1">
        <f t="array" aca="1" ref="T60" ca="1">Notmerged(T31)</f>
        <v>#NAME?</v>
      </c>
      <c r="U60" s="128" t="e" cm="1">
        <f t="array" aca="1" ref="U60" ca="1">Notmerged(U31)</f>
        <v>#NAME?</v>
      </c>
      <c r="V60" s="128" t="e" cm="1">
        <f t="array" aca="1" ref="V60" ca="1">Notmerged(V31)</f>
        <v>#NAME?</v>
      </c>
      <c r="W60" s="128" t="e" cm="1">
        <f t="array" aca="1" ref="W60" ca="1">Notmerged(W31)</f>
        <v>#NAME?</v>
      </c>
      <c r="X60" s="128" t="e" cm="1">
        <f t="array" aca="1" ref="X60" ca="1">Notmerged(X31)</f>
        <v>#NAME?</v>
      </c>
      <c r="Y60" s="128" t="e" cm="1">
        <f t="array" aca="1" ref="Y60" ca="1">Notmerged(Y31)</f>
        <v>#NAME?</v>
      </c>
      <c r="Z60" s="128" t="e" cm="1">
        <f t="array" aca="1" ref="Z60" ca="1">Notmerged(Z31)</f>
        <v>#NAME?</v>
      </c>
      <c r="AA60" s="128" t="e" cm="1">
        <f t="array" aca="1" ref="AA60" ca="1">Notmerged(AA31)</f>
        <v>#NAME?</v>
      </c>
      <c r="AB60" s="128" t="e" cm="1">
        <f t="array" aca="1" ref="AB60" ca="1">Notmerged(AB31)</f>
        <v>#NAME?</v>
      </c>
      <c r="AC60" s="128" t="e" cm="1">
        <f t="array" aca="1" ref="AC60" ca="1">Notmerged(AC31)</f>
        <v>#NAME?</v>
      </c>
      <c r="AD60" s="128" t="e" cm="1">
        <f t="array" aca="1" ref="AD60" ca="1">Notmerged(AD31)</f>
        <v>#NAME?</v>
      </c>
      <c r="AE60" s="128" t="e" cm="1">
        <f t="array" aca="1" ref="AE60" ca="1">Notmerged(AE31)</f>
        <v>#NAME?</v>
      </c>
      <c r="AF60" s="128" t="e" cm="1">
        <f t="array" aca="1" ref="AF60" ca="1">Notmerged(AF31)</f>
        <v>#NAME?</v>
      </c>
      <c r="AG60" s="128" t="e" cm="1">
        <f t="array" aca="1" ref="AG60" ca="1">Notmerged(AG31)</f>
        <v>#NAME?</v>
      </c>
      <c r="AH60" s="128" t="e" cm="1">
        <f t="array" aca="1" ref="AH60" ca="1">Notmerged(AH31)</f>
        <v>#NAME?</v>
      </c>
      <c r="AI60" s="128" t="e" cm="1">
        <f t="array" aca="1" ref="AI60" ca="1">Notmerged(AI31)</f>
        <v>#NAME?</v>
      </c>
      <c r="AJ60" s="128" t="e" cm="1">
        <f t="array" aca="1" ref="AJ60" ca="1">Notmerged(AJ31)</f>
        <v>#NAME?</v>
      </c>
      <c r="AK60" s="128" t="e" cm="1">
        <f t="array" aca="1" ref="AK60" ca="1">Notmerged(AK31)</f>
        <v>#NAME?</v>
      </c>
      <c r="AL60" s="128" t="e" cm="1">
        <f t="array" aca="1" ref="AL60" ca="1">Notmerged(AL31)</f>
        <v>#NAME?</v>
      </c>
      <c r="AM60" s="128" t="e" cm="1">
        <f t="array" aca="1" ref="AM60" ca="1">Notmerged(AM31)</f>
        <v>#NAME?</v>
      </c>
      <c r="AN60" s="128" t="e" cm="1">
        <f t="array" aca="1" ref="AN60" ca="1">Notmerged(AN31)</f>
        <v>#NAME?</v>
      </c>
      <c r="AO60" s="128" t="e" cm="1">
        <f t="array" aca="1" ref="AO60" ca="1">Notmerged(AO31)</f>
        <v>#NAME?</v>
      </c>
      <c r="AP60" s="128" t="e" cm="1">
        <f t="array" aca="1" ref="AP60" ca="1">Notmerged(AP31)</f>
        <v>#NAME?</v>
      </c>
      <c r="AQ60" s="128" t="e" cm="1">
        <f t="array" aca="1" ref="AQ60" ca="1">Notmerged(AQ31)</f>
        <v>#NAME?</v>
      </c>
      <c r="AR60" s="128" t="e" cm="1">
        <f t="array" aca="1" ref="AR60" ca="1">Notmerged(AR31)</f>
        <v>#NAME?</v>
      </c>
      <c r="AS60" s="128" t="e" cm="1">
        <f t="array" aca="1" ref="AS60" ca="1">Notmerged(AS31)</f>
        <v>#NAME?</v>
      </c>
      <c r="AT60" s="128" t="e" cm="1">
        <f t="array" aca="1" ref="AT60" ca="1">Notmerged(AT31)</f>
        <v>#NAME?</v>
      </c>
      <c r="AU60" s="128" t="e" cm="1">
        <f t="array" aca="1" ref="AU60" ca="1">Notmerged(AU31)</f>
        <v>#NAME?</v>
      </c>
      <c r="AV60" s="128" t="e" cm="1">
        <f t="array" aca="1" ref="AV60" ca="1">Notmerged(AV31)</f>
        <v>#NAME?</v>
      </c>
      <c r="AW60" s="128" t="e" cm="1">
        <f t="array" aca="1" ref="AW60" ca="1">Notmerged(AW31)</f>
        <v>#NAME?</v>
      </c>
      <c r="AX60" s="128" t="e" cm="1">
        <f t="array" aca="1" ref="AX60" ca="1">Notmerged(AX31)</f>
        <v>#NAME?</v>
      </c>
      <c r="AY60" s="128" t="e" cm="1">
        <f t="array" aca="1" ref="AY60" ca="1">Notmerged(AY31)</f>
        <v>#NAME?</v>
      </c>
      <c r="AZ60" s="128" t="e" cm="1">
        <f t="array" aca="1" ref="AZ60" ca="1">Notmerged(AZ31)</f>
        <v>#NAME?</v>
      </c>
      <c r="BA60" s="128" t="e" cm="1">
        <f t="array" aca="1" ref="BA60" ca="1">Notmerged(BA31)</f>
        <v>#NAME?</v>
      </c>
      <c r="BB60" s="128" t="e" cm="1">
        <f t="array" aca="1" ref="BB60" ca="1">Notmerged(BB31)</f>
        <v>#NAME?</v>
      </c>
      <c r="BC60" s="128" t="e" cm="1">
        <f t="array" aca="1" ref="BC60" ca="1">Notmerged(BC31)</f>
        <v>#NAME?</v>
      </c>
      <c r="BD60" s="128" t="e" cm="1">
        <f t="array" aca="1" ref="BD60" ca="1">Notmerged(BD31)</f>
        <v>#NAME?</v>
      </c>
      <c r="BE60" s="128" t="e" cm="1">
        <f t="array" aca="1" ref="BE60" ca="1">Notmerged(BE31)</f>
        <v>#NAME?</v>
      </c>
      <c r="BF60" s="128" t="e" cm="1">
        <f t="array" aca="1" ref="BF60" ca="1">Notmerged(BF31)</f>
        <v>#NAME?</v>
      </c>
      <c r="BG60" s="128" t="e" cm="1">
        <f t="array" aca="1" ref="BG60" ca="1">Notmerged(BG31)</f>
        <v>#NAME?</v>
      </c>
      <c r="BH60" s="128" t="e" cm="1">
        <f t="array" aca="1" ref="BH60" ca="1">Notmerged(BH31)</f>
        <v>#NAME?</v>
      </c>
      <c r="BI60" s="128" t="e" cm="1">
        <f t="array" aca="1" ref="BI60" ca="1">Notmerged(BI31)</f>
        <v>#NAME?</v>
      </c>
      <c r="BJ60" s="128" t="e" cm="1">
        <f t="array" aca="1" ref="BJ60" ca="1">Notmerged(BJ31)</f>
        <v>#NAME?</v>
      </c>
      <c r="BK60" s="128" t="e" cm="1">
        <f t="array" aca="1" ref="BK60" ca="1">Notmerged(BK31)</f>
        <v>#NAME?</v>
      </c>
    </row>
  </sheetData>
  <sheetProtection algorithmName="SHA-512" hashValue="IZ5vRDE1Apf7HcVOrVAlFrX/zgL39auTfrzux634OU+eINvQojMyOyvlGxIFk0JfRqRd8kY/93GpGyO8ylB4xQ==" saltValue="smoT+E4s+qRxn5kkiEXf4Q==" spinCount="100000" sheet="1" objects="1" scenarios="1" formatCells="0"/>
  <mergeCells count="293">
    <mergeCell ref="AN4:AN6"/>
    <mergeCell ref="AN7:AN9"/>
    <mergeCell ref="AN10:AN12"/>
    <mergeCell ref="AN13:AN15"/>
    <mergeCell ref="AN16:AN18"/>
    <mergeCell ref="AN19:AN21"/>
    <mergeCell ref="AO7:AO9"/>
    <mergeCell ref="AO10:AO12"/>
    <mergeCell ref="AO13:AO15"/>
    <mergeCell ref="AO16:AO18"/>
    <mergeCell ref="AO19:AO21"/>
    <mergeCell ref="AK22:AK27"/>
    <mergeCell ref="AL7:AL9"/>
    <mergeCell ref="AL10:AL12"/>
    <mergeCell ref="AL13:AL15"/>
    <mergeCell ref="AL16:AL18"/>
    <mergeCell ref="AL19:AL21"/>
    <mergeCell ref="AM4:AM6"/>
    <mergeCell ref="AM7:AM9"/>
    <mergeCell ref="AM10:AM12"/>
    <mergeCell ref="AM13:AM15"/>
    <mergeCell ref="AM16:AM18"/>
    <mergeCell ref="AM19:AM21"/>
    <mergeCell ref="AJ7:AJ9"/>
    <mergeCell ref="AJ10:AJ12"/>
    <mergeCell ref="AJ13:AJ15"/>
    <mergeCell ref="AJ16:AJ18"/>
    <mergeCell ref="AJ19:AJ21"/>
    <mergeCell ref="AK4:AK6"/>
    <mergeCell ref="AK7:AK9"/>
    <mergeCell ref="AK10:AK12"/>
    <mergeCell ref="AK13:AK15"/>
    <mergeCell ref="AK16:AK18"/>
    <mergeCell ref="AK19:AK21"/>
    <mergeCell ref="AH4:AH6"/>
    <mergeCell ref="AH7:AH9"/>
    <mergeCell ref="AH10:AH12"/>
    <mergeCell ref="AH13:AH15"/>
    <mergeCell ref="AH16:AH18"/>
    <mergeCell ref="AH19:AH21"/>
    <mergeCell ref="AI4:AI6"/>
    <mergeCell ref="AI7:AI9"/>
    <mergeCell ref="AI10:AI12"/>
    <mergeCell ref="AI13:AI15"/>
    <mergeCell ref="AI16:AI18"/>
    <mergeCell ref="AI19:AI21"/>
    <mergeCell ref="AF4:AF6"/>
    <mergeCell ref="AF7:AF9"/>
    <mergeCell ref="AF10:AF12"/>
    <mergeCell ref="AF13:AF15"/>
    <mergeCell ref="AF16:AF18"/>
    <mergeCell ref="AF19:AF21"/>
    <mergeCell ref="AF22:AF24"/>
    <mergeCell ref="AG5:AG6"/>
    <mergeCell ref="AG7:AG9"/>
    <mergeCell ref="AG13:AG18"/>
    <mergeCell ref="AG19:AG20"/>
    <mergeCell ref="AC22:AC24"/>
    <mergeCell ref="AD7:AD9"/>
    <mergeCell ref="AD10:AD12"/>
    <mergeCell ref="AD13:AD15"/>
    <mergeCell ref="AD16:AD18"/>
    <mergeCell ref="AD19:AD21"/>
    <mergeCell ref="AD22:AD24"/>
    <mergeCell ref="AE4:AE6"/>
    <mergeCell ref="AE7:AE9"/>
    <mergeCell ref="AE10:AE12"/>
    <mergeCell ref="AE13:AE15"/>
    <mergeCell ref="AE16:AE18"/>
    <mergeCell ref="AE19:AE21"/>
    <mergeCell ref="AB7:AB9"/>
    <mergeCell ref="AB10:AB12"/>
    <mergeCell ref="AB13:AB15"/>
    <mergeCell ref="AB16:AB18"/>
    <mergeCell ref="AB19:AB21"/>
    <mergeCell ref="AC4:AC6"/>
    <mergeCell ref="AC7:AC9"/>
    <mergeCell ref="AC10:AC12"/>
    <mergeCell ref="AC13:AC15"/>
    <mergeCell ref="AC16:AC18"/>
    <mergeCell ref="AC19:AC21"/>
    <mergeCell ref="BE8:BE13"/>
    <mergeCell ref="BE6:BE7"/>
    <mergeCell ref="BF7:BF9"/>
    <mergeCell ref="BF10:BF12"/>
    <mergeCell ref="BF16:BF21"/>
    <mergeCell ref="BC19:BC21"/>
    <mergeCell ref="BC22:BC24"/>
    <mergeCell ref="BD4:BD6"/>
    <mergeCell ref="BD7:BD9"/>
    <mergeCell ref="BD10:BD12"/>
    <mergeCell ref="BD13:BD15"/>
    <mergeCell ref="BD16:BD18"/>
    <mergeCell ref="BD19:BD21"/>
    <mergeCell ref="BD22:BD27"/>
    <mergeCell ref="BC4:BC6"/>
    <mergeCell ref="BC7:BC9"/>
    <mergeCell ref="BC10:BC12"/>
    <mergeCell ref="BC13:BC15"/>
    <mergeCell ref="BC16:BC18"/>
    <mergeCell ref="BA7:BA9"/>
    <mergeCell ref="BA10:BA15"/>
    <mergeCell ref="BA16:BA21"/>
    <mergeCell ref="BA22:BA27"/>
    <mergeCell ref="BB4:BB6"/>
    <mergeCell ref="BB7:BB9"/>
    <mergeCell ref="BB10:BB12"/>
    <mergeCell ref="BB13:BB15"/>
    <mergeCell ref="BB16:BB18"/>
    <mergeCell ref="BB19:BB21"/>
    <mergeCell ref="AZ10:AZ15"/>
    <mergeCell ref="AZ16:AZ21"/>
    <mergeCell ref="AZ22:AZ27"/>
    <mergeCell ref="AZ4:AZ6"/>
    <mergeCell ref="AZ7:AZ9"/>
    <mergeCell ref="AX4:AX9"/>
    <mergeCell ref="AX10:AX15"/>
    <mergeCell ref="AX16:AX21"/>
    <mergeCell ref="AX22:AX27"/>
    <mergeCell ref="AY4:AY6"/>
    <mergeCell ref="AY7:AY9"/>
    <mergeCell ref="AY10:AY12"/>
    <mergeCell ref="AY13:AY15"/>
    <mergeCell ref="AY16:AY18"/>
    <mergeCell ref="AY19:AY21"/>
    <mergeCell ref="AY22:AY27"/>
    <mergeCell ref="AW10:AW15"/>
    <mergeCell ref="AW16:AW21"/>
    <mergeCell ref="AW22:AW27"/>
    <mergeCell ref="AW7:AW9"/>
    <mergeCell ref="AU4:AU9"/>
    <mergeCell ref="AU10:AU12"/>
    <mergeCell ref="AU13:AU15"/>
    <mergeCell ref="AU16:AU21"/>
    <mergeCell ref="AV6:AV9"/>
    <mergeCell ref="AV10:AV13"/>
    <mergeCell ref="T22:T24"/>
    <mergeCell ref="U4:U6"/>
    <mergeCell ref="U7:U9"/>
    <mergeCell ref="U10:U13"/>
    <mergeCell ref="U16:U18"/>
    <mergeCell ref="U19:U21"/>
    <mergeCell ref="U22:U24"/>
    <mergeCell ref="T7:T9"/>
    <mergeCell ref="T10:T12"/>
    <mergeCell ref="T13:T15"/>
    <mergeCell ref="T16:T18"/>
    <mergeCell ref="T19:T21"/>
    <mergeCell ref="S7:S9"/>
    <mergeCell ref="S10:S12"/>
    <mergeCell ref="S13:S15"/>
    <mergeCell ref="S16:S21"/>
    <mergeCell ref="S22:S24"/>
    <mergeCell ref="R7:R9"/>
    <mergeCell ref="R10:R12"/>
    <mergeCell ref="R13:R15"/>
    <mergeCell ref="R16:R17"/>
    <mergeCell ref="R18:R21"/>
    <mergeCell ref="R22:R23"/>
    <mergeCell ref="Q4:Q6"/>
    <mergeCell ref="Q7:Q9"/>
    <mergeCell ref="Q10:Q12"/>
    <mergeCell ref="Q13:Q15"/>
    <mergeCell ref="Q16:Q18"/>
    <mergeCell ref="O19:O21"/>
    <mergeCell ref="O22:O24"/>
    <mergeCell ref="P4:P6"/>
    <mergeCell ref="P7:P9"/>
    <mergeCell ref="P10:P12"/>
    <mergeCell ref="P13:P15"/>
    <mergeCell ref="P16:P18"/>
    <mergeCell ref="P19:P21"/>
    <mergeCell ref="P22:P27"/>
    <mergeCell ref="O4:O6"/>
    <mergeCell ref="O7:O9"/>
    <mergeCell ref="O10:O12"/>
    <mergeCell ref="O13:O15"/>
    <mergeCell ref="O16:O18"/>
    <mergeCell ref="M19:M21"/>
    <mergeCell ref="N4:N6"/>
    <mergeCell ref="N7:N9"/>
    <mergeCell ref="N10:N12"/>
    <mergeCell ref="N13:N15"/>
    <mergeCell ref="N16:N18"/>
    <mergeCell ref="N19:N21"/>
    <mergeCell ref="M4:M6"/>
    <mergeCell ref="M7:M9"/>
    <mergeCell ref="M10:M12"/>
    <mergeCell ref="M13:M15"/>
    <mergeCell ref="M16:M18"/>
    <mergeCell ref="L7:L9"/>
    <mergeCell ref="L10:L12"/>
    <mergeCell ref="L13:L15"/>
    <mergeCell ref="L16:L18"/>
    <mergeCell ref="L19:L24"/>
    <mergeCell ref="K4:K6"/>
    <mergeCell ref="K7:K9"/>
    <mergeCell ref="K10:K12"/>
    <mergeCell ref="K13:K15"/>
    <mergeCell ref="K16:K18"/>
    <mergeCell ref="F16:F17"/>
    <mergeCell ref="F18:F21"/>
    <mergeCell ref="F22:F25"/>
    <mergeCell ref="E6:E9"/>
    <mergeCell ref="E10:E13"/>
    <mergeCell ref="E14:E15"/>
    <mergeCell ref="E16:E18"/>
    <mergeCell ref="E19:E21"/>
    <mergeCell ref="K19:K21"/>
    <mergeCell ref="H22:H25"/>
    <mergeCell ref="I7:I9"/>
    <mergeCell ref="I10:I12"/>
    <mergeCell ref="I13:I15"/>
    <mergeCell ref="I16:I18"/>
    <mergeCell ref="I19:I24"/>
    <mergeCell ref="H7:H9"/>
    <mergeCell ref="H10:H12"/>
    <mergeCell ref="H13:H15"/>
    <mergeCell ref="H16:H18"/>
    <mergeCell ref="H19:H21"/>
    <mergeCell ref="J22:J24"/>
    <mergeCell ref="J7:J9"/>
    <mergeCell ref="J10:J12"/>
    <mergeCell ref="J13:J15"/>
    <mergeCell ref="B19:B21"/>
    <mergeCell ref="B4:B6"/>
    <mergeCell ref="B7:B9"/>
    <mergeCell ref="B10:B12"/>
    <mergeCell ref="B13:B15"/>
    <mergeCell ref="G4:G6"/>
    <mergeCell ref="G7:G9"/>
    <mergeCell ref="G10:G13"/>
    <mergeCell ref="G16:G18"/>
    <mergeCell ref="G19:G22"/>
    <mergeCell ref="C22:C25"/>
    <mergeCell ref="D6:D9"/>
    <mergeCell ref="D10:D13"/>
    <mergeCell ref="D14:D17"/>
    <mergeCell ref="D18:D21"/>
    <mergeCell ref="D22:D25"/>
    <mergeCell ref="C4:C5"/>
    <mergeCell ref="C6:C9"/>
    <mergeCell ref="C10:C13"/>
    <mergeCell ref="C16:C18"/>
    <mergeCell ref="C19:C21"/>
    <mergeCell ref="E22:E24"/>
    <mergeCell ref="F7:F9"/>
    <mergeCell ref="F10:F15"/>
    <mergeCell ref="J16:J18"/>
    <mergeCell ref="J19:J21"/>
    <mergeCell ref="BH4:BH7"/>
    <mergeCell ref="BH8:BH13"/>
    <mergeCell ref="BH16:BH19"/>
    <mergeCell ref="BH20:BH25"/>
    <mergeCell ref="V4:V6"/>
    <mergeCell ref="V7:V9"/>
    <mergeCell ref="V10:V12"/>
    <mergeCell ref="V13:V15"/>
    <mergeCell ref="V16:V18"/>
    <mergeCell ref="V19:V21"/>
    <mergeCell ref="W7:W9"/>
    <mergeCell ref="W10:W12"/>
    <mergeCell ref="W13:W15"/>
    <mergeCell ref="W16:W18"/>
    <mergeCell ref="W19:W21"/>
    <mergeCell ref="W22:W24"/>
    <mergeCell ref="X4:X6"/>
    <mergeCell ref="L4:L6"/>
    <mergeCell ref="X7:X9"/>
    <mergeCell ref="X10:X12"/>
    <mergeCell ref="X13:X15"/>
    <mergeCell ref="X16:X18"/>
    <mergeCell ref="AA7:AA9"/>
    <mergeCell ref="AA10:AA12"/>
    <mergeCell ref="AA13:AA15"/>
    <mergeCell ref="AA16:AA18"/>
    <mergeCell ref="AA19:AA21"/>
    <mergeCell ref="AA22:AA24"/>
    <mergeCell ref="X19:X21"/>
    <mergeCell ref="Y4:Y6"/>
    <mergeCell ref="Y7:Y9"/>
    <mergeCell ref="Y10:Y12"/>
    <mergeCell ref="Y13:Y15"/>
    <mergeCell ref="Y16:Y18"/>
    <mergeCell ref="Y19:Y21"/>
    <mergeCell ref="Y22:Y24"/>
    <mergeCell ref="Z4:Z6"/>
    <mergeCell ref="Z7:Z9"/>
    <mergeCell ref="Z10:Z12"/>
    <mergeCell ref="Z13:Z15"/>
    <mergeCell ref="Z16:Z18"/>
    <mergeCell ref="Z19:Z21"/>
    <mergeCell ref="Z22:Z24"/>
  </mergeCells>
  <pageMargins left="0.7" right="0.7" top="0.75" bottom="0.75" header="0.3" footer="0.3"/>
  <pageSetup paperSize="9" scale="14" orientation="landscape"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0]!MergeCells">
                <anchor moveWithCells="1" sizeWithCells="1">
                  <from>
                    <xdr:col>0</xdr:col>
                    <xdr:colOff>68580</xdr:colOff>
                    <xdr:row>0</xdr:row>
                    <xdr:rowOff>7620</xdr:rowOff>
                  </from>
                  <to>
                    <xdr:col>0</xdr:col>
                    <xdr:colOff>1295400</xdr:colOff>
                    <xdr:row>0</xdr:row>
                    <xdr:rowOff>335280</xdr:rowOff>
                  </to>
                </anchor>
              </controlPr>
            </control>
          </mc:Choice>
        </mc:AlternateContent>
        <mc:AlternateContent xmlns:mc="http://schemas.openxmlformats.org/markup-compatibility/2006">
          <mc:Choice Requires="x14">
            <control shapeId="15362" r:id="rId5" name="Button 2">
              <controlPr defaultSize="0" print="0" autoFill="0" autoPict="0" macro="[0]!UnmergeCells">
                <anchor moveWithCells="1" sizeWithCells="1">
                  <from>
                    <xdr:col>0</xdr:col>
                    <xdr:colOff>68580</xdr:colOff>
                    <xdr:row>0</xdr:row>
                    <xdr:rowOff>342900</xdr:rowOff>
                  </from>
                  <to>
                    <xdr:col>0</xdr:col>
                    <xdr:colOff>1295400</xdr:colOff>
                    <xdr:row>0</xdr:row>
                    <xdr:rowOff>640080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BK60"/>
  <sheetViews>
    <sheetView zoomScale="70" zoomScaleNormal="70" workbookViewId="0">
      <pane xSplit="1" ySplit="3" topLeftCell="B4" activePane="bottomRight" state="frozen"/>
      <selection pane="topRight" activeCell="F14" sqref="F14"/>
      <selection pane="bottomLeft" activeCell="F14" sqref="F14"/>
      <selection pane="bottomRight" activeCell="AO22" sqref="AO22:AO24"/>
    </sheetView>
  </sheetViews>
  <sheetFormatPr defaultColWidth="9.109375" defaultRowHeight="14.4" x14ac:dyDescent="0.3"/>
  <cols>
    <col min="1" max="1" width="19.44140625" style="117" customWidth="1"/>
    <col min="2" max="63" width="20.5546875" style="129" customWidth="1"/>
    <col min="64" max="16384" width="9.109375" style="117"/>
  </cols>
  <sheetData>
    <row r="1" spans="1:63" ht="53.1" customHeight="1" thickBot="1" x14ac:dyDescent="0.35"/>
    <row r="2" spans="1:63" ht="37.5" customHeight="1" thickBot="1" x14ac:dyDescent="0.55000000000000004">
      <c r="A2" s="120" t="s">
        <v>2582</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row>
    <row r="3" spans="1:63" s="121" customFormat="1" ht="31.5" customHeight="1" x14ac:dyDescent="0.3">
      <c r="A3" s="118" t="s">
        <v>1208</v>
      </c>
      <c r="B3" s="119" t="s">
        <v>1707</v>
      </c>
      <c r="C3" s="278">
        <f>MONDAY!C3</f>
        <v>201</v>
      </c>
      <c r="D3" s="278">
        <f>MONDAY!D3</f>
        <v>202</v>
      </c>
      <c r="E3" s="278">
        <f>MONDAY!E3</f>
        <v>203</v>
      </c>
      <c r="F3" s="278">
        <f>MONDAY!F3</f>
        <v>204</v>
      </c>
      <c r="G3" s="278">
        <f>MONDAY!G3</f>
        <v>205</v>
      </c>
      <c r="H3" s="278">
        <f>MONDAY!H3</f>
        <v>206</v>
      </c>
      <c r="I3" s="278">
        <f>MONDAY!I3</f>
        <v>207</v>
      </c>
      <c r="J3" s="278">
        <f>MONDAY!J3</f>
        <v>212</v>
      </c>
      <c r="K3" s="278">
        <f>MONDAY!K3</f>
        <v>301</v>
      </c>
      <c r="L3" s="278">
        <f>MONDAY!L3</f>
        <v>302</v>
      </c>
      <c r="M3" s="278">
        <f>MONDAY!M3</f>
        <v>303</v>
      </c>
      <c r="N3" s="278">
        <f>MONDAY!N3</f>
        <v>304</v>
      </c>
      <c r="O3" s="278">
        <f>MONDAY!O3</f>
        <v>305</v>
      </c>
      <c r="P3" s="278">
        <f>MONDAY!P3</f>
        <v>306</v>
      </c>
      <c r="Q3" s="278">
        <f>MONDAY!Q3</f>
        <v>307</v>
      </c>
      <c r="R3" s="278">
        <f>MONDAY!R3</f>
        <v>308</v>
      </c>
      <c r="S3" s="278">
        <f>MONDAY!S3</f>
        <v>402</v>
      </c>
      <c r="T3" s="278">
        <f>MONDAY!T3</f>
        <v>407</v>
      </c>
      <c r="U3" s="278">
        <f>MONDAY!U3</f>
        <v>410</v>
      </c>
      <c r="V3" s="278">
        <f>MONDAY!V3</f>
        <v>501</v>
      </c>
      <c r="W3" s="278">
        <f>MONDAY!W3</f>
        <v>502</v>
      </c>
      <c r="X3" s="278">
        <f>MONDAY!X3</f>
        <v>503</v>
      </c>
      <c r="Y3" s="278">
        <f>MONDAY!Y3</f>
        <v>504</v>
      </c>
      <c r="Z3" s="278">
        <f>MONDAY!Z3</f>
        <v>505</v>
      </c>
      <c r="AA3" s="278">
        <f>MONDAY!AA3</f>
        <v>506</v>
      </c>
      <c r="AB3" s="278">
        <f>MONDAY!AB3</f>
        <v>507</v>
      </c>
      <c r="AC3" s="278">
        <f>MONDAY!AC3</f>
        <v>508</v>
      </c>
      <c r="AD3" s="278">
        <f>MONDAY!AD3</f>
        <v>509</v>
      </c>
      <c r="AE3" s="278">
        <f>MONDAY!AE3</f>
        <v>510</v>
      </c>
      <c r="AF3" s="278">
        <f>MONDAY!AF3</f>
        <v>511</v>
      </c>
      <c r="AG3" s="278">
        <f>MONDAY!AG3</f>
        <v>512</v>
      </c>
      <c r="AH3" s="278">
        <f>MONDAY!AH3</f>
        <v>601</v>
      </c>
      <c r="AI3" s="278">
        <f>MONDAY!AI3</f>
        <v>602</v>
      </c>
      <c r="AJ3" s="278">
        <f>MONDAY!AJ3</f>
        <v>603</v>
      </c>
      <c r="AK3" s="278">
        <f>MONDAY!AK3</f>
        <v>604</v>
      </c>
      <c r="AL3" s="278">
        <f>MONDAY!AL3</f>
        <v>605</v>
      </c>
      <c r="AM3" s="278">
        <f>MONDAY!AM3</f>
        <v>606</v>
      </c>
      <c r="AN3" s="278">
        <f>MONDAY!AN3</f>
        <v>607</v>
      </c>
      <c r="AO3" s="278">
        <f>MONDAY!AO3</f>
        <v>608</v>
      </c>
      <c r="AP3" s="278">
        <f>MONDAY!AP3</f>
        <v>0</v>
      </c>
      <c r="AQ3" s="278">
        <f>MONDAY!AQ3</f>
        <v>0</v>
      </c>
      <c r="AR3" s="278">
        <f>MONDAY!AR3</f>
        <v>0</v>
      </c>
      <c r="AS3" s="278" t="str">
        <f>MONDAY!AS3</f>
        <v>&lt;Room&gt;</v>
      </c>
      <c r="AT3" s="278" t="str">
        <f>MONDAY!AT3</f>
        <v>&lt;Room&gt;</v>
      </c>
      <c r="AU3" s="278" t="str">
        <f>MONDAY!AU3</f>
        <v>M01</v>
      </c>
      <c r="AV3" s="278" t="str">
        <f>MONDAY!AV3</f>
        <v>M02</v>
      </c>
      <c r="AW3" s="278">
        <f>MONDAY!AW3</f>
        <v>101</v>
      </c>
      <c r="AX3" s="278">
        <f>MONDAY!AX3</f>
        <v>208</v>
      </c>
      <c r="AY3" s="278">
        <f>MONDAY!AY3</f>
        <v>209</v>
      </c>
      <c r="AZ3" s="278">
        <f>MONDAY!AZ3</f>
        <v>210</v>
      </c>
      <c r="BA3" s="278">
        <f>MONDAY!BA3</f>
        <v>211</v>
      </c>
      <c r="BB3" s="278">
        <f>MONDAY!BB3</f>
        <v>401</v>
      </c>
      <c r="BC3" s="278">
        <f>MONDAY!BC3</f>
        <v>408</v>
      </c>
      <c r="BD3" s="278">
        <f>MONDAY!BD3</f>
        <v>409</v>
      </c>
      <c r="BE3" s="278" t="str">
        <f>MONDAY!BE3</f>
        <v>KITCHEN 1</v>
      </c>
      <c r="BF3" s="278" t="str">
        <f>MONDAY!BF3</f>
        <v>KITCHEN 2</v>
      </c>
      <c r="BG3" s="278" t="str">
        <f>MONDAY!BG3</f>
        <v>BAR</v>
      </c>
      <c r="BH3" s="278" t="str">
        <f>MONDAY!BH3</f>
        <v>SUITE ROOM</v>
      </c>
      <c r="BI3" s="278" t="str">
        <f>MONDAY!BI3</f>
        <v>&lt;Lab&gt;</v>
      </c>
      <c r="BJ3" s="278" t="str">
        <f>MONDAY!BJ3</f>
        <v>&lt;Lab&gt;</v>
      </c>
      <c r="BK3" s="278" t="str">
        <f>MONDAY!BK3</f>
        <v>&lt;Lab&gt;</v>
      </c>
    </row>
    <row r="4" spans="1:63" ht="15.75" customHeight="1" x14ac:dyDescent="0.3">
      <c r="A4" s="122" t="s">
        <v>1713</v>
      </c>
      <c r="B4" s="371" t="s">
        <v>1714</v>
      </c>
      <c r="C4" s="378" t="s">
        <v>2583</v>
      </c>
      <c r="D4" s="263" t="s">
        <v>1716</v>
      </c>
      <c r="E4" s="377" t="s">
        <v>2584</v>
      </c>
      <c r="F4" s="263" t="s">
        <v>1716</v>
      </c>
      <c r="G4" s="263" t="s">
        <v>1716</v>
      </c>
      <c r="H4" s="263" t="s">
        <v>1716</v>
      </c>
      <c r="I4" s="263" t="s">
        <v>1716</v>
      </c>
      <c r="J4" s="263" t="s">
        <v>1716</v>
      </c>
      <c r="K4" s="379" t="s">
        <v>2585</v>
      </c>
      <c r="L4" s="263" t="s">
        <v>1716</v>
      </c>
      <c r="M4" s="263" t="s">
        <v>1716</v>
      </c>
      <c r="N4" s="263" t="s">
        <v>1716</v>
      </c>
      <c r="O4" s="385" t="s">
        <v>1995</v>
      </c>
      <c r="P4" s="385" t="s">
        <v>1996</v>
      </c>
      <c r="Q4" s="385" t="s">
        <v>1997</v>
      </c>
      <c r="R4" s="385" t="s">
        <v>1998</v>
      </c>
      <c r="S4" s="385" t="s">
        <v>1999</v>
      </c>
      <c r="T4" s="385" t="s">
        <v>2000</v>
      </c>
      <c r="U4" s="385" t="s">
        <v>2000</v>
      </c>
      <c r="V4" s="371" t="s">
        <v>2586</v>
      </c>
      <c r="W4" s="371" t="s">
        <v>2587</v>
      </c>
      <c r="X4" s="371" t="s">
        <v>2588</v>
      </c>
      <c r="Y4" s="371" t="s">
        <v>2589</v>
      </c>
      <c r="Z4" s="371" t="s">
        <v>2590</v>
      </c>
      <c r="AA4" s="371" t="s">
        <v>2591</v>
      </c>
      <c r="AB4" s="371" t="s">
        <v>2592</v>
      </c>
      <c r="AC4" s="371" t="s">
        <v>2593</v>
      </c>
      <c r="AD4" s="371" t="s">
        <v>2594</v>
      </c>
      <c r="AE4" s="371" t="s">
        <v>2595</v>
      </c>
      <c r="AF4" s="263" t="s">
        <v>1716</v>
      </c>
      <c r="AG4" s="379" t="s">
        <v>2596</v>
      </c>
      <c r="AH4" s="371" t="s">
        <v>2597</v>
      </c>
      <c r="AI4" s="263" t="s">
        <v>1716</v>
      </c>
      <c r="AJ4" s="263" t="s">
        <v>1716</v>
      </c>
      <c r="AK4" s="263" t="s">
        <v>1716</v>
      </c>
      <c r="AL4" s="263" t="s">
        <v>1716</v>
      </c>
      <c r="AM4" s="371" t="s">
        <v>2598</v>
      </c>
      <c r="AN4" s="371" t="s">
        <v>2599</v>
      </c>
      <c r="AO4" s="263" t="s">
        <v>1716</v>
      </c>
      <c r="AP4" s="123"/>
      <c r="AQ4" s="123"/>
      <c r="AR4" s="123"/>
      <c r="AS4" s="123"/>
      <c r="AT4" s="123"/>
      <c r="AU4" s="263" t="s">
        <v>1716</v>
      </c>
      <c r="AV4" s="263" t="s">
        <v>1716</v>
      </c>
      <c r="AW4" s="379" t="s">
        <v>2600</v>
      </c>
      <c r="AX4" s="379" t="s">
        <v>2601</v>
      </c>
      <c r="AY4" s="385" t="s">
        <v>2602</v>
      </c>
      <c r="AZ4" s="379" t="s">
        <v>2603</v>
      </c>
      <c r="BA4" s="379" t="s">
        <v>2604</v>
      </c>
      <c r="BB4" s="385" t="s">
        <v>2605</v>
      </c>
      <c r="BC4" s="385" t="s">
        <v>2016</v>
      </c>
      <c r="BD4" s="385" t="s">
        <v>2017</v>
      </c>
      <c r="BE4" s="263" t="s">
        <v>1716</v>
      </c>
      <c r="BF4" s="123" t="s">
        <v>1734</v>
      </c>
      <c r="BG4" s="263" t="s">
        <v>1734</v>
      </c>
      <c r="BH4" s="379" t="s">
        <v>2606</v>
      </c>
      <c r="BI4" s="123"/>
      <c r="BJ4" s="123"/>
      <c r="BK4" s="123"/>
    </row>
    <row r="5" spans="1:63" ht="15.6" x14ac:dyDescent="0.3">
      <c r="A5" s="124" t="s">
        <v>1743</v>
      </c>
      <c r="B5" s="372"/>
      <c r="C5" s="378"/>
      <c r="D5" s="262" t="s">
        <v>1716</v>
      </c>
      <c r="E5" s="377"/>
      <c r="F5" s="262" t="s">
        <v>1716</v>
      </c>
      <c r="G5" s="262" t="s">
        <v>1716</v>
      </c>
      <c r="H5" s="262" t="s">
        <v>1716</v>
      </c>
      <c r="I5" s="262" t="s">
        <v>1716</v>
      </c>
      <c r="J5" s="262" t="s">
        <v>1716</v>
      </c>
      <c r="K5" s="380"/>
      <c r="L5" s="262" t="s">
        <v>1716</v>
      </c>
      <c r="M5" s="262" t="s">
        <v>1716</v>
      </c>
      <c r="N5" s="262" t="s">
        <v>1716</v>
      </c>
      <c r="O5" s="386"/>
      <c r="P5" s="386"/>
      <c r="Q5" s="386"/>
      <c r="R5" s="386"/>
      <c r="S5" s="386"/>
      <c r="T5" s="386"/>
      <c r="U5" s="386"/>
      <c r="V5" s="372"/>
      <c r="W5" s="372"/>
      <c r="X5" s="372"/>
      <c r="Y5" s="372"/>
      <c r="Z5" s="372"/>
      <c r="AA5" s="372"/>
      <c r="AB5" s="372"/>
      <c r="AC5" s="372"/>
      <c r="AD5" s="372"/>
      <c r="AE5" s="372"/>
      <c r="AF5" s="262" t="s">
        <v>1716</v>
      </c>
      <c r="AG5" s="380"/>
      <c r="AH5" s="372"/>
      <c r="AI5" s="262" t="s">
        <v>1716</v>
      </c>
      <c r="AJ5" s="262" t="s">
        <v>1716</v>
      </c>
      <c r="AK5" s="262" t="s">
        <v>1716</v>
      </c>
      <c r="AL5" s="262" t="s">
        <v>1716</v>
      </c>
      <c r="AM5" s="372"/>
      <c r="AN5" s="372"/>
      <c r="AO5" s="262" t="s">
        <v>1716</v>
      </c>
      <c r="AP5" s="125"/>
      <c r="AQ5" s="125"/>
      <c r="AR5" s="125"/>
      <c r="AS5" s="125"/>
      <c r="AT5" s="125"/>
      <c r="AU5" s="262" t="s">
        <v>1716</v>
      </c>
      <c r="AV5" s="262" t="s">
        <v>1716</v>
      </c>
      <c r="AW5" s="380"/>
      <c r="AX5" s="380"/>
      <c r="AY5" s="386"/>
      <c r="AZ5" s="380"/>
      <c r="BA5" s="380"/>
      <c r="BB5" s="386"/>
      <c r="BC5" s="386"/>
      <c r="BD5" s="386"/>
      <c r="BE5" s="262" t="s">
        <v>1716</v>
      </c>
      <c r="BF5" s="125"/>
      <c r="BG5" s="125"/>
      <c r="BH5" s="380"/>
      <c r="BI5" s="125"/>
      <c r="BJ5" s="125"/>
      <c r="BK5" s="125"/>
    </row>
    <row r="6" spans="1:63" ht="15.6" customHeight="1" x14ac:dyDescent="0.3">
      <c r="A6" s="124" t="s">
        <v>1744</v>
      </c>
      <c r="B6" s="373"/>
      <c r="C6" s="377" t="s">
        <v>2607</v>
      </c>
      <c r="D6" s="377" t="s">
        <v>2608</v>
      </c>
      <c r="E6" s="377"/>
      <c r="F6" s="262" t="s">
        <v>1716</v>
      </c>
      <c r="G6" s="262" t="s">
        <v>1716</v>
      </c>
      <c r="H6" s="262" t="s">
        <v>1716</v>
      </c>
      <c r="I6" s="262" t="s">
        <v>1716</v>
      </c>
      <c r="J6" s="262" t="s">
        <v>1716</v>
      </c>
      <c r="K6" s="380"/>
      <c r="L6" s="129" t="s">
        <v>1716</v>
      </c>
      <c r="M6" s="262" t="s">
        <v>1716</v>
      </c>
      <c r="N6" s="262" t="s">
        <v>1716</v>
      </c>
      <c r="O6" s="387"/>
      <c r="P6" s="387"/>
      <c r="Q6" s="387"/>
      <c r="R6" s="387"/>
      <c r="S6" s="387"/>
      <c r="T6" s="387"/>
      <c r="U6" s="387"/>
      <c r="V6" s="373"/>
      <c r="W6" s="373"/>
      <c r="X6" s="373"/>
      <c r="Y6" s="373"/>
      <c r="Z6" s="373"/>
      <c r="AA6" s="373"/>
      <c r="AB6" s="373"/>
      <c r="AC6" s="373"/>
      <c r="AD6" s="373"/>
      <c r="AE6" s="373"/>
      <c r="AF6" s="262" t="s">
        <v>1716</v>
      </c>
      <c r="AG6" s="380"/>
      <c r="AH6" s="373"/>
      <c r="AI6" s="262" t="s">
        <v>1716</v>
      </c>
      <c r="AJ6" s="262" t="s">
        <v>1716</v>
      </c>
      <c r="AK6" s="262" t="s">
        <v>1716</v>
      </c>
      <c r="AL6" s="262" t="s">
        <v>1716</v>
      </c>
      <c r="AM6" s="373"/>
      <c r="AN6" s="373"/>
      <c r="AO6" s="262" t="s">
        <v>1716</v>
      </c>
      <c r="AP6" s="125"/>
      <c r="AQ6" s="125"/>
      <c r="AR6" s="125"/>
      <c r="AS6" s="125"/>
      <c r="AT6" s="125"/>
      <c r="AU6" s="262" t="s">
        <v>1716</v>
      </c>
      <c r="AV6" s="262" t="s">
        <v>1716</v>
      </c>
      <c r="AW6" s="380"/>
      <c r="AX6" s="380"/>
      <c r="AY6" s="387"/>
      <c r="AZ6" s="380"/>
      <c r="BA6" s="380"/>
      <c r="BB6" s="387"/>
      <c r="BC6" s="387"/>
      <c r="BD6" s="387"/>
      <c r="BE6" s="378" t="s">
        <v>2609</v>
      </c>
      <c r="BF6" s="125"/>
      <c r="BG6" s="125"/>
      <c r="BH6" s="380"/>
      <c r="BI6" s="125"/>
      <c r="BJ6" s="125"/>
      <c r="BK6" s="125"/>
    </row>
    <row r="7" spans="1:63" ht="15.75" customHeight="1" x14ac:dyDescent="0.3">
      <c r="A7" s="124" t="s">
        <v>1748</v>
      </c>
      <c r="B7" s="371" t="s">
        <v>1714</v>
      </c>
      <c r="C7" s="377"/>
      <c r="D7" s="377"/>
      <c r="E7" s="377"/>
      <c r="F7" s="374" t="s">
        <v>2025</v>
      </c>
      <c r="G7" s="374" t="s">
        <v>2026</v>
      </c>
      <c r="H7" s="374" t="s">
        <v>2027</v>
      </c>
      <c r="I7" s="379" t="s">
        <v>2610</v>
      </c>
      <c r="J7" s="385" t="s">
        <v>2028</v>
      </c>
      <c r="K7" s="380"/>
      <c r="L7" s="385" t="s">
        <v>2023</v>
      </c>
      <c r="M7" s="262" t="s">
        <v>1716</v>
      </c>
      <c r="N7" s="385" t="s">
        <v>2029</v>
      </c>
      <c r="O7" s="374" t="s">
        <v>2030</v>
      </c>
      <c r="P7" s="374" t="s">
        <v>2031</v>
      </c>
      <c r="Q7" s="374" t="s">
        <v>2032</v>
      </c>
      <c r="R7" s="374" t="s">
        <v>2033</v>
      </c>
      <c r="S7" s="374" t="s">
        <v>2034</v>
      </c>
      <c r="T7" s="374" t="s">
        <v>2035</v>
      </c>
      <c r="U7" s="374" t="s">
        <v>2036</v>
      </c>
      <c r="V7" s="371" t="s">
        <v>2611</v>
      </c>
      <c r="W7" s="371" t="s">
        <v>2612</v>
      </c>
      <c r="X7" s="371" t="s">
        <v>2613</v>
      </c>
      <c r="Y7" s="371" t="s">
        <v>2614</v>
      </c>
      <c r="Z7" s="371" t="s">
        <v>2615</v>
      </c>
      <c r="AA7" s="371" t="s">
        <v>2616</v>
      </c>
      <c r="AB7" s="371" t="s">
        <v>2617</v>
      </c>
      <c r="AC7" s="371" t="s">
        <v>2618</v>
      </c>
      <c r="AD7" s="371" t="s">
        <v>2619</v>
      </c>
      <c r="AE7" s="371" t="s">
        <v>2620</v>
      </c>
      <c r="AF7" s="371" t="s">
        <v>2621</v>
      </c>
      <c r="AG7" s="380"/>
      <c r="AH7" s="371" t="s">
        <v>2622</v>
      </c>
      <c r="AI7" s="371" t="s">
        <v>2623</v>
      </c>
      <c r="AJ7" s="371" t="s">
        <v>2624</v>
      </c>
      <c r="AK7" s="371" t="s">
        <v>2625</v>
      </c>
      <c r="AL7" s="371" t="s">
        <v>2626</v>
      </c>
      <c r="AM7" s="371" t="s">
        <v>2627</v>
      </c>
      <c r="AN7" s="371" t="s">
        <v>2628</v>
      </c>
      <c r="AO7" s="371" t="s">
        <v>2629</v>
      </c>
      <c r="AP7" s="125"/>
      <c r="AQ7" s="125"/>
      <c r="AR7" s="125"/>
      <c r="AS7" s="125"/>
      <c r="AT7" s="125"/>
      <c r="AU7" s="262" t="s">
        <v>1716</v>
      </c>
      <c r="AV7" s="262" t="s">
        <v>1716</v>
      </c>
      <c r="AW7" s="380"/>
      <c r="AX7" s="380"/>
      <c r="AY7" s="385" t="s">
        <v>2630</v>
      </c>
      <c r="AZ7" s="380"/>
      <c r="BA7" s="380"/>
      <c r="BB7" s="385" t="s">
        <v>2631</v>
      </c>
      <c r="BC7" s="385" t="s">
        <v>2056</v>
      </c>
      <c r="BD7" s="385" t="s">
        <v>2057</v>
      </c>
      <c r="BE7" s="378"/>
      <c r="BF7" s="125"/>
      <c r="BG7" s="125"/>
      <c r="BH7" s="380"/>
      <c r="BI7" s="125"/>
      <c r="BJ7" s="125"/>
      <c r="BK7" s="125"/>
    </row>
    <row r="8" spans="1:63" ht="15.6" x14ac:dyDescent="0.3">
      <c r="A8" s="124" t="s">
        <v>1787</v>
      </c>
      <c r="B8" s="372"/>
      <c r="C8" s="377"/>
      <c r="D8" s="377"/>
      <c r="E8" s="262" t="s">
        <v>1716</v>
      </c>
      <c r="F8" s="375"/>
      <c r="G8" s="375"/>
      <c r="H8" s="375"/>
      <c r="I8" s="380"/>
      <c r="J8" s="386"/>
      <c r="K8" s="380"/>
      <c r="L8" s="386"/>
      <c r="M8" s="262" t="s">
        <v>1716</v>
      </c>
      <c r="N8" s="386"/>
      <c r="O8" s="375"/>
      <c r="P8" s="375"/>
      <c r="Q8" s="375"/>
      <c r="R8" s="375"/>
      <c r="S8" s="375"/>
      <c r="T8" s="375"/>
      <c r="U8" s="375"/>
      <c r="V8" s="372"/>
      <c r="W8" s="372"/>
      <c r="X8" s="372"/>
      <c r="Y8" s="372"/>
      <c r="Z8" s="372"/>
      <c r="AA8" s="372"/>
      <c r="AB8" s="372"/>
      <c r="AC8" s="372"/>
      <c r="AD8" s="372"/>
      <c r="AE8" s="372"/>
      <c r="AF8" s="372"/>
      <c r="AG8" s="380"/>
      <c r="AH8" s="372"/>
      <c r="AI8" s="372"/>
      <c r="AJ8" s="372"/>
      <c r="AK8" s="372"/>
      <c r="AL8" s="372"/>
      <c r="AM8" s="372"/>
      <c r="AN8" s="372"/>
      <c r="AO8" s="372"/>
      <c r="AP8" s="125"/>
      <c r="AQ8" s="125"/>
      <c r="AR8" s="125"/>
      <c r="AS8" s="125"/>
      <c r="AT8" s="125"/>
      <c r="AU8" s="262" t="s">
        <v>1716</v>
      </c>
      <c r="AV8" s="262" t="s">
        <v>1716</v>
      </c>
      <c r="AW8" s="380"/>
      <c r="AX8" s="380"/>
      <c r="AY8" s="386"/>
      <c r="AZ8" s="380"/>
      <c r="BA8" s="380"/>
      <c r="BB8" s="386"/>
      <c r="BC8" s="386"/>
      <c r="BD8" s="386"/>
      <c r="BE8" s="379" t="s">
        <v>2632</v>
      </c>
      <c r="BF8" s="125"/>
      <c r="BG8" s="125"/>
      <c r="BH8" s="380"/>
      <c r="BI8" s="125"/>
      <c r="BJ8" s="125"/>
      <c r="BK8" s="125"/>
    </row>
    <row r="9" spans="1:63" ht="15.75" customHeight="1" x14ac:dyDescent="0.3">
      <c r="A9" s="124" t="s">
        <v>1791</v>
      </c>
      <c r="B9" s="373"/>
      <c r="C9" s="377"/>
      <c r="D9" s="377"/>
      <c r="E9" s="262" t="s">
        <v>1716</v>
      </c>
      <c r="F9" s="376"/>
      <c r="G9" s="376"/>
      <c r="H9" s="376"/>
      <c r="I9" s="380"/>
      <c r="J9" s="387"/>
      <c r="K9" s="381"/>
      <c r="L9" s="387"/>
      <c r="M9" s="262" t="s">
        <v>1716</v>
      </c>
      <c r="N9" s="387"/>
      <c r="O9" s="376"/>
      <c r="P9" s="376"/>
      <c r="Q9" s="376"/>
      <c r="R9" s="376"/>
      <c r="S9" s="376"/>
      <c r="T9" s="376"/>
      <c r="U9" s="376"/>
      <c r="V9" s="373"/>
      <c r="W9" s="373"/>
      <c r="X9" s="373"/>
      <c r="Y9" s="373"/>
      <c r="Z9" s="373"/>
      <c r="AA9" s="373"/>
      <c r="AB9" s="373"/>
      <c r="AC9" s="373"/>
      <c r="AD9" s="373"/>
      <c r="AE9" s="373"/>
      <c r="AF9" s="373"/>
      <c r="AG9" s="381"/>
      <c r="AH9" s="373"/>
      <c r="AI9" s="373"/>
      <c r="AJ9" s="373"/>
      <c r="AK9" s="373"/>
      <c r="AL9" s="373"/>
      <c r="AM9" s="373"/>
      <c r="AN9" s="373"/>
      <c r="AO9" s="373"/>
      <c r="AP9" s="125"/>
      <c r="AQ9" s="125"/>
      <c r="AR9" s="125"/>
      <c r="AS9" s="125"/>
      <c r="AT9" s="125"/>
      <c r="AU9" s="262" t="s">
        <v>1716</v>
      </c>
      <c r="AV9" s="262" t="s">
        <v>1716</v>
      </c>
      <c r="AW9" s="381"/>
      <c r="AX9" s="381"/>
      <c r="AY9" s="387"/>
      <c r="AZ9" s="381"/>
      <c r="BA9" s="381"/>
      <c r="BB9" s="387"/>
      <c r="BC9" s="387"/>
      <c r="BD9" s="387"/>
      <c r="BE9" s="380"/>
      <c r="BF9" s="125"/>
      <c r="BG9" s="125"/>
      <c r="BH9" s="381"/>
      <c r="BI9" s="125"/>
      <c r="BJ9" s="125"/>
      <c r="BK9" s="125"/>
    </row>
    <row r="10" spans="1:63" ht="15.6" x14ac:dyDescent="0.3">
      <c r="A10" s="124" t="s">
        <v>1792</v>
      </c>
      <c r="B10" s="371" t="s">
        <v>1714</v>
      </c>
      <c r="C10" s="379" t="s">
        <v>2633</v>
      </c>
      <c r="D10" s="377" t="s">
        <v>2634</v>
      </c>
      <c r="E10" s="377" t="s">
        <v>2635</v>
      </c>
      <c r="F10" s="377" t="s">
        <v>2636</v>
      </c>
      <c r="G10" s="374" t="s">
        <v>2065</v>
      </c>
      <c r="H10" s="374" t="s">
        <v>2066</v>
      </c>
      <c r="I10" s="380"/>
      <c r="J10" s="385" t="s">
        <v>2068</v>
      </c>
      <c r="K10" s="385" t="s">
        <v>2069</v>
      </c>
      <c r="L10" s="385" t="s">
        <v>2060</v>
      </c>
      <c r="M10" s="379" t="s">
        <v>2637</v>
      </c>
      <c r="N10" s="385" t="s">
        <v>2071</v>
      </c>
      <c r="O10" s="374" t="s">
        <v>2072</v>
      </c>
      <c r="P10" s="374" t="s">
        <v>2073</v>
      </c>
      <c r="Q10" s="374" t="s">
        <v>2074</v>
      </c>
      <c r="R10" s="374" t="s">
        <v>2075</v>
      </c>
      <c r="S10" s="374" t="s">
        <v>2076</v>
      </c>
      <c r="T10" s="374" t="s">
        <v>2077</v>
      </c>
      <c r="U10" s="377" t="s">
        <v>2638</v>
      </c>
      <c r="V10" s="371" t="s">
        <v>2639</v>
      </c>
      <c r="W10" s="371" t="s">
        <v>2640</v>
      </c>
      <c r="X10" s="371" t="s">
        <v>2641</v>
      </c>
      <c r="Y10" s="371" t="s">
        <v>2642</v>
      </c>
      <c r="Z10" s="371" t="s">
        <v>2643</v>
      </c>
      <c r="AA10" s="371" t="s">
        <v>2644</v>
      </c>
      <c r="AB10" s="371" t="s">
        <v>2645</v>
      </c>
      <c r="AC10" s="371" t="s">
        <v>2646</v>
      </c>
      <c r="AD10" s="371" t="s">
        <v>2647</v>
      </c>
      <c r="AE10" s="371" t="s">
        <v>2648</v>
      </c>
      <c r="AF10" s="262" t="s">
        <v>1716</v>
      </c>
      <c r="AG10" s="378" t="s">
        <v>2649</v>
      </c>
      <c r="AH10" s="371" t="s">
        <v>2650</v>
      </c>
      <c r="AI10" s="371" t="s">
        <v>2651</v>
      </c>
      <c r="AJ10" s="371" t="s">
        <v>2652</v>
      </c>
      <c r="AK10" s="371" t="s">
        <v>2653</v>
      </c>
      <c r="AL10" s="371" t="s">
        <v>2654</v>
      </c>
      <c r="AM10" s="371" t="s">
        <v>2655</v>
      </c>
      <c r="AN10" s="371" t="s">
        <v>2656</v>
      </c>
      <c r="AO10" s="371" t="s">
        <v>2657</v>
      </c>
      <c r="AP10" s="125"/>
      <c r="AQ10" s="125"/>
      <c r="AR10" s="125"/>
      <c r="AS10" s="125"/>
      <c r="AT10" s="125"/>
      <c r="AU10" s="262" t="s">
        <v>1716</v>
      </c>
      <c r="AV10" s="262" t="s">
        <v>1716</v>
      </c>
      <c r="AW10" s="379" t="s">
        <v>2658</v>
      </c>
      <c r="AX10" s="379" t="s">
        <v>2659</v>
      </c>
      <c r="AY10" s="385" t="s">
        <v>2660</v>
      </c>
      <c r="AZ10" s="385" t="s">
        <v>2661</v>
      </c>
      <c r="BA10" s="379" t="s">
        <v>2662</v>
      </c>
      <c r="BB10" s="385" t="s">
        <v>2663</v>
      </c>
      <c r="BC10" s="385" t="s">
        <v>2664</v>
      </c>
      <c r="BD10" s="385" t="s">
        <v>2101</v>
      </c>
      <c r="BE10" s="380"/>
      <c r="BF10" s="125"/>
      <c r="BG10" s="125"/>
      <c r="BH10" s="379" t="s">
        <v>2665</v>
      </c>
      <c r="BI10" s="125"/>
      <c r="BJ10" s="125"/>
      <c r="BK10" s="125"/>
    </row>
    <row r="11" spans="1:63" ht="15.6" customHeight="1" x14ac:dyDescent="0.3">
      <c r="A11" s="124" t="s">
        <v>1834</v>
      </c>
      <c r="B11" s="372"/>
      <c r="C11" s="380"/>
      <c r="D11" s="377"/>
      <c r="E11" s="377"/>
      <c r="F11" s="377"/>
      <c r="G11" s="375"/>
      <c r="H11" s="375"/>
      <c r="I11" s="380"/>
      <c r="J11" s="386"/>
      <c r="K11" s="386"/>
      <c r="L11" s="386"/>
      <c r="M11" s="380"/>
      <c r="N11" s="386"/>
      <c r="O11" s="375"/>
      <c r="P11" s="375"/>
      <c r="Q11" s="375"/>
      <c r="R11" s="375"/>
      <c r="S11" s="375"/>
      <c r="T11" s="375"/>
      <c r="U11" s="377"/>
      <c r="V11" s="372"/>
      <c r="W11" s="372"/>
      <c r="X11" s="372"/>
      <c r="Y11" s="372"/>
      <c r="Z11" s="372"/>
      <c r="AA11" s="372"/>
      <c r="AB11" s="372"/>
      <c r="AC11" s="372"/>
      <c r="AD11" s="372"/>
      <c r="AE11" s="372"/>
      <c r="AF11" s="378" t="s">
        <v>2666</v>
      </c>
      <c r="AG11" s="378"/>
      <c r="AH11" s="372"/>
      <c r="AI11" s="372"/>
      <c r="AJ11" s="372"/>
      <c r="AK11" s="372"/>
      <c r="AL11" s="372"/>
      <c r="AM11" s="372"/>
      <c r="AN11" s="372"/>
      <c r="AO11" s="372"/>
      <c r="AP11" s="125"/>
      <c r="AQ11" s="125"/>
      <c r="AR11" s="125"/>
      <c r="AS11" s="125"/>
      <c r="AT11" s="125"/>
      <c r="AU11" s="262" t="s">
        <v>1716</v>
      </c>
      <c r="AV11" s="262" t="s">
        <v>1716</v>
      </c>
      <c r="AW11" s="380"/>
      <c r="AX11" s="380"/>
      <c r="AY11" s="386"/>
      <c r="AZ11" s="386"/>
      <c r="BA11" s="380"/>
      <c r="BB11" s="386"/>
      <c r="BC11" s="386"/>
      <c r="BD11" s="386"/>
      <c r="BE11" s="380"/>
      <c r="BF11" s="125"/>
      <c r="BG11" s="125"/>
      <c r="BH11" s="380"/>
      <c r="BI11" s="125"/>
      <c r="BJ11" s="125"/>
      <c r="BK11" s="125"/>
    </row>
    <row r="12" spans="1:63" ht="15.6" x14ac:dyDescent="0.3">
      <c r="A12" s="124" t="s">
        <v>1835</v>
      </c>
      <c r="B12" s="373"/>
      <c r="C12" s="380"/>
      <c r="D12" s="377"/>
      <c r="E12" s="377"/>
      <c r="F12" s="377"/>
      <c r="G12" s="376"/>
      <c r="H12" s="376"/>
      <c r="I12" s="381"/>
      <c r="J12" s="387"/>
      <c r="K12" s="387"/>
      <c r="L12" s="387"/>
      <c r="M12" s="380"/>
      <c r="N12" s="387"/>
      <c r="O12" s="376"/>
      <c r="P12" s="376"/>
      <c r="Q12" s="376"/>
      <c r="R12" s="376"/>
      <c r="S12" s="376"/>
      <c r="T12" s="376"/>
      <c r="U12" s="377"/>
      <c r="V12" s="373"/>
      <c r="W12" s="373"/>
      <c r="X12" s="373"/>
      <c r="Y12" s="373"/>
      <c r="Z12" s="373"/>
      <c r="AA12" s="373"/>
      <c r="AB12" s="373"/>
      <c r="AC12" s="373"/>
      <c r="AD12" s="373"/>
      <c r="AE12" s="373"/>
      <c r="AF12" s="378"/>
      <c r="AG12" s="125" t="s">
        <v>1716</v>
      </c>
      <c r="AH12" s="373"/>
      <c r="AI12" s="373"/>
      <c r="AJ12" s="373"/>
      <c r="AK12" s="373"/>
      <c r="AL12" s="373"/>
      <c r="AM12" s="373"/>
      <c r="AN12" s="373"/>
      <c r="AO12" s="373"/>
      <c r="AP12" s="125"/>
      <c r="AQ12" s="125"/>
      <c r="AR12" s="125"/>
      <c r="AS12" s="125"/>
      <c r="AT12" s="125"/>
      <c r="AU12" s="262" t="s">
        <v>1716</v>
      </c>
      <c r="AV12" s="262" t="s">
        <v>1716</v>
      </c>
      <c r="AW12" s="380"/>
      <c r="AX12" s="380"/>
      <c r="AY12" s="387"/>
      <c r="AZ12" s="387"/>
      <c r="BA12" s="380"/>
      <c r="BB12" s="387"/>
      <c r="BC12" s="387"/>
      <c r="BD12" s="387"/>
      <c r="BE12" s="380"/>
      <c r="BF12" s="125"/>
      <c r="BG12" s="125"/>
      <c r="BH12" s="380"/>
      <c r="BI12" s="125"/>
      <c r="BJ12" s="125"/>
      <c r="BK12" s="125"/>
    </row>
    <row r="13" spans="1:63" ht="15.6" x14ac:dyDescent="0.3">
      <c r="A13" s="124" t="s">
        <v>1836</v>
      </c>
      <c r="B13" s="371" t="s">
        <v>1714</v>
      </c>
      <c r="C13" s="380"/>
      <c r="D13" s="377"/>
      <c r="E13" s="377"/>
      <c r="F13" s="377"/>
      <c r="G13" s="374" t="s">
        <v>2105</v>
      </c>
      <c r="H13" s="374" t="s">
        <v>2106</v>
      </c>
      <c r="I13" s="262" t="s">
        <v>1716</v>
      </c>
      <c r="J13" s="385" t="s">
        <v>2107</v>
      </c>
      <c r="K13" s="385" t="s">
        <v>2667</v>
      </c>
      <c r="L13" s="385" t="s">
        <v>2102</v>
      </c>
      <c r="M13" s="380"/>
      <c r="N13" s="385" t="s">
        <v>2109</v>
      </c>
      <c r="O13" s="385" t="s">
        <v>2110</v>
      </c>
      <c r="P13" s="385" t="s">
        <v>2111</v>
      </c>
      <c r="Q13" s="385" t="s">
        <v>2668</v>
      </c>
      <c r="R13" s="385" t="s">
        <v>2113</v>
      </c>
      <c r="S13" s="385" t="s">
        <v>2114</v>
      </c>
      <c r="T13" s="385" t="s">
        <v>2115</v>
      </c>
      <c r="U13" s="377"/>
      <c r="V13" s="371" t="s">
        <v>2669</v>
      </c>
      <c r="W13" s="371" t="s">
        <v>2670</v>
      </c>
      <c r="X13" s="371" t="s">
        <v>2671</v>
      </c>
      <c r="Y13" s="371" t="s">
        <v>2672</v>
      </c>
      <c r="Z13" s="371" t="s">
        <v>2673</v>
      </c>
      <c r="AA13" s="371" t="s">
        <v>2674</v>
      </c>
      <c r="AB13" s="371" t="s">
        <v>2675</v>
      </c>
      <c r="AC13" s="371" t="s">
        <v>2676</v>
      </c>
      <c r="AD13" s="371" t="s">
        <v>2677</v>
      </c>
      <c r="AE13" s="371" t="s">
        <v>2678</v>
      </c>
      <c r="AF13" s="371" t="s">
        <v>2679</v>
      </c>
      <c r="AG13" s="262" t="s">
        <v>1716</v>
      </c>
      <c r="AH13" s="371" t="s">
        <v>2680</v>
      </c>
      <c r="AI13" s="371" t="s">
        <v>2681</v>
      </c>
      <c r="AJ13" s="371" t="s">
        <v>2682</v>
      </c>
      <c r="AK13" s="371" t="s">
        <v>2683</v>
      </c>
      <c r="AL13" s="371" t="s">
        <v>2684</v>
      </c>
      <c r="AM13" s="371" t="s">
        <v>2685</v>
      </c>
      <c r="AN13" s="371" t="s">
        <v>2686</v>
      </c>
      <c r="AO13" s="371" t="s">
        <v>2687</v>
      </c>
      <c r="AP13" s="125"/>
      <c r="AQ13" s="125"/>
      <c r="AR13" s="125"/>
      <c r="AS13" s="125"/>
      <c r="AT13" s="125"/>
      <c r="AU13" s="262" t="s">
        <v>1716</v>
      </c>
      <c r="AV13" s="262" t="s">
        <v>1716</v>
      </c>
      <c r="AW13" s="380"/>
      <c r="AX13" s="380"/>
      <c r="AY13" s="385" t="s">
        <v>2688</v>
      </c>
      <c r="AZ13" s="385" t="s">
        <v>2689</v>
      </c>
      <c r="BA13" s="380"/>
      <c r="BB13" s="385" t="s">
        <v>2690</v>
      </c>
      <c r="BC13" s="385" t="s">
        <v>2133</v>
      </c>
      <c r="BD13" s="385" t="s">
        <v>2134</v>
      </c>
      <c r="BE13" s="381"/>
      <c r="BF13" s="125"/>
      <c r="BG13" s="125"/>
      <c r="BH13" s="380"/>
      <c r="BI13" s="125"/>
      <c r="BJ13" s="125"/>
      <c r="BK13" s="125"/>
    </row>
    <row r="14" spans="1:63" ht="15.6" customHeight="1" x14ac:dyDescent="0.3">
      <c r="A14" s="124" t="s">
        <v>1875</v>
      </c>
      <c r="B14" s="372"/>
      <c r="C14" s="380"/>
      <c r="D14" s="262" t="s">
        <v>1716</v>
      </c>
      <c r="E14" s="262" t="s">
        <v>1716</v>
      </c>
      <c r="F14" s="374" t="s">
        <v>2135</v>
      </c>
      <c r="G14" s="375"/>
      <c r="H14" s="375"/>
      <c r="I14" s="377" t="s">
        <v>2691</v>
      </c>
      <c r="J14" s="386"/>
      <c r="K14" s="386"/>
      <c r="L14" s="386"/>
      <c r="M14" s="380"/>
      <c r="N14" s="386"/>
      <c r="O14" s="386"/>
      <c r="P14" s="386"/>
      <c r="Q14" s="386"/>
      <c r="R14" s="386"/>
      <c r="S14" s="386"/>
      <c r="T14" s="386"/>
      <c r="U14" s="262" t="s">
        <v>1716</v>
      </c>
      <c r="V14" s="372"/>
      <c r="W14" s="372"/>
      <c r="X14" s="372"/>
      <c r="Y14" s="372"/>
      <c r="Z14" s="372"/>
      <c r="AA14" s="372"/>
      <c r="AB14" s="372"/>
      <c r="AC14" s="372"/>
      <c r="AD14" s="372"/>
      <c r="AE14" s="372"/>
      <c r="AF14" s="372"/>
      <c r="AG14" s="262" t="s">
        <v>1716</v>
      </c>
      <c r="AH14" s="372"/>
      <c r="AI14" s="372"/>
      <c r="AJ14" s="372"/>
      <c r="AK14" s="372"/>
      <c r="AL14" s="372"/>
      <c r="AM14" s="372"/>
      <c r="AN14" s="372"/>
      <c r="AO14" s="372"/>
      <c r="AP14" s="125"/>
      <c r="AQ14" s="125"/>
      <c r="AR14" s="125"/>
      <c r="AS14" s="125"/>
      <c r="AT14" s="125"/>
      <c r="AU14" s="262" t="s">
        <v>1716</v>
      </c>
      <c r="AV14" s="262" t="s">
        <v>1716</v>
      </c>
      <c r="AW14" s="380"/>
      <c r="AX14" s="380"/>
      <c r="AY14" s="386"/>
      <c r="AZ14" s="386"/>
      <c r="BA14" s="380"/>
      <c r="BB14" s="386"/>
      <c r="BC14" s="386"/>
      <c r="BD14" s="386"/>
      <c r="BE14" s="262" t="s">
        <v>1734</v>
      </c>
      <c r="BF14" s="125"/>
      <c r="BG14" s="125"/>
      <c r="BH14" s="380"/>
      <c r="BI14" s="125"/>
      <c r="BJ14" s="125"/>
      <c r="BK14" s="125"/>
    </row>
    <row r="15" spans="1:63" ht="15.6" customHeight="1" x14ac:dyDescent="0.3">
      <c r="A15" s="124" t="s">
        <v>1876</v>
      </c>
      <c r="B15" s="373"/>
      <c r="C15" s="381"/>
      <c r="D15" s="374" t="s">
        <v>2137</v>
      </c>
      <c r="E15" s="262" t="s">
        <v>1716</v>
      </c>
      <c r="F15" s="375"/>
      <c r="G15" s="376"/>
      <c r="H15" s="376"/>
      <c r="I15" s="377"/>
      <c r="J15" s="387"/>
      <c r="K15" s="387"/>
      <c r="L15" s="387"/>
      <c r="M15" s="381"/>
      <c r="N15" s="387"/>
      <c r="O15" s="387"/>
      <c r="P15" s="387"/>
      <c r="Q15" s="387"/>
      <c r="R15" s="387"/>
      <c r="S15" s="387"/>
      <c r="T15" s="387"/>
      <c r="U15" s="262" t="s">
        <v>1716</v>
      </c>
      <c r="V15" s="373"/>
      <c r="W15" s="373"/>
      <c r="X15" s="373"/>
      <c r="Y15" s="373"/>
      <c r="Z15" s="373"/>
      <c r="AA15" s="373"/>
      <c r="AB15" s="373"/>
      <c r="AC15" s="373"/>
      <c r="AD15" s="373"/>
      <c r="AE15" s="397"/>
      <c r="AF15" s="397"/>
      <c r="AG15" s="262" t="s">
        <v>1716</v>
      </c>
      <c r="AH15" s="397"/>
      <c r="AI15" s="373"/>
      <c r="AJ15" s="373"/>
      <c r="AK15" s="373"/>
      <c r="AL15" s="373"/>
      <c r="AM15" s="397"/>
      <c r="AN15" s="397"/>
      <c r="AO15" s="397"/>
      <c r="AP15" s="125"/>
      <c r="AQ15" s="125"/>
      <c r="AR15" s="125"/>
      <c r="AS15" s="125"/>
      <c r="AT15" s="125"/>
      <c r="AU15" s="262" t="s">
        <v>1716</v>
      </c>
      <c r="AV15" s="262" t="s">
        <v>1716</v>
      </c>
      <c r="AW15" s="381"/>
      <c r="AX15" s="381"/>
      <c r="AY15" s="387"/>
      <c r="AZ15" s="387"/>
      <c r="BA15" s="381"/>
      <c r="BB15" s="387"/>
      <c r="BC15" s="387"/>
      <c r="BD15" s="387"/>
      <c r="BE15" s="125"/>
      <c r="BF15" s="125"/>
      <c r="BG15" s="125"/>
      <c r="BH15" s="381"/>
      <c r="BI15" s="125"/>
      <c r="BJ15" s="125"/>
      <c r="BK15" s="125"/>
    </row>
    <row r="16" spans="1:63" ht="15.6" x14ac:dyDescent="0.3">
      <c r="A16" s="124" t="s">
        <v>1877</v>
      </c>
      <c r="B16" s="262" t="s">
        <v>1716</v>
      </c>
      <c r="C16" s="262" t="s">
        <v>1716</v>
      </c>
      <c r="D16" s="375"/>
      <c r="E16" s="374" t="s">
        <v>2139</v>
      </c>
      <c r="F16" s="376"/>
      <c r="G16" s="378" t="s">
        <v>2692</v>
      </c>
      <c r="H16" s="374" t="s">
        <v>2140</v>
      </c>
      <c r="I16" s="377"/>
      <c r="J16" s="385" t="s">
        <v>2141</v>
      </c>
      <c r="K16" s="379" t="s">
        <v>2693</v>
      </c>
      <c r="L16" s="385" t="s">
        <v>2138</v>
      </c>
      <c r="M16" s="385" t="s">
        <v>2142</v>
      </c>
      <c r="N16" s="385" t="s">
        <v>2143</v>
      </c>
      <c r="O16" s="374" t="s">
        <v>2694</v>
      </c>
      <c r="P16" s="374" t="s">
        <v>2145</v>
      </c>
      <c r="Q16" s="374" t="s">
        <v>2146</v>
      </c>
      <c r="R16" s="374" t="s">
        <v>2147</v>
      </c>
      <c r="S16" s="374" t="s">
        <v>2148</v>
      </c>
      <c r="T16" s="374" t="s">
        <v>2149</v>
      </c>
      <c r="U16" s="385" t="s">
        <v>2150</v>
      </c>
      <c r="V16" s="371" t="s">
        <v>2695</v>
      </c>
      <c r="W16" s="371" t="s">
        <v>2696</v>
      </c>
      <c r="X16" s="371" t="s">
        <v>2697</v>
      </c>
      <c r="Y16" s="371" t="s">
        <v>2698</v>
      </c>
      <c r="Z16" s="399" t="s">
        <v>2699</v>
      </c>
      <c r="AA16" s="399" t="s">
        <v>2700</v>
      </c>
      <c r="AB16" s="371" t="s">
        <v>2701</v>
      </c>
      <c r="AC16" s="371" t="s">
        <v>2702</v>
      </c>
      <c r="AD16" s="371" t="s">
        <v>2703</v>
      </c>
      <c r="AE16" s="398" t="s">
        <v>2704</v>
      </c>
      <c r="AF16" s="398" t="s">
        <v>2705</v>
      </c>
      <c r="AG16" s="371" t="s">
        <v>2162</v>
      </c>
      <c r="AH16" s="398" t="s">
        <v>2706</v>
      </c>
      <c r="AI16" s="371" t="s">
        <v>2707</v>
      </c>
      <c r="AJ16" s="371" t="s">
        <v>2708</v>
      </c>
      <c r="AK16" s="371" t="s">
        <v>2709</v>
      </c>
      <c r="AL16" s="371" t="s">
        <v>2710</v>
      </c>
      <c r="AM16" s="398" t="s">
        <v>2711</v>
      </c>
      <c r="AN16" s="398" t="s">
        <v>2712</v>
      </c>
      <c r="AO16" s="398" t="s">
        <v>2713</v>
      </c>
      <c r="AP16" s="125"/>
      <c r="AQ16" s="125"/>
      <c r="AR16" s="125"/>
      <c r="AS16" s="125"/>
      <c r="AT16" s="125"/>
      <c r="AU16" s="385" t="s">
        <v>2137</v>
      </c>
      <c r="AV16" s="262" t="s">
        <v>1716</v>
      </c>
      <c r="AW16" s="379" t="s">
        <v>2714</v>
      </c>
      <c r="AX16" s="379" t="s">
        <v>2715</v>
      </c>
      <c r="AY16" s="379" t="s">
        <v>2716</v>
      </c>
      <c r="AZ16" s="379" t="s">
        <v>2717</v>
      </c>
      <c r="BA16" s="385" t="s">
        <v>2718</v>
      </c>
      <c r="BB16" s="385" t="s">
        <v>2334</v>
      </c>
      <c r="BC16" s="385" t="s">
        <v>2719</v>
      </c>
      <c r="BD16" s="385" t="s">
        <v>2134</v>
      </c>
      <c r="BE16" s="125"/>
      <c r="BF16" s="125"/>
      <c r="BG16" s="125"/>
      <c r="BH16" s="377" t="s">
        <v>2720</v>
      </c>
      <c r="BI16" s="125"/>
      <c r="BJ16" s="125"/>
      <c r="BK16" s="125"/>
    </row>
    <row r="17" spans="1:63" ht="15.6" x14ac:dyDescent="0.3">
      <c r="A17" s="124" t="s">
        <v>1921</v>
      </c>
      <c r="B17" s="125"/>
      <c r="C17" s="262" t="s">
        <v>1716</v>
      </c>
      <c r="D17" s="376"/>
      <c r="E17" s="375"/>
      <c r="F17" s="262" t="s">
        <v>1716</v>
      </c>
      <c r="G17" s="378"/>
      <c r="H17" s="375"/>
      <c r="I17" s="377"/>
      <c r="J17" s="386"/>
      <c r="K17" s="380"/>
      <c r="L17" s="386"/>
      <c r="M17" s="386"/>
      <c r="N17" s="386"/>
      <c r="O17" s="375"/>
      <c r="P17" s="375"/>
      <c r="Q17" s="375"/>
      <c r="R17" s="375"/>
      <c r="S17" s="375"/>
      <c r="T17" s="375"/>
      <c r="U17" s="386"/>
      <c r="V17" s="372"/>
      <c r="W17" s="372"/>
      <c r="X17" s="372"/>
      <c r="Y17" s="372"/>
      <c r="Z17" s="372"/>
      <c r="AA17" s="372"/>
      <c r="AB17" s="372"/>
      <c r="AC17" s="372"/>
      <c r="AD17" s="372"/>
      <c r="AE17" s="372"/>
      <c r="AF17" s="372"/>
      <c r="AG17" s="372"/>
      <c r="AH17" s="372"/>
      <c r="AI17" s="372"/>
      <c r="AJ17" s="372"/>
      <c r="AK17" s="372"/>
      <c r="AL17" s="372"/>
      <c r="AM17" s="372"/>
      <c r="AN17" s="372"/>
      <c r="AO17" s="372"/>
      <c r="AP17" s="125"/>
      <c r="AQ17" s="125"/>
      <c r="AR17" s="125"/>
      <c r="AS17" s="125"/>
      <c r="AT17" s="125"/>
      <c r="AU17" s="386"/>
      <c r="AV17" s="379" t="s">
        <v>2721</v>
      </c>
      <c r="AW17" s="380"/>
      <c r="AX17" s="380"/>
      <c r="AY17" s="380"/>
      <c r="AZ17" s="380"/>
      <c r="BA17" s="386"/>
      <c r="BB17" s="386"/>
      <c r="BC17" s="386"/>
      <c r="BD17" s="386"/>
      <c r="BE17" s="125"/>
      <c r="BF17" s="125"/>
      <c r="BG17" s="125"/>
      <c r="BH17" s="377"/>
      <c r="BI17" s="125"/>
      <c r="BJ17" s="125"/>
      <c r="BK17" s="125"/>
    </row>
    <row r="18" spans="1:63" ht="15.75" customHeight="1" x14ac:dyDescent="0.3">
      <c r="A18" s="124" t="s">
        <v>1922</v>
      </c>
      <c r="B18" s="125"/>
      <c r="C18" s="377" t="s">
        <v>2722</v>
      </c>
      <c r="D18" s="377" t="s">
        <v>2723</v>
      </c>
      <c r="E18" s="376"/>
      <c r="F18" s="377" t="s">
        <v>2724</v>
      </c>
      <c r="G18" s="377" t="s">
        <v>2725</v>
      </c>
      <c r="H18" s="376"/>
      <c r="I18" s="377" t="s">
        <v>2726</v>
      </c>
      <c r="J18" s="387"/>
      <c r="K18" s="380"/>
      <c r="L18" s="387"/>
      <c r="M18" s="387"/>
      <c r="N18" s="387"/>
      <c r="O18" s="376"/>
      <c r="P18" s="376"/>
      <c r="Q18" s="376"/>
      <c r="R18" s="376"/>
      <c r="S18" s="376"/>
      <c r="T18" s="376"/>
      <c r="U18" s="387"/>
      <c r="V18" s="373"/>
      <c r="W18" s="373"/>
      <c r="X18" s="373"/>
      <c r="Y18" s="373"/>
      <c r="Z18" s="373"/>
      <c r="AA18" s="373"/>
      <c r="AB18" s="373"/>
      <c r="AC18" s="373"/>
      <c r="AD18" s="373"/>
      <c r="AE18" s="373"/>
      <c r="AF18" s="373"/>
      <c r="AG18" s="373"/>
      <c r="AH18" s="373"/>
      <c r="AI18" s="397"/>
      <c r="AJ18" s="397"/>
      <c r="AK18" s="397"/>
      <c r="AL18" s="397"/>
      <c r="AM18" s="373"/>
      <c r="AN18" s="373"/>
      <c r="AO18" s="373"/>
      <c r="AP18" s="125"/>
      <c r="AQ18" s="125"/>
      <c r="AR18" s="125"/>
      <c r="AS18" s="125"/>
      <c r="AT18" s="125"/>
      <c r="AU18" s="387"/>
      <c r="AV18" s="380"/>
      <c r="AW18" s="380"/>
      <c r="AX18" s="380"/>
      <c r="AY18" s="380"/>
      <c r="AZ18" s="380"/>
      <c r="BA18" s="387"/>
      <c r="BB18" s="387"/>
      <c r="BC18" s="387"/>
      <c r="BD18" s="387"/>
      <c r="BE18" s="125"/>
      <c r="BF18" s="125"/>
      <c r="BG18" s="125"/>
      <c r="BH18" s="377"/>
      <c r="BI18" s="125"/>
      <c r="BJ18" s="125"/>
      <c r="BK18" s="125"/>
    </row>
    <row r="19" spans="1:63" ht="15.6" x14ac:dyDescent="0.3">
      <c r="A19" s="124" t="s">
        <v>1926</v>
      </c>
      <c r="B19" s="371" t="s">
        <v>1714</v>
      </c>
      <c r="C19" s="377"/>
      <c r="D19" s="377"/>
      <c r="E19" s="374" t="s">
        <v>2179</v>
      </c>
      <c r="F19" s="377"/>
      <c r="G19" s="377"/>
      <c r="H19" s="374" t="s">
        <v>2180</v>
      </c>
      <c r="I19" s="377"/>
      <c r="J19" s="385" t="s">
        <v>2182</v>
      </c>
      <c r="K19" s="380"/>
      <c r="L19" s="262" t="s">
        <v>1716</v>
      </c>
      <c r="M19" s="385" t="s">
        <v>2183</v>
      </c>
      <c r="N19" s="385" t="s">
        <v>2184</v>
      </c>
      <c r="O19" s="385" t="s">
        <v>2185</v>
      </c>
      <c r="P19" s="385" t="s">
        <v>2186</v>
      </c>
      <c r="Q19" s="385" t="s">
        <v>2187</v>
      </c>
      <c r="R19" s="385" t="s">
        <v>2188</v>
      </c>
      <c r="S19" s="385" t="s">
        <v>2189</v>
      </c>
      <c r="T19" s="385" t="s">
        <v>2190</v>
      </c>
      <c r="U19" s="374" t="s">
        <v>2191</v>
      </c>
      <c r="V19" s="371" t="s">
        <v>2727</v>
      </c>
      <c r="W19" s="371" t="s">
        <v>2728</v>
      </c>
      <c r="X19" s="371" t="s">
        <v>2729</v>
      </c>
      <c r="Y19" s="371" t="s">
        <v>2730</v>
      </c>
      <c r="Z19" s="371" t="s">
        <v>2731</v>
      </c>
      <c r="AA19" s="371" t="s">
        <v>2732</v>
      </c>
      <c r="AB19" s="371" t="s">
        <v>2733</v>
      </c>
      <c r="AC19" s="371" t="s">
        <v>2734</v>
      </c>
      <c r="AD19" s="377" t="s">
        <v>2735</v>
      </c>
      <c r="AE19" s="371" t="s">
        <v>2736</v>
      </c>
      <c r="AF19" s="398" t="s">
        <v>2737</v>
      </c>
      <c r="AG19" s="262" t="s">
        <v>1734</v>
      </c>
      <c r="AH19" s="371" t="s">
        <v>2738</v>
      </c>
      <c r="AI19" s="398" t="s">
        <v>2739</v>
      </c>
      <c r="AJ19" s="398" t="s">
        <v>2740</v>
      </c>
      <c r="AK19" s="398" t="s">
        <v>2741</v>
      </c>
      <c r="AL19" s="398" t="s">
        <v>2742</v>
      </c>
      <c r="AM19" s="371" t="s">
        <v>2743</v>
      </c>
      <c r="AN19" s="371" t="s">
        <v>2744</v>
      </c>
      <c r="AO19" s="371" t="s">
        <v>2745</v>
      </c>
      <c r="AP19" s="125"/>
      <c r="AQ19" s="125"/>
      <c r="AR19" s="125"/>
      <c r="AS19" s="125"/>
      <c r="AT19" s="125"/>
      <c r="AU19" s="385" t="s">
        <v>2181</v>
      </c>
      <c r="AV19" s="380"/>
      <c r="AW19" s="380"/>
      <c r="AX19" s="380"/>
      <c r="AY19" s="380"/>
      <c r="AZ19" s="380"/>
      <c r="BA19" s="385" t="s">
        <v>2746</v>
      </c>
      <c r="BB19" s="385" t="s">
        <v>2747</v>
      </c>
      <c r="BC19" s="385" t="s">
        <v>2748</v>
      </c>
      <c r="BD19" s="385" t="s">
        <v>2749</v>
      </c>
      <c r="BE19" s="125"/>
      <c r="BF19" s="125"/>
      <c r="BG19" s="125"/>
      <c r="BH19" s="377"/>
      <c r="BI19" s="125"/>
      <c r="BJ19" s="125"/>
      <c r="BK19" s="125"/>
    </row>
    <row r="20" spans="1:63" ht="15.6" x14ac:dyDescent="0.3">
      <c r="A20" s="124" t="s">
        <v>1956</v>
      </c>
      <c r="B20" s="372"/>
      <c r="C20" s="377"/>
      <c r="D20" s="377"/>
      <c r="E20" s="375"/>
      <c r="F20" s="377"/>
      <c r="G20" s="377"/>
      <c r="H20" s="375"/>
      <c r="I20" s="377"/>
      <c r="J20" s="386"/>
      <c r="K20" s="380"/>
      <c r="L20" s="379" t="s">
        <v>2750</v>
      </c>
      <c r="M20" s="386"/>
      <c r="N20" s="386"/>
      <c r="O20" s="386"/>
      <c r="P20" s="386"/>
      <c r="Q20" s="386"/>
      <c r="R20" s="386"/>
      <c r="S20" s="386"/>
      <c r="T20" s="386"/>
      <c r="U20" s="375"/>
      <c r="V20" s="372"/>
      <c r="W20" s="372"/>
      <c r="X20" s="372"/>
      <c r="Y20" s="372"/>
      <c r="Z20" s="372"/>
      <c r="AA20" s="372"/>
      <c r="AB20" s="372"/>
      <c r="AC20" s="372"/>
      <c r="AD20" s="377"/>
      <c r="AE20" s="372"/>
      <c r="AF20" s="372"/>
      <c r="AG20" s="125"/>
      <c r="AH20" s="372"/>
      <c r="AI20" s="372"/>
      <c r="AJ20" s="372"/>
      <c r="AK20" s="372"/>
      <c r="AL20" s="372"/>
      <c r="AM20" s="372"/>
      <c r="AN20" s="372"/>
      <c r="AO20" s="372"/>
      <c r="AP20" s="125"/>
      <c r="AQ20" s="125"/>
      <c r="AR20" s="125"/>
      <c r="AS20" s="125"/>
      <c r="AT20" s="125"/>
      <c r="AU20" s="386"/>
      <c r="AV20" s="380"/>
      <c r="AW20" s="380"/>
      <c r="AX20" s="380"/>
      <c r="AY20" s="380"/>
      <c r="AZ20" s="380"/>
      <c r="BA20" s="386"/>
      <c r="BB20" s="386"/>
      <c r="BC20" s="386"/>
      <c r="BD20" s="386"/>
      <c r="BE20" s="125"/>
      <c r="BF20" s="125"/>
      <c r="BG20" s="125"/>
      <c r="BH20" s="379" t="s">
        <v>2751</v>
      </c>
      <c r="BI20" s="125"/>
      <c r="BJ20" s="125"/>
      <c r="BK20" s="125"/>
    </row>
    <row r="21" spans="1:63" ht="15.75" customHeight="1" x14ac:dyDescent="0.3">
      <c r="A21" s="124" t="s">
        <v>1958</v>
      </c>
      <c r="B21" s="373"/>
      <c r="C21" s="377"/>
      <c r="D21" s="377"/>
      <c r="E21" s="376"/>
      <c r="F21" s="377"/>
      <c r="G21" s="377"/>
      <c r="H21" s="376"/>
      <c r="I21" s="377"/>
      <c r="J21" s="387"/>
      <c r="K21" s="381"/>
      <c r="L21" s="380"/>
      <c r="M21" s="387"/>
      <c r="N21" s="387"/>
      <c r="O21" s="387"/>
      <c r="P21" s="387"/>
      <c r="Q21" s="387"/>
      <c r="R21" s="387"/>
      <c r="S21" s="387"/>
      <c r="T21" s="387"/>
      <c r="U21" s="376"/>
      <c r="V21" s="373"/>
      <c r="W21" s="373"/>
      <c r="X21" s="373"/>
      <c r="Y21" s="373"/>
      <c r="Z21" s="373"/>
      <c r="AA21" s="373"/>
      <c r="AB21" s="373"/>
      <c r="AC21" s="373"/>
      <c r="AD21" s="377"/>
      <c r="AE21" s="373"/>
      <c r="AF21" s="373"/>
      <c r="AG21" s="125"/>
      <c r="AH21" s="373"/>
      <c r="AI21" s="373"/>
      <c r="AJ21" s="373"/>
      <c r="AK21" s="373"/>
      <c r="AL21" s="373"/>
      <c r="AM21" s="373"/>
      <c r="AN21" s="373"/>
      <c r="AO21" s="373"/>
      <c r="AP21" s="125"/>
      <c r="AQ21" s="125"/>
      <c r="AR21" s="125"/>
      <c r="AS21" s="125"/>
      <c r="AT21" s="125"/>
      <c r="AU21" s="387"/>
      <c r="AV21" s="380"/>
      <c r="AW21" s="381"/>
      <c r="AX21" s="381"/>
      <c r="AY21" s="381"/>
      <c r="AZ21" s="381"/>
      <c r="BA21" s="387"/>
      <c r="BB21" s="387"/>
      <c r="BC21" s="387"/>
      <c r="BD21" s="387"/>
      <c r="BE21" s="125"/>
      <c r="BF21" s="125"/>
      <c r="BG21" s="125"/>
      <c r="BH21" s="380"/>
      <c r="BI21" s="125"/>
      <c r="BJ21" s="125"/>
      <c r="BK21" s="125"/>
    </row>
    <row r="22" spans="1:63" ht="15.6" x14ac:dyDescent="0.3">
      <c r="A22" s="124" t="s">
        <v>1959</v>
      </c>
      <c r="B22" s="262" t="s">
        <v>1734</v>
      </c>
      <c r="C22" s="377" t="s">
        <v>2752</v>
      </c>
      <c r="D22" s="377" t="s">
        <v>2753</v>
      </c>
      <c r="E22" s="377" t="s">
        <v>2754</v>
      </c>
      <c r="F22" s="262" t="s">
        <v>1716</v>
      </c>
      <c r="G22" s="262" t="s">
        <v>1716</v>
      </c>
      <c r="H22" s="374" t="s">
        <v>2210</v>
      </c>
      <c r="I22" s="379" t="s">
        <v>2755</v>
      </c>
      <c r="J22" s="385" t="s">
        <v>2211</v>
      </c>
      <c r="K22" s="262" t="s">
        <v>1734</v>
      </c>
      <c r="L22" s="380"/>
      <c r="M22" s="379" t="s">
        <v>2756</v>
      </c>
      <c r="N22" s="385" t="s">
        <v>2213</v>
      </c>
      <c r="O22" s="385" t="s">
        <v>2757</v>
      </c>
      <c r="P22" s="385" t="s">
        <v>2215</v>
      </c>
      <c r="Q22" s="385" t="s">
        <v>2216</v>
      </c>
      <c r="R22" s="385" t="s">
        <v>2217</v>
      </c>
      <c r="S22" s="385" t="s">
        <v>2218</v>
      </c>
      <c r="T22" s="400" t="s">
        <v>2219</v>
      </c>
      <c r="U22" s="403" t="s">
        <v>2220</v>
      </c>
      <c r="V22" s="371" t="s">
        <v>2758</v>
      </c>
      <c r="W22" s="371" t="s">
        <v>2759</v>
      </c>
      <c r="X22" s="371" t="s">
        <v>2760</v>
      </c>
      <c r="Y22" s="371" t="s">
        <v>2761</v>
      </c>
      <c r="Z22" s="371" t="s">
        <v>2762</v>
      </c>
      <c r="AA22" s="371" t="s">
        <v>2763</v>
      </c>
      <c r="AB22" s="262" t="s">
        <v>1734</v>
      </c>
      <c r="AC22" s="262" t="s">
        <v>1734</v>
      </c>
      <c r="AD22" s="377"/>
      <c r="AE22" s="262" t="s">
        <v>1734</v>
      </c>
      <c r="AF22" s="371" t="s">
        <v>2764</v>
      </c>
      <c r="AG22" s="125"/>
      <c r="AH22" s="378" t="s">
        <v>2765</v>
      </c>
      <c r="AI22" s="371" t="s">
        <v>2766</v>
      </c>
      <c r="AJ22" s="371" t="s">
        <v>2767</v>
      </c>
      <c r="AK22" s="398" t="s">
        <v>2768</v>
      </c>
      <c r="AL22" s="262" t="s">
        <v>1734</v>
      </c>
      <c r="AM22" s="262" t="s">
        <v>1734</v>
      </c>
      <c r="AN22" s="371" t="s">
        <v>2769</v>
      </c>
      <c r="AO22" s="371" t="s">
        <v>2686</v>
      </c>
      <c r="AP22" s="125"/>
      <c r="AQ22" s="125"/>
      <c r="AR22" s="125"/>
      <c r="AS22" s="125"/>
      <c r="AT22" s="125"/>
      <c r="AU22" s="379" t="s">
        <v>2770</v>
      </c>
      <c r="AV22" s="381"/>
      <c r="AW22" s="379" t="s">
        <v>2771</v>
      </c>
      <c r="AX22" s="379" t="s">
        <v>2772</v>
      </c>
      <c r="AY22" s="385" t="s">
        <v>2773</v>
      </c>
      <c r="AZ22" s="379" t="s">
        <v>2774</v>
      </c>
      <c r="BA22" s="379" t="s">
        <v>2775</v>
      </c>
      <c r="BB22" s="262" t="s">
        <v>1734</v>
      </c>
      <c r="BC22" s="385" t="s">
        <v>2776</v>
      </c>
      <c r="BD22" s="385" t="s">
        <v>2777</v>
      </c>
      <c r="BE22" s="125"/>
      <c r="BF22" s="125"/>
      <c r="BG22" s="125"/>
      <c r="BH22" s="380"/>
      <c r="BI22" s="125"/>
      <c r="BJ22" s="125"/>
      <c r="BK22" s="125"/>
    </row>
    <row r="23" spans="1:63" ht="15.6" x14ac:dyDescent="0.3">
      <c r="A23" s="124" t="s">
        <v>1980</v>
      </c>
      <c r="B23" s="262"/>
      <c r="C23" s="377"/>
      <c r="D23" s="377"/>
      <c r="E23" s="377"/>
      <c r="F23" s="377" t="s">
        <v>2778</v>
      </c>
      <c r="G23" s="377" t="s">
        <v>2578</v>
      </c>
      <c r="H23" s="375"/>
      <c r="I23" s="380"/>
      <c r="J23" s="386"/>
      <c r="K23" s="262"/>
      <c r="L23" s="380"/>
      <c r="M23" s="380"/>
      <c r="N23" s="386"/>
      <c r="O23" s="386"/>
      <c r="P23" s="386"/>
      <c r="Q23" s="386"/>
      <c r="R23" s="386"/>
      <c r="S23" s="386"/>
      <c r="T23" s="401"/>
      <c r="U23" s="404"/>
      <c r="V23" s="372"/>
      <c r="W23" s="372"/>
      <c r="X23" s="372"/>
      <c r="Y23" s="372"/>
      <c r="Z23" s="372"/>
      <c r="AA23" s="372"/>
      <c r="AB23" s="125"/>
      <c r="AC23" s="125"/>
      <c r="AD23" s="262" t="s">
        <v>1734</v>
      </c>
      <c r="AE23" s="125"/>
      <c r="AF23" s="372"/>
      <c r="AG23" s="125"/>
      <c r="AH23" s="378"/>
      <c r="AI23" s="372"/>
      <c r="AJ23" s="372"/>
      <c r="AK23" s="372"/>
      <c r="AL23" s="125"/>
      <c r="AM23" s="125"/>
      <c r="AN23" s="372"/>
      <c r="AO23" s="372"/>
      <c r="AP23" s="125"/>
      <c r="AQ23" s="125"/>
      <c r="AR23" s="125"/>
      <c r="AS23" s="125"/>
      <c r="AT23" s="125"/>
      <c r="AU23" s="380"/>
      <c r="AV23" s="262" t="s">
        <v>1734</v>
      </c>
      <c r="AW23" s="380"/>
      <c r="AX23" s="380"/>
      <c r="AY23" s="386"/>
      <c r="AZ23" s="380"/>
      <c r="BA23" s="380"/>
      <c r="BB23" s="125"/>
      <c r="BC23" s="386"/>
      <c r="BD23" s="386"/>
      <c r="BE23" s="125"/>
      <c r="BF23" s="125"/>
      <c r="BG23" s="125"/>
      <c r="BH23" s="380"/>
      <c r="BI23" s="125"/>
      <c r="BJ23" s="125"/>
      <c r="BK23" s="125"/>
    </row>
    <row r="24" spans="1:63" ht="15.75" customHeight="1" x14ac:dyDescent="0.3">
      <c r="A24" s="124" t="s">
        <v>1981</v>
      </c>
      <c r="B24" s="262"/>
      <c r="C24" s="377"/>
      <c r="D24" s="377"/>
      <c r="E24" s="377"/>
      <c r="F24" s="377"/>
      <c r="G24" s="377"/>
      <c r="H24" s="376"/>
      <c r="I24" s="380"/>
      <c r="J24" s="387"/>
      <c r="K24" s="262"/>
      <c r="L24" s="380"/>
      <c r="M24" s="380"/>
      <c r="N24" s="387"/>
      <c r="O24" s="387"/>
      <c r="P24" s="387"/>
      <c r="Q24" s="387"/>
      <c r="R24" s="387"/>
      <c r="S24" s="387"/>
      <c r="T24" s="402"/>
      <c r="U24" s="405"/>
      <c r="V24" s="373"/>
      <c r="W24" s="373"/>
      <c r="X24" s="373"/>
      <c r="Y24" s="373"/>
      <c r="Z24" s="373"/>
      <c r="AA24" s="373"/>
      <c r="AB24" s="125"/>
      <c r="AC24" s="125"/>
      <c r="AD24" s="125"/>
      <c r="AE24" s="125"/>
      <c r="AF24" s="373"/>
      <c r="AG24" s="125"/>
      <c r="AH24" s="262" t="s">
        <v>1734</v>
      </c>
      <c r="AI24" s="373"/>
      <c r="AJ24" s="373"/>
      <c r="AK24" s="373"/>
      <c r="AL24" s="125"/>
      <c r="AM24" s="125"/>
      <c r="AN24" s="373"/>
      <c r="AO24" s="373"/>
      <c r="AP24" s="125"/>
      <c r="AQ24" s="125"/>
      <c r="AR24" s="125"/>
      <c r="AS24" s="125"/>
      <c r="AT24" s="125"/>
      <c r="AU24" s="380"/>
      <c r="AV24" s="125"/>
      <c r="AW24" s="380"/>
      <c r="AX24" s="380"/>
      <c r="AY24" s="387"/>
      <c r="AZ24" s="380"/>
      <c r="BA24" s="380"/>
      <c r="BB24" s="125"/>
      <c r="BC24" s="387"/>
      <c r="BD24" s="387"/>
      <c r="BE24" s="125"/>
      <c r="BF24" s="125"/>
      <c r="BG24" s="125"/>
      <c r="BH24" s="380"/>
      <c r="BI24" s="125"/>
      <c r="BJ24" s="125"/>
      <c r="BK24" s="125"/>
    </row>
    <row r="25" spans="1:63" ht="15.6" x14ac:dyDescent="0.3">
      <c r="A25" s="124" t="s">
        <v>1982</v>
      </c>
      <c r="B25" s="262"/>
      <c r="C25" s="377"/>
      <c r="D25" s="377"/>
      <c r="E25" s="377"/>
      <c r="F25" s="377"/>
      <c r="G25" s="377"/>
      <c r="H25" s="262" t="s">
        <v>1734</v>
      </c>
      <c r="I25" s="380"/>
      <c r="J25" s="262" t="s">
        <v>1734</v>
      </c>
      <c r="K25" s="262"/>
      <c r="L25" s="381"/>
      <c r="M25" s="380"/>
      <c r="N25" s="262" t="s">
        <v>1734</v>
      </c>
      <c r="O25" s="262" t="s">
        <v>1734</v>
      </c>
      <c r="P25" s="262" t="s">
        <v>1734</v>
      </c>
      <c r="Q25" s="262" t="s">
        <v>1734</v>
      </c>
      <c r="R25" s="262" t="s">
        <v>1734</v>
      </c>
      <c r="S25" s="262" t="s">
        <v>1734</v>
      </c>
      <c r="T25" s="262" t="s">
        <v>1734</v>
      </c>
      <c r="U25" s="262" t="s">
        <v>1734</v>
      </c>
      <c r="V25" s="262" t="s">
        <v>1734</v>
      </c>
      <c r="W25" s="262" t="s">
        <v>1734</v>
      </c>
      <c r="X25" s="262" t="s">
        <v>1734</v>
      </c>
      <c r="Y25" s="262" t="s">
        <v>1734</v>
      </c>
      <c r="Z25" s="262" t="s">
        <v>1734</v>
      </c>
      <c r="AA25" s="262" t="s">
        <v>1734</v>
      </c>
      <c r="AB25" s="125"/>
      <c r="AC25" s="125"/>
      <c r="AD25" s="125"/>
      <c r="AE25" s="125"/>
      <c r="AF25" s="262" t="s">
        <v>1734</v>
      </c>
      <c r="AG25" s="125"/>
      <c r="AH25" s="125"/>
      <c r="AI25" s="262" t="s">
        <v>1734</v>
      </c>
      <c r="AJ25" s="262" t="s">
        <v>1734</v>
      </c>
      <c r="AK25" s="262" t="s">
        <v>1734</v>
      </c>
      <c r="AL25" s="125"/>
      <c r="AM25" s="125"/>
      <c r="AN25" s="262" t="s">
        <v>1734</v>
      </c>
      <c r="AO25" s="262" t="s">
        <v>1734</v>
      </c>
      <c r="AP25" s="125"/>
      <c r="AQ25" s="125"/>
      <c r="AR25" s="125"/>
      <c r="AS25" s="125"/>
      <c r="AT25" s="125"/>
      <c r="AU25" s="380"/>
      <c r="AV25" s="125"/>
      <c r="AW25" s="380"/>
      <c r="AX25" s="380"/>
      <c r="AY25" s="262" t="s">
        <v>1734</v>
      </c>
      <c r="AZ25" s="380"/>
      <c r="BA25" s="380"/>
      <c r="BB25" s="125"/>
      <c r="BC25" s="262" t="s">
        <v>1734</v>
      </c>
      <c r="BD25" s="262" t="s">
        <v>1734</v>
      </c>
      <c r="BE25" s="125"/>
      <c r="BF25" s="125"/>
      <c r="BG25" s="125"/>
      <c r="BH25" s="381"/>
      <c r="BI25" s="125"/>
      <c r="BJ25" s="125"/>
      <c r="BK25" s="125"/>
    </row>
    <row r="26" spans="1:63" ht="15.6" x14ac:dyDescent="0.3">
      <c r="A26" s="124" t="s">
        <v>1983</v>
      </c>
      <c r="B26" s="262"/>
      <c r="C26" s="262" t="s">
        <v>1734</v>
      </c>
      <c r="D26" s="262" t="s">
        <v>1734</v>
      </c>
      <c r="E26" s="262" t="s">
        <v>1734</v>
      </c>
      <c r="F26" s="377"/>
      <c r="G26" s="377"/>
      <c r="H26" s="262"/>
      <c r="I26" s="380"/>
      <c r="J26" s="125"/>
      <c r="K26" s="262"/>
      <c r="L26" s="262" t="s">
        <v>1734</v>
      </c>
      <c r="M26" s="380"/>
      <c r="N26" s="262"/>
      <c r="O26" s="125"/>
      <c r="P26" s="262"/>
      <c r="Q26" s="262"/>
      <c r="R26" s="262"/>
      <c r="S26" s="262"/>
      <c r="T26" s="262"/>
      <c r="U26" s="262"/>
      <c r="V26" s="262"/>
      <c r="W26" s="262"/>
      <c r="X26" s="262"/>
      <c r="Y26" s="262"/>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380"/>
      <c r="AV26" s="125"/>
      <c r="AW26" s="380"/>
      <c r="AX26" s="380"/>
      <c r="AY26" s="125"/>
      <c r="AZ26" s="380"/>
      <c r="BA26" s="380"/>
      <c r="BB26" s="125"/>
      <c r="BC26" s="125"/>
      <c r="BD26" s="125"/>
      <c r="BE26" s="125"/>
      <c r="BF26" s="125"/>
      <c r="BG26" s="125"/>
      <c r="BH26" s="262" t="s">
        <v>1734</v>
      </c>
      <c r="BI26" s="125"/>
      <c r="BJ26" s="125"/>
      <c r="BK26" s="125"/>
    </row>
    <row r="27" spans="1:63" ht="15.6" x14ac:dyDescent="0.3">
      <c r="A27" s="124" t="s">
        <v>1984</v>
      </c>
      <c r="B27" s="262"/>
      <c r="C27" s="125"/>
      <c r="D27" s="262"/>
      <c r="E27" s="262"/>
      <c r="F27" s="262" t="s">
        <v>2779</v>
      </c>
      <c r="G27" s="262" t="s">
        <v>1734</v>
      </c>
      <c r="H27" s="262"/>
      <c r="I27" s="381"/>
      <c r="J27" s="262"/>
      <c r="K27" s="262"/>
      <c r="L27" s="262"/>
      <c r="M27" s="381"/>
      <c r="N27" s="262"/>
      <c r="O27" s="262"/>
      <c r="P27" s="262"/>
      <c r="Q27" s="262"/>
      <c r="R27" s="262"/>
      <c r="S27" s="262"/>
      <c r="T27" s="262"/>
      <c r="U27" s="262"/>
      <c r="V27" s="262"/>
      <c r="W27" s="262"/>
      <c r="X27" s="262"/>
      <c r="Y27" s="262"/>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381"/>
      <c r="AV27" s="125"/>
      <c r="AW27" s="381"/>
      <c r="AX27" s="381"/>
      <c r="AY27" s="125"/>
      <c r="AZ27" s="381"/>
      <c r="BA27" s="381"/>
      <c r="BB27" s="125"/>
      <c r="BC27" s="125"/>
      <c r="BD27" s="125"/>
      <c r="BE27" s="125"/>
      <c r="BF27" s="125"/>
      <c r="BG27" s="125"/>
      <c r="BH27" s="125"/>
      <c r="BI27" s="125"/>
      <c r="BJ27" s="125"/>
      <c r="BK27" s="125"/>
    </row>
    <row r="28" spans="1:63" ht="15.6" x14ac:dyDescent="0.3">
      <c r="A28" s="124" t="s">
        <v>1985</v>
      </c>
      <c r="B28" s="262"/>
      <c r="C28" s="125"/>
      <c r="D28" s="262"/>
      <c r="E28" s="262"/>
      <c r="F28" s="262"/>
      <c r="G28" s="262"/>
      <c r="H28" s="262"/>
      <c r="I28" s="262" t="s">
        <v>1734</v>
      </c>
      <c r="J28" s="262"/>
      <c r="K28" s="262"/>
      <c r="L28" s="262"/>
      <c r="M28" s="262" t="s">
        <v>1734</v>
      </c>
      <c r="N28" s="262"/>
      <c r="O28" s="262"/>
      <c r="P28" s="262"/>
      <c r="Q28" s="262"/>
      <c r="R28" s="262"/>
      <c r="S28" s="262"/>
      <c r="T28" s="262"/>
      <c r="U28" s="262"/>
      <c r="V28" s="262"/>
      <c r="W28" s="262"/>
      <c r="X28" s="262"/>
      <c r="Y28" s="262"/>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262" t="s">
        <v>1734</v>
      </c>
      <c r="AV28" s="125"/>
      <c r="AW28" s="262" t="s">
        <v>1734</v>
      </c>
      <c r="AX28" s="262" t="s">
        <v>1734</v>
      </c>
      <c r="AY28" s="125"/>
      <c r="AZ28" s="262" t="s">
        <v>1734</v>
      </c>
      <c r="BA28" s="262" t="s">
        <v>1734</v>
      </c>
      <c r="BB28" s="125"/>
      <c r="BC28" s="125"/>
      <c r="BD28" s="125"/>
      <c r="BE28" s="125"/>
      <c r="BF28" s="125"/>
      <c r="BG28" s="125"/>
      <c r="BH28" s="125"/>
      <c r="BI28" s="125"/>
      <c r="BJ28" s="125"/>
      <c r="BK28" s="125"/>
    </row>
    <row r="29" spans="1:63" ht="15.6" x14ac:dyDescent="0.3">
      <c r="A29" s="124" t="s">
        <v>1986</v>
      </c>
      <c r="B29" s="262"/>
      <c r="C29" s="125"/>
      <c r="D29" s="262"/>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row>
    <row r="30" spans="1:63" ht="15.6" x14ac:dyDescent="0.3">
      <c r="A30" s="124" t="s">
        <v>1987</v>
      </c>
      <c r="B30" s="262"/>
      <c r="C30" s="262"/>
      <c r="D30" s="262"/>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row>
    <row r="31" spans="1:63" ht="16.5" customHeight="1" x14ac:dyDescent="0.3">
      <c r="A31" s="126" t="s">
        <v>1988</v>
      </c>
      <c r="B31" s="264"/>
      <c r="C31" s="127"/>
      <c r="D31" s="262"/>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row>
    <row r="32" spans="1:63" s="114" customFormat="1" ht="24" customHeight="1" x14ac:dyDescent="0.3">
      <c r="A32" s="111" t="s">
        <v>1989</v>
      </c>
      <c r="B32" s="112">
        <f t="shared" ref="B32:AG32" ca="1" si="0">IF(COUNTA(B$4:B$31)=0,"",(COUNTA(TIME)-COUNTIF(B$33:B$60,TRUE))/COUNTA(TIME))</f>
        <v>1</v>
      </c>
      <c r="C32" s="113">
        <f t="shared" ca="1" si="0"/>
        <v>1</v>
      </c>
      <c r="D32" s="113">
        <f t="shared" ca="1" si="0"/>
        <v>1</v>
      </c>
      <c r="E32" s="113">
        <f t="shared" ca="1" si="0"/>
        <v>1</v>
      </c>
      <c r="F32" s="113">
        <f t="shared" ca="1" si="0"/>
        <v>1</v>
      </c>
      <c r="G32" s="113">
        <f t="shared" ca="1" si="0"/>
        <v>1</v>
      </c>
      <c r="H32" s="113">
        <f t="shared" ca="1" si="0"/>
        <v>1</v>
      </c>
      <c r="I32" s="113">
        <f t="shared" ca="1" si="0"/>
        <v>1</v>
      </c>
      <c r="J32" s="113">
        <f t="shared" ca="1" si="0"/>
        <v>1</v>
      </c>
      <c r="K32" s="113">
        <f t="shared" ca="1" si="0"/>
        <v>1</v>
      </c>
      <c r="L32" s="113">
        <f t="shared" ca="1" si="0"/>
        <v>1</v>
      </c>
      <c r="M32" s="113">
        <f t="shared" ca="1" si="0"/>
        <v>1</v>
      </c>
      <c r="N32" s="113">
        <f t="shared" ca="1" si="0"/>
        <v>1</v>
      </c>
      <c r="O32" s="113">
        <f t="shared" ca="1" si="0"/>
        <v>1</v>
      </c>
      <c r="P32" s="113">
        <f t="shared" ca="1" si="0"/>
        <v>1</v>
      </c>
      <c r="Q32" s="113">
        <f t="shared" ca="1" si="0"/>
        <v>1</v>
      </c>
      <c r="R32" s="113">
        <f t="shared" ca="1" si="0"/>
        <v>1</v>
      </c>
      <c r="S32" s="113">
        <f t="shared" ca="1" si="0"/>
        <v>1</v>
      </c>
      <c r="T32" s="113">
        <f t="shared" ca="1" si="0"/>
        <v>1</v>
      </c>
      <c r="U32" s="113">
        <f t="shared" ca="1" si="0"/>
        <v>1</v>
      </c>
      <c r="V32" s="113">
        <f t="shared" ca="1" si="0"/>
        <v>1</v>
      </c>
      <c r="W32" s="113">
        <f t="shared" ca="1" si="0"/>
        <v>1</v>
      </c>
      <c r="X32" s="113">
        <f t="shared" ca="1" si="0"/>
        <v>1</v>
      </c>
      <c r="Y32" s="113">
        <f t="shared" ca="1" si="0"/>
        <v>1</v>
      </c>
      <c r="Z32" s="113">
        <f t="shared" ca="1" si="0"/>
        <v>1</v>
      </c>
      <c r="AA32" s="113">
        <f t="shared" ca="1" si="0"/>
        <v>1</v>
      </c>
      <c r="AB32" s="113">
        <f t="shared" ca="1" si="0"/>
        <v>1</v>
      </c>
      <c r="AC32" s="113">
        <f t="shared" ca="1" si="0"/>
        <v>1</v>
      </c>
      <c r="AD32" s="113">
        <f t="shared" ca="1" si="0"/>
        <v>1</v>
      </c>
      <c r="AE32" s="113">
        <f t="shared" ca="1" si="0"/>
        <v>1</v>
      </c>
      <c r="AF32" s="113">
        <f t="shared" ca="1" si="0"/>
        <v>1</v>
      </c>
      <c r="AG32" s="113">
        <f t="shared" ca="1" si="0"/>
        <v>1</v>
      </c>
      <c r="AH32" s="113">
        <f t="shared" ref="AH32:BK32" ca="1" si="1">IF(COUNTA(AH$4:AH$31)=0,"",(COUNTA(TIME)-COUNTIF(AH$33:AH$60,TRUE))/COUNTA(TIME))</f>
        <v>1</v>
      </c>
      <c r="AI32" s="113">
        <f t="shared" ca="1" si="1"/>
        <v>1</v>
      </c>
      <c r="AJ32" s="113">
        <f t="shared" ca="1" si="1"/>
        <v>1</v>
      </c>
      <c r="AK32" s="113">
        <f t="shared" ca="1" si="1"/>
        <v>1</v>
      </c>
      <c r="AL32" s="113">
        <f t="shared" ca="1" si="1"/>
        <v>1</v>
      </c>
      <c r="AM32" s="113">
        <f t="shared" ca="1" si="1"/>
        <v>1</v>
      </c>
      <c r="AN32" s="113">
        <f t="shared" ca="1" si="1"/>
        <v>1</v>
      </c>
      <c r="AO32" s="113">
        <f t="shared" ca="1" si="1"/>
        <v>1</v>
      </c>
      <c r="AP32" s="113" t="str">
        <f t="shared" si="1"/>
        <v/>
      </c>
      <c r="AQ32" s="113" t="str">
        <f t="shared" si="1"/>
        <v/>
      </c>
      <c r="AR32" s="113" t="str">
        <f t="shared" si="1"/>
        <v/>
      </c>
      <c r="AS32" s="113" t="str">
        <f t="shared" si="1"/>
        <v/>
      </c>
      <c r="AT32" s="113" t="str">
        <f t="shared" si="1"/>
        <v/>
      </c>
      <c r="AU32" s="113">
        <f t="shared" ca="1" si="1"/>
        <v>1</v>
      </c>
      <c r="AV32" s="113">
        <f t="shared" ca="1" si="1"/>
        <v>1</v>
      </c>
      <c r="AW32" s="113">
        <f t="shared" ca="1" si="1"/>
        <v>1</v>
      </c>
      <c r="AX32" s="113">
        <f t="shared" ca="1" si="1"/>
        <v>1</v>
      </c>
      <c r="AY32" s="113">
        <f t="shared" ca="1" si="1"/>
        <v>1</v>
      </c>
      <c r="AZ32" s="113">
        <f t="shared" ca="1" si="1"/>
        <v>1</v>
      </c>
      <c r="BA32" s="113">
        <f t="shared" ca="1" si="1"/>
        <v>1</v>
      </c>
      <c r="BB32" s="113">
        <f t="shared" ca="1" si="1"/>
        <v>1</v>
      </c>
      <c r="BC32" s="113">
        <f t="shared" ca="1" si="1"/>
        <v>1</v>
      </c>
      <c r="BD32" s="113">
        <f t="shared" ca="1" si="1"/>
        <v>1</v>
      </c>
      <c r="BE32" s="113">
        <f t="shared" ca="1" si="1"/>
        <v>1</v>
      </c>
      <c r="BF32" s="113">
        <f t="shared" ca="1" si="1"/>
        <v>1</v>
      </c>
      <c r="BG32" s="113">
        <f t="shared" ca="1" si="1"/>
        <v>1</v>
      </c>
      <c r="BH32" s="113">
        <f t="shared" ca="1" si="1"/>
        <v>1</v>
      </c>
      <c r="BI32" s="113" t="str">
        <f t="shared" si="1"/>
        <v/>
      </c>
      <c r="BJ32" s="113" t="str">
        <f t="shared" si="1"/>
        <v/>
      </c>
      <c r="BK32" s="113" t="str">
        <f t="shared" si="1"/>
        <v/>
      </c>
    </row>
    <row r="33" spans="2:63" x14ac:dyDescent="0.3">
      <c r="B33" s="128" t="e" cm="1">
        <f t="array" aca="1" ref="B33" ca="1">Notmerged(B4)</f>
        <v>#NAME?</v>
      </c>
      <c r="C33" s="128" t="e" cm="1">
        <f t="array" aca="1" ref="C33" ca="1">Notmerged(C4)</f>
        <v>#NAME?</v>
      </c>
      <c r="D33" s="128" t="e" cm="1">
        <f t="array" aca="1" ref="D33" ca="1">Notmerged(D4)</f>
        <v>#NAME?</v>
      </c>
      <c r="E33" s="128" t="e" cm="1">
        <f t="array" aca="1" ref="E33" ca="1">Notmerged(E4)</f>
        <v>#NAME?</v>
      </c>
      <c r="F33" s="128" t="e" cm="1">
        <f t="array" aca="1" ref="F33" ca="1">Notmerged(F4)</f>
        <v>#NAME?</v>
      </c>
      <c r="G33" s="128" t="e" cm="1">
        <f t="array" aca="1" ref="G33" ca="1">Notmerged(G4)</f>
        <v>#NAME?</v>
      </c>
      <c r="H33" s="128" t="e" cm="1">
        <f t="array" aca="1" ref="H33" ca="1">Notmerged(H4)</f>
        <v>#NAME?</v>
      </c>
      <c r="I33" s="128" t="e" cm="1">
        <f t="array" aca="1" ref="I33" ca="1">Notmerged(I4)</f>
        <v>#NAME?</v>
      </c>
      <c r="J33" s="128" t="e" cm="1">
        <f t="array" aca="1" ref="J33" ca="1">Notmerged(J4)</f>
        <v>#NAME?</v>
      </c>
      <c r="K33" s="128" t="e" cm="1">
        <f t="array" aca="1" ref="K33" ca="1">Notmerged(K4)</f>
        <v>#NAME?</v>
      </c>
      <c r="L33" s="128" t="e" cm="1">
        <f t="array" aca="1" ref="L33" ca="1">Notmerged(L4)</f>
        <v>#NAME?</v>
      </c>
      <c r="M33" s="128" t="e" cm="1">
        <f t="array" aca="1" ref="M33" ca="1">Notmerged(M4)</f>
        <v>#NAME?</v>
      </c>
      <c r="N33" s="128" t="e" cm="1">
        <f t="array" aca="1" ref="N33" ca="1">Notmerged(N4)</f>
        <v>#NAME?</v>
      </c>
      <c r="O33" s="128" t="e" cm="1">
        <f t="array" aca="1" ref="O33" ca="1">Notmerged(O4)</f>
        <v>#NAME?</v>
      </c>
      <c r="P33" s="128" t="e" cm="1">
        <f t="array" aca="1" ref="P33" ca="1">Notmerged(P4)</f>
        <v>#NAME?</v>
      </c>
      <c r="Q33" s="128" t="e" cm="1">
        <f t="array" aca="1" ref="Q33" ca="1">Notmerged(Q4)</f>
        <v>#NAME?</v>
      </c>
      <c r="R33" s="128" t="e" cm="1">
        <f t="array" aca="1" ref="R33" ca="1">Notmerged(R4)</f>
        <v>#NAME?</v>
      </c>
      <c r="S33" s="128" t="e" cm="1">
        <f t="array" aca="1" ref="S33" ca="1">Notmerged(S4)</f>
        <v>#NAME?</v>
      </c>
      <c r="T33" s="128" t="e" cm="1">
        <f t="array" aca="1" ref="T33" ca="1">Notmerged(T4)</f>
        <v>#NAME?</v>
      </c>
      <c r="U33" s="128" t="e" cm="1">
        <f t="array" aca="1" ref="U33" ca="1">Notmerged(U4)</f>
        <v>#NAME?</v>
      </c>
      <c r="V33" s="128" t="e" cm="1">
        <f t="array" aca="1" ref="V33" ca="1">Notmerged(V4)</f>
        <v>#NAME?</v>
      </c>
      <c r="W33" s="128" t="e" cm="1">
        <f t="array" aca="1" ref="W33" ca="1">Notmerged(W4)</f>
        <v>#NAME?</v>
      </c>
      <c r="X33" s="128" t="e" cm="1">
        <f t="array" aca="1" ref="X33" ca="1">Notmerged(X4)</f>
        <v>#NAME?</v>
      </c>
      <c r="Y33" s="128" t="e" cm="1">
        <f t="array" aca="1" ref="Y33" ca="1">Notmerged(Y4)</f>
        <v>#NAME?</v>
      </c>
      <c r="Z33" s="128" t="e" cm="1">
        <f t="array" aca="1" ref="Z33" ca="1">Notmerged(Z4)</f>
        <v>#NAME?</v>
      </c>
      <c r="AA33" s="128" t="e" cm="1">
        <f t="array" aca="1" ref="AA33" ca="1">Notmerged(AA4)</f>
        <v>#NAME?</v>
      </c>
      <c r="AB33" s="128" t="e" cm="1">
        <f t="array" aca="1" ref="AB33" ca="1">Notmerged(AB4)</f>
        <v>#NAME?</v>
      </c>
      <c r="AC33" s="128" t="e" cm="1">
        <f t="array" aca="1" ref="AC33" ca="1">Notmerged(AC4)</f>
        <v>#NAME?</v>
      </c>
      <c r="AD33" s="128" t="e" cm="1">
        <f t="array" aca="1" ref="AD33" ca="1">Notmerged(AD4)</f>
        <v>#NAME?</v>
      </c>
      <c r="AE33" s="128" t="e" cm="1">
        <f t="array" aca="1" ref="AE33" ca="1">Notmerged(AE4)</f>
        <v>#NAME?</v>
      </c>
      <c r="AF33" s="128" t="e" cm="1">
        <f t="array" aca="1" ref="AF33" ca="1">Notmerged(AF4)</f>
        <v>#NAME?</v>
      </c>
      <c r="AG33" s="128" t="e" cm="1">
        <f t="array" aca="1" ref="AG33" ca="1">Notmerged(AG4)</f>
        <v>#NAME?</v>
      </c>
      <c r="AH33" s="128" t="e" cm="1">
        <f t="array" aca="1" ref="AH33" ca="1">Notmerged(AH4)</f>
        <v>#NAME?</v>
      </c>
      <c r="AI33" s="128" t="e" cm="1">
        <f t="array" aca="1" ref="AI33" ca="1">Notmerged(AI4)</f>
        <v>#NAME?</v>
      </c>
      <c r="AJ33" s="128" t="e" cm="1">
        <f t="array" aca="1" ref="AJ33" ca="1">Notmerged(AJ4)</f>
        <v>#NAME?</v>
      </c>
      <c r="AK33" s="128" t="e" cm="1">
        <f t="array" aca="1" ref="AK33" ca="1">Notmerged(AK4)</f>
        <v>#NAME?</v>
      </c>
      <c r="AL33" s="128" t="e" cm="1">
        <f t="array" aca="1" ref="AL33" ca="1">Notmerged(AL4)</f>
        <v>#NAME?</v>
      </c>
      <c r="AM33" s="128" t="e" cm="1">
        <f t="array" aca="1" ref="AM33" ca="1">Notmerged(AM4)</f>
        <v>#NAME?</v>
      </c>
      <c r="AN33" s="128" t="e" cm="1">
        <f t="array" aca="1" ref="AN33" ca="1">Notmerged(AN4)</f>
        <v>#NAME?</v>
      </c>
      <c r="AO33" s="128" t="e" cm="1">
        <f t="array" aca="1" ref="AO33" ca="1">Notmerged(AO4)</f>
        <v>#NAME?</v>
      </c>
      <c r="AP33" s="128" t="e" cm="1">
        <f t="array" aca="1" ref="AP33" ca="1">Notmerged(AP4)</f>
        <v>#NAME?</v>
      </c>
      <c r="AQ33" s="128" t="e" cm="1">
        <f t="array" aca="1" ref="AQ33" ca="1">Notmerged(AQ4)</f>
        <v>#NAME?</v>
      </c>
      <c r="AR33" s="128" t="e" cm="1">
        <f t="array" aca="1" ref="AR33" ca="1">Notmerged(AR4)</f>
        <v>#NAME?</v>
      </c>
      <c r="AS33" s="128" t="e" cm="1">
        <f t="array" aca="1" ref="AS33" ca="1">Notmerged(AS4)</f>
        <v>#NAME?</v>
      </c>
      <c r="AT33" s="128" t="e" cm="1">
        <f t="array" aca="1" ref="AT33" ca="1">Notmerged(AT4)</f>
        <v>#NAME?</v>
      </c>
      <c r="AU33" s="128" t="e" cm="1">
        <f t="array" aca="1" ref="AU33" ca="1">Notmerged(AU4)</f>
        <v>#NAME?</v>
      </c>
      <c r="AV33" s="128" t="e" cm="1">
        <f t="array" aca="1" ref="AV33" ca="1">Notmerged(AV4)</f>
        <v>#NAME?</v>
      </c>
      <c r="AW33" s="128" t="e" cm="1">
        <f t="array" aca="1" ref="AW33" ca="1">Notmerged(AW4)</f>
        <v>#NAME?</v>
      </c>
      <c r="AX33" s="128" t="e" cm="1">
        <f t="array" aca="1" ref="AX33" ca="1">Notmerged(AX4)</f>
        <v>#NAME?</v>
      </c>
      <c r="AY33" s="128" t="e" cm="1">
        <f t="array" aca="1" ref="AY33" ca="1">Notmerged(AY4)</f>
        <v>#NAME?</v>
      </c>
      <c r="AZ33" s="128" t="e" cm="1">
        <f t="array" aca="1" ref="AZ33" ca="1">Notmerged(AZ4)</f>
        <v>#NAME?</v>
      </c>
      <c r="BA33" s="128" t="e" cm="1">
        <f t="array" aca="1" ref="BA33" ca="1">Notmerged(BA4)</f>
        <v>#NAME?</v>
      </c>
      <c r="BB33" s="128" t="e" cm="1">
        <f t="array" aca="1" ref="BB33" ca="1">Notmerged(BB4)</f>
        <v>#NAME?</v>
      </c>
      <c r="BC33" s="128" t="e" cm="1">
        <f t="array" aca="1" ref="BC33" ca="1">Notmerged(BC4)</f>
        <v>#NAME?</v>
      </c>
      <c r="BD33" s="128" t="e" cm="1">
        <f t="array" aca="1" ref="BD33" ca="1">Notmerged(BD4)</f>
        <v>#NAME?</v>
      </c>
      <c r="BE33" s="128" t="e" cm="1">
        <f t="array" aca="1" ref="BE33" ca="1">Notmerged(BE4)</f>
        <v>#NAME?</v>
      </c>
      <c r="BF33" s="128" t="e" cm="1">
        <f t="array" aca="1" ref="BF33" ca="1">Notmerged(BF4)</f>
        <v>#NAME?</v>
      </c>
      <c r="BG33" s="128" t="e" cm="1">
        <f t="array" aca="1" ref="BG33" ca="1">Notmerged(BG4)</f>
        <v>#NAME?</v>
      </c>
      <c r="BH33" s="128" t="e" cm="1">
        <f t="array" aca="1" ref="BH33" ca="1">Notmerged(BH4)</f>
        <v>#NAME?</v>
      </c>
      <c r="BI33" s="128" t="e" cm="1">
        <f t="array" aca="1" ref="BI33" ca="1">Notmerged(BI4)</f>
        <v>#NAME?</v>
      </c>
      <c r="BJ33" s="128" t="e" cm="1">
        <f t="array" aca="1" ref="BJ33" ca="1">Notmerged(BJ4)</f>
        <v>#NAME?</v>
      </c>
      <c r="BK33" s="128" t="e" cm="1">
        <f t="array" aca="1" ref="BK33" ca="1">Notmerged(BK4)</f>
        <v>#NAME?</v>
      </c>
    </row>
    <row r="34" spans="2:63" x14ac:dyDescent="0.3">
      <c r="B34" s="128" t="e" cm="1">
        <f t="array" aca="1" ref="B34" ca="1">Notmerged(B5)</f>
        <v>#NAME?</v>
      </c>
      <c r="C34" s="128" t="e" cm="1">
        <f t="array" aca="1" ref="C34" ca="1">Notmerged(C6)</f>
        <v>#NAME?</v>
      </c>
      <c r="D34" s="128" t="e" cm="1">
        <f t="array" aca="1" ref="D34" ca="1">Notmerged(D5)</f>
        <v>#NAME?</v>
      </c>
      <c r="E34" s="128" t="e" cm="1">
        <f t="array" aca="1" ref="E34" ca="1">Notmerged(E5)</f>
        <v>#NAME?</v>
      </c>
      <c r="F34" s="128" t="e" cm="1">
        <f t="array" aca="1" ref="F34" ca="1">Notmerged(F5)</f>
        <v>#NAME?</v>
      </c>
      <c r="G34" s="128" t="e" cm="1">
        <f t="array" aca="1" ref="G34" ca="1">Notmerged(G5)</f>
        <v>#NAME?</v>
      </c>
      <c r="H34" s="128" t="e" cm="1">
        <f t="array" aca="1" ref="H34" ca="1">Notmerged(H5)</f>
        <v>#NAME?</v>
      </c>
      <c r="I34" s="128" t="e" cm="1">
        <f t="array" aca="1" ref="I34" ca="1">Notmerged(I5)</f>
        <v>#NAME?</v>
      </c>
      <c r="J34" s="128" t="e" cm="1">
        <f t="array" aca="1" ref="J34" ca="1">Notmerged(J5)</f>
        <v>#NAME?</v>
      </c>
      <c r="K34" s="128" t="e" cm="1">
        <f t="array" aca="1" ref="K34" ca="1">Notmerged(K5)</f>
        <v>#NAME?</v>
      </c>
      <c r="L34" s="128" t="e" cm="1">
        <f t="array" aca="1" ref="L34" ca="1">Notmerged(L5)</f>
        <v>#NAME?</v>
      </c>
      <c r="M34" s="128" t="e" cm="1">
        <f t="array" aca="1" ref="M34" ca="1">Notmerged(M5)</f>
        <v>#NAME?</v>
      </c>
      <c r="N34" s="128" t="e" cm="1">
        <f t="array" aca="1" ref="N34" ca="1">Notmerged(N5)</f>
        <v>#NAME?</v>
      </c>
      <c r="O34" s="128" t="e" cm="1">
        <f t="array" aca="1" ref="O34" ca="1">Notmerged(O5)</f>
        <v>#NAME?</v>
      </c>
      <c r="P34" s="128" t="e" cm="1">
        <f t="array" aca="1" ref="P34" ca="1">Notmerged(P5)</f>
        <v>#NAME?</v>
      </c>
      <c r="Q34" s="128" t="e" cm="1">
        <f t="array" aca="1" ref="Q34" ca="1">Notmerged(Q5)</f>
        <v>#NAME?</v>
      </c>
      <c r="R34" s="128" t="e" cm="1">
        <f t="array" aca="1" ref="R34" ca="1">Notmerged(R5)</f>
        <v>#NAME?</v>
      </c>
      <c r="S34" s="128" t="e" cm="1">
        <f t="array" aca="1" ref="S34" ca="1">Notmerged(S5)</f>
        <v>#NAME?</v>
      </c>
      <c r="T34" s="128" t="e" cm="1">
        <f t="array" aca="1" ref="T34" ca="1">Notmerged(T5)</f>
        <v>#NAME?</v>
      </c>
      <c r="U34" s="128" t="e" cm="1">
        <f t="array" aca="1" ref="U34" ca="1">Notmerged(U5)</f>
        <v>#NAME?</v>
      </c>
      <c r="V34" s="128" t="e" cm="1">
        <f t="array" aca="1" ref="V34" ca="1">Notmerged(V5)</f>
        <v>#NAME?</v>
      </c>
      <c r="W34" s="128" t="e" cm="1">
        <f t="array" aca="1" ref="W34" ca="1">Notmerged(W5)</f>
        <v>#NAME?</v>
      </c>
      <c r="X34" s="128" t="e" cm="1">
        <f t="array" aca="1" ref="X34" ca="1">Notmerged(X5)</f>
        <v>#NAME?</v>
      </c>
      <c r="Y34" s="128" t="e" cm="1">
        <f t="array" aca="1" ref="Y34" ca="1">Notmerged(Y5)</f>
        <v>#NAME?</v>
      </c>
      <c r="Z34" s="128" t="e" cm="1">
        <f t="array" aca="1" ref="Z34" ca="1">Notmerged(Z5)</f>
        <v>#NAME?</v>
      </c>
      <c r="AA34" s="128" t="e" cm="1">
        <f t="array" aca="1" ref="AA34" ca="1">Notmerged(AA5)</f>
        <v>#NAME?</v>
      </c>
      <c r="AB34" s="128" t="e" cm="1">
        <f t="array" aca="1" ref="AB34" ca="1">Notmerged(AB5)</f>
        <v>#NAME?</v>
      </c>
      <c r="AC34" s="128" t="e" cm="1">
        <f t="array" aca="1" ref="AC34" ca="1">Notmerged(AC5)</f>
        <v>#NAME?</v>
      </c>
      <c r="AD34" s="128" t="e" cm="1">
        <f t="array" aca="1" ref="AD34" ca="1">Notmerged(AD5)</f>
        <v>#NAME?</v>
      </c>
      <c r="AE34" s="128" t="e" cm="1">
        <f t="array" aca="1" ref="AE34" ca="1">Notmerged(AE5)</f>
        <v>#NAME?</v>
      </c>
      <c r="AF34" s="128" t="e" cm="1">
        <f t="array" aca="1" ref="AF34" ca="1">Notmerged(AF5)</f>
        <v>#NAME?</v>
      </c>
      <c r="AG34" s="128" t="e" cm="1">
        <f t="array" aca="1" ref="AG34" ca="1">Notmerged(AG5)</f>
        <v>#NAME?</v>
      </c>
      <c r="AH34" s="128" t="e" cm="1">
        <f t="array" aca="1" ref="AH34" ca="1">Notmerged(AH5)</f>
        <v>#NAME?</v>
      </c>
      <c r="AI34" s="128" t="e" cm="1">
        <f t="array" aca="1" ref="AI34" ca="1">Notmerged(AI5)</f>
        <v>#NAME?</v>
      </c>
      <c r="AJ34" s="128" t="e" cm="1">
        <f t="array" aca="1" ref="AJ34" ca="1">Notmerged(AJ5)</f>
        <v>#NAME?</v>
      </c>
      <c r="AK34" s="128" t="e" cm="1">
        <f t="array" aca="1" ref="AK34" ca="1">Notmerged(AK5)</f>
        <v>#NAME?</v>
      </c>
      <c r="AL34" s="128" t="e" cm="1">
        <f t="array" aca="1" ref="AL34" ca="1">Notmerged(AL5)</f>
        <v>#NAME?</v>
      </c>
      <c r="AM34" s="128" t="e" cm="1">
        <f t="array" aca="1" ref="AM34" ca="1">Notmerged(AM5)</f>
        <v>#NAME?</v>
      </c>
      <c r="AN34" s="128" t="e" cm="1">
        <f t="array" aca="1" ref="AN34" ca="1">Notmerged(AN5)</f>
        <v>#NAME?</v>
      </c>
      <c r="AO34" s="128" t="e" cm="1">
        <f t="array" aca="1" ref="AO34" ca="1">Notmerged(AO5)</f>
        <v>#NAME?</v>
      </c>
      <c r="AP34" s="128" t="e" cm="1">
        <f t="array" aca="1" ref="AP34" ca="1">Notmerged(AP5)</f>
        <v>#NAME?</v>
      </c>
      <c r="AQ34" s="128" t="e" cm="1">
        <f t="array" aca="1" ref="AQ34" ca="1">Notmerged(AQ5)</f>
        <v>#NAME?</v>
      </c>
      <c r="AR34" s="128" t="e" cm="1">
        <f t="array" aca="1" ref="AR34" ca="1">Notmerged(AR5)</f>
        <v>#NAME?</v>
      </c>
      <c r="AS34" s="128" t="e" cm="1">
        <f t="array" aca="1" ref="AS34" ca="1">Notmerged(AS5)</f>
        <v>#NAME?</v>
      </c>
      <c r="AT34" s="128" t="e" cm="1">
        <f t="array" aca="1" ref="AT34" ca="1">Notmerged(AT5)</f>
        <v>#NAME?</v>
      </c>
      <c r="AU34" s="128" t="e" cm="1">
        <f t="array" aca="1" ref="AU34" ca="1">Notmerged(AU5)</f>
        <v>#NAME?</v>
      </c>
      <c r="AV34" s="128" t="e" cm="1">
        <f t="array" aca="1" ref="AV34" ca="1">Notmerged(AV5)</f>
        <v>#NAME?</v>
      </c>
      <c r="AW34" s="128" t="e" cm="1">
        <f t="array" aca="1" ref="AW34" ca="1">Notmerged(AW5)</f>
        <v>#NAME?</v>
      </c>
      <c r="AX34" s="128" t="e" cm="1">
        <f t="array" aca="1" ref="AX34" ca="1">Notmerged(AX5)</f>
        <v>#NAME?</v>
      </c>
      <c r="AY34" s="128" t="e" cm="1">
        <f t="array" aca="1" ref="AY34" ca="1">Notmerged(AY5)</f>
        <v>#NAME?</v>
      </c>
      <c r="AZ34" s="128" t="e" cm="1">
        <f t="array" aca="1" ref="AZ34" ca="1">Notmerged(AZ5)</f>
        <v>#NAME?</v>
      </c>
      <c r="BA34" s="128" t="e" cm="1">
        <f t="array" aca="1" ref="BA34" ca="1">Notmerged(BA5)</f>
        <v>#NAME?</v>
      </c>
      <c r="BB34" s="128" t="e" cm="1">
        <f t="array" aca="1" ref="BB34" ca="1">Notmerged(BB5)</f>
        <v>#NAME?</v>
      </c>
      <c r="BC34" s="128" t="e" cm="1">
        <f t="array" aca="1" ref="BC34" ca="1">Notmerged(BC5)</f>
        <v>#NAME?</v>
      </c>
      <c r="BD34" s="128" t="e" cm="1">
        <f t="array" aca="1" ref="BD34" ca="1">Notmerged(BD5)</f>
        <v>#NAME?</v>
      </c>
      <c r="BE34" s="128" t="e" cm="1">
        <f t="array" aca="1" ref="BE34" ca="1">Notmerged(BE5)</f>
        <v>#NAME?</v>
      </c>
      <c r="BF34" s="128" t="e" cm="1">
        <f t="array" aca="1" ref="BF34" ca="1">Notmerged(BF5)</f>
        <v>#NAME?</v>
      </c>
      <c r="BG34" s="128" t="e" cm="1">
        <f t="array" aca="1" ref="BG34" ca="1">Notmerged(BG5)</f>
        <v>#NAME?</v>
      </c>
      <c r="BH34" s="128" t="e" cm="1">
        <f t="array" aca="1" ref="BH34" ca="1">Notmerged(BH5)</f>
        <v>#NAME?</v>
      </c>
      <c r="BI34" s="128" t="e" cm="1">
        <f t="array" aca="1" ref="BI34" ca="1">Notmerged(BI5)</f>
        <v>#NAME?</v>
      </c>
      <c r="BJ34" s="128" t="e" cm="1">
        <f t="array" aca="1" ref="BJ34" ca="1">Notmerged(BJ5)</f>
        <v>#NAME?</v>
      </c>
      <c r="BK34" s="128" t="e" cm="1">
        <f t="array" aca="1" ref="BK34" ca="1">Notmerged(BK5)</f>
        <v>#NAME?</v>
      </c>
    </row>
    <row r="35" spans="2:63" x14ac:dyDescent="0.3">
      <c r="B35" s="128" t="e" cm="1">
        <f t="array" aca="1" ref="B35" ca="1">Notmerged(B6)</f>
        <v>#NAME?</v>
      </c>
      <c r="C35" s="128" t="e" cm="1">
        <f t="array" aca="1" ref="C35" ca="1">Notmerged(#REF!)</f>
        <v>#NAME?</v>
      </c>
      <c r="D35" s="128" t="e" cm="1">
        <f t="array" aca="1" ref="D35" ca="1">Notmerged(D6)</f>
        <v>#NAME?</v>
      </c>
      <c r="E35" s="128" t="e" cm="1">
        <f t="array" aca="1" ref="E35" ca="1">Notmerged(E6)</f>
        <v>#NAME?</v>
      </c>
      <c r="F35" s="128" t="e" cm="1">
        <f t="array" aca="1" ref="F35" ca="1">Notmerged(F6)</f>
        <v>#NAME?</v>
      </c>
      <c r="G35" s="128" t="e" cm="1">
        <f t="array" aca="1" ref="G35" ca="1">Notmerged(G6)</f>
        <v>#NAME?</v>
      </c>
      <c r="H35" s="128" t="e" cm="1">
        <f t="array" aca="1" ref="H35" ca="1">Notmerged(H6)</f>
        <v>#NAME?</v>
      </c>
      <c r="I35" s="128" t="e" cm="1">
        <f t="array" aca="1" ref="I35" ca="1">Notmerged(I6)</f>
        <v>#NAME?</v>
      </c>
      <c r="J35" s="128" t="e" cm="1">
        <f t="array" aca="1" ref="J35" ca="1">Notmerged(J6)</f>
        <v>#NAME?</v>
      </c>
      <c r="K35" s="128" t="e" cm="1">
        <f t="array" aca="1" ref="K35" ca="1">Notmerged(K6)</f>
        <v>#NAME?</v>
      </c>
      <c r="L35" s="128" t="e" cm="1">
        <f t="array" aca="1" ref="L35" ca="1">Notmerged(L7)</f>
        <v>#NAME?</v>
      </c>
      <c r="M35" s="128" t="e" cm="1">
        <f t="array" aca="1" ref="M35" ca="1">Notmerged(M6)</f>
        <v>#NAME?</v>
      </c>
      <c r="N35" s="128" t="e" cm="1">
        <f t="array" aca="1" ref="N35" ca="1">Notmerged(N6)</f>
        <v>#NAME?</v>
      </c>
      <c r="O35" s="128" t="e" cm="1">
        <f t="array" aca="1" ref="O35" ca="1">Notmerged(O6)</f>
        <v>#NAME?</v>
      </c>
      <c r="P35" s="128" t="e" cm="1">
        <f t="array" aca="1" ref="P35" ca="1">Notmerged(P6)</f>
        <v>#NAME?</v>
      </c>
      <c r="Q35" s="128" t="e" cm="1">
        <f t="array" aca="1" ref="Q35" ca="1">Notmerged(Q6)</f>
        <v>#NAME?</v>
      </c>
      <c r="R35" s="128" t="e" cm="1">
        <f t="array" aca="1" ref="R35" ca="1">Notmerged(R6)</f>
        <v>#NAME?</v>
      </c>
      <c r="S35" s="128" t="e" cm="1">
        <f t="array" aca="1" ref="S35" ca="1">Notmerged(S6)</f>
        <v>#NAME?</v>
      </c>
      <c r="T35" s="128" t="e" cm="1">
        <f t="array" aca="1" ref="T35" ca="1">Notmerged(T6)</f>
        <v>#NAME?</v>
      </c>
      <c r="U35" s="128" t="e" cm="1">
        <f t="array" aca="1" ref="U35" ca="1">Notmerged(U6)</f>
        <v>#NAME?</v>
      </c>
      <c r="V35" s="128" t="e" cm="1">
        <f t="array" aca="1" ref="V35" ca="1">Notmerged(V6)</f>
        <v>#NAME?</v>
      </c>
      <c r="W35" s="128" t="e" cm="1">
        <f t="array" aca="1" ref="W35" ca="1">Notmerged(W6)</f>
        <v>#NAME?</v>
      </c>
      <c r="X35" s="128" t="e" cm="1">
        <f t="array" aca="1" ref="X35" ca="1">Notmerged(X6)</f>
        <v>#NAME?</v>
      </c>
      <c r="Y35" s="128" t="e" cm="1">
        <f t="array" aca="1" ref="Y35" ca="1">Notmerged(Y6)</f>
        <v>#NAME?</v>
      </c>
      <c r="Z35" s="128" t="e" cm="1">
        <f t="array" aca="1" ref="Z35" ca="1">Notmerged(Z6)</f>
        <v>#NAME?</v>
      </c>
      <c r="AA35" s="128" t="e" cm="1">
        <f t="array" aca="1" ref="AA35" ca="1">Notmerged(AA6)</f>
        <v>#NAME?</v>
      </c>
      <c r="AB35" s="128" t="e" cm="1">
        <f t="array" aca="1" ref="AB35" ca="1">Notmerged(AB6)</f>
        <v>#NAME?</v>
      </c>
      <c r="AC35" s="128" t="e" cm="1">
        <f t="array" aca="1" ref="AC35" ca="1">Notmerged(AC6)</f>
        <v>#NAME?</v>
      </c>
      <c r="AD35" s="128" t="e" cm="1">
        <f t="array" aca="1" ref="AD35" ca="1">Notmerged(AD6)</f>
        <v>#NAME?</v>
      </c>
      <c r="AE35" s="128" t="e" cm="1">
        <f t="array" aca="1" ref="AE35" ca="1">Notmerged(AE6)</f>
        <v>#NAME?</v>
      </c>
      <c r="AF35" s="128" t="e" cm="1">
        <f t="array" aca="1" ref="AF35" ca="1">Notmerged(AF6)</f>
        <v>#NAME?</v>
      </c>
      <c r="AG35" s="128" t="e" cm="1">
        <f t="array" aca="1" ref="AG35" ca="1">Notmerged(AG6)</f>
        <v>#NAME?</v>
      </c>
      <c r="AH35" s="128" t="e" cm="1">
        <f t="array" aca="1" ref="AH35" ca="1">Notmerged(AH6)</f>
        <v>#NAME?</v>
      </c>
      <c r="AI35" s="128" t="e" cm="1">
        <f t="array" aca="1" ref="AI35" ca="1">Notmerged(AI6)</f>
        <v>#NAME?</v>
      </c>
      <c r="AJ35" s="128" t="e" cm="1">
        <f t="array" aca="1" ref="AJ35" ca="1">Notmerged(AJ6)</f>
        <v>#NAME?</v>
      </c>
      <c r="AK35" s="128" t="e" cm="1">
        <f t="array" aca="1" ref="AK35" ca="1">Notmerged(AK6)</f>
        <v>#NAME?</v>
      </c>
      <c r="AL35" s="128" t="e" cm="1">
        <f t="array" aca="1" ref="AL35" ca="1">Notmerged(AL6)</f>
        <v>#NAME?</v>
      </c>
      <c r="AM35" s="128" t="e" cm="1">
        <f t="array" aca="1" ref="AM35" ca="1">Notmerged(AM6)</f>
        <v>#NAME?</v>
      </c>
      <c r="AN35" s="128" t="e" cm="1">
        <f t="array" aca="1" ref="AN35" ca="1">Notmerged(AN6)</f>
        <v>#NAME?</v>
      </c>
      <c r="AO35" s="128" t="e" cm="1">
        <f t="array" aca="1" ref="AO35" ca="1">Notmerged(AO6)</f>
        <v>#NAME?</v>
      </c>
      <c r="AP35" s="128" t="e" cm="1">
        <f t="array" aca="1" ref="AP35" ca="1">Notmerged(AP6)</f>
        <v>#NAME?</v>
      </c>
      <c r="AQ35" s="128" t="e" cm="1">
        <f t="array" aca="1" ref="AQ35" ca="1">Notmerged(AQ6)</f>
        <v>#NAME?</v>
      </c>
      <c r="AR35" s="128" t="e" cm="1">
        <f t="array" aca="1" ref="AR35" ca="1">Notmerged(AR6)</f>
        <v>#NAME?</v>
      </c>
      <c r="AS35" s="128" t="e" cm="1">
        <f t="array" aca="1" ref="AS35" ca="1">Notmerged(AS6)</f>
        <v>#NAME?</v>
      </c>
      <c r="AT35" s="128" t="e" cm="1">
        <f t="array" aca="1" ref="AT35" ca="1">Notmerged(AT6)</f>
        <v>#NAME?</v>
      </c>
      <c r="AU35" s="128" t="e" cm="1">
        <f t="array" aca="1" ref="AU35" ca="1">Notmerged(AU6)</f>
        <v>#NAME?</v>
      </c>
      <c r="AV35" s="128" t="e" cm="1">
        <f t="array" aca="1" ref="AV35" ca="1">Notmerged(AV6)</f>
        <v>#NAME?</v>
      </c>
      <c r="AW35" s="128" t="e" cm="1">
        <f t="array" aca="1" ref="AW35" ca="1">Notmerged(AW6)</f>
        <v>#NAME?</v>
      </c>
      <c r="AX35" s="128" t="e" cm="1">
        <f t="array" aca="1" ref="AX35" ca="1">Notmerged(AX6)</f>
        <v>#NAME?</v>
      </c>
      <c r="AY35" s="128" t="e" cm="1">
        <f t="array" aca="1" ref="AY35" ca="1">Notmerged(AY6)</f>
        <v>#NAME?</v>
      </c>
      <c r="AZ35" s="128" t="e" cm="1">
        <f t="array" aca="1" ref="AZ35" ca="1">Notmerged(AZ6)</f>
        <v>#NAME?</v>
      </c>
      <c r="BA35" s="128" t="e" cm="1">
        <f t="array" aca="1" ref="BA35" ca="1">Notmerged(BA6)</f>
        <v>#NAME?</v>
      </c>
      <c r="BB35" s="128" t="e" cm="1">
        <f t="array" aca="1" ref="BB35" ca="1">Notmerged(BB6)</f>
        <v>#NAME?</v>
      </c>
      <c r="BC35" s="128" t="e" cm="1">
        <f t="array" aca="1" ref="BC35" ca="1">Notmerged(BC6)</f>
        <v>#NAME?</v>
      </c>
      <c r="BD35" s="128" t="e" cm="1">
        <f t="array" aca="1" ref="BD35" ca="1">Notmerged(BD6)</f>
        <v>#NAME?</v>
      </c>
      <c r="BE35" s="128" t="e" cm="1">
        <f t="array" aca="1" ref="BE35" ca="1">Notmerged(BE6)</f>
        <v>#NAME?</v>
      </c>
      <c r="BF35" s="128" t="e" cm="1">
        <f t="array" aca="1" ref="BF35" ca="1">Notmerged(BF6)</f>
        <v>#NAME?</v>
      </c>
      <c r="BG35" s="128" t="e" cm="1">
        <f t="array" aca="1" ref="BG35" ca="1">Notmerged(BG6)</f>
        <v>#NAME?</v>
      </c>
      <c r="BH35" s="128" t="e" cm="1">
        <f t="array" aca="1" ref="BH35" ca="1">Notmerged(BH6)</f>
        <v>#NAME?</v>
      </c>
      <c r="BI35" s="128" t="e" cm="1">
        <f t="array" aca="1" ref="BI35" ca="1">Notmerged(BI6)</f>
        <v>#NAME?</v>
      </c>
      <c r="BJ35" s="128" t="e" cm="1">
        <f t="array" aca="1" ref="BJ35" ca="1">Notmerged(BJ6)</f>
        <v>#NAME?</v>
      </c>
      <c r="BK35" s="128" t="e" cm="1">
        <f t="array" aca="1" ref="BK35" ca="1">Notmerged(BK6)</f>
        <v>#NAME?</v>
      </c>
    </row>
    <row r="36" spans="2:63" x14ac:dyDescent="0.3">
      <c r="B36" s="128" t="e" cm="1">
        <f t="array" aca="1" ref="B36" ca="1">Notmerged(B7)</f>
        <v>#NAME?</v>
      </c>
      <c r="C36" s="128" t="e" cm="1">
        <f t="array" aca="1" ref="C36" ca="1">Notmerged(C7)</f>
        <v>#NAME?</v>
      </c>
      <c r="D36" s="128" t="e" cm="1">
        <f t="array" aca="1" ref="D36" ca="1">Notmerged(D7)</f>
        <v>#NAME?</v>
      </c>
      <c r="E36" s="128" t="e" cm="1">
        <f t="array" aca="1" ref="E36" ca="1">Notmerged(E7)</f>
        <v>#NAME?</v>
      </c>
      <c r="F36" s="128" t="e" cm="1">
        <f t="array" aca="1" ref="F36" ca="1">Notmerged(F7)</f>
        <v>#NAME?</v>
      </c>
      <c r="G36" s="128" t="e" cm="1">
        <f t="array" aca="1" ref="G36" ca="1">Notmerged(G7)</f>
        <v>#NAME?</v>
      </c>
      <c r="H36" s="128" t="e" cm="1">
        <f t="array" aca="1" ref="H36" ca="1">Notmerged(H7)</f>
        <v>#NAME?</v>
      </c>
      <c r="I36" s="128" t="e" cm="1">
        <f t="array" aca="1" ref="I36" ca="1">Notmerged(I7)</f>
        <v>#NAME?</v>
      </c>
      <c r="J36" s="128" t="e" cm="1">
        <f t="array" aca="1" ref="J36" ca="1">Notmerged(J7)</f>
        <v>#NAME?</v>
      </c>
      <c r="K36" s="128" t="e" cm="1">
        <f t="array" aca="1" ref="K36" ca="1">Notmerged(K7)</f>
        <v>#NAME?</v>
      </c>
      <c r="L36" s="128" t="e" cm="1">
        <f t="array" aca="1" ref="L36" ca="1">Notmerged(L8)</f>
        <v>#NAME?</v>
      </c>
      <c r="M36" s="128" t="e" cm="1">
        <f t="array" aca="1" ref="M36" ca="1">Notmerged(M7)</f>
        <v>#NAME?</v>
      </c>
      <c r="N36" s="128" t="e" cm="1">
        <f t="array" aca="1" ref="N36" ca="1">Notmerged(N7)</f>
        <v>#NAME?</v>
      </c>
      <c r="O36" s="128" t="e" cm="1">
        <f t="array" aca="1" ref="O36" ca="1">Notmerged(O7)</f>
        <v>#NAME?</v>
      </c>
      <c r="P36" s="128" t="e" cm="1">
        <f t="array" aca="1" ref="P36" ca="1">Notmerged(P7)</f>
        <v>#NAME?</v>
      </c>
      <c r="Q36" s="128" t="e" cm="1">
        <f t="array" aca="1" ref="Q36" ca="1">Notmerged(Q7)</f>
        <v>#NAME?</v>
      </c>
      <c r="R36" s="128" t="e" cm="1">
        <f t="array" aca="1" ref="R36" ca="1">Notmerged(R7)</f>
        <v>#NAME?</v>
      </c>
      <c r="S36" s="128" t="e" cm="1">
        <f t="array" aca="1" ref="S36" ca="1">Notmerged(S7)</f>
        <v>#NAME?</v>
      </c>
      <c r="T36" s="128" t="e" cm="1">
        <f t="array" aca="1" ref="T36" ca="1">Notmerged(T7)</f>
        <v>#NAME?</v>
      </c>
      <c r="U36" s="128" t="e" cm="1">
        <f t="array" aca="1" ref="U36" ca="1">Notmerged(U7)</f>
        <v>#NAME?</v>
      </c>
      <c r="V36" s="128" t="e" cm="1">
        <f t="array" aca="1" ref="V36" ca="1">Notmerged(V7)</f>
        <v>#NAME?</v>
      </c>
      <c r="W36" s="128" t="e" cm="1">
        <f t="array" aca="1" ref="W36" ca="1">Notmerged(W7)</f>
        <v>#NAME?</v>
      </c>
      <c r="X36" s="128" t="e" cm="1">
        <f t="array" aca="1" ref="X36" ca="1">Notmerged(X7)</f>
        <v>#NAME?</v>
      </c>
      <c r="Y36" s="128" t="e" cm="1">
        <f t="array" aca="1" ref="Y36" ca="1">Notmerged(Y7)</f>
        <v>#NAME?</v>
      </c>
      <c r="Z36" s="128" t="e" cm="1">
        <f t="array" aca="1" ref="Z36" ca="1">Notmerged(Z7)</f>
        <v>#NAME?</v>
      </c>
      <c r="AA36" s="128" t="e" cm="1">
        <f t="array" aca="1" ref="AA36" ca="1">Notmerged(AA7)</f>
        <v>#NAME?</v>
      </c>
      <c r="AB36" s="128" t="e" cm="1">
        <f t="array" aca="1" ref="AB36" ca="1">Notmerged(AB7)</f>
        <v>#NAME?</v>
      </c>
      <c r="AC36" s="128" t="e" cm="1">
        <f t="array" aca="1" ref="AC36" ca="1">Notmerged(AC7)</f>
        <v>#NAME?</v>
      </c>
      <c r="AD36" s="128" t="e" cm="1">
        <f t="array" aca="1" ref="AD36" ca="1">Notmerged(AD7)</f>
        <v>#NAME?</v>
      </c>
      <c r="AE36" s="128" t="e" cm="1">
        <f t="array" aca="1" ref="AE36" ca="1">Notmerged(AE7)</f>
        <v>#NAME?</v>
      </c>
      <c r="AF36" s="128" t="e" cm="1">
        <f t="array" aca="1" ref="AF36" ca="1">Notmerged(AF7)</f>
        <v>#NAME?</v>
      </c>
      <c r="AG36" s="128" t="e" cm="1">
        <f t="array" aca="1" ref="AG36" ca="1">Notmerged(AG7)</f>
        <v>#NAME?</v>
      </c>
      <c r="AH36" s="128" t="e" cm="1">
        <f t="array" aca="1" ref="AH36" ca="1">Notmerged(AH7)</f>
        <v>#NAME?</v>
      </c>
      <c r="AI36" s="128" t="e" cm="1">
        <f t="array" aca="1" ref="AI36" ca="1">Notmerged(AI7)</f>
        <v>#NAME?</v>
      </c>
      <c r="AJ36" s="128" t="e" cm="1">
        <f t="array" aca="1" ref="AJ36" ca="1">Notmerged(AJ7)</f>
        <v>#NAME?</v>
      </c>
      <c r="AK36" s="128" t="e" cm="1">
        <f t="array" aca="1" ref="AK36" ca="1">Notmerged(AK7)</f>
        <v>#NAME?</v>
      </c>
      <c r="AL36" s="128" t="e" cm="1">
        <f t="array" aca="1" ref="AL36" ca="1">Notmerged(AL7)</f>
        <v>#NAME?</v>
      </c>
      <c r="AM36" s="128" t="e" cm="1">
        <f t="array" aca="1" ref="AM36" ca="1">Notmerged(AM7)</f>
        <v>#NAME?</v>
      </c>
      <c r="AN36" s="128" t="e" cm="1">
        <f t="array" aca="1" ref="AN36" ca="1">Notmerged(AN7)</f>
        <v>#NAME?</v>
      </c>
      <c r="AO36" s="128" t="e" cm="1">
        <f t="array" aca="1" ref="AO36" ca="1">Notmerged(AO7)</f>
        <v>#NAME?</v>
      </c>
      <c r="AP36" s="128" t="e" cm="1">
        <f t="array" aca="1" ref="AP36" ca="1">Notmerged(AP7)</f>
        <v>#NAME?</v>
      </c>
      <c r="AQ36" s="128" t="e" cm="1">
        <f t="array" aca="1" ref="AQ36" ca="1">Notmerged(AQ7)</f>
        <v>#NAME?</v>
      </c>
      <c r="AR36" s="128" t="e" cm="1">
        <f t="array" aca="1" ref="AR36" ca="1">Notmerged(AR7)</f>
        <v>#NAME?</v>
      </c>
      <c r="AS36" s="128" t="e" cm="1">
        <f t="array" aca="1" ref="AS36" ca="1">Notmerged(AS7)</f>
        <v>#NAME?</v>
      </c>
      <c r="AT36" s="128" t="e" cm="1">
        <f t="array" aca="1" ref="AT36" ca="1">Notmerged(AT7)</f>
        <v>#NAME?</v>
      </c>
      <c r="AU36" s="128" t="e" cm="1">
        <f t="array" aca="1" ref="AU36" ca="1">Notmerged(AU7)</f>
        <v>#NAME?</v>
      </c>
      <c r="AV36" s="128" t="e" cm="1">
        <f t="array" aca="1" ref="AV36" ca="1">Notmerged(AV7)</f>
        <v>#NAME?</v>
      </c>
      <c r="AW36" s="128" t="e" cm="1">
        <f t="array" aca="1" ref="AW36" ca="1">Notmerged(AW7)</f>
        <v>#NAME?</v>
      </c>
      <c r="AX36" s="128" t="e" cm="1">
        <f t="array" aca="1" ref="AX36" ca="1">Notmerged(AX7)</f>
        <v>#NAME?</v>
      </c>
      <c r="AY36" s="128" t="e" cm="1">
        <f t="array" aca="1" ref="AY36" ca="1">Notmerged(AY7)</f>
        <v>#NAME?</v>
      </c>
      <c r="AZ36" s="128" t="e" cm="1">
        <f t="array" aca="1" ref="AZ36" ca="1">Notmerged(AZ7)</f>
        <v>#NAME?</v>
      </c>
      <c r="BA36" s="128" t="e" cm="1">
        <f t="array" aca="1" ref="BA36" ca="1">Notmerged(BA7)</f>
        <v>#NAME?</v>
      </c>
      <c r="BB36" s="128" t="e" cm="1">
        <f t="array" aca="1" ref="BB36" ca="1">Notmerged(BB7)</f>
        <v>#NAME?</v>
      </c>
      <c r="BC36" s="128" t="e" cm="1">
        <f t="array" aca="1" ref="BC36" ca="1">Notmerged(BC7)</f>
        <v>#NAME?</v>
      </c>
      <c r="BD36" s="128" t="e" cm="1">
        <f t="array" aca="1" ref="BD36" ca="1">Notmerged(BD7)</f>
        <v>#NAME?</v>
      </c>
      <c r="BE36" s="128" t="e" cm="1">
        <f t="array" aca="1" ref="BE36" ca="1">Notmerged(BE7)</f>
        <v>#NAME?</v>
      </c>
      <c r="BF36" s="128" t="e" cm="1">
        <f t="array" aca="1" ref="BF36" ca="1">Notmerged(BF7)</f>
        <v>#NAME?</v>
      </c>
      <c r="BG36" s="128" t="e" cm="1">
        <f t="array" aca="1" ref="BG36" ca="1">Notmerged(BG7)</f>
        <v>#NAME?</v>
      </c>
      <c r="BH36" s="128" t="e" cm="1">
        <f t="array" aca="1" ref="BH36" ca="1">Notmerged(BH7)</f>
        <v>#NAME?</v>
      </c>
      <c r="BI36" s="128" t="e" cm="1">
        <f t="array" aca="1" ref="BI36" ca="1">Notmerged(BI7)</f>
        <v>#NAME?</v>
      </c>
      <c r="BJ36" s="128" t="e" cm="1">
        <f t="array" aca="1" ref="BJ36" ca="1">Notmerged(BJ7)</f>
        <v>#NAME?</v>
      </c>
      <c r="BK36" s="128" t="e" cm="1">
        <f t="array" aca="1" ref="BK36" ca="1">Notmerged(BK7)</f>
        <v>#NAME?</v>
      </c>
    </row>
    <row r="37" spans="2:63" x14ac:dyDescent="0.3">
      <c r="B37" s="128" t="e" cm="1">
        <f t="array" aca="1" ref="B37" ca="1">Notmerged(B8)</f>
        <v>#NAME?</v>
      </c>
      <c r="C37" s="128" t="e" cm="1">
        <f t="array" aca="1" ref="C37" ca="1">Notmerged(C8)</f>
        <v>#NAME?</v>
      </c>
      <c r="D37" s="128" t="e" cm="1">
        <f t="array" aca="1" ref="D37" ca="1">Notmerged(D8)</f>
        <v>#NAME?</v>
      </c>
      <c r="E37" s="128" t="e" cm="1">
        <f t="array" aca="1" ref="E37" ca="1">Notmerged(E8)</f>
        <v>#NAME?</v>
      </c>
      <c r="F37" s="128" t="e" cm="1">
        <f t="array" aca="1" ref="F37" ca="1">Notmerged(F8)</f>
        <v>#NAME?</v>
      </c>
      <c r="G37" s="128" t="e" cm="1">
        <f t="array" aca="1" ref="G37" ca="1">Notmerged(G8)</f>
        <v>#NAME?</v>
      </c>
      <c r="H37" s="128" t="e" cm="1">
        <f t="array" aca="1" ref="H37" ca="1">Notmerged(H8)</f>
        <v>#NAME?</v>
      </c>
      <c r="I37" s="128" t="e" cm="1">
        <f t="array" aca="1" ref="I37" ca="1">Notmerged(I8)</f>
        <v>#NAME?</v>
      </c>
      <c r="J37" s="128" t="e" cm="1">
        <f t="array" aca="1" ref="J37" ca="1">Notmerged(J8)</f>
        <v>#NAME?</v>
      </c>
      <c r="K37" s="128" t="e" cm="1">
        <f t="array" aca="1" ref="K37" ca="1">Notmerged(K8)</f>
        <v>#NAME?</v>
      </c>
      <c r="L37" s="128" t="e" cm="1">
        <f t="array" aca="1" ref="L37" ca="1">Notmerged(L9)</f>
        <v>#NAME?</v>
      </c>
      <c r="M37" s="128" t="e" cm="1">
        <f t="array" aca="1" ref="M37" ca="1">Notmerged(M8)</f>
        <v>#NAME?</v>
      </c>
      <c r="N37" s="128" t="e" cm="1">
        <f t="array" aca="1" ref="N37" ca="1">Notmerged(N8)</f>
        <v>#NAME?</v>
      </c>
      <c r="O37" s="128" t="e" cm="1">
        <f t="array" aca="1" ref="O37" ca="1">Notmerged(O8)</f>
        <v>#NAME?</v>
      </c>
      <c r="P37" s="128" t="e" cm="1">
        <f t="array" aca="1" ref="P37" ca="1">Notmerged(P8)</f>
        <v>#NAME?</v>
      </c>
      <c r="Q37" s="128" t="e" cm="1">
        <f t="array" aca="1" ref="Q37" ca="1">Notmerged(Q8)</f>
        <v>#NAME?</v>
      </c>
      <c r="R37" s="128" t="e" cm="1">
        <f t="array" aca="1" ref="R37" ca="1">Notmerged(R8)</f>
        <v>#NAME?</v>
      </c>
      <c r="S37" s="128" t="e" cm="1">
        <f t="array" aca="1" ref="S37" ca="1">Notmerged(S8)</f>
        <v>#NAME?</v>
      </c>
      <c r="T37" s="128" t="e" cm="1">
        <f t="array" aca="1" ref="T37" ca="1">Notmerged(T8)</f>
        <v>#NAME?</v>
      </c>
      <c r="U37" s="128" t="e" cm="1">
        <f t="array" aca="1" ref="U37" ca="1">Notmerged(U8)</f>
        <v>#NAME?</v>
      </c>
      <c r="V37" s="128" t="e" cm="1">
        <f t="array" aca="1" ref="V37" ca="1">Notmerged(V8)</f>
        <v>#NAME?</v>
      </c>
      <c r="W37" s="128" t="e" cm="1">
        <f t="array" aca="1" ref="W37" ca="1">Notmerged(W8)</f>
        <v>#NAME?</v>
      </c>
      <c r="X37" s="128" t="e" cm="1">
        <f t="array" aca="1" ref="X37" ca="1">Notmerged(X8)</f>
        <v>#NAME?</v>
      </c>
      <c r="Y37" s="128" t="e" cm="1">
        <f t="array" aca="1" ref="Y37" ca="1">Notmerged(Y8)</f>
        <v>#NAME?</v>
      </c>
      <c r="Z37" s="128" t="e" cm="1">
        <f t="array" aca="1" ref="Z37" ca="1">Notmerged(Z8)</f>
        <v>#NAME?</v>
      </c>
      <c r="AA37" s="128" t="e" cm="1">
        <f t="array" aca="1" ref="AA37" ca="1">Notmerged(AA8)</f>
        <v>#NAME?</v>
      </c>
      <c r="AB37" s="128" t="e" cm="1">
        <f t="array" aca="1" ref="AB37" ca="1">Notmerged(AB8)</f>
        <v>#NAME?</v>
      </c>
      <c r="AC37" s="128" t="e" cm="1">
        <f t="array" aca="1" ref="AC37" ca="1">Notmerged(AC8)</f>
        <v>#NAME?</v>
      </c>
      <c r="AD37" s="128" t="e" cm="1">
        <f t="array" aca="1" ref="AD37" ca="1">Notmerged(AD8)</f>
        <v>#NAME?</v>
      </c>
      <c r="AE37" s="128" t="e" cm="1">
        <f t="array" aca="1" ref="AE37" ca="1">Notmerged(AE8)</f>
        <v>#NAME?</v>
      </c>
      <c r="AF37" s="128" t="e" cm="1">
        <f t="array" aca="1" ref="AF37" ca="1">Notmerged(AF8)</f>
        <v>#NAME?</v>
      </c>
      <c r="AG37" s="128" t="e" cm="1">
        <f t="array" aca="1" ref="AG37" ca="1">Notmerged(AG8)</f>
        <v>#NAME?</v>
      </c>
      <c r="AH37" s="128" t="e" cm="1">
        <f t="array" aca="1" ref="AH37" ca="1">Notmerged(AH8)</f>
        <v>#NAME?</v>
      </c>
      <c r="AI37" s="128" t="e" cm="1">
        <f t="array" aca="1" ref="AI37" ca="1">Notmerged(AI8)</f>
        <v>#NAME?</v>
      </c>
      <c r="AJ37" s="128" t="e" cm="1">
        <f t="array" aca="1" ref="AJ37" ca="1">Notmerged(AJ8)</f>
        <v>#NAME?</v>
      </c>
      <c r="AK37" s="128" t="e" cm="1">
        <f t="array" aca="1" ref="AK37" ca="1">Notmerged(AK8)</f>
        <v>#NAME?</v>
      </c>
      <c r="AL37" s="128" t="e" cm="1">
        <f t="array" aca="1" ref="AL37" ca="1">Notmerged(AL8)</f>
        <v>#NAME?</v>
      </c>
      <c r="AM37" s="128" t="e" cm="1">
        <f t="array" aca="1" ref="AM37" ca="1">Notmerged(AM8)</f>
        <v>#NAME?</v>
      </c>
      <c r="AN37" s="128" t="e" cm="1">
        <f t="array" aca="1" ref="AN37" ca="1">Notmerged(AN8)</f>
        <v>#NAME?</v>
      </c>
      <c r="AO37" s="128" t="e" cm="1">
        <f t="array" aca="1" ref="AO37" ca="1">Notmerged(AO8)</f>
        <v>#NAME?</v>
      </c>
      <c r="AP37" s="128" t="e" cm="1">
        <f t="array" aca="1" ref="AP37" ca="1">Notmerged(AP8)</f>
        <v>#NAME?</v>
      </c>
      <c r="AQ37" s="128" t="e" cm="1">
        <f t="array" aca="1" ref="AQ37" ca="1">Notmerged(AQ8)</f>
        <v>#NAME?</v>
      </c>
      <c r="AR37" s="128" t="e" cm="1">
        <f t="array" aca="1" ref="AR37" ca="1">Notmerged(AR8)</f>
        <v>#NAME?</v>
      </c>
      <c r="AS37" s="128" t="e" cm="1">
        <f t="array" aca="1" ref="AS37" ca="1">Notmerged(AS8)</f>
        <v>#NAME?</v>
      </c>
      <c r="AT37" s="128" t="e" cm="1">
        <f t="array" aca="1" ref="AT37" ca="1">Notmerged(AT8)</f>
        <v>#NAME?</v>
      </c>
      <c r="AU37" s="128" t="e" cm="1">
        <f t="array" aca="1" ref="AU37" ca="1">Notmerged(AU8)</f>
        <v>#NAME?</v>
      </c>
      <c r="AV37" s="128" t="e" cm="1">
        <f t="array" aca="1" ref="AV37" ca="1">Notmerged(AV8)</f>
        <v>#NAME?</v>
      </c>
      <c r="AW37" s="128" t="e" cm="1">
        <f t="array" aca="1" ref="AW37" ca="1">Notmerged(AW8)</f>
        <v>#NAME?</v>
      </c>
      <c r="AX37" s="128" t="e" cm="1">
        <f t="array" aca="1" ref="AX37" ca="1">Notmerged(AX8)</f>
        <v>#NAME?</v>
      </c>
      <c r="AY37" s="128" t="e" cm="1">
        <f t="array" aca="1" ref="AY37" ca="1">Notmerged(AY8)</f>
        <v>#NAME?</v>
      </c>
      <c r="AZ37" s="128" t="e" cm="1">
        <f t="array" aca="1" ref="AZ37" ca="1">Notmerged(AZ8)</f>
        <v>#NAME?</v>
      </c>
      <c r="BA37" s="128" t="e" cm="1">
        <f t="array" aca="1" ref="BA37" ca="1">Notmerged(BA8)</f>
        <v>#NAME?</v>
      </c>
      <c r="BB37" s="128" t="e" cm="1">
        <f t="array" aca="1" ref="BB37" ca="1">Notmerged(BB8)</f>
        <v>#NAME?</v>
      </c>
      <c r="BC37" s="128" t="e" cm="1">
        <f t="array" aca="1" ref="BC37" ca="1">Notmerged(BC8)</f>
        <v>#NAME?</v>
      </c>
      <c r="BD37" s="128" t="e" cm="1">
        <f t="array" aca="1" ref="BD37" ca="1">Notmerged(BD8)</f>
        <v>#NAME?</v>
      </c>
      <c r="BE37" s="128" t="e" cm="1">
        <f t="array" aca="1" ref="BE37" ca="1">Notmerged(BE8)</f>
        <v>#NAME?</v>
      </c>
      <c r="BF37" s="128" t="e" cm="1">
        <f t="array" aca="1" ref="BF37" ca="1">Notmerged(BF8)</f>
        <v>#NAME?</v>
      </c>
      <c r="BG37" s="128" t="e" cm="1">
        <f t="array" aca="1" ref="BG37" ca="1">Notmerged(BG8)</f>
        <v>#NAME?</v>
      </c>
      <c r="BH37" s="128" t="e" cm="1">
        <f t="array" aca="1" ref="BH37" ca="1">Notmerged(BH8)</f>
        <v>#NAME?</v>
      </c>
      <c r="BI37" s="128" t="e" cm="1">
        <f t="array" aca="1" ref="BI37" ca="1">Notmerged(BI8)</f>
        <v>#NAME?</v>
      </c>
      <c r="BJ37" s="128" t="e" cm="1">
        <f t="array" aca="1" ref="BJ37" ca="1">Notmerged(BJ8)</f>
        <v>#NAME?</v>
      </c>
      <c r="BK37" s="128" t="e" cm="1">
        <f t="array" aca="1" ref="BK37" ca="1">Notmerged(BK8)</f>
        <v>#NAME?</v>
      </c>
    </row>
    <row r="38" spans="2:63" x14ac:dyDescent="0.3">
      <c r="B38" s="128" t="e" cm="1">
        <f t="array" aca="1" ref="B38" ca="1">Notmerged(B9)</f>
        <v>#NAME?</v>
      </c>
      <c r="C38" s="128" t="e" cm="1">
        <f t="array" aca="1" ref="C38" ca="1">Notmerged(C9)</f>
        <v>#NAME?</v>
      </c>
      <c r="D38" s="128" t="e" cm="1">
        <f t="array" aca="1" ref="D38" ca="1">Notmerged(D9)</f>
        <v>#NAME?</v>
      </c>
      <c r="E38" s="128" t="e" cm="1">
        <f t="array" aca="1" ref="E38" ca="1">Notmerged(E9)</f>
        <v>#NAME?</v>
      </c>
      <c r="F38" s="128" t="e" cm="1">
        <f t="array" aca="1" ref="F38" ca="1">Notmerged(F9)</f>
        <v>#NAME?</v>
      </c>
      <c r="G38" s="128" t="e" cm="1">
        <f t="array" aca="1" ref="G38" ca="1">Notmerged(G9)</f>
        <v>#NAME?</v>
      </c>
      <c r="H38" s="128" t="e" cm="1">
        <f t="array" aca="1" ref="H38" ca="1">Notmerged(H9)</f>
        <v>#NAME?</v>
      </c>
      <c r="I38" s="128" t="e" cm="1">
        <f t="array" aca="1" ref="I38" ca="1">Notmerged(I9)</f>
        <v>#NAME?</v>
      </c>
      <c r="J38" s="128" t="e" cm="1">
        <f t="array" aca="1" ref="J38" ca="1">Notmerged(J9)</f>
        <v>#NAME?</v>
      </c>
      <c r="K38" s="128" t="e" cm="1">
        <f t="array" aca="1" ref="K38" ca="1">Notmerged(K9)</f>
        <v>#NAME?</v>
      </c>
      <c r="L38" s="128" t="e" cm="1">
        <f t="array" aca="1" ref="L38" ca="1">Notmerged(L10)</f>
        <v>#NAME?</v>
      </c>
      <c r="M38" s="128" t="e" cm="1">
        <f t="array" aca="1" ref="M38" ca="1">Notmerged(M9)</f>
        <v>#NAME?</v>
      </c>
      <c r="N38" s="128" t="e" cm="1">
        <f t="array" aca="1" ref="N38" ca="1">Notmerged(N9)</f>
        <v>#NAME?</v>
      </c>
      <c r="O38" s="128" t="e" cm="1">
        <f t="array" aca="1" ref="O38" ca="1">Notmerged(O9)</f>
        <v>#NAME?</v>
      </c>
      <c r="P38" s="128" t="e" cm="1">
        <f t="array" aca="1" ref="P38" ca="1">Notmerged(P9)</f>
        <v>#NAME?</v>
      </c>
      <c r="Q38" s="128" t="e" cm="1">
        <f t="array" aca="1" ref="Q38" ca="1">Notmerged(Q9)</f>
        <v>#NAME?</v>
      </c>
      <c r="R38" s="128" t="e" cm="1">
        <f t="array" aca="1" ref="R38" ca="1">Notmerged(R9)</f>
        <v>#NAME?</v>
      </c>
      <c r="S38" s="128" t="e" cm="1">
        <f t="array" aca="1" ref="S38" ca="1">Notmerged(S9)</f>
        <v>#NAME?</v>
      </c>
      <c r="T38" s="128" t="e" cm="1">
        <f t="array" aca="1" ref="T38" ca="1">Notmerged(T9)</f>
        <v>#NAME?</v>
      </c>
      <c r="U38" s="128" t="e" cm="1">
        <f t="array" aca="1" ref="U38" ca="1">Notmerged(U9)</f>
        <v>#NAME?</v>
      </c>
      <c r="V38" s="128" t="e" cm="1">
        <f t="array" aca="1" ref="V38" ca="1">Notmerged(V9)</f>
        <v>#NAME?</v>
      </c>
      <c r="W38" s="128" t="e" cm="1">
        <f t="array" aca="1" ref="W38" ca="1">Notmerged(W9)</f>
        <v>#NAME?</v>
      </c>
      <c r="X38" s="128" t="e" cm="1">
        <f t="array" aca="1" ref="X38" ca="1">Notmerged(X9)</f>
        <v>#NAME?</v>
      </c>
      <c r="Y38" s="128" t="e" cm="1">
        <f t="array" aca="1" ref="Y38" ca="1">Notmerged(Y9)</f>
        <v>#NAME?</v>
      </c>
      <c r="Z38" s="128" t="e" cm="1">
        <f t="array" aca="1" ref="Z38" ca="1">Notmerged(Z9)</f>
        <v>#NAME?</v>
      </c>
      <c r="AA38" s="128" t="e" cm="1">
        <f t="array" aca="1" ref="AA38" ca="1">Notmerged(AA9)</f>
        <v>#NAME?</v>
      </c>
      <c r="AB38" s="128" t="e" cm="1">
        <f t="array" aca="1" ref="AB38" ca="1">Notmerged(AB9)</f>
        <v>#NAME?</v>
      </c>
      <c r="AC38" s="128" t="e" cm="1">
        <f t="array" aca="1" ref="AC38" ca="1">Notmerged(AC9)</f>
        <v>#NAME?</v>
      </c>
      <c r="AD38" s="128" t="e" cm="1">
        <f t="array" aca="1" ref="AD38" ca="1">Notmerged(AD9)</f>
        <v>#NAME?</v>
      </c>
      <c r="AE38" s="128" t="e" cm="1">
        <f t="array" aca="1" ref="AE38" ca="1">Notmerged(AE9)</f>
        <v>#NAME?</v>
      </c>
      <c r="AF38" s="128" t="e" cm="1">
        <f t="array" aca="1" ref="AF38" ca="1">Notmerged(AF9)</f>
        <v>#NAME?</v>
      </c>
      <c r="AG38" s="128" t="e" cm="1">
        <f t="array" aca="1" ref="AG38" ca="1">Notmerged(AG9)</f>
        <v>#NAME?</v>
      </c>
      <c r="AH38" s="128" t="e" cm="1">
        <f t="array" aca="1" ref="AH38" ca="1">Notmerged(AH9)</f>
        <v>#NAME?</v>
      </c>
      <c r="AI38" s="128" t="e" cm="1">
        <f t="array" aca="1" ref="AI38" ca="1">Notmerged(AI9)</f>
        <v>#NAME?</v>
      </c>
      <c r="AJ38" s="128" t="e" cm="1">
        <f t="array" aca="1" ref="AJ38" ca="1">Notmerged(AJ9)</f>
        <v>#NAME?</v>
      </c>
      <c r="AK38" s="128" t="e" cm="1">
        <f t="array" aca="1" ref="AK38" ca="1">Notmerged(AK9)</f>
        <v>#NAME?</v>
      </c>
      <c r="AL38" s="128" t="e" cm="1">
        <f t="array" aca="1" ref="AL38" ca="1">Notmerged(AL9)</f>
        <v>#NAME?</v>
      </c>
      <c r="AM38" s="128" t="e" cm="1">
        <f t="array" aca="1" ref="AM38" ca="1">Notmerged(AM9)</f>
        <v>#NAME?</v>
      </c>
      <c r="AN38" s="128" t="e" cm="1">
        <f t="array" aca="1" ref="AN38" ca="1">Notmerged(AN9)</f>
        <v>#NAME?</v>
      </c>
      <c r="AO38" s="128" t="e" cm="1">
        <f t="array" aca="1" ref="AO38" ca="1">Notmerged(AO9)</f>
        <v>#NAME?</v>
      </c>
      <c r="AP38" s="128" t="e" cm="1">
        <f t="array" aca="1" ref="AP38" ca="1">Notmerged(AP9)</f>
        <v>#NAME?</v>
      </c>
      <c r="AQ38" s="128" t="e" cm="1">
        <f t="array" aca="1" ref="AQ38" ca="1">Notmerged(AQ9)</f>
        <v>#NAME?</v>
      </c>
      <c r="AR38" s="128" t="e" cm="1">
        <f t="array" aca="1" ref="AR38" ca="1">Notmerged(AR9)</f>
        <v>#NAME?</v>
      </c>
      <c r="AS38" s="128" t="e" cm="1">
        <f t="array" aca="1" ref="AS38" ca="1">Notmerged(AS9)</f>
        <v>#NAME?</v>
      </c>
      <c r="AT38" s="128" t="e" cm="1">
        <f t="array" aca="1" ref="AT38" ca="1">Notmerged(AT9)</f>
        <v>#NAME?</v>
      </c>
      <c r="AU38" s="128" t="e" cm="1">
        <f t="array" aca="1" ref="AU38" ca="1">Notmerged(AU9)</f>
        <v>#NAME?</v>
      </c>
      <c r="AV38" s="128" t="e" cm="1">
        <f t="array" aca="1" ref="AV38" ca="1">Notmerged(AV9)</f>
        <v>#NAME?</v>
      </c>
      <c r="AW38" s="128" t="e" cm="1">
        <f t="array" aca="1" ref="AW38" ca="1">Notmerged(AW9)</f>
        <v>#NAME?</v>
      </c>
      <c r="AX38" s="128" t="e" cm="1">
        <f t="array" aca="1" ref="AX38" ca="1">Notmerged(AX9)</f>
        <v>#NAME?</v>
      </c>
      <c r="AY38" s="128" t="e" cm="1">
        <f t="array" aca="1" ref="AY38" ca="1">Notmerged(AY9)</f>
        <v>#NAME?</v>
      </c>
      <c r="AZ38" s="128" t="e" cm="1">
        <f t="array" aca="1" ref="AZ38" ca="1">Notmerged(AZ9)</f>
        <v>#NAME?</v>
      </c>
      <c r="BA38" s="128" t="e" cm="1">
        <f t="array" aca="1" ref="BA38" ca="1">Notmerged(BA9)</f>
        <v>#NAME?</v>
      </c>
      <c r="BB38" s="128" t="e" cm="1">
        <f t="array" aca="1" ref="BB38" ca="1">Notmerged(BB9)</f>
        <v>#NAME?</v>
      </c>
      <c r="BC38" s="128" t="e" cm="1">
        <f t="array" aca="1" ref="BC38" ca="1">Notmerged(BC9)</f>
        <v>#NAME?</v>
      </c>
      <c r="BD38" s="128" t="e" cm="1">
        <f t="array" aca="1" ref="BD38" ca="1">Notmerged(BD9)</f>
        <v>#NAME?</v>
      </c>
      <c r="BE38" s="128" t="e" cm="1">
        <f t="array" aca="1" ref="BE38" ca="1">Notmerged(BE9)</f>
        <v>#NAME?</v>
      </c>
      <c r="BF38" s="128" t="e" cm="1">
        <f t="array" aca="1" ref="BF38" ca="1">Notmerged(BF9)</f>
        <v>#NAME?</v>
      </c>
      <c r="BG38" s="128" t="e" cm="1">
        <f t="array" aca="1" ref="BG38" ca="1">Notmerged(BG9)</f>
        <v>#NAME?</v>
      </c>
      <c r="BH38" s="128" t="e" cm="1">
        <f t="array" aca="1" ref="BH38" ca="1">Notmerged(BH9)</f>
        <v>#NAME?</v>
      </c>
      <c r="BI38" s="128" t="e" cm="1">
        <f t="array" aca="1" ref="BI38" ca="1">Notmerged(BI9)</f>
        <v>#NAME?</v>
      </c>
      <c r="BJ38" s="128" t="e" cm="1">
        <f t="array" aca="1" ref="BJ38" ca="1">Notmerged(BJ9)</f>
        <v>#NAME?</v>
      </c>
      <c r="BK38" s="128" t="e" cm="1">
        <f t="array" aca="1" ref="BK38" ca="1">Notmerged(BK9)</f>
        <v>#NAME?</v>
      </c>
    </row>
    <row r="39" spans="2:63" x14ac:dyDescent="0.3">
      <c r="B39" s="128" t="e" cm="1">
        <f t="array" aca="1" ref="B39" ca="1">Notmerged(B10)</f>
        <v>#NAME?</v>
      </c>
      <c r="C39" s="128" t="e" cm="1">
        <f t="array" aca="1" ref="C39" ca="1">Notmerged(C10)</f>
        <v>#NAME?</v>
      </c>
      <c r="D39" s="128" t="e" cm="1">
        <f t="array" aca="1" ref="D39" ca="1">Notmerged(D10)</f>
        <v>#NAME?</v>
      </c>
      <c r="E39" s="128" t="e" cm="1">
        <f t="array" aca="1" ref="E39" ca="1">Notmerged(E10)</f>
        <v>#NAME?</v>
      </c>
      <c r="F39" s="128" t="e" cm="1">
        <f t="array" aca="1" ref="F39" ca="1">Notmerged(F10)</f>
        <v>#NAME?</v>
      </c>
      <c r="G39" s="128" t="e" cm="1">
        <f t="array" aca="1" ref="G39" ca="1">Notmerged(G10)</f>
        <v>#NAME?</v>
      </c>
      <c r="H39" s="128" t="e" cm="1">
        <f t="array" aca="1" ref="H39" ca="1">Notmerged(H10)</f>
        <v>#NAME?</v>
      </c>
      <c r="I39" s="128" t="e" cm="1">
        <f t="array" aca="1" ref="I39" ca="1">Notmerged(I10)</f>
        <v>#NAME?</v>
      </c>
      <c r="J39" s="128" t="e" cm="1">
        <f t="array" aca="1" ref="J39" ca="1">Notmerged(J10)</f>
        <v>#NAME?</v>
      </c>
      <c r="K39" s="128" t="e" cm="1">
        <f t="array" aca="1" ref="K39" ca="1">Notmerged(K10)</f>
        <v>#NAME?</v>
      </c>
      <c r="L39" s="128" t="e" cm="1">
        <f t="array" aca="1" ref="L39" ca="1">Notmerged(L11)</f>
        <v>#NAME?</v>
      </c>
      <c r="M39" s="128" t="e" cm="1">
        <f t="array" aca="1" ref="M39" ca="1">Notmerged(M10)</f>
        <v>#NAME?</v>
      </c>
      <c r="N39" s="128" t="e" cm="1">
        <f t="array" aca="1" ref="N39" ca="1">Notmerged(N10)</f>
        <v>#NAME?</v>
      </c>
      <c r="O39" s="128" t="e" cm="1">
        <f t="array" aca="1" ref="O39" ca="1">Notmerged(O10)</f>
        <v>#NAME?</v>
      </c>
      <c r="P39" s="128" t="e" cm="1">
        <f t="array" aca="1" ref="P39" ca="1">Notmerged(P10)</f>
        <v>#NAME?</v>
      </c>
      <c r="Q39" s="128" t="e" cm="1">
        <f t="array" aca="1" ref="Q39" ca="1">Notmerged(Q10)</f>
        <v>#NAME?</v>
      </c>
      <c r="R39" s="128" t="e" cm="1">
        <f t="array" aca="1" ref="R39" ca="1">Notmerged(R10)</f>
        <v>#NAME?</v>
      </c>
      <c r="S39" s="128" t="e" cm="1">
        <f t="array" aca="1" ref="S39" ca="1">Notmerged(S10)</f>
        <v>#NAME?</v>
      </c>
      <c r="T39" s="128" t="e" cm="1">
        <f t="array" aca="1" ref="T39" ca="1">Notmerged(T10)</f>
        <v>#NAME?</v>
      </c>
      <c r="U39" s="128" t="e" cm="1">
        <f t="array" aca="1" ref="U39" ca="1">Notmerged(U10)</f>
        <v>#NAME?</v>
      </c>
      <c r="V39" s="128" t="e" cm="1">
        <f t="array" aca="1" ref="V39" ca="1">Notmerged(V10)</f>
        <v>#NAME?</v>
      </c>
      <c r="W39" s="128" t="e" cm="1">
        <f t="array" aca="1" ref="W39" ca="1">Notmerged(W10)</f>
        <v>#NAME?</v>
      </c>
      <c r="X39" s="128" t="e" cm="1">
        <f t="array" aca="1" ref="X39" ca="1">Notmerged(X10)</f>
        <v>#NAME?</v>
      </c>
      <c r="Y39" s="128" t="e" cm="1">
        <f t="array" aca="1" ref="Y39" ca="1">Notmerged(Y10)</f>
        <v>#NAME?</v>
      </c>
      <c r="Z39" s="128" t="e" cm="1">
        <f t="array" aca="1" ref="Z39" ca="1">Notmerged(Z10)</f>
        <v>#NAME?</v>
      </c>
      <c r="AA39" s="128" t="e" cm="1">
        <f t="array" aca="1" ref="AA39" ca="1">Notmerged(AA10)</f>
        <v>#NAME?</v>
      </c>
      <c r="AB39" s="128" t="e" cm="1">
        <f t="array" aca="1" ref="AB39" ca="1">Notmerged(AB10)</f>
        <v>#NAME?</v>
      </c>
      <c r="AC39" s="128" t="e" cm="1">
        <f t="array" aca="1" ref="AC39" ca="1">Notmerged(AC10)</f>
        <v>#NAME?</v>
      </c>
      <c r="AD39" s="128" t="e" cm="1">
        <f t="array" aca="1" ref="AD39" ca="1">Notmerged(AD10)</f>
        <v>#NAME?</v>
      </c>
      <c r="AE39" s="128" t="e" cm="1">
        <f t="array" aca="1" ref="AE39" ca="1">Notmerged(AE10)</f>
        <v>#NAME?</v>
      </c>
      <c r="AF39" s="128" t="e" cm="1">
        <f t="array" aca="1" ref="AF39" ca="1">Notmerged(AF10)</f>
        <v>#NAME?</v>
      </c>
      <c r="AG39" s="128" t="e" cm="1">
        <f t="array" aca="1" ref="AG39" ca="1">Notmerged(AG10)</f>
        <v>#NAME?</v>
      </c>
      <c r="AH39" s="128" t="e" cm="1">
        <f t="array" aca="1" ref="AH39" ca="1">Notmerged(AH10)</f>
        <v>#NAME?</v>
      </c>
      <c r="AI39" s="128" t="e" cm="1">
        <f t="array" aca="1" ref="AI39" ca="1">Notmerged(AI10)</f>
        <v>#NAME?</v>
      </c>
      <c r="AJ39" s="128" t="e" cm="1">
        <f t="array" aca="1" ref="AJ39" ca="1">Notmerged(AJ10)</f>
        <v>#NAME?</v>
      </c>
      <c r="AK39" s="128" t="e" cm="1">
        <f t="array" aca="1" ref="AK39" ca="1">Notmerged(AK10)</f>
        <v>#NAME?</v>
      </c>
      <c r="AL39" s="128" t="e" cm="1">
        <f t="array" aca="1" ref="AL39" ca="1">Notmerged(AL10)</f>
        <v>#NAME?</v>
      </c>
      <c r="AM39" s="128" t="e" cm="1">
        <f t="array" aca="1" ref="AM39" ca="1">Notmerged(AM10)</f>
        <v>#NAME?</v>
      </c>
      <c r="AN39" s="128" t="e" cm="1">
        <f t="array" aca="1" ref="AN39" ca="1">Notmerged(AN10)</f>
        <v>#NAME?</v>
      </c>
      <c r="AO39" s="128" t="e" cm="1">
        <f t="array" aca="1" ref="AO39" ca="1">Notmerged(AO10)</f>
        <v>#NAME?</v>
      </c>
      <c r="AP39" s="128" t="e" cm="1">
        <f t="array" aca="1" ref="AP39" ca="1">Notmerged(AP10)</f>
        <v>#NAME?</v>
      </c>
      <c r="AQ39" s="128" t="e" cm="1">
        <f t="array" aca="1" ref="AQ39" ca="1">Notmerged(AQ10)</f>
        <v>#NAME?</v>
      </c>
      <c r="AR39" s="128" t="e" cm="1">
        <f t="array" aca="1" ref="AR39" ca="1">Notmerged(AR10)</f>
        <v>#NAME?</v>
      </c>
      <c r="AS39" s="128" t="e" cm="1">
        <f t="array" aca="1" ref="AS39" ca="1">Notmerged(AS10)</f>
        <v>#NAME?</v>
      </c>
      <c r="AT39" s="128" t="e" cm="1">
        <f t="array" aca="1" ref="AT39" ca="1">Notmerged(AT10)</f>
        <v>#NAME?</v>
      </c>
      <c r="AU39" s="128" t="e" cm="1">
        <f t="array" aca="1" ref="AU39" ca="1">Notmerged(AU10)</f>
        <v>#NAME?</v>
      </c>
      <c r="AV39" s="128" t="e" cm="1">
        <f t="array" aca="1" ref="AV39" ca="1">Notmerged(AV10)</f>
        <v>#NAME?</v>
      </c>
      <c r="AW39" s="128" t="e" cm="1">
        <f t="array" aca="1" ref="AW39" ca="1">Notmerged(AW10)</f>
        <v>#NAME?</v>
      </c>
      <c r="AX39" s="128" t="e" cm="1">
        <f t="array" aca="1" ref="AX39" ca="1">Notmerged(AX10)</f>
        <v>#NAME?</v>
      </c>
      <c r="AY39" s="128" t="e" cm="1">
        <f t="array" aca="1" ref="AY39" ca="1">Notmerged(AY10)</f>
        <v>#NAME?</v>
      </c>
      <c r="AZ39" s="128" t="e" cm="1">
        <f t="array" aca="1" ref="AZ39" ca="1">Notmerged(AZ10)</f>
        <v>#NAME?</v>
      </c>
      <c r="BA39" s="128" t="e" cm="1">
        <f t="array" aca="1" ref="BA39" ca="1">Notmerged(BA10)</f>
        <v>#NAME?</v>
      </c>
      <c r="BB39" s="128" t="e" cm="1">
        <f t="array" aca="1" ref="BB39" ca="1">Notmerged(BB10)</f>
        <v>#NAME?</v>
      </c>
      <c r="BC39" s="128" t="e" cm="1">
        <f t="array" aca="1" ref="BC39" ca="1">Notmerged(BC10)</f>
        <v>#NAME?</v>
      </c>
      <c r="BD39" s="128" t="e" cm="1">
        <f t="array" aca="1" ref="BD39" ca="1">Notmerged(BD10)</f>
        <v>#NAME?</v>
      </c>
      <c r="BE39" s="128" t="e" cm="1">
        <f t="array" aca="1" ref="BE39" ca="1">Notmerged(BE10)</f>
        <v>#NAME?</v>
      </c>
      <c r="BF39" s="128" t="e" cm="1">
        <f t="array" aca="1" ref="BF39" ca="1">Notmerged(BF10)</f>
        <v>#NAME?</v>
      </c>
      <c r="BG39" s="128" t="e" cm="1">
        <f t="array" aca="1" ref="BG39" ca="1">Notmerged(BG10)</f>
        <v>#NAME?</v>
      </c>
      <c r="BH39" s="128" t="e" cm="1">
        <f t="array" aca="1" ref="BH39" ca="1">Notmerged(BH10)</f>
        <v>#NAME?</v>
      </c>
      <c r="BI39" s="128" t="e" cm="1">
        <f t="array" aca="1" ref="BI39" ca="1">Notmerged(BI10)</f>
        <v>#NAME?</v>
      </c>
      <c r="BJ39" s="128" t="e" cm="1">
        <f t="array" aca="1" ref="BJ39" ca="1">Notmerged(BJ10)</f>
        <v>#NAME?</v>
      </c>
      <c r="BK39" s="128" t="e" cm="1">
        <f t="array" aca="1" ref="BK39" ca="1">Notmerged(BK10)</f>
        <v>#NAME?</v>
      </c>
    </row>
    <row r="40" spans="2:63" x14ac:dyDescent="0.3">
      <c r="B40" s="128" t="e" cm="1">
        <f t="array" aca="1" ref="B40" ca="1">Notmerged(B11)</f>
        <v>#NAME?</v>
      </c>
      <c r="C40" s="128" t="e" cm="1">
        <f t="array" aca="1" ref="C40" ca="1">Notmerged(C11)</f>
        <v>#NAME?</v>
      </c>
      <c r="D40" s="128" t="e" cm="1">
        <f t="array" aca="1" ref="D40" ca="1">Notmerged(D11)</f>
        <v>#NAME?</v>
      </c>
      <c r="E40" s="128" t="e" cm="1">
        <f t="array" aca="1" ref="E40" ca="1">Notmerged(E11)</f>
        <v>#NAME?</v>
      </c>
      <c r="F40" s="128" t="e" cm="1">
        <f t="array" aca="1" ref="F40" ca="1">Notmerged(F11)</f>
        <v>#NAME?</v>
      </c>
      <c r="G40" s="128" t="e" cm="1">
        <f t="array" aca="1" ref="G40" ca="1">Notmerged(G11)</f>
        <v>#NAME?</v>
      </c>
      <c r="H40" s="128" t="e" cm="1">
        <f t="array" aca="1" ref="H40" ca="1">Notmerged(H11)</f>
        <v>#NAME?</v>
      </c>
      <c r="I40" s="128" t="e" cm="1">
        <f t="array" aca="1" ref="I40" ca="1">Notmerged(I11)</f>
        <v>#NAME?</v>
      </c>
      <c r="J40" s="128" t="e" cm="1">
        <f t="array" aca="1" ref="J40" ca="1">Notmerged(J11)</f>
        <v>#NAME?</v>
      </c>
      <c r="K40" s="128" t="e" cm="1">
        <f t="array" aca="1" ref="K40" ca="1">Notmerged(K11)</f>
        <v>#NAME?</v>
      </c>
      <c r="L40" s="128" t="e" cm="1">
        <f t="array" aca="1" ref="L40" ca="1">Notmerged(L12)</f>
        <v>#NAME?</v>
      </c>
      <c r="M40" s="128" t="e" cm="1">
        <f t="array" aca="1" ref="M40" ca="1">Notmerged(M11)</f>
        <v>#NAME?</v>
      </c>
      <c r="N40" s="128" t="e" cm="1">
        <f t="array" aca="1" ref="N40" ca="1">Notmerged(N11)</f>
        <v>#NAME?</v>
      </c>
      <c r="O40" s="128" t="e" cm="1">
        <f t="array" aca="1" ref="O40" ca="1">Notmerged(O11)</f>
        <v>#NAME?</v>
      </c>
      <c r="P40" s="128" t="e" cm="1">
        <f t="array" aca="1" ref="P40" ca="1">Notmerged(P11)</f>
        <v>#NAME?</v>
      </c>
      <c r="Q40" s="128" t="e" cm="1">
        <f t="array" aca="1" ref="Q40" ca="1">Notmerged(Q11)</f>
        <v>#NAME?</v>
      </c>
      <c r="R40" s="128" t="e" cm="1">
        <f t="array" aca="1" ref="R40" ca="1">Notmerged(R11)</f>
        <v>#NAME?</v>
      </c>
      <c r="S40" s="128" t="e" cm="1">
        <f t="array" aca="1" ref="S40" ca="1">Notmerged(S11)</f>
        <v>#NAME?</v>
      </c>
      <c r="T40" s="128" t="e" cm="1">
        <f t="array" aca="1" ref="T40" ca="1">Notmerged(T11)</f>
        <v>#NAME?</v>
      </c>
      <c r="U40" s="128" t="e" cm="1">
        <f t="array" aca="1" ref="U40" ca="1">Notmerged(U11)</f>
        <v>#NAME?</v>
      </c>
      <c r="V40" s="128" t="e" cm="1">
        <f t="array" aca="1" ref="V40" ca="1">Notmerged(V11)</f>
        <v>#NAME?</v>
      </c>
      <c r="W40" s="128" t="e" cm="1">
        <f t="array" aca="1" ref="W40" ca="1">Notmerged(W11)</f>
        <v>#NAME?</v>
      </c>
      <c r="X40" s="128" t="e" cm="1">
        <f t="array" aca="1" ref="X40" ca="1">Notmerged(X11)</f>
        <v>#NAME?</v>
      </c>
      <c r="Y40" s="128" t="e" cm="1">
        <f t="array" aca="1" ref="Y40" ca="1">Notmerged(Y11)</f>
        <v>#NAME?</v>
      </c>
      <c r="Z40" s="128" t="e" cm="1">
        <f t="array" aca="1" ref="Z40" ca="1">Notmerged(Z11)</f>
        <v>#NAME?</v>
      </c>
      <c r="AA40" s="128" t="e" cm="1">
        <f t="array" aca="1" ref="AA40" ca="1">Notmerged(AA11)</f>
        <v>#NAME?</v>
      </c>
      <c r="AB40" s="128" t="e" cm="1">
        <f t="array" aca="1" ref="AB40" ca="1">Notmerged(AB11)</f>
        <v>#NAME?</v>
      </c>
      <c r="AC40" s="128" t="e" cm="1">
        <f t="array" aca="1" ref="AC40" ca="1">Notmerged(AC11)</f>
        <v>#NAME?</v>
      </c>
      <c r="AD40" s="128" t="e" cm="1">
        <f t="array" aca="1" ref="AD40" ca="1">Notmerged(AD11)</f>
        <v>#NAME?</v>
      </c>
      <c r="AE40" s="128" t="e" cm="1">
        <f t="array" aca="1" ref="AE40" ca="1">Notmerged(AE11)</f>
        <v>#NAME?</v>
      </c>
      <c r="AF40" s="128" t="e" cm="1">
        <f t="array" aca="1" ref="AF40" ca="1">Notmerged(AF11)</f>
        <v>#NAME?</v>
      </c>
      <c r="AG40" s="128" t="e" cm="1">
        <f t="array" aca="1" ref="AG40" ca="1">Notmerged(AG11)</f>
        <v>#NAME?</v>
      </c>
      <c r="AH40" s="128" t="e" cm="1">
        <f t="array" aca="1" ref="AH40" ca="1">Notmerged(AH11)</f>
        <v>#NAME?</v>
      </c>
      <c r="AI40" s="128" t="e" cm="1">
        <f t="array" aca="1" ref="AI40" ca="1">Notmerged(AI11)</f>
        <v>#NAME?</v>
      </c>
      <c r="AJ40" s="128" t="e" cm="1">
        <f t="array" aca="1" ref="AJ40" ca="1">Notmerged(AJ11)</f>
        <v>#NAME?</v>
      </c>
      <c r="AK40" s="128" t="e" cm="1">
        <f t="array" aca="1" ref="AK40" ca="1">Notmerged(AK11)</f>
        <v>#NAME?</v>
      </c>
      <c r="AL40" s="128" t="e" cm="1">
        <f t="array" aca="1" ref="AL40" ca="1">Notmerged(AL11)</f>
        <v>#NAME?</v>
      </c>
      <c r="AM40" s="128" t="e" cm="1">
        <f t="array" aca="1" ref="AM40" ca="1">Notmerged(AM11)</f>
        <v>#NAME?</v>
      </c>
      <c r="AN40" s="128" t="e" cm="1">
        <f t="array" aca="1" ref="AN40" ca="1">Notmerged(AN11)</f>
        <v>#NAME?</v>
      </c>
      <c r="AO40" s="128" t="e" cm="1">
        <f t="array" aca="1" ref="AO40" ca="1">Notmerged(AO11)</f>
        <v>#NAME?</v>
      </c>
      <c r="AP40" s="128" t="e" cm="1">
        <f t="array" aca="1" ref="AP40" ca="1">Notmerged(AP11)</f>
        <v>#NAME?</v>
      </c>
      <c r="AQ40" s="128" t="e" cm="1">
        <f t="array" aca="1" ref="AQ40" ca="1">Notmerged(AQ11)</f>
        <v>#NAME?</v>
      </c>
      <c r="AR40" s="128" t="e" cm="1">
        <f t="array" aca="1" ref="AR40" ca="1">Notmerged(AR11)</f>
        <v>#NAME?</v>
      </c>
      <c r="AS40" s="128" t="e" cm="1">
        <f t="array" aca="1" ref="AS40" ca="1">Notmerged(AS11)</f>
        <v>#NAME?</v>
      </c>
      <c r="AT40" s="128" t="e" cm="1">
        <f t="array" aca="1" ref="AT40" ca="1">Notmerged(AT11)</f>
        <v>#NAME?</v>
      </c>
      <c r="AU40" s="128" t="e" cm="1">
        <f t="array" aca="1" ref="AU40" ca="1">Notmerged(AU11)</f>
        <v>#NAME?</v>
      </c>
      <c r="AV40" s="128" t="e" cm="1">
        <f t="array" aca="1" ref="AV40" ca="1">Notmerged(AV11)</f>
        <v>#NAME?</v>
      </c>
      <c r="AW40" s="128" t="e" cm="1">
        <f t="array" aca="1" ref="AW40" ca="1">Notmerged(AW11)</f>
        <v>#NAME?</v>
      </c>
      <c r="AX40" s="128" t="e" cm="1">
        <f t="array" aca="1" ref="AX40" ca="1">Notmerged(AX11)</f>
        <v>#NAME?</v>
      </c>
      <c r="AY40" s="128" t="e" cm="1">
        <f t="array" aca="1" ref="AY40" ca="1">Notmerged(AY11)</f>
        <v>#NAME?</v>
      </c>
      <c r="AZ40" s="128" t="e" cm="1">
        <f t="array" aca="1" ref="AZ40" ca="1">Notmerged(AZ11)</f>
        <v>#NAME?</v>
      </c>
      <c r="BA40" s="128" t="e" cm="1">
        <f t="array" aca="1" ref="BA40" ca="1">Notmerged(BA11)</f>
        <v>#NAME?</v>
      </c>
      <c r="BB40" s="128" t="e" cm="1">
        <f t="array" aca="1" ref="BB40" ca="1">Notmerged(BB11)</f>
        <v>#NAME?</v>
      </c>
      <c r="BC40" s="128" t="e" cm="1">
        <f t="array" aca="1" ref="BC40" ca="1">Notmerged(BC11)</f>
        <v>#NAME?</v>
      </c>
      <c r="BD40" s="128" t="e" cm="1">
        <f t="array" aca="1" ref="BD40" ca="1">Notmerged(BD11)</f>
        <v>#NAME?</v>
      </c>
      <c r="BE40" s="128" t="e" cm="1">
        <f t="array" aca="1" ref="BE40" ca="1">Notmerged(BE11)</f>
        <v>#NAME?</v>
      </c>
      <c r="BF40" s="128" t="e" cm="1">
        <f t="array" aca="1" ref="BF40" ca="1">Notmerged(BF11)</f>
        <v>#NAME?</v>
      </c>
      <c r="BG40" s="128" t="e" cm="1">
        <f t="array" aca="1" ref="BG40" ca="1">Notmerged(BG11)</f>
        <v>#NAME?</v>
      </c>
      <c r="BH40" s="128" t="e" cm="1">
        <f t="array" aca="1" ref="BH40" ca="1">Notmerged(BH11)</f>
        <v>#NAME?</v>
      </c>
      <c r="BI40" s="128" t="e" cm="1">
        <f t="array" aca="1" ref="BI40" ca="1">Notmerged(BI11)</f>
        <v>#NAME?</v>
      </c>
      <c r="BJ40" s="128" t="e" cm="1">
        <f t="array" aca="1" ref="BJ40" ca="1">Notmerged(BJ11)</f>
        <v>#NAME?</v>
      </c>
      <c r="BK40" s="128" t="e" cm="1">
        <f t="array" aca="1" ref="BK40" ca="1">Notmerged(BK11)</f>
        <v>#NAME?</v>
      </c>
    </row>
    <row r="41" spans="2:63" x14ac:dyDescent="0.3">
      <c r="B41" s="128" t="e" cm="1">
        <f t="array" aca="1" ref="B41" ca="1">Notmerged(B12)</f>
        <v>#NAME?</v>
      </c>
      <c r="C41" s="128" t="e" cm="1">
        <f t="array" aca="1" ref="C41" ca="1">Notmerged(C12)</f>
        <v>#NAME?</v>
      </c>
      <c r="D41" s="128" t="e" cm="1">
        <f t="array" aca="1" ref="D41" ca="1">Notmerged(D12)</f>
        <v>#NAME?</v>
      </c>
      <c r="E41" s="128" t="e" cm="1">
        <f t="array" aca="1" ref="E41" ca="1">Notmerged(E12)</f>
        <v>#NAME?</v>
      </c>
      <c r="F41" s="128" t="e" cm="1">
        <f t="array" aca="1" ref="F41" ca="1">Notmerged(F12)</f>
        <v>#NAME?</v>
      </c>
      <c r="G41" s="128" t="e" cm="1">
        <f t="array" aca="1" ref="G41" ca="1">Notmerged(G12)</f>
        <v>#NAME?</v>
      </c>
      <c r="H41" s="128" t="e" cm="1">
        <f t="array" aca="1" ref="H41" ca="1">Notmerged(H12)</f>
        <v>#NAME?</v>
      </c>
      <c r="I41" s="128" t="e" cm="1">
        <f t="array" aca="1" ref="I41" ca="1">Notmerged(I12)</f>
        <v>#NAME?</v>
      </c>
      <c r="J41" s="128" t="e" cm="1">
        <f t="array" aca="1" ref="J41" ca="1">Notmerged(J12)</f>
        <v>#NAME?</v>
      </c>
      <c r="K41" s="128" t="e" cm="1">
        <f t="array" aca="1" ref="K41" ca="1">Notmerged(K12)</f>
        <v>#NAME?</v>
      </c>
      <c r="L41" s="128" t="e" cm="1">
        <f t="array" aca="1" ref="L41" ca="1">Notmerged(L13)</f>
        <v>#NAME?</v>
      </c>
      <c r="M41" s="128" t="e" cm="1">
        <f t="array" aca="1" ref="M41" ca="1">Notmerged(M12)</f>
        <v>#NAME?</v>
      </c>
      <c r="N41" s="128" t="e" cm="1">
        <f t="array" aca="1" ref="N41" ca="1">Notmerged(N12)</f>
        <v>#NAME?</v>
      </c>
      <c r="O41" s="128" t="e" cm="1">
        <f t="array" aca="1" ref="O41" ca="1">Notmerged(O12)</f>
        <v>#NAME?</v>
      </c>
      <c r="P41" s="128" t="e" cm="1">
        <f t="array" aca="1" ref="P41" ca="1">Notmerged(P12)</f>
        <v>#NAME?</v>
      </c>
      <c r="Q41" s="128" t="e" cm="1">
        <f t="array" aca="1" ref="Q41" ca="1">Notmerged(Q12)</f>
        <v>#NAME?</v>
      </c>
      <c r="R41" s="128" t="e" cm="1">
        <f t="array" aca="1" ref="R41" ca="1">Notmerged(R12)</f>
        <v>#NAME?</v>
      </c>
      <c r="S41" s="128" t="e" cm="1">
        <f t="array" aca="1" ref="S41" ca="1">Notmerged(S12)</f>
        <v>#NAME?</v>
      </c>
      <c r="T41" s="128" t="e" cm="1">
        <f t="array" aca="1" ref="T41" ca="1">Notmerged(T12)</f>
        <v>#NAME?</v>
      </c>
      <c r="U41" s="128" t="e" cm="1">
        <f t="array" aca="1" ref="U41" ca="1">Notmerged(U12)</f>
        <v>#NAME?</v>
      </c>
      <c r="V41" s="128" t="e" cm="1">
        <f t="array" aca="1" ref="V41" ca="1">Notmerged(V12)</f>
        <v>#NAME?</v>
      </c>
      <c r="W41" s="128" t="e" cm="1">
        <f t="array" aca="1" ref="W41" ca="1">Notmerged(W12)</f>
        <v>#NAME?</v>
      </c>
      <c r="X41" s="128" t="e" cm="1">
        <f t="array" aca="1" ref="X41" ca="1">Notmerged(X12)</f>
        <v>#NAME?</v>
      </c>
      <c r="Y41" s="128" t="e" cm="1">
        <f t="array" aca="1" ref="Y41" ca="1">Notmerged(Y12)</f>
        <v>#NAME?</v>
      </c>
      <c r="Z41" s="128" t="e" cm="1">
        <f t="array" aca="1" ref="Z41" ca="1">Notmerged(Z12)</f>
        <v>#NAME?</v>
      </c>
      <c r="AA41" s="128" t="e" cm="1">
        <f t="array" aca="1" ref="AA41" ca="1">Notmerged(AA12)</f>
        <v>#NAME?</v>
      </c>
      <c r="AB41" s="128" t="e" cm="1">
        <f t="array" aca="1" ref="AB41" ca="1">Notmerged(AB12)</f>
        <v>#NAME?</v>
      </c>
      <c r="AC41" s="128" t="e" cm="1">
        <f t="array" aca="1" ref="AC41" ca="1">Notmerged(AC12)</f>
        <v>#NAME?</v>
      </c>
      <c r="AD41" s="128" t="e" cm="1">
        <f t="array" aca="1" ref="AD41" ca="1">Notmerged(AD12)</f>
        <v>#NAME?</v>
      </c>
      <c r="AE41" s="128" t="e" cm="1">
        <f t="array" aca="1" ref="AE41" ca="1">Notmerged(AE12)</f>
        <v>#NAME?</v>
      </c>
      <c r="AF41" s="128" t="e" cm="1">
        <f t="array" aca="1" ref="AF41" ca="1">Notmerged(AF12)</f>
        <v>#NAME?</v>
      </c>
      <c r="AG41" s="128" t="e" cm="1">
        <f t="array" aca="1" ref="AG41" ca="1">Notmerged(AG12)</f>
        <v>#NAME?</v>
      </c>
      <c r="AH41" s="128" t="e" cm="1">
        <f t="array" aca="1" ref="AH41" ca="1">Notmerged(AH12)</f>
        <v>#NAME?</v>
      </c>
      <c r="AI41" s="128" t="e" cm="1">
        <f t="array" aca="1" ref="AI41" ca="1">Notmerged(AI12)</f>
        <v>#NAME?</v>
      </c>
      <c r="AJ41" s="128" t="e" cm="1">
        <f t="array" aca="1" ref="AJ41" ca="1">Notmerged(AJ12)</f>
        <v>#NAME?</v>
      </c>
      <c r="AK41" s="128" t="e" cm="1">
        <f t="array" aca="1" ref="AK41" ca="1">Notmerged(AK12)</f>
        <v>#NAME?</v>
      </c>
      <c r="AL41" s="128" t="e" cm="1">
        <f t="array" aca="1" ref="AL41" ca="1">Notmerged(AL12)</f>
        <v>#NAME?</v>
      </c>
      <c r="AM41" s="128" t="e" cm="1">
        <f t="array" aca="1" ref="AM41" ca="1">Notmerged(AM12)</f>
        <v>#NAME?</v>
      </c>
      <c r="AN41" s="128" t="e" cm="1">
        <f t="array" aca="1" ref="AN41" ca="1">Notmerged(AN12)</f>
        <v>#NAME?</v>
      </c>
      <c r="AO41" s="128" t="e" cm="1">
        <f t="array" aca="1" ref="AO41" ca="1">Notmerged(AO12)</f>
        <v>#NAME?</v>
      </c>
      <c r="AP41" s="128" t="e" cm="1">
        <f t="array" aca="1" ref="AP41" ca="1">Notmerged(AP12)</f>
        <v>#NAME?</v>
      </c>
      <c r="AQ41" s="128" t="e" cm="1">
        <f t="array" aca="1" ref="AQ41" ca="1">Notmerged(AQ12)</f>
        <v>#NAME?</v>
      </c>
      <c r="AR41" s="128" t="e" cm="1">
        <f t="array" aca="1" ref="AR41" ca="1">Notmerged(AR12)</f>
        <v>#NAME?</v>
      </c>
      <c r="AS41" s="128" t="e" cm="1">
        <f t="array" aca="1" ref="AS41" ca="1">Notmerged(AS12)</f>
        <v>#NAME?</v>
      </c>
      <c r="AT41" s="128" t="e" cm="1">
        <f t="array" aca="1" ref="AT41" ca="1">Notmerged(AT12)</f>
        <v>#NAME?</v>
      </c>
      <c r="AU41" s="128" t="e" cm="1">
        <f t="array" aca="1" ref="AU41" ca="1">Notmerged(AU12)</f>
        <v>#NAME?</v>
      </c>
      <c r="AV41" s="128" t="e" cm="1">
        <f t="array" aca="1" ref="AV41" ca="1">Notmerged(AV12)</f>
        <v>#NAME?</v>
      </c>
      <c r="AW41" s="128" t="e" cm="1">
        <f t="array" aca="1" ref="AW41" ca="1">Notmerged(AW12)</f>
        <v>#NAME?</v>
      </c>
      <c r="AX41" s="128" t="e" cm="1">
        <f t="array" aca="1" ref="AX41" ca="1">Notmerged(AX12)</f>
        <v>#NAME?</v>
      </c>
      <c r="AY41" s="128" t="e" cm="1">
        <f t="array" aca="1" ref="AY41" ca="1">Notmerged(AY12)</f>
        <v>#NAME?</v>
      </c>
      <c r="AZ41" s="128" t="e" cm="1">
        <f t="array" aca="1" ref="AZ41" ca="1">Notmerged(AZ12)</f>
        <v>#NAME?</v>
      </c>
      <c r="BA41" s="128" t="e" cm="1">
        <f t="array" aca="1" ref="BA41" ca="1">Notmerged(BA12)</f>
        <v>#NAME?</v>
      </c>
      <c r="BB41" s="128" t="e" cm="1">
        <f t="array" aca="1" ref="BB41" ca="1">Notmerged(BB12)</f>
        <v>#NAME?</v>
      </c>
      <c r="BC41" s="128" t="e" cm="1">
        <f t="array" aca="1" ref="BC41" ca="1">Notmerged(BC12)</f>
        <v>#NAME?</v>
      </c>
      <c r="BD41" s="128" t="e" cm="1">
        <f t="array" aca="1" ref="BD41" ca="1">Notmerged(BD12)</f>
        <v>#NAME?</v>
      </c>
      <c r="BE41" s="128" t="e" cm="1">
        <f t="array" aca="1" ref="BE41" ca="1">Notmerged(BE12)</f>
        <v>#NAME?</v>
      </c>
      <c r="BF41" s="128" t="e" cm="1">
        <f t="array" aca="1" ref="BF41" ca="1">Notmerged(BF12)</f>
        <v>#NAME?</v>
      </c>
      <c r="BG41" s="128" t="e" cm="1">
        <f t="array" aca="1" ref="BG41" ca="1">Notmerged(BG12)</f>
        <v>#NAME?</v>
      </c>
      <c r="BH41" s="128" t="e" cm="1">
        <f t="array" aca="1" ref="BH41" ca="1">Notmerged(BH12)</f>
        <v>#NAME?</v>
      </c>
      <c r="BI41" s="128" t="e" cm="1">
        <f t="array" aca="1" ref="BI41" ca="1">Notmerged(BI12)</f>
        <v>#NAME?</v>
      </c>
      <c r="BJ41" s="128" t="e" cm="1">
        <f t="array" aca="1" ref="BJ41" ca="1">Notmerged(BJ12)</f>
        <v>#NAME?</v>
      </c>
      <c r="BK41" s="128" t="e" cm="1">
        <f t="array" aca="1" ref="BK41" ca="1">Notmerged(BK12)</f>
        <v>#NAME?</v>
      </c>
    </row>
    <row r="42" spans="2:63" x14ac:dyDescent="0.3">
      <c r="B42" s="128" t="e" cm="1">
        <f t="array" aca="1" ref="B42" ca="1">Notmerged(B13)</f>
        <v>#NAME?</v>
      </c>
      <c r="C42" s="128" t="e" cm="1">
        <f t="array" aca="1" ref="C42" ca="1">Notmerged(C13)</f>
        <v>#NAME?</v>
      </c>
      <c r="D42" s="128" t="e" cm="1">
        <f t="array" aca="1" ref="D42" ca="1">Notmerged(D13)</f>
        <v>#NAME?</v>
      </c>
      <c r="E42" s="128" t="e" cm="1">
        <f t="array" aca="1" ref="E42" ca="1">Notmerged(E13)</f>
        <v>#NAME?</v>
      </c>
      <c r="F42" s="128" t="e" cm="1">
        <f t="array" aca="1" ref="F42" ca="1">Notmerged(F13)</f>
        <v>#NAME?</v>
      </c>
      <c r="G42" s="128" t="e" cm="1">
        <f t="array" aca="1" ref="G42" ca="1">Notmerged(G13)</f>
        <v>#NAME?</v>
      </c>
      <c r="H42" s="128" t="e" cm="1">
        <f t="array" aca="1" ref="H42" ca="1">Notmerged(H13)</f>
        <v>#NAME?</v>
      </c>
      <c r="I42" s="128" t="e" cm="1">
        <f t="array" aca="1" ref="I42" ca="1">Notmerged(I13)</f>
        <v>#NAME?</v>
      </c>
      <c r="J42" s="128" t="e" cm="1">
        <f t="array" aca="1" ref="J42" ca="1">Notmerged(J13)</f>
        <v>#NAME?</v>
      </c>
      <c r="K42" s="128" t="e" cm="1">
        <f t="array" aca="1" ref="K42" ca="1">Notmerged(K13)</f>
        <v>#NAME?</v>
      </c>
      <c r="L42" s="128" t="e" cm="1">
        <f t="array" aca="1" ref="L42" ca="1">Notmerged(L14)</f>
        <v>#NAME?</v>
      </c>
      <c r="M42" s="128" t="e" cm="1">
        <f t="array" aca="1" ref="M42" ca="1">Notmerged(M13)</f>
        <v>#NAME?</v>
      </c>
      <c r="N42" s="128" t="e" cm="1">
        <f t="array" aca="1" ref="N42" ca="1">Notmerged(N13)</f>
        <v>#NAME?</v>
      </c>
      <c r="O42" s="128" t="e" cm="1">
        <f t="array" aca="1" ref="O42" ca="1">Notmerged(O13)</f>
        <v>#NAME?</v>
      </c>
      <c r="P42" s="128" t="e" cm="1">
        <f t="array" aca="1" ref="P42" ca="1">Notmerged(P13)</f>
        <v>#NAME?</v>
      </c>
      <c r="Q42" s="128" t="e" cm="1">
        <f t="array" aca="1" ref="Q42" ca="1">Notmerged(Q13)</f>
        <v>#NAME?</v>
      </c>
      <c r="R42" s="128" t="e" cm="1">
        <f t="array" aca="1" ref="R42" ca="1">Notmerged(R13)</f>
        <v>#NAME?</v>
      </c>
      <c r="S42" s="128" t="e" cm="1">
        <f t="array" aca="1" ref="S42" ca="1">Notmerged(S13)</f>
        <v>#NAME?</v>
      </c>
      <c r="T42" s="128" t="e" cm="1">
        <f t="array" aca="1" ref="T42" ca="1">Notmerged(T13)</f>
        <v>#NAME?</v>
      </c>
      <c r="U42" s="128" t="e" cm="1">
        <f t="array" aca="1" ref="U42" ca="1">Notmerged(U13)</f>
        <v>#NAME?</v>
      </c>
      <c r="V42" s="128" t="e" cm="1">
        <f t="array" aca="1" ref="V42" ca="1">Notmerged(V13)</f>
        <v>#NAME?</v>
      </c>
      <c r="W42" s="128" t="e" cm="1">
        <f t="array" aca="1" ref="W42" ca="1">Notmerged(W13)</f>
        <v>#NAME?</v>
      </c>
      <c r="X42" s="128" t="e" cm="1">
        <f t="array" aca="1" ref="X42" ca="1">Notmerged(X13)</f>
        <v>#NAME?</v>
      </c>
      <c r="Y42" s="128" t="e" cm="1">
        <f t="array" aca="1" ref="Y42" ca="1">Notmerged(Y13)</f>
        <v>#NAME?</v>
      </c>
      <c r="Z42" s="128" t="e" cm="1">
        <f t="array" aca="1" ref="Z42" ca="1">Notmerged(Z13)</f>
        <v>#NAME?</v>
      </c>
      <c r="AA42" s="128" t="e" cm="1">
        <f t="array" aca="1" ref="AA42" ca="1">Notmerged(AA13)</f>
        <v>#NAME?</v>
      </c>
      <c r="AB42" s="128" t="e" cm="1">
        <f t="array" aca="1" ref="AB42" ca="1">Notmerged(AB13)</f>
        <v>#NAME?</v>
      </c>
      <c r="AC42" s="128" t="e" cm="1">
        <f t="array" aca="1" ref="AC42" ca="1">Notmerged(AC13)</f>
        <v>#NAME?</v>
      </c>
      <c r="AD42" s="128" t="e" cm="1">
        <f t="array" aca="1" ref="AD42" ca="1">Notmerged(AD13)</f>
        <v>#NAME?</v>
      </c>
      <c r="AE42" s="128" t="e" cm="1">
        <f t="array" aca="1" ref="AE42" ca="1">Notmerged(AE13)</f>
        <v>#NAME?</v>
      </c>
      <c r="AF42" s="128" t="e" cm="1">
        <f t="array" aca="1" ref="AF42" ca="1">Notmerged(AF13)</f>
        <v>#NAME?</v>
      </c>
      <c r="AG42" s="128" t="e" cm="1">
        <f t="array" aca="1" ref="AG42" ca="1">Notmerged(AG13)</f>
        <v>#NAME?</v>
      </c>
      <c r="AH42" s="128" t="e" cm="1">
        <f t="array" aca="1" ref="AH42" ca="1">Notmerged(AH13)</f>
        <v>#NAME?</v>
      </c>
      <c r="AI42" s="128" t="e" cm="1">
        <f t="array" aca="1" ref="AI42" ca="1">Notmerged(AI13)</f>
        <v>#NAME?</v>
      </c>
      <c r="AJ42" s="128" t="e" cm="1">
        <f t="array" aca="1" ref="AJ42" ca="1">Notmerged(AJ13)</f>
        <v>#NAME?</v>
      </c>
      <c r="AK42" s="128" t="e" cm="1">
        <f t="array" aca="1" ref="AK42" ca="1">Notmerged(AK13)</f>
        <v>#NAME?</v>
      </c>
      <c r="AL42" s="128" t="e" cm="1">
        <f t="array" aca="1" ref="AL42" ca="1">Notmerged(AL13)</f>
        <v>#NAME?</v>
      </c>
      <c r="AM42" s="128" t="e" cm="1">
        <f t="array" aca="1" ref="AM42" ca="1">Notmerged(AM13)</f>
        <v>#NAME?</v>
      </c>
      <c r="AN42" s="128" t="e" cm="1">
        <f t="array" aca="1" ref="AN42" ca="1">Notmerged(AN13)</f>
        <v>#NAME?</v>
      </c>
      <c r="AO42" s="128" t="e" cm="1">
        <f t="array" aca="1" ref="AO42" ca="1">Notmerged(AO13)</f>
        <v>#NAME?</v>
      </c>
      <c r="AP42" s="128" t="e" cm="1">
        <f t="array" aca="1" ref="AP42" ca="1">Notmerged(AP13)</f>
        <v>#NAME?</v>
      </c>
      <c r="AQ42" s="128" t="e" cm="1">
        <f t="array" aca="1" ref="AQ42" ca="1">Notmerged(AQ13)</f>
        <v>#NAME?</v>
      </c>
      <c r="AR42" s="128" t="e" cm="1">
        <f t="array" aca="1" ref="AR42" ca="1">Notmerged(AR13)</f>
        <v>#NAME?</v>
      </c>
      <c r="AS42" s="128" t="e" cm="1">
        <f t="array" aca="1" ref="AS42" ca="1">Notmerged(AS13)</f>
        <v>#NAME?</v>
      </c>
      <c r="AT42" s="128" t="e" cm="1">
        <f t="array" aca="1" ref="AT42" ca="1">Notmerged(AT13)</f>
        <v>#NAME?</v>
      </c>
      <c r="AU42" s="128" t="e" cm="1">
        <f t="array" aca="1" ref="AU42" ca="1">Notmerged(AU13)</f>
        <v>#NAME?</v>
      </c>
      <c r="AV42" s="128" t="e" cm="1">
        <f t="array" aca="1" ref="AV42" ca="1">Notmerged(AV13)</f>
        <v>#NAME?</v>
      </c>
      <c r="AW42" s="128" t="e" cm="1">
        <f t="array" aca="1" ref="AW42" ca="1">Notmerged(AW13)</f>
        <v>#NAME?</v>
      </c>
      <c r="AX42" s="128" t="e" cm="1">
        <f t="array" aca="1" ref="AX42" ca="1">Notmerged(AX13)</f>
        <v>#NAME?</v>
      </c>
      <c r="AY42" s="128" t="e" cm="1">
        <f t="array" aca="1" ref="AY42" ca="1">Notmerged(AY13)</f>
        <v>#NAME?</v>
      </c>
      <c r="AZ42" s="128" t="e" cm="1">
        <f t="array" aca="1" ref="AZ42" ca="1">Notmerged(AZ13)</f>
        <v>#NAME?</v>
      </c>
      <c r="BA42" s="128" t="e" cm="1">
        <f t="array" aca="1" ref="BA42" ca="1">Notmerged(BA13)</f>
        <v>#NAME?</v>
      </c>
      <c r="BB42" s="128" t="e" cm="1">
        <f t="array" aca="1" ref="BB42" ca="1">Notmerged(BB13)</f>
        <v>#NAME?</v>
      </c>
      <c r="BC42" s="128" t="e" cm="1">
        <f t="array" aca="1" ref="BC42" ca="1">Notmerged(BC13)</f>
        <v>#NAME?</v>
      </c>
      <c r="BD42" s="128" t="e" cm="1">
        <f t="array" aca="1" ref="BD42" ca="1">Notmerged(BD13)</f>
        <v>#NAME?</v>
      </c>
      <c r="BE42" s="128" t="e" cm="1">
        <f t="array" aca="1" ref="BE42" ca="1">Notmerged(BE13)</f>
        <v>#NAME?</v>
      </c>
      <c r="BF42" s="128" t="e" cm="1">
        <f t="array" aca="1" ref="BF42" ca="1">Notmerged(BF13)</f>
        <v>#NAME?</v>
      </c>
      <c r="BG42" s="128" t="e" cm="1">
        <f t="array" aca="1" ref="BG42" ca="1">Notmerged(BG13)</f>
        <v>#NAME?</v>
      </c>
      <c r="BH42" s="128" t="e" cm="1">
        <f t="array" aca="1" ref="BH42" ca="1">Notmerged(BH13)</f>
        <v>#NAME?</v>
      </c>
      <c r="BI42" s="128" t="e" cm="1">
        <f t="array" aca="1" ref="BI42" ca="1">Notmerged(BI13)</f>
        <v>#NAME?</v>
      </c>
      <c r="BJ42" s="128" t="e" cm="1">
        <f t="array" aca="1" ref="BJ42" ca="1">Notmerged(BJ13)</f>
        <v>#NAME?</v>
      </c>
      <c r="BK42" s="128" t="e" cm="1">
        <f t="array" aca="1" ref="BK42" ca="1">Notmerged(BK13)</f>
        <v>#NAME?</v>
      </c>
    </row>
    <row r="43" spans="2:63" x14ac:dyDescent="0.3">
      <c r="B43" s="128" t="e" cm="1">
        <f t="array" aca="1" ref="B43" ca="1">Notmerged(B14)</f>
        <v>#NAME?</v>
      </c>
      <c r="C43" s="128" t="e" cm="1">
        <f t="array" aca="1" ref="C43" ca="1">Notmerged(C14)</f>
        <v>#NAME?</v>
      </c>
      <c r="D43" s="128" t="e" cm="1">
        <f t="array" aca="1" ref="D43" ca="1">Notmerged(D14)</f>
        <v>#NAME?</v>
      </c>
      <c r="E43" s="128" t="e" cm="1">
        <f t="array" aca="1" ref="E43" ca="1">Notmerged(E14)</f>
        <v>#NAME?</v>
      </c>
      <c r="F43" s="128" t="e" cm="1">
        <f t="array" aca="1" ref="F43" ca="1">Notmerged(F14)</f>
        <v>#NAME?</v>
      </c>
      <c r="G43" s="128" t="e" cm="1">
        <f t="array" aca="1" ref="G43" ca="1">Notmerged(G14)</f>
        <v>#NAME?</v>
      </c>
      <c r="H43" s="128" t="e" cm="1">
        <f t="array" aca="1" ref="H43" ca="1">Notmerged(H14)</f>
        <v>#NAME?</v>
      </c>
      <c r="I43" s="128" t="e" cm="1">
        <f t="array" aca="1" ref="I43" ca="1">Notmerged(I14)</f>
        <v>#NAME?</v>
      </c>
      <c r="J43" s="128" t="e" cm="1">
        <f t="array" aca="1" ref="J43" ca="1">Notmerged(J14)</f>
        <v>#NAME?</v>
      </c>
      <c r="K43" s="128" t="e" cm="1">
        <f t="array" aca="1" ref="K43" ca="1">Notmerged(K14)</f>
        <v>#NAME?</v>
      </c>
      <c r="L43" s="128" t="e" cm="1">
        <f t="array" aca="1" ref="L43" ca="1">Notmerged(L15)</f>
        <v>#NAME?</v>
      </c>
      <c r="M43" s="128" t="e" cm="1">
        <f t="array" aca="1" ref="M43" ca="1">Notmerged(M14)</f>
        <v>#NAME?</v>
      </c>
      <c r="N43" s="128" t="e" cm="1">
        <f t="array" aca="1" ref="N43" ca="1">Notmerged(N14)</f>
        <v>#NAME?</v>
      </c>
      <c r="O43" s="128" t="e" cm="1">
        <f t="array" aca="1" ref="O43" ca="1">Notmerged(O14)</f>
        <v>#NAME?</v>
      </c>
      <c r="P43" s="128" t="e" cm="1">
        <f t="array" aca="1" ref="P43" ca="1">Notmerged(P14)</f>
        <v>#NAME?</v>
      </c>
      <c r="Q43" s="128" t="e" cm="1">
        <f t="array" aca="1" ref="Q43" ca="1">Notmerged(Q14)</f>
        <v>#NAME?</v>
      </c>
      <c r="R43" s="128" t="e" cm="1">
        <f t="array" aca="1" ref="R43" ca="1">Notmerged(R14)</f>
        <v>#NAME?</v>
      </c>
      <c r="S43" s="128" t="e" cm="1">
        <f t="array" aca="1" ref="S43" ca="1">Notmerged(S14)</f>
        <v>#NAME?</v>
      </c>
      <c r="T43" s="128" t="e" cm="1">
        <f t="array" aca="1" ref="T43" ca="1">Notmerged(T14)</f>
        <v>#NAME?</v>
      </c>
      <c r="U43" s="128" t="e" cm="1">
        <f t="array" aca="1" ref="U43" ca="1">Notmerged(U14)</f>
        <v>#NAME?</v>
      </c>
      <c r="V43" s="128" t="e" cm="1">
        <f t="array" aca="1" ref="V43" ca="1">Notmerged(V14)</f>
        <v>#NAME?</v>
      </c>
      <c r="W43" s="128" t="e" cm="1">
        <f t="array" aca="1" ref="W43" ca="1">Notmerged(W14)</f>
        <v>#NAME?</v>
      </c>
      <c r="X43" s="128" t="e" cm="1">
        <f t="array" aca="1" ref="X43" ca="1">Notmerged(X14)</f>
        <v>#NAME?</v>
      </c>
      <c r="Y43" s="128" t="e" cm="1">
        <f t="array" aca="1" ref="Y43" ca="1">Notmerged(Y14)</f>
        <v>#NAME?</v>
      </c>
      <c r="Z43" s="128" t="e" cm="1">
        <f t="array" aca="1" ref="Z43" ca="1">Notmerged(Z14)</f>
        <v>#NAME?</v>
      </c>
      <c r="AA43" s="128" t="e" cm="1">
        <f t="array" aca="1" ref="AA43" ca="1">Notmerged(AA14)</f>
        <v>#NAME?</v>
      </c>
      <c r="AB43" s="128" t="e" cm="1">
        <f t="array" aca="1" ref="AB43" ca="1">Notmerged(AB14)</f>
        <v>#NAME?</v>
      </c>
      <c r="AC43" s="128" t="e" cm="1">
        <f t="array" aca="1" ref="AC43" ca="1">Notmerged(AC14)</f>
        <v>#NAME?</v>
      </c>
      <c r="AD43" s="128" t="e" cm="1">
        <f t="array" aca="1" ref="AD43" ca="1">Notmerged(AD14)</f>
        <v>#NAME?</v>
      </c>
      <c r="AE43" s="128" t="e" cm="1">
        <f t="array" aca="1" ref="AE43" ca="1">Notmerged(AE14)</f>
        <v>#NAME?</v>
      </c>
      <c r="AF43" s="128" t="e" cm="1">
        <f t="array" aca="1" ref="AF43" ca="1">Notmerged(AF14)</f>
        <v>#NAME?</v>
      </c>
      <c r="AG43" s="128" t="e" cm="1">
        <f t="array" aca="1" ref="AG43" ca="1">Notmerged(AG14)</f>
        <v>#NAME?</v>
      </c>
      <c r="AH43" s="128" t="e" cm="1">
        <f t="array" aca="1" ref="AH43" ca="1">Notmerged(AH14)</f>
        <v>#NAME?</v>
      </c>
      <c r="AI43" s="128" t="e" cm="1">
        <f t="array" aca="1" ref="AI43" ca="1">Notmerged(AI14)</f>
        <v>#NAME?</v>
      </c>
      <c r="AJ43" s="128" t="e" cm="1">
        <f t="array" aca="1" ref="AJ43" ca="1">Notmerged(AJ14)</f>
        <v>#NAME?</v>
      </c>
      <c r="AK43" s="128" t="e" cm="1">
        <f t="array" aca="1" ref="AK43" ca="1">Notmerged(AK14)</f>
        <v>#NAME?</v>
      </c>
      <c r="AL43" s="128" t="e" cm="1">
        <f t="array" aca="1" ref="AL43" ca="1">Notmerged(AL14)</f>
        <v>#NAME?</v>
      </c>
      <c r="AM43" s="128" t="e" cm="1">
        <f t="array" aca="1" ref="AM43" ca="1">Notmerged(AM14)</f>
        <v>#NAME?</v>
      </c>
      <c r="AN43" s="128" t="e" cm="1">
        <f t="array" aca="1" ref="AN43" ca="1">Notmerged(AN14)</f>
        <v>#NAME?</v>
      </c>
      <c r="AO43" s="128" t="e" cm="1">
        <f t="array" aca="1" ref="AO43" ca="1">Notmerged(AO14)</f>
        <v>#NAME?</v>
      </c>
      <c r="AP43" s="128" t="e" cm="1">
        <f t="array" aca="1" ref="AP43" ca="1">Notmerged(AP14)</f>
        <v>#NAME?</v>
      </c>
      <c r="AQ43" s="128" t="e" cm="1">
        <f t="array" aca="1" ref="AQ43" ca="1">Notmerged(AQ14)</f>
        <v>#NAME?</v>
      </c>
      <c r="AR43" s="128" t="e" cm="1">
        <f t="array" aca="1" ref="AR43" ca="1">Notmerged(AR14)</f>
        <v>#NAME?</v>
      </c>
      <c r="AS43" s="128" t="e" cm="1">
        <f t="array" aca="1" ref="AS43" ca="1">Notmerged(AS14)</f>
        <v>#NAME?</v>
      </c>
      <c r="AT43" s="128" t="e" cm="1">
        <f t="array" aca="1" ref="AT43" ca="1">Notmerged(AT14)</f>
        <v>#NAME?</v>
      </c>
      <c r="AU43" s="128" t="e" cm="1">
        <f t="array" aca="1" ref="AU43" ca="1">Notmerged(AU14)</f>
        <v>#NAME?</v>
      </c>
      <c r="AV43" s="128" t="e" cm="1">
        <f t="array" aca="1" ref="AV43" ca="1">Notmerged(AV14)</f>
        <v>#NAME?</v>
      </c>
      <c r="AW43" s="128" t="e" cm="1">
        <f t="array" aca="1" ref="AW43" ca="1">Notmerged(AW14)</f>
        <v>#NAME?</v>
      </c>
      <c r="AX43" s="128" t="e" cm="1">
        <f t="array" aca="1" ref="AX43" ca="1">Notmerged(AX14)</f>
        <v>#NAME?</v>
      </c>
      <c r="AY43" s="128" t="e" cm="1">
        <f t="array" aca="1" ref="AY43" ca="1">Notmerged(AY14)</f>
        <v>#NAME?</v>
      </c>
      <c r="AZ43" s="128" t="e" cm="1">
        <f t="array" aca="1" ref="AZ43" ca="1">Notmerged(AZ14)</f>
        <v>#NAME?</v>
      </c>
      <c r="BA43" s="128" t="e" cm="1">
        <f t="array" aca="1" ref="BA43" ca="1">Notmerged(BA14)</f>
        <v>#NAME?</v>
      </c>
      <c r="BB43" s="128" t="e" cm="1">
        <f t="array" aca="1" ref="BB43" ca="1">Notmerged(BB14)</f>
        <v>#NAME?</v>
      </c>
      <c r="BC43" s="128" t="e" cm="1">
        <f t="array" aca="1" ref="BC43" ca="1">Notmerged(BC14)</f>
        <v>#NAME?</v>
      </c>
      <c r="BD43" s="128" t="e" cm="1">
        <f t="array" aca="1" ref="BD43" ca="1">Notmerged(BD14)</f>
        <v>#NAME?</v>
      </c>
      <c r="BE43" s="128" t="e" cm="1">
        <f t="array" aca="1" ref="BE43" ca="1">Notmerged(BE14)</f>
        <v>#NAME?</v>
      </c>
      <c r="BF43" s="128" t="e" cm="1">
        <f t="array" aca="1" ref="BF43" ca="1">Notmerged(BF14)</f>
        <v>#NAME?</v>
      </c>
      <c r="BG43" s="128" t="e" cm="1">
        <f t="array" aca="1" ref="BG43" ca="1">Notmerged(BG14)</f>
        <v>#NAME?</v>
      </c>
      <c r="BH43" s="128" t="e" cm="1">
        <f t="array" aca="1" ref="BH43" ca="1">Notmerged(BH14)</f>
        <v>#NAME?</v>
      </c>
      <c r="BI43" s="128" t="e" cm="1">
        <f t="array" aca="1" ref="BI43" ca="1">Notmerged(BI14)</f>
        <v>#NAME?</v>
      </c>
      <c r="BJ43" s="128" t="e" cm="1">
        <f t="array" aca="1" ref="BJ43" ca="1">Notmerged(BJ14)</f>
        <v>#NAME?</v>
      </c>
      <c r="BK43" s="128" t="e" cm="1">
        <f t="array" aca="1" ref="BK43" ca="1">Notmerged(BK14)</f>
        <v>#NAME?</v>
      </c>
    </row>
    <row r="44" spans="2:63" x14ac:dyDescent="0.3">
      <c r="B44" s="128" t="e" cm="1">
        <f t="array" aca="1" ref="B44" ca="1">Notmerged(B15)</f>
        <v>#NAME?</v>
      </c>
      <c r="C44" s="128" t="e" cm="1">
        <f t="array" aca="1" ref="C44" ca="1">Notmerged(C15)</f>
        <v>#NAME?</v>
      </c>
      <c r="D44" s="128" t="e" cm="1">
        <f t="array" aca="1" ref="D44" ca="1">Notmerged(D15)</f>
        <v>#NAME?</v>
      </c>
      <c r="E44" s="128" t="e" cm="1">
        <f t="array" aca="1" ref="E44" ca="1">Notmerged(E15)</f>
        <v>#NAME?</v>
      </c>
      <c r="F44" s="128" t="e" cm="1">
        <f t="array" aca="1" ref="F44" ca="1">Notmerged(F15)</f>
        <v>#NAME?</v>
      </c>
      <c r="G44" s="128" t="e" cm="1">
        <f t="array" aca="1" ref="G44" ca="1">Notmerged(G15)</f>
        <v>#NAME?</v>
      </c>
      <c r="H44" s="128" t="e" cm="1">
        <f t="array" aca="1" ref="H44" ca="1">Notmerged(H15)</f>
        <v>#NAME?</v>
      </c>
      <c r="I44" s="128" t="e" cm="1">
        <f t="array" aca="1" ref="I44" ca="1">Notmerged(I15)</f>
        <v>#NAME?</v>
      </c>
      <c r="J44" s="128" t="e" cm="1">
        <f t="array" aca="1" ref="J44" ca="1">Notmerged(J15)</f>
        <v>#NAME?</v>
      </c>
      <c r="K44" s="128" t="e" cm="1">
        <f t="array" aca="1" ref="K44" ca="1">Notmerged(K15)</f>
        <v>#NAME?</v>
      </c>
      <c r="L44" s="128" t="e" cm="1">
        <f t="array" aca="1" ref="L44" ca="1">Notmerged(L16)</f>
        <v>#NAME?</v>
      </c>
      <c r="M44" s="128" t="e" cm="1">
        <f t="array" aca="1" ref="M44" ca="1">Notmerged(M15)</f>
        <v>#NAME?</v>
      </c>
      <c r="N44" s="128" t="e" cm="1">
        <f t="array" aca="1" ref="N44" ca="1">Notmerged(N15)</f>
        <v>#NAME?</v>
      </c>
      <c r="O44" s="128" t="e" cm="1">
        <f t="array" aca="1" ref="O44" ca="1">Notmerged(O15)</f>
        <v>#NAME?</v>
      </c>
      <c r="P44" s="128" t="e" cm="1">
        <f t="array" aca="1" ref="P44" ca="1">Notmerged(P15)</f>
        <v>#NAME?</v>
      </c>
      <c r="Q44" s="128" t="e" cm="1">
        <f t="array" aca="1" ref="Q44" ca="1">Notmerged(Q15)</f>
        <v>#NAME?</v>
      </c>
      <c r="R44" s="128" t="e" cm="1">
        <f t="array" aca="1" ref="R44" ca="1">Notmerged(R15)</f>
        <v>#NAME?</v>
      </c>
      <c r="S44" s="128" t="e" cm="1">
        <f t="array" aca="1" ref="S44" ca="1">Notmerged(S15)</f>
        <v>#NAME?</v>
      </c>
      <c r="T44" s="128" t="e" cm="1">
        <f t="array" aca="1" ref="T44" ca="1">Notmerged(T15)</f>
        <v>#NAME?</v>
      </c>
      <c r="U44" s="128" t="e" cm="1">
        <f t="array" aca="1" ref="U44" ca="1">Notmerged(U15)</f>
        <v>#NAME?</v>
      </c>
      <c r="V44" s="128" t="e" cm="1">
        <f t="array" aca="1" ref="V44" ca="1">Notmerged(V15)</f>
        <v>#NAME?</v>
      </c>
      <c r="W44" s="128" t="e" cm="1">
        <f t="array" aca="1" ref="W44" ca="1">Notmerged(W15)</f>
        <v>#NAME?</v>
      </c>
      <c r="X44" s="128" t="e" cm="1">
        <f t="array" aca="1" ref="X44" ca="1">Notmerged(X15)</f>
        <v>#NAME?</v>
      </c>
      <c r="Y44" s="128" t="e" cm="1">
        <f t="array" aca="1" ref="Y44" ca="1">Notmerged(Y15)</f>
        <v>#NAME?</v>
      </c>
      <c r="Z44" s="128" t="e" cm="1">
        <f t="array" aca="1" ref="Z44" ca="1">Notmerged(Z15)</f>
        <v>#NAME?</v>
      </c>
      <c r="AA44" s="128" t="e" cm="1">
        <f t="array" aca="1" ref="AA44" ca="1">Notmerged(AA15)</f>
        <v>#NAME?</v>
      </c>
      <c r="AB44" s="128" t="e" cm="1">
        <f t="array" aca="1" ref="AB44" ca="1">Notmerged(AB15)</f>
        <v>#NAME?</v>
      </c>
      <c r="AC44" s="128" t="e" cm="1">
        <f t="array" aca="1" ref="AC44" ca="1">Notmerged(AC15)</f>
        <v>#NAME?</v>
      </c>
      <c r="AD44" s="128" t="e" cm="1">
        <f t="array" aca="1" ref="AD44" ca="1">Notmerged(AD15)</f>
        <v>#NAME?</v>
      </c>
      <c r="AE44" s="128" t="e" cm="1">
        <f t="array" aca="1" ref="AE44" ca="1">Notmerged(AE15)</f>
        <v>#NAME?</v>
      </c>
      <c r="AF44" s="128" t="e" cm="1">
        <f t="array" aca="1" ref="AF44" ca="1">Notmerged(AF15)</f>
        <v>#NAME?</v>
      </c>
      <c r="AG44" s="128" t="e" cm="1">
        <f t="array" aca="1" ref="AG44" ca="1">Notmerged(AG15)</f>
        <v>#NAME?</v>
      </c>
      <c r="AH44" s="128" t="e" cm="1">
        <f t="array" aca="1" ref="AH44" ca="1">Notmerged(AH15)</f>
        <v>#NAME?</v>
      </c>
      <c r="AI44" s="128" t="e" cm="1">
        <f t="array" aca="1" ref="AI44" ca="1">Notmerged(AI15)</f>
        <v>#NAME?</v>
      </c>
      <c r="AJ44" s="128" t="e" cm="1">
        <f t="array" aca="1" ref="AJ44" ca="1">Notmerged(AJ15)</f>
        <v>#NAME?</v>
      </c>
      <c r="AK44" s="128" t="e" cm="1">
        <f t="array" aca="1" ref="AK44" ca="1">Notmerged(AK15)</f>
        <v>#NAME?</v>
      </c>
      <c r="AL44" s="128" t="e" cm="1">
        <f t="array" aca="1" ref="AL44" ca="1">Notmerged(AL15)</f>
        <v>#NAME?</v>
      </c>
      <c r="AM44" s="128" t="e" cm="1">
        <f t="array" aca="1" ref="AM44" ca="1">Notmerged(AM15)</f>
        <v>#NAME?</v>
      </c>
      <c r="AN44" s="128" t="e" cm="1">
        <f t="array" aca="1" ref="AN44" ca="1">Notmerged(AN15)</f>
        <v>#NAME?</v>
      </c>
      <c r="AO44" s="128" t="e" cm="1">
        <f t="array" aca="1" ref="AO44" ca="1">Notmerged(AO15)</f>
        <v>#NAME?</v>
      </c>
      <c r="AP44" s="128" t="e" cm="1">
        <f t="array" aca="1" ref="AP44" ca="1">Notmerged(AP15)</f>
        <v>#NAME?</v>
      </c>
      <c r="AQ44" s="128" t="e" cm="1">
        <f t="array" aca="1" ref="AQ44" ca="1">Notmerged(AQ15)</f>
        <v>#NAME?</v>
      </c>
      <c r="AR44" s="128" t="e" cm="1">
        <f t="array" aca="1" ref="AR44" ca="1">Notmerged(AR15)</f>
        <v>#NAME?</v>
      </c>
      <c r="AS44" s="128" t="e" cm="1">
        <f t="array" aca="1" ref="AS44" ca="1">Notmerged(AS15)</f>
        <v>#NAME?</v>
      </c>
      <c r="AT44" s="128" t="e" cm="1">
        <f t="array" aca="1" ref="AT44" ca="1">Notmerged(AT15)</f>
        <v>#NAME?</v>
      </c>
      <c r="AU44" s="128" t="e" cm="1">
        <f t="array" aca="1" ref="AU44" ca="1">Notmerged(AU15)</f>
        <v>#NAME?</v>
      </c>
      <c r="AV44" s="128" t="e" cm="1">
        <f t="array" aca="1" ref="AV44" ca="1">Notmerged(AV15)</f>
        <v>#NAME?</v>
      </c>
      <c r="AW44" s="128" t="e" cm="1">
        <f t="array" aca="1" ref="AW44" ca="1">Notmerged(AW15)</f>
        <v>#NAME?</v>
      </c>
      <c r="AX44" s="128" t="e" cm="1">
        <f t="array" aca="1" ref="AX44" ca="1">Notmerged(AX15)</f>
        <v>#NAME?</v>
      </c>
      <c r="AY44" s="128" t="e" cm="1">
        <f t="array" aca="1" ref="AY44" ca="1">Notmerged(AY15)</f>
        <v>#NAME?</v>
      </c>
      <c r="AZ44" s="128" t="e" cm="1">
        <f t="array" aca="1" ref="AZ44" ca="1">Notmerged(AZ15)</f>
        <v>#NAME?</v>
      </c>
      <c r="BA44" s="128" t="e" cm="1">
        <f t="array" aca="1" ref="BA44" ca="1">Notmerged(BA15)</f>
        <v>#NAME?</v>
      </c>
      <c r="BB44" s="128" t="e" cm="1">
        <f t="array" aca="1" ref="BB44" ca="1">Notmerged(BB15)</f>
        <v>#NAME?</v>
      </c>
      <c r="BC44" s="128" t="e" cm="1">
        <f t="array" aca="1" ref="BC44" ca="1">Notmerged(BC15)</f>
        <v>#NAME?</v>
      </c>
      <c r="BD44" s="128" t="e" cm="1">
        <f t="array" aca="1" ref="BD44" ca="1">Notmerged(BD15)</f>
        <v>#NAME?</v>
      </c>
      <c r="BE44" s="128" t="e" cm="1">
        <f t="array" aca="1" ref="BE44" ca="1">Notmerged(BE15)</f>
        <v>#NAME?</v>
      </c>
      <c r="BF44" s="128" t="e" cm="1">
        <f t="array" aca="1" ref="BF44" ca="1">Notmerged(BF15)</f>
        <v>#NAME?</v>
      </c>
      <c r="BG44" s="128" t="e" cm="1">
        <f t="array" aca="1" ref="BG44" ca="1">Notmerged(BG15)</f>
        <v>#NAME?</v>
      </c>
      <c r="BH44" s="128" t="e" cm="1">
        <f t="array" aca="1" ref="BH44" ca="1">Notmerged(BH15)</f>
        <v>#NAME?</v>
      </c>
      <c r="BI44" s="128" t="e" cm="1">
        <f t="array" aca="1" ref="BI44" ca="1">Notmerged(BI15)</f>
        <v>#NAME?</v>
      </c>
      <c r="BJ44" s="128" t="e" cm="1">
        <f t="array" aca="1" ref="BJ44" ca="1">Notmerged(BJ15)</f>
        <v>#NAME?</v>
      </c>
      <c r="BK44" s="128" t="e" cm="1">
        <f t="array" aca="1" ref="BK44" ca="1">Notmerged(BK15)</f>
        <v>#NAME?</v>
      </c>
    </row>
    <row r="45" spans="2:63" x14ac:dyDescent="0.3">
      <c r="B45" s="128" t="e" cm="1">
        <f t="array" aca="1" ref="B45" ca="1">Notmerged(B16)</f>
        <v>#NAME?</v>
      </c>
      <c r="C45" s="128" t="e" cm="1">
        <f t="array" aca="1" ref="C45" ca="1">Notmerged(C16)</f>
        <v>#NAME?</v>
      </c>
      <c r="D45" s="128" t="e" cm="1">
        <f t="array" aca="1" ref="D45" ca="1">Notmerged(D16)</f>
        <v>#NAME?</v>
      </c>
      <c r="E45" s="128" t="e" cm="1">
        <f t="array" aca="1" ref="E45" ca="1">Notmerged(E16)</f>
        <v>#NAME?</v>
      </c>
      <c r="F45" s="128" t="e" cm="1">
        <f t="array" aca="1" ref="F45" ca="1">Notmerged(F16)</f>
        <v>#NAME?</v>
      </c>
      <c r="G45" s="128" t="e" cm="1">
        <f t="array" aca="1" ref="G45" ca="1">Notmerged(G16)</f>
        <v>#NAME?</v>
      </c>
      <c r="H45" s="128" t="e" cm="1">
        <f t="array" aca="1" ref="H45" ca="1">Notmerged(H16)</f>
        <v>#NAME?</v>
      </c>
      <c r="I45" s="128" t="e" cm="1">
        <f t="array" aca="1" ref="I45" ca="1">Notmerged(I16)</f>
        <v>#NAME?</v>
      </c>
      <c r="J45" s="128" t="e" cm="1">
        <f t="array" aca="1" ref="J45" ca="1">Notmerged(J16)</f>
        <v>#NAME?</v>
      </c>
      <c r="K45" s="128" t="e" cm="1">
        <f t="array" aca="1" ref="K45" ca="1">Notmerged(K16)</f>
        <v>#NAME?</v>
      </c>
      <c r="L45" s="128" t="e" cm="1">
        <f t="array" aca="1" ref="L45" ca="1">Notmerged(L17)</f>
        <v>#NAME?</v>
      </c>
      <c r="M45" s="128" t="e" cm="1">
        <f t="array" aca="1" ref="M45" ca="1">Notmerged(M16)</f>
        <v>#NAME?</v>
      </c>
      <c r="N45" s="128" t="e" cm="1">
        <f t="array" aca="1" ref="N45" ca="1">Notmerged(N16)</f>
        <v>#NAME?</v>
      </c>
      <c r="O45" s="128" t="e" cm="1">
        <f t="array" aca="1" ref="O45" ca="1">Notmerged(O16)</f>
        <v>#NAME?</v>
      </c>
      <c r="P45" s="128" t="e" cm="1">
        <f t="array" aca="1" ref="P45" ca="1">Notmerged(P16)</f>
        <v>#NAME?</v>
      </c>
      <c r="Q45" s="128" t="e" cm="1">
        <f t="array" aca="1" ref="Q45" ca="1">Notmerged(Q16)</f>
        <v>#NAME?</v>
      </c>
      <c r="R45" s="128" t="e" cm="1">
        <f t="array" aca="1" ref="R45" ca="1">Notmerged(R16)</f>
        <v>#NAME?</v>
      </c>
      <c r="S45" s="128" t="e" cm="1">
        <f t="array" aca="1" ref="S45" ca="1">Notmerged(S16)</f>
        <v>#NAME?</v>
      </c>
      <c r="T45" s="128" t="e" cm="1">
        <f t="array" aca="1" ref="T45" ca="1">Notmerged(T16)</f>
        <v>#NAME?</v>
      </c>
      <c r="U45" s="128" t="e" cm="1">
        <f t="array" aca="1" ref="U45" ca="1">Notmerged(U16)</f>
        <v>#NAME?</v>
      </c>
      <c r="V45" s="128" t="e" cm="1">
        <f t="array" aca="1" ref="V45" ca="1">Notmerged(V16)</f>
        <v>#NAME?</v>
      </c>
      <c r="W45" s="128" t="e" cm="1">
        <f t="array" aca="1" ref="W45" ca="1">Notmerged(W16)</f>
        <v>#NAME?</v>
      </c>
      <c r="X45" s="128" t="e" cm="1">
        <f t="array" aca="1" ref="X45" ca="1">Notmerged(X16)</f>
        <v>#NAME?</v>
      </c>
      <c r="Y45" s="128" t="e" cm="1">
        <f t="array" aca="1" ref="Y45" ca="1">Notmerged(Y16)</f>
        <v>#NAME?</v>
      </c>
      <c r="Z45" s="128" t="e" cm="1">
        <f t="array" aca="1" ref="Z45" ca="1">Notmerged(Z16)</f>
        <v>#NAME?</v>
      </c>
      <c r="AA45" s="128" t="e" cm="1">
        <f t="array" aca="1" ref="AA45" ca="1">Notmerged(AA16)</f>
        <v>#NAME?</v>
      </c>
      <c r="AB45" s="128" t="e" cm="1">
        <f t="array" aca="1" ref="AB45" ca="1">Notmerged(AB16)</f>
        <v>#NAME?</v>
      </c>
      <c r="AC45" s="128" t="e" cm="1">
        <f t="array" aca="1" ref="AC45" ca="1">Notmerged(AC16)</f>
        <v>#NAME?</v>
      </c>
      <c r="AD45" s="128" t="e" cm="1">
        <f t="array" aca="1" ref="AD45" ca="1">Notmerged(AD16)</f>
        <v>#NAME?</v>
      </c>
      <c r="AE45" s="128" t="e" cm="1">
        <f t="array" aca="1" ref="AE45" ca="1">Notmerged(AE16)</f>
        <v>#NAME?</v>
      </c>
      <c r="AF45" s="128" t="e" cm="1">
        <f t="array" aca="1" ref="AF45" ca="1">Notmerged(AF16)</f>
        <v>#NAME?</v>
      </c>
      <c r="AG45" s="128" t="e" cm="1">
        <f t="array" aca="1" ref="AG45" ca="1">Notmerged(AG16)</f>
        <v>#NAME?</v>
      </c>
      <c r="AH45" s="128" t="e" cm="1">
        <f t="array" aca="1" ref="AH45" ca="1">Notmerged(AH16)</f>
        <v>#NAME?</v>
      </c>
      <c r="AI45" s="128" t="e" cm="1">
        <f t="array" aca="1" ref="AI45" ca="1">Notmerged(AI16)</f>
        <v>#NAME?</v>
      </c>
      <c r="AJ45" s="128" t="e" cm="1">
        <f t="array" aca="1" ref="AJ45" ca="1">Notmerged(AJ16)</f>
        <v>#NAME?</v>
      </c>
      <c r="AK45" s="128" t="e" cm="1">
        <f t="array" aca="1" ref="AK45" ca="1">Notmerged(AK16)</f>
        <v>#NAME?</v>
      </c>
      <c r="AL45" s="128" t="e" cm="1">
        <f t="array" aca="1" ref="AL45" ca="1">Notmerged(AL16)</f>
        <v>#NAME?</v>
      </c>
      <c r="AM45" s="128" t="e" cm="1">
        <f t="array" aca="1" ref="AM45" ca="1">Notmerged(AM16)</f>
        <v>#NAME?</v>
      </c>
      <c r="AN45" s="128" t="e" cm="1">
        <f t="array" aca="1" ref="AN45" ca="1">Notmerged(AN16)</f>
        <v>#NAME?</v>
      </c>
      <c r="AO45" s="128" t="e" cm="1">
        <f t="array" aca="1" ref="AO45" ca="1">Notmerged(AO16)</f>
        <v>#NAME?</v>
      </c>
      <c r="AP45" s="128" t="e" cm="1">
        <f t="array" aca="1" ref="AP45" ca="1">Notmerged(AP16)</f>
        <v>#NAME?</v>
      </c>
      <c r="AQ45" s="128" t="e" cm="1">
        <f t="array" aca="1" ref="AQ45" ca="1">Notmerged(AQ16)</f>
        <v>#NAME?</v>
      </c>
      <c r="AR45" s="128" t="e" cm="1">
        <f t="array" aca="1" ref="AR45" ca="1">Notmerged(AR16)</f>
        <v>#NAME?</v>
      </c>
      <c r="AS45" s="128" t="e" cm="1">
        <f t="array" aca="1" ref="AS45" ca="1">Notmerged(AS16)</f>
        <v>#NAME?</v>
      </c>
      <c r="AT45" s="128" t="e" cm="1">
        <f t="array" aca="1" ref="AT45" ca="1">Notmerged(AT16)</f>
        <v>#NAME?</v>
      </c>
      <c r="AU45" s="128" t="e" cm="1">
        <f t="array" aca="1" ref="AU45" ca="1">Notmerged(AU16)</f>
        <v>#NAME?</v>
      </c>
      <c r="AV45" s="128" t="e" cm="1">
        <f t="array" aca="1" ref="AV45" ca="1">Notmerged(AV16)</f>
        <v>#NAME?</v>
      </c>
      <c r="AW45" s="128" t="e" cm="1">
        <f t="array" aca="1" ref="AW45" ca="1">Notmerged(AW16)</f>
        <v>#NAME?</v>
      </c>
      <c r="AX45" s="128" t="e" cm="1">
        <f t="array" aca="1" ref="AX45" ca="1">Notmerged(AX16)</f>
        <v>#NAME?</v>
      </c>
      <c r="AY45" s="128" t="e" cm="1">
        <f t="array" aca="1" ref="AY45" ca="1">Notmerged(AY16)</f>
        <v>#NAME?</v>
      </c>
      <c r="AZ45" s="128" t="e" cm="1">
        <f t="array" aca="1" ref="AZ45" ca="1">Notmerged(AZ16)</f>
        <v>#NAME?</v>
      </c>
      <c r="BA45" s="128" t="e" cm="1">
        <f t="array" aca="1" ref="BA45" ca="1">Notmerged(BA16)</f>
        <v>#NAME?</v>
      </c>
      <c r="BB45" s="128" t="e" cm="1">
        <f t="array" aca="1" ref="BB45" ca="1">Notmerged(BB16)</f>
        <v>#NAME?</v>
      </c>
      <c r="BC45" s="128" t="e" cm="1">
        <f t="array" aca="1" ref="BC45" ca="1">Notmerged(BC16)</f>
        <v>#NAME?</v>
      </c>
      <c r="BD45" s="128" t="e" cm="1">
        <f t="array" aca="1" ref="BD45" ca="1">Notmerged(BD16)</f>
        <v>#NAME?</v>
      </c>
      <c r="BE45" s="128" t="e" cm="1">
        <f t="array" aca="1" ref="BE45" ca="1">Notmerged(BE16)</f>
        <v>#NAME?</v>
      </c>
      <c r="BF45" s="128" t="e" cm="1">
        <f t="array" aca="1" ref="BF45" ca="1">Notmerged(BF16)</f>
        <v>#NAME?</v>
      </c>
      <c r="BG45" s="128" t="e" cm="1">
        <f t="array" aca="1" ref="BG45" ca="1">Notmerged(BG16)</f>
        <v>#NAME?</v>
      </c>
      <c r="BH45" s="128" t="e" cm="1">
        <f t="array" aca="1" ref="BH45" ca="1">Notmerged(BH16)</f>
        <v>#NAME?</v>
      </c>
      <c r="BI45" s="128" t="e" cm="1">
        <f t="array" aca="1" ref="BI45" ca="1">Notmerged(BI16)</f>
        <v>#NAME?</v>
      </c>
      <c r="BJ45" s="128" t="e" cm="1">
        <f t="array" aca="1" ref="BJ45" ca="1">Notmerged(BJ16)</f>
        <v>#NAME?</v>
      </c>
      <c r="BK45" s="128" t="e" cm="1">
        <f t="array" aca="1" ref="BK45" ca="1">Notmerged(BK16)</f>
        <v>#NAME?</v>
      </c>
    </row>
    <row r="46" spans="2:63" x14ac:dyDescent="0.3">
      <c r="B46" s="128" t="e" cm="1">
        <f t="array" aca="1" ref="B46" ca="1">Notmerged(B17)</f>
        <v>#NAME?</v>
      </c>
      <c r="C46" s="128" t="e" cm="1">
        <f t="array" aca="1" ref="C46" ca="1">Notmerged(C17)</f>
        <v>#NAME?</v>
      </c>
      <c r="D46" s="128" t="e" cm="1">
        <f t="array" aca="1" ref="D46" ca="1">Notmerged(D17)</f>
        <v>#NAME?</v>
      </c>
      <c r="E46" s="128" t="e" cm="1">
        <f t="array" aca="1" ref="E46" ca="1">Notmerged(E17)</f>
        <v>#NAME?</v>
      </c>
      <c r="F46" s="128" t="e" cm="1">
        <f t="array" aca="1" ref="F46" ca="1">Notmerged(F17)</f>
        <v>#NAME?</v>
      </c>
      <c r="G46" s="128" t="e" cm="1">
        <f t="array" aca="1" ref="G46" ca="1">Notmerged(G17)</f>
        <v>#NAME?</v>
      </c>
      <c r="H46" s="128" t="e" cm="1">
        <f t="array" aca="1" ref="H46" ca="1">Notmerged(H17)</f>
        <v>#NAME?</v>
      </c>
      <c r="I46" s="128" t="e" cm="1">
        <f t="array" aca="1" ref="I46" ca="1">Notmerged(I17)</f>
        <v>#NAME?</v>
      </c>
      <c r="J46" s="128" t="e" cm="1">
        <f t="array" aca="1" ref="J46" ca="1">Notmerged(J17)</f>
        <v>#NAME?</v>
      </c>
      <c r="K46" s="128" t="e" cm="1">
        <f t="array" aca="1" ref="K46" ca="1">Notmerged(K17)</f>
        <v>#NAME?</v>
      </c>
      <c r="L46" s="128" t="e" cm="1">
        <f t="array" aca="1" ref="L46" ca="1">Notmerged(L18)</f>
        <v>#NAME?</v>
      </c>
      <c r="M46" s="128" t="e" cm="1">
        <f t="array" aca="1" ref="M46" ca="1">Notmerged(M17)</f>
        <v>#NAME?</v>
      </c>
      <c r="N46" s="128" t="e" cm="1">
        <f t="array" aca="1" ref="N46" ca="1">Notmerged(N17)</f>
        <v>#NAME?</v>
      </c>
      <c r="O46" s="128" t="e" cm="1">
        <f t="array" aca="1" ref="O46" ca="1">Notmerged(O17)</f>
        <v>#NAME?</v>
      </c>
      <c r="P46" s="128" t="e" cm="1">
        <f t="array" aca="1" ref="P46" ca="1">Notmerged(P17)</f>
        <v>#NAME?</v>
      </c>
      <c r="Q46" s="128" t="e" cm="1">
        <f t="array" aca="1" ref="Q46" ca="1">Notmerged(Q17)</f>
        <v>#NAME?</v>
      </c>
      <c r="R46" s="128" t="e" cm="1">
        <f t="array" aca="1" ref="R46" ca="1">Notmerged(R17)</f>
        <v>#NAME?</v>
      </c>
      <c r="S46" s="128" t="e" cm="1">
        <f t="array" aca="1" ref="S46" ca="1">Notmerged(S17)</f>
        <v>#NAME?</v>
      </c>
      <c r="T46" s="128" t="e" cm="1">
        <f t="array" aca="1" ref="T46" ca="1">Notmerged(T17)</f>
        <v>#NAME?</v>
      </c>
      <c r="U46" s="128" t="e" cm="1">
        <f t="array" aca="1" ref="U46" ca="1">Notmerged(U17)</f>
        <v>#NAME?</v>
      </c>
      <c r="V46" s="128" t="e" cm="1">
        <f t="array" aca="1" ref="V46" ca="1">Notmerged(V17)</f>
        <v>#NAME?</v>
      </c>
      <c r="W46" s="128" t="e" cm="1">
        <f t="array" aca="1" ref="W46" ca="1">Notmerged(W17)</f>
        <v>#NAME?</v>
      </c>
      <c r="X46" s="128" t="e" cm="1">
        <f t="array" aca="1" ref="X46" ca="1">Notmerged(X17)</f>
        <v>#NAME?</v>
      </c>
      <c r="Y46" s="128" t="e" cm="1">
        <f t="array" aca="1" ref="Y46" ca="1">Notmerged(Y17)</f>
        <v>#NAME?</v>
      </c>
      <c r="Z46" s="128" t="e" cm="1">
        <f t="array" aca="1" ref="Z46" ca="1">Notmerged(Z17)</f>
        <v>#NAME?</v>
      </c>
      <c r="AA46" s="128" t="e" cm="1">
        <f t="array" aca="1" ref="AA46" ca="1">Notmerged(AA17)</f>
        <v>#NAME?</v>
      </c>
      <c r="AB46" s="128" t="e" cm="1">
        <f t="array" aca="1" ref="AB46" ca="1">Notmerged(AB17)</f>
        <v>#NAME?</v>
      </c>
      <c r="AC46" s="128" t="e" cm="1">
        <f t="array" aca="1" ref="AC46" ca="1">Notmerged(AC17)</f>
        <v>#NAME?</v>
      </c>
      <c r="AD46" s="128" t="e" cm="1">
        <f t="array" aca="1" ref="AD46" ca="1">Notmerged(AD17)</f>
        <v>#NAME?</v>
      </c>
      <c r="AE46" s="128" t="e" cm="1">
        <f t="array" aca="1" ref="AE46" ca="1">Notmerged(AE17)</f>
        <v>#NAME?</v>
      </c>
      <c r="AF46" s="128" t="e" cm="1">
        <f t="array" aca="1" ref="AF46" ca="1">Notmerged(AF17)</f>
        <v>#NAME?</v>
      </c>
      <c r="AG46" s="128" t="e" cm="1">
        <f t="array" aca="1" ref="AG46" ca="1">Notmerged(AG17)</f>
        <v>#NAME?</v>
      </c>
      <c r="AH46" s="128" t="e" cm="1">
        <f t="array" aca="1" ref="AH46" ca="1">Notmerged(AH17)</f>
        <v>#NAME?</v>
      </c>
      <c r="AI46" s="128" t="e" cm="1">
        <f t="array" aca="1" ref="AI46" ca="1">Notmerged(AI17)</f>
        <v>#NAME?</v>
      </c>
      <c r="AJ46" s="128" t="e" cm="1">
        <f t="array" aca="1" ref="AJ46" ca="1">Notmerged(AJ17)</f>
        <v>#NAME?</v>
      </c>
      <c r="AK46" s="128" t="e" cm="1">
        <f t="array" aca="1" ref="AK46" ca="1">Notmerged(AK17)</f>
        <v>#NAME?</v>
      </c>
      <c r="AL46" s="128" t="e" cm="1">
        <f t="array" aca="1" ref="AL46" ca="1">Notmerged(AL17)</f>
        <v>#NAME?</v>
      </c>
      <c r="AM46" s="128" t="e" cm="1">
        <f t="array" aca="1" ref="AM46" ca="1">Notmerged(AM17)</f>
        <v>#NAME?</v>
      </c>
      <c r="AN46" s="128" t="e" cm="1">
        <f t="array" aca="1" ref="AN46" ca="1">Notmerged(AN17)</f>
        <v>#NAME?</v>
      </c>
      <c r="AO46" s="128" t="e" cm="1">
        <f t="array" aca="1" ref="AO46" ca="1">Notmerged(AO17)</f>
        <v>#NAME?</v>
      </c>
      <c r="AP46" s="128" t="e" cm="1">
        <f t="array" aca="1" ref="AP46" ca="1">Notmerged(AP17)</f>
        <v>#NAME?</v>
      </c>
      <c r="AQ46" s="128" t="e" cm="1">
        <f t="array" aca="1" ref="AQ46" ca="1">Notmerged(AQ17)</f>
        <v>#NAME?</v>
      </c>
      <c r="AR46" s="128" t="e" cm="1">
        <f t="array" aca="1" ref="AR46" ca="1">Notmerged(AR17)</f>
        <v>#NAME?</v>
      </c>
      <c r="AS46" s="128" t="e" cm="1">
        <f t="array" aca="1" ref="AS46" ca="1">Notmerged(AS17)</f>
        <v>#NAME?</v>
      </c>
      <c r="AT46" s="128" t="e" cm="1">
        <f t="array" aca="1" ref="AT46" ca="1">Notmerged(AT17)</f>
        <v>#NAME?</v>
      </c>
      <c r="AU46" s="128" t="e" cm="1">
        <f t="array" aca="1" ref="AU46" ca="1">Notmerged(AU17)</f>
        <v>#NAME?</v>
      </c>
      <c r="AV46" s="128" t="e" cm="1">
        <f t="array" aca="1" ref="AV46" ca="1">Notmerged(AV17)</f>
        <v>#NAME?</v>
      </c>
      <c r="AW46" s="128" t="e" cm="1">
        <f t="array" aca="1" ref="AW46" ca="1">Notmerged(AW17)</f>
        <v>#NAME?</v>
      </c>
      <c r="AX46" s="128" t="e" cm="1">
        <f t="array" aca="1" ref="AX46" ca="1">Notmerged(AX17)</f>
        <v>#NAME?</v>
      </c>
      <c r="AY46" s="128" t="e" cm="1">
        <f t="array" aca="1" ref="AY46" ca="1">Notmerged(AY17)</f>
        <v>#NAME?</v>
      </c>
      <c r="AZ46" s="128" t="e" cm="1">
        <f t="array" aca="1" ref="AZ46" ca="1">Notmerged(AZ17)</f>
        <v>#NAME?</v>
      </c>
      <c r="BA46" s="128" t="e" cm="1">
        <f t="array" aca="1" ref="BA46" ca="1">Notmerged(BA17)</f>
        <v>#NAME?</v>
      </c>
      <c r="BB46" s="128" t="e" cm="1">
        <f t="array" aca="1" ref="BB46" ca="1">Notmerged(BB17)</f>
        <v>#NAME?</v>
      </c>
      <c r="BC46" s="128" t="e" cm="1">
        <f t="array" aca="1" ref="BC46" ca="1">Notmerged(BC17)</f>
        <v>#NAME?</v>
      </c>
      <c r="BD46" s="128" t="e" cm="1">
        <f t="array" aca="1" ref="BD46" ca="1">Notmerged(BD17)</f>
        <v>#NAME?</v>
      </c>
      <c r="BE46" s="128" t="e" cm="1">
        <f t="array" aca="1" ref="BE46" ca="1">Notmerged(BE17)</f>
        <v>#NAME?</v>
      </c>
      <c r="BF46" s="128" t="e" cm="1">
        <f t="array" aca="1" ref="BF46" ca="1">Notmerged(BF17)</f>
        <v>#NAME?</v>
      </c>
      <c r="BG46" s="128" t="e" cm="1">
        <f t="array" aca="1" ref="BG46" ca="1">Notmerged(BG17)</f>
        <v>#NAME?</v>
      </c>
      <c r="BH46" s="128" t="e" cm="1">
        <f t="array" aca="1" ref="BH46" ca="1">Notmerged(BH17)</f>
        <v>#NAME?</v>
      </c>
      <c r="BI46" s="128" t="e" cm="1">
        <f t="array" aca="1" ref="BI46" ca="1">Notmerged(BI17)</f>
        <v>#NAME?</v>
      </c>
      <c r="BJ46" s="128" t="e" cm="1">
        <f t="array" aca="1" ref="BJ46" ca="1">Notmerged(BJ17)</f>
        <v>#NAME?</v>
      </c>
      <c r="BK46" s="128" t="e" cm="1">
        <f t="array" aca="1" ref="BK46" ca="1">Notmerged(BK17)</f>
        <v>#NAME?</v>
      </c>
    </row>
    <row r="47" spans="2:63" x14ac:dyDescent="0.3">
      <c r="B47" s="128" t="e" cm="1">
        <f t="array" aca="1" ref="B47" ca="1">Notmerged(B18)</f>
        <v>#NAME?</v>
      </c>
      <c r="C47" s="128" t="e" cm="1">
        <f t="array" aca="1" ref="C47" ca="1">Notmerged(C18)</f>
        <v>#NAME?</v>
      </c>
      <c r="D47" s="128" t="e" cm="1">
        <f t="array" aca="1" ref="D47" ca="1">Notmerged(D18)</f>
        <v>#NAME?</v>
      </c>
      <c r="E47" s="128" t="e" cm="1">
        <f t="array" aca="1" ref="E47" ca="1">Notmerged(E18)</f>
        <v>#NAME?</v>
      </c>
      <c r="F47" s="128" t="e" cm="1">
        <f t="array" aca="1" ref="F47" ca="1">Notmerged(F18)</f>
        <v>#NAME?</v>
      </c>
      <c r="G47" s="128" t="e" cm="1">
        <f t="array" aca="1" ref="G47" ca="1">Notmerged(G18)</f>
        <v>#NAME?</v>
      </c>
      <c r="H47" s="128" t="e" cm="1">
        <f t="array" aca="1" ref="H47" ca="1">Notmerged(H18)</f>
        <v>#NAME?</v>
      </c>
      <c r="I47" s="128" t="e" cm="1">
        <f t="array" aca="1" ref="I47" ca="1">Notmerged(I18)</f>
        <v>#NAME?</v>
      </c>
      <c r="J47" s="128" t="e" cm="1">
        <f t="array" aca="1" ref="J47" ca="1">Notmerged(J18)</f>
        <v>#NAME?</v>
      </c>
      <c r="K47" s="128" t="e" cm="1">
        <f t="array" aca="1" ref="K47" ca="1">Notmerged(K18)</f>
        <v>#NAME?</v>
      </c>
      <c r="L47" s="128" t="e" cm="1">
        <f t="array" aca="1" ref="L47" ca="1">Notmerged(#REF!)</f>
        <v>#NAME?</v>
      </c>
      <c r="M47" s="128" t="e" cm="1">
        <f t="array" aca="1" ref="M47" ca="1">Notmerged(M18)</f>
        <v>#NAME?</v>
      </c>
      <c r="N47" s="128" t="e" cm="1">
        <f t="array" aca="1" ref="N47" ca="1">Notmerged(N18)</f>
        <v>#NAME?</v>
      </c>
      <c r="O47" s="128" t="e" cm="1">
        <f t="array" aca="1" ref="O47" ca="1">Notmerged(O18)</f>
        <v>#NAME?</v>
      </c>
      <c r="P47" s="128" t="e" cm="1">
        <f t="array" aca="1" ref="P47" ca="1">Notmerged(P18)</f>
        <v>#NAME?</v>
      </c>
      <c r="Q47" s="128" t="e" cm="1">
        <f t="array" aca="1" ref="Q47" ca="1">Notmerged(Q18)</f>
        <v>#NAME?</v>
      </c>
      <c r="R47" s="128" t="e" cm="1">
        <f t="array" aca="1" ref="R47" ca="1">Notmerged(R18)</f>
        <v>#NAME?</v>
      </c>
      <c r="S47" s="128" t="e" cm="1">
        <f t="array" aca="1" ref="S47" ca="1">Notmerged(S18)</f>
        <v>#NAME?</v>
      </c>
      <c r="T47" s="128" t="e" cm="1">
        <f t="array" aca="1" ref="T47" ca="1">Notmerged(T18)</f>
        <v>#NAME?</v>
      </c>
      <c r="U47" s="128" t="e" cm="1">
        <f t="array" aca="1" ref="U47" ca="1">Notmerged(U18)</f>
        <v>#NAME?</v>
      </c>
      <c r="V47" s="128" t="e" cm="1">
        <f t="array" aca="1" ref="V47" ca="1">Notmerged(V18)</f>
        <v>#NAME?</v>
      </c>
      <c r="W47" s="128" t="e" cm="1">
        <f t="array" aca="1" ref="W47" ca="1">Notmerged(W18)</f>
        <v>#NAME?</v>
      </c>
      <c r="X47" s="128" t="e" cm="1">
        <f t="array" aca="1" ref="X47" ca="1">Notmerged(X18)</f>
        <v>#NAME?</v>
      </c>
      <c r="Y47" s="128" t="e" cm="1">
        <f t="array" aca="1" ref="Y47" ca="1">Notmerged(Y18)</f>
        <v>#NAME?</v>
      </c>
      <c r="Z47" s="128" t="e" cm="1">
        <f t="array" aca="1" ref="Z47" ca="1">Notmerged(Z18)</f>
        <v>#NAME?</v>
      </c>
      <c r="AA47" s="128" t="e" cm="1">
        <f t="array" aca="1" ref="AA47" ca="1">Notmerged(AA18)</f>
        <v>#NAME?</v>
      </c>
      <c r="AB47" s="128" t="e" cm="1">
        <f t="array" aca="1" ref="AB47" ca="1">Notmerged(AB18)</f>
        <v>#NAME?</v>
      </c>
      <c r="AC47" s="128" t="e" cm="1">
        <f t="array" aca="1" ref="AC47" ca="1">Notmerged(AC18)</f>
        <v>#NAME?</v>
      </c>
      <c r="AD47" s="128" t="e" cm="1">
        <f t="array" aca="1" ref="AD47" ca="1">Notmerged(AD18)</f>
        <v>#NAME?</v>
      </c>
      <c r="AE47" s="128" t="e" cm="1">
        <f t="array" aca="1" ref="AE47" ca="1">Notmerged(AE18)</f>
        <v>#NAME?</v>
      </c>
      <c r="AF47" s="128" t="e" cm="1">
        <f t="array" aca="1" ref="AF47" ca="1">Notmerged(AF18)</f>
        <v>#NAME?</v>
      </c>
      <c r="AG47" s="128" t="e" cm="1">
        <f t="array" aca="1" ref="AG47" ca="1">Notmerged(AG18)</f>
        <v>#NAME?</v>
      </c>
      <c r="AH47" s="128" t="e" cm="1">
        <f t="array" aca="1" ref="AH47" ca="1">Notmerged(AH18)</f>
        <v>#NAME?</v>
      </c>
      <c r="AI47" s="128" t="e" cm="1">
        <f t="array" aca="1" ref="AI47" ca="1">Notmerged(AI18)</f>
        <v>#NAME?</v>
      </c>
      <c r="AJ47" s="128" t="e" cm="1">
        <f t="array" aca="1" ref="AJ47" ca="1">Notmerged(AJ18)</f>
        <v>#NAME?</v>
      </c>
      <c r="AK47" s="128" t="e" cm="1">
        <f t="array" aca="1" ref="AK47" ca="1">Notmerged(AK18)</f>
        <v>#NAME?</v>
      </c>
      <c r="AL47" s="128" t="e" cm="1">
        <f t="array" aca="1" ref="AL47" ca="1">Notmerged(AL18)</f>
        <v>#NAME?</v>
      </c>
      <c r="AM47" s="128" t="e" cm="1">
        <f t="array" aca="1" ref="AM47" ca="1">Notmerged(AM18)</f>
        <v>#NAME?</v>
      </c>
      <c r="AN47" s="128" t="e" cm="1">
        <f t="array" aca="1" ref="AN47" ca="1">Notmerged(AN18)</f>
        <v>#NAME?</v>
      </c>
      <c r="AO47" s="128" t="e" cm="1">
        <f t="array" aca="1" ref="AO47" ca="1">Notmerged(AO18)</f>
        <v>#NAME?</v>
      </c>
      <c r="AP47" s="128" t="e" cm="1">
        <f t="array" aca="1" ref="AP47" ca="1">Notmerged(AP18)</f>
        <v>#NAME?</v>
      </c>
      <c r="AQ47" s="128" t="e" cm="1">
        <f t="array" aca="1" ref="AQ47" ca="1">Notmerged(AQ18)</f>
        <v>#NAME?</v>
      </c>
      <c r="AR47" s="128" t="e" cm="1">
        <f t="array" aca="1" ref="AR47" ca="1">Notmerged(AR18)</f>
        <v>#NAME?</v>
      </c>
      <c r="AS47" s="128" t="e" cm="1">
        <f t="array" aca="1" ref="AS47" ca="1">Notmerged(AS18)</f>
        <v>#NAME?</v>
      </c>
      <c r="AT47" s="128" t="e" cm="1">
        <f t="array" aca="1" ref="AT47" ca="1">Notmerged(AT18)</f>
        <v>#NAME?</v>
      </c>
      <c r="AU47" s="128" t="e" cm="1">
        <f t="array" aca="1" ref="AU47" ca="1">Notmerged(AU18)</f>
        <v>#NAME?</v>
      </c>
      <c r="AV47" s="128" t="e" cm="1">
        <f t="array" aca="1" ref="AV47" ca="1">Notmerged(AV18)</f>
        <v>#NAME?</v>
      </c>
      <c r="AW47" s="128" t="e" cm="1">
        <f t="array" aca="1" ref="AW47" ca="1">Notmerged(AW18)</f>
        <v>#NAME?</v>
      </c>
      <c r="AX47" s="128" t="e" cm="1">
        <f t="array" aca="1" ref="AX47" ca="1">Notmerged(AX18)</f>
        <v>#NAME?</v>
      </c>
      <c r="AY47" s="128" t="e" cm="1">
        <f t="array" aca="1" ref="AY47" ca="1">Notmerged(AY18)</f>
        <v>#NAME?</v>
      </c>
      <c r="AZ47" s="128" t="e" cm="1">
        <f t="array" aca="1" ref="AZ47" ca="1">Notmerged(AZ18)</f>
        <v>#NAME?</v>
      </c>
      <c r="BA47" s="128" t="e" cm="1">
        <f t="array" aca="1" ref="BA47" ca="1">Notmerged(BA18)</f>
        <v>#NAME?</v>
      </c>
      <c r="BB47" s="128" t="e" cm="1">
        <f t="array" aca="1" ref="BB47" ca="1">Notmerged(BB18)</f>
        <v>#NAME?</v>
      </c>
      <c r="BC47" s="128" t="e" cm="1">
        <f t="array" aca="1" ref="BC47" ca="1">Notmerged(BC18)</f>
        <v>#NAME?</v>
      </c>
      <c r="BD47" s="128" t="e" cm="1">
        <f t="array" aca="1" ref="BD47" ca="1">Notmerged(BD18)</f>
        <v>#NAME?</v>
      </c>
      <c r="BE47" s="128" t="e" cm="1">
        <f t="array" aca="1" ref="BE47" ca="1">Notmerged(BE18)</f>
        <v>#NAME?</v>
      </c>
      <c r="BF47" s="128" t="e" cm="1">
        <f t="array" aca="1" ref="BF47" ca="1">Notmerged(BF18)</f>
        <v>#NAME?</v>
      </c>
      <c r="BG47" s="128" t="e" cm="1">
        <f t="array" aca="1" ref="BG47" ca="1">Notmerged(BG18)</f>
        <v>#NAME?</v>
      </c>
      <c r="BH47" s="128" t="e" cm="1">
        <f t="array" aca="1" ref="BH47" ca="1">Notmerged(BH18)</f>
        <v>#NAME?</v>
      </c>
      <c r="BI47" s="128" t="e" cm="1">
        <f t="array" aca="1" ref="BI47" ca="1">Notmerged(BI18)</f>
        <v>#NAME?</v>
      </c>
      <c r="BJ47" s="128" t="e" cm="1">
        <f t="array" aca="1" ref="BJ47" ca="1">Notmerged(BJ18)</f>
        <v>#NAME?</v>
      </c>
      <c r="BK47" s="128" t="e" cm="1">
        <f t="array" aca="1" ref="BK47" ca="1">Notmerged(BK18)</f>
        <v>#NAME?</v>
      </c>
    </row>
    <row r="48" spans="2:63" x14ac:dyDescent="0.3">
      <c r="B48" s="128" t="e" cm="1">
        <f t="array" aca="1" ref="B48" ca="1">Notmerged(B19)</f>
        <v>#NAME?</v>
      </c>
      <c r="C48" s="128" t="e" cm="1">
        <f t="array" aca="1" ref="C48" ca="1">Notmerged(C19)</f>
        <v>#NAME?</v>
      </c>
      <c r="D48" s="128" t="e" cm="1">
        <f t="array" aca="1" ref="D48" ca="1">Notmerged(D19)</f>
        <v>#NAME?</v>
      </c>
      <c r="E48" s="128" t="e" cm="1">
        <f t="array" aca="1" ref="E48" ca="1">Notmerged(E19)</f>
        <v>#NAME?</v>
      </c>
      <c r="F48" s="128" t="e" cm="1">
        <f t="array" aca="1" ref="F48" ca="1">Notmerged(F19)</f>
        <v>#NAME?</v>
      </c>
      <c r="G48" s="128" t="e" cm="1">
        <f t="array" aca="1" ref="G48" ca="1">Notmerged(G19)</f>
        <v>#NAME?</v>
      </c>
      <c r="H48" s="128" t="e" cm="1">
        <f t="array" aca="1" ref="H48" ca="1">Notmerged(H19)</f>
        <v>#NAME?</v>
      </c>
      <c r="I48" s="128" t="e" cm="1">
        <f t="array" aca="1" ref="I48" ca="1">Notmerged(I19)</f>
        <v>#NAME?</v>
      </c>
      <c r="J48" s="128" t="e" cm="1">
        <f t="array" aca="1" ref="J48" ca="1">Notmerged(J19)</f>
        <v>#NAME?</v>
      </c>
      <c r="K48" s="128" t="e" cm="1">
        <f t="array" aca="1" ref="K48" ca="1">Notmerged(K19)</f>
        <v>#NAME?</v>
      </c>
      <c r="L48" s="128" t="e" cm="1">
        <f t="array" aca="1" ref="L48" ca="1">Notmerged(L19)</f>
        <v>#NAME?</v>
      </c>
      <c r="M48" s="128" t="e" cm="1">
        <f t="array" aca="1" ref="M48" ca="1">Notmerged(M19)</f>
        <v>#NAME?</v>
      </c>
      <c r="N48" s="128" t="e" cm="1">
        <f t="array" aca="1" ref="N48" ca="1">Notmerged(N19)</f>
        <v>#NAME?</v>
      </c>
      <c r="O48" s="128" t="e" cm="1">
        <f t="array" aca="1" ref="O48" ca="1">Notmerged(O19)</f>
        <v>#NAME?</v>
      </c>
      <c r="P48" s="128" t="e" cm="1">
        <f t="array" aca="1" ref="P48" ca="1">Notmerged(P19)</f>
        <v>#NAME?</v>
      </c>
      <c r="Q48" s="128" t="e" cm="1">
        <f t="array" aca="1" ref="Q48" ca="1">Notmerged(Q19)</f>
        <v>#NAME?</v>
      </c>
      <c r="R48" s="128" t="e" cm="1">
        <f t="array" aca="1" ref="R48" ca="1">Notmerged(R19)</f>
        <v>#NAME?</v>
      </c>
      <c r="S48" s="128" t="e" cm="1">
        <f t="array" aca="1" ref="S48" ca="1">Notmerged(S19)</f>
        <v>#NAME?</v>
      </c>
      <c r="T48" s="128" t="e" cm="1">
        <f t="array" aca="1" ref="T48" ca="1">Notmerged(T19)</f>
        <v>#NAME?</v>
      </c>
      <c r="U48" s="128" t="e" cm="1">
        <f t="array" aca="1" ref="U48" ca="1">Notmerged(U19)</f>
        <v>#NAME?</v>
      </c>
      <c r="V48" s="128" t="e" cm="1">
        <f t="array" aca="1" ref="V48" ca="1">Notmerged(V19)</f>
        <v>#NAME?</v>
      </c>
      <c r="W48" s="128" t="e" cm="1">
        <f t="array" aca="1" ref="W48" ca="1">Notmerged(W19)</f>
        <v>#NAME?</v>
      </c>
      <c r="X48" s="128" t="e" cm="1">
        <f t="array" aca="1" ref="X48" ca="1">Notmerged(X19)</f>
        <v>#NAME?</v>
      </c>
      <c r="Y48" s="128" t="e" cm="1">
        <f t="array" aca="1" ref="Y48" ca="1">Notmerged(Y19)</f>
        <v>#NAME?</v>
      </c>
      <c r="Z48" s="128" t="e" cm="1">
        <f t="array" aca="1" ref="Z48" ca="1">Notmerged(Z19)</f>
        <v>#NAME?</v>
      </c>
      <c r="AA48" s="128" t="e" cm="1">
        <f t="array" aca="1" ref="AA48" ca="1">Notmerged(AA19)</f>
        <v>#NAME?</v>
      </c>
      <c r="AB48" s="128" t="e" cm="1">
        <f t="array" aca="1" ref="AB48" ca="1">Notmerged(AB19)</f>
        <v>#NAME?</v>
      </c>
      <c r="AC48" s="128" t="e" cm="1">
        <f t="array" aca="1" ref="AC48" ca="1">Notmerged(AC19)</f>
        <v>#NAME?</v>
      </c>
      <c r="AD48" s="128" t="e" cm="1">
        <f t="array" aca="1" ref="AD48" ca="1">Notmerged(AD19)</f>
        <v>#NAME?</v>
      </c>
      <c r="AE48" s="128" t="e" cm="1">
        <f t="array" aca="1" ref="AE48" ca="1">Notmerged(AE19)</f>
        <v>#NAME?</v>
      </c>
      <c r="AF48" s="128" t="e" cm="1">
        <f t="array" aca="1" ref="AF48" ca="1">Notmerged(AF19)</f>
        <v>#NAME?</v>
      </c>
      <c r="AG48" s="128" t="e" cm="1">
        <f t="array" aca="1" ref="AG48" ca="1">Notmerged(AG19)</f>
        <v>#NAME?</v>
      </c>
      <c r="AH48" s="128" t="e" cm="1">
        <f t="array" aca="1" ref="AH48" ca="1">Notmerged(AH19)</f>
        <v>#NAME?</v>
      </c>
      <c r="AI48" s="128" t="e" cm="1">
        <f t="array" aca="1" ref="AI48" ca="1">Notmerged(AI19)</f>
        <v>#NAME?</v>
      </c>
      <c r="AJ48" s="128" t="e" cm="1">
        <f t="array" aca="1" ref="AJ48" ca="1">Notmerged(AJ19)</f>
        <v>#NAME?</v>
      </c>
      <c r="AK48" s="128" t="e" cm="1">
        <f t="array" aca="1" ref="AK48" ca="1">Notmerged(AK19)</f>
        <v>#NAME?</v>
      </c>
      <c r="AL48" s="128" t="e" cm="1">
        <f t="array" aca="1" ref="AL48" ca="1">Notmerged(AL19)</f>
        <v>#NAME?</v>
      </c>
      <c r="AM48" s="128" t="e" cm="1">
        <f t="array" aca="1" ref="AM48" ca="1">Notmerged(AM19)</f>
        <v>#NAME?</v>
      </c>
      <c r="AN48" s="128" t="e" cm="1">
        <f t="array" aca="1" ref="AN48" ca="1">Notmerged(AN19)</f>
        <v>#NAME?</v>
      </c>
      <c r="AO48" s="128" t="e" cm="1">
        <f t="array" aca="1" ref="AO48" ca="1">Notmerged(AO19)</f>
        <v>#NAME?</v>
      </c>
      <c r="AP48" s="128" t="e" cm="1">
        <f t="array" aca="1" ref="AP48" ca="1">Notmerged(AP19)</f>
        <v>#NAME?</v>
      </c>
      <c r="AQ48" s="128" t="e" cm="1">
        <f t="array" aca="1" ref="AQ48" ca="1">Notmerged(AQ19)</f>
        <v>#NAME?</v>
      </c>
      <c r="AR48" s="128" t="e" cm="1">
        <f t="array" aca="1" ref="AR48" ca="1">Notmerged(AR19)</f>
        <v>#NAME?</v>
      </c>
      <c r="AS48" s="128" t="e" cm="1">
        <f t="array" aca="1" ref="AS48" ca="1">Notmerged(AS19)</f>
        <v>#NAME?</v>
      </c>
      <c r="AT48" s="128" t="e" cm="1">
        <f t="array" aca="1" ref="AT48" ca="1">Notmerged(AT19)</f>
        <v>#NAME?</v>
      </c>
      <c r="AU48" s="128" t="e" cm="1">
        <f t="array" aca="1" ref="AU48" ca="1">Notmerged(AU19)</f>
        <v>#NAME?</v>
      </c>
      <c r="AV48" s="128" t="e" cm="1">
        <f t="array" aca="1" ref="AV48" ca="1">Notmerged(AV19)</f>
        <v>#NAME?</v>
      </c>
      <c r="AW48" s="128" t="e" cm="1">
        <f t="array" aca="1" ref="AW48" ca="1">Notmerged(AW19)</f>
        <v>#NAME?</v>
      </c>
      <c r="AX48" s="128" t="e" cm="1">
        <f t="array" aca="1" ref="AX48" ca="1">Notmerged(AX19)</f>
        <v>#NAME?</v>
      </c>
      <c r="AY48" s="128" t="e" cm="1">
        <f t="array" aca="1" ref="AY48" ca="1">Notmerged(AY19)</f>
        <v>#NAME?</v>
      </c>
      <c r="AZ48" s="128" t="e" cm="1">
        <f t="array" aca="1" ref="AZ48" ca="1">Notmerged(AZ19)</f>
        <v>#NAME?</v>
      </c>
      <c r="BA48" s="128" t="e" cm="1">
        <f t="array" aca="1" ref="BA48" ca="1">Notmerged(BA19)</f>
        <v>#NAME?</v>
      </c>
      <c r="BB48" s="128" t="e" cm="1">
        <f t="array" aca="1" ref="BB48" ca="1">Notmerged(BB19)</f>
        <v>#NAME?</v>
      </c>
      <c r="BC48" s="128" t="e" cm="1">
        <f t="array" aca="1" ref="BC48" ca="1">Notmerged(BC19)</f>
        <v>#NAME?</v>
      </c>
      <c r="BD48" s="128" t="e" cm="1">
        <f t="array" aca="1" ref="BD48" ca="1">Notmerged(BD19)</f>
        <v>#NAME?</v>
      </c>
      <c r="BE48" s="128" t="e" cm="1">
        <f t="array" aca="1" ref="BE48" ca="1">Notmerged(BE19)</f>
        <v>#NAME?</v>
      </c>
      <c r="BF48" s="128" t="e" cm="1">
        <f t="array" aca="1" ref="BF48" ca="1">Notmerged(BF19)</f>
        <v>#NAME?</v>
      </c>
      <c r="BG48" s="128" t="e" cm="1">
        <f t="array" aca="1" ref="BG48" ca="1">Notmerged(BG19)</f>
        <v>#NAME?</v>
      </c>
      <c r="BH48" s="128" t="e" cm="1">
        <f t="array" aca="1" ref="BH48" ca="1">Notmerged(BH19)</f>
        <v>#NAME?</v>
      </c>
      <c r="BI48" s="128" t="e" cm="1">
        <f t="array" aca="1" ref="BI48" ca="1">Notmerged(BI19)</f>
        <v>#NAME?</v>
      </c>
      <c r="BJ48" s="128" t="e" cm="1">
        <f t="array" aca="1" ref="BJ48" ca="1">Notmerged(BJ19)</f>
        <v>#NAME?</v>
      </c>
      <c r="BK48" s="128" t="e" cm="1">
        <f t="array" aca="1" ref="BK48" ca="1">Notmerged(BK19)</f>
        <v>#NAME?</v>
      </c>
    </row>
    <row r="49" spans="2:63" x14ac:dyDescent="0.3">
      <c r="B49" s="128" t="e" cm="1">
        <f t="array" aca="1" ref="B49" ca="1">Notmerged(B20)</f>
        <v>#NAME?</v>
      </c>
      <c r="C49" s="128" t="e" cm="1">
        <f t="array" aca="1" ref="C49" ca="1">Notmerged(C20)</f>
        <v>#NAME?</v>
      </c>
      <c r="D49" s="128" t="e" cm="1">
        <f t="array" aca="1" ref="D49" ca="1">Notmerged(D20)</f>
        <v>#NAME?</v>
      </c>
      <c r="E49" s="128" t="e" cm="1">
        <f t="array" aca="1" ref="E49" ca="1">Notmerged(E20)</f>
        <v>#NAME?</v>
      </c>
      <c r="F49" s="128" t="e" cm="1">
        <f t="array" aca="1" ref="F49" ca="1">Notmerged(F20)</f>
        <v>#NAME?</v>
      </c>
      <c r="G49" s="128" t="e" cm="1">
        <f t="array" aca="1" ref="G49" ca="1">Notmerged(G20)</f>
        <v>#NAME?</v>
      </c>
      <c r="H49" s="128" t="e" cm="1">
        <f t="array" aca="1" ref="H49" ca="1">Notmerged(H20)</f>
        <v>#NAME?</v>
      </c>
      <c r="I49" s="128" t="e" cm="1">
        <f t="array" aca="1" ref="I49" ca="1">Notmerged(I20)</f>
        <v>#NAME?</v>
      </c>
      <c r="J49" s="128" t="e" cm="1">
        <f t="array" aca="1" ref="J49" ca="1">Notmerged(J20)</f>
        <v>#NAME?</v>
      </c>
      <c r="K49" s="128" t="e" cm="1">
        <f t="array" aca="1" ref="K49" ca="1">Notmerged(K20)</f>
        <v>#NAME?</v>
      </c>
      <c r="L49" s="128" t="e" cm="1">
        <f t="array" aca="1" ref="L49" ca="1">Notmerged(L20)</f>
        <v>#NAME?</v>
      </c>
      <c r="M49" s="128" t="e" cm="1">
        <f t="array" aca="1" ref="M49" ca="1">Notmerged(M20)</f>
        <v>#NAME?</v>
      </c>
      <c r="N49" s="128" t="e" cm="1">
        <f t="array" aca="1" ref="N49" ca="1">Notmerged(N20)</f>
        <v>#NAME?</v>
      </c>
      <c r="O49" s="128" t="e" cm="1">
        <f t="array" aca="1" ref="O49" ca="1">Notmerged(O20)</f>
        <v>#NAME?</v>
      </c>
      <c r="P49" s="128" t="e" cm="1">
        <f t="array" aca="1" ref="P49" ca="1">Notmerged(P20)</f>
        <v>#NAME?</v>
      </c>
      <c r="Q49" s="128" t="e" cm="1">
        <f t="array" aca="1" ref="Q49" ca="1">Notmerged(Q20)</f>
        <v>#NAME?</v>
      </c>
      <c r="R49" s="128" t="e" cm="1">
        <f t="array" aca="1" ref="R49" ca="1">Notmerged(R20)</f>
        <v>#NAME?</v>
      </c>
      <c r="S49" s="128" t="e" cm="1">
        <f t="array" aca="1" ref="S49" ca="1">Notmerged(S20)</f>
        <v>#NAME?</v>
      </c>
      <c r="T49" s="128" t="e" cm="1">
        <f t="array" aca="1" ref="T49" ca="1">Notmerged(T20)</f>
        <v>#NAME?</v>
      </c>
      <c r="U49" s="128" t="e" cm="1">
        <f t="array" aca="1" ref="U49" ca="1">Notmerged(U20)</f>
        <v>#NAME?</v>
      </c>
      <c r="V49" s="128" t="e" cm="1">
        <f t="array" aca="1" ref="V49" ca="1">Notmerged(V20)</f>
        <v>#NAME?</v>
      </c>
      <c r="W49" s="128" t="e" cm="1">
        <f t="array" aca="1" ref="W49" ca="1">Notmerged(W20)</f>
        <v>#NAME?</v>
      </c>
      <c r="X49" s="128" t="e" cm="1">
        <f t="array" aca="1" ref="X49" ca="1">Notmerged(X20)</f>
        <v>#NAME?</v>
      </c>
      <c r="Y49" s="128" t="e" cm="1">
        <f t="array" aca="1" ref="Y49" ca="1">Notmerged(Y20)</f>
        <v>#NAME?</v>
      </c>
      <c r="Z49" s="128" t="e" cm="1">
        <f t="array" aca="1" ref="Z49" ca="1">Notmerged(Z20)</f>
        <v>#NAME?</v>
      </c>
      <c r="AA49" s="128" t="e" cm="1">
        <f t="array" aca="1" ref="AA49" ca="1">Notmerged(AA20)</f>
        <v>#NAME?</v>
      </c>
      <c r="AB49" s="128" t="e" cm="1">
        <f t="array" aca="1" ref="AB49" ca="1">Notmerged(AB20)</f>
        <v>#NAME?</v>
      </c>
      <c r="AC49" s="128" t="e" cm="1">
        <f t="array" aca="1" ref="AC49" ca="1">Notmerged(AC20)</f>
        <v>#NAME?</v>
      </c>
      <c r="AD49" s="128" t="e" cm="1">
        <f t="array" aca="1" ref="AD49" ca="1">Notmerged(AD20)</f>
        <v>#NAME?</v>
      </c>
      <c r="AE49" s="128" t="e" cm="1">
        <f t="array" aca="1" ref="AE49" ca="1">Notmerged(AE20)</f>
        <v>#NAME?</v>
      </c>
      <c r="AF49" s="128" t="e" cm="1">
        <f t="array" aca="1" ref="AF49" ca="1">Notmerged(AF20)</f>
        <v>#NAME?</v>
      </c>
      <c r="AG49" s="128" t="e" cm="1">
        <f t="array" aca="1" ref="AG49" ca="1">Notmerged(AG20)</f>
        <v>#NAME?</v>
      </c>
      <c r="AH49" s="128" t="e" cm="1">
        <f t="array" aca="1" ref="AH49" ca="1">Notmerged(AH20)</f>
        <v>#NAME?</v>
      </c>
      <c r="AI49" s="128" t="e" cm="1">
        <f t="array" aca="1" ref="AI49" ca="1">Notmerged(AI20)</f>
        <v>#NAME?</v>
      </c>
      <c r="AJ49" s="128" t="e" cm="1">
        <f t="array" aca="1" ref="AJ49" ca="1">Notmerged(AJ20)</f>
        <v>#NAME?</v>
      </c>
      <c r="AK49" s="128" t="e" cm="1">
        <f t="array" aca="1" ref="AK49" ca="1">Notmerged(AK20)</f>
        <v>#NAME?</v>
      </c>
      <c r="AL49" s="128" t="e" cm="1">
        <f t="array" aca="1" ref="AL49" ca="1">Notmerged(AL20)</f>
        <v>#NAME?</v>
      </c>
      <c r="AM49" s="128" t="e" cm="1">
        <f t="array" aca="1" ref="AM49" ca="1">Notmerged(AM20)</f>
        <v>#NAME?</v>
      </c>
      <c r="AN49" s="128" t="e" cm="1">
        <f t="array" aca="1" ref="AN49" ca="1">Notmerged(AN20)</f>
        <v>#NAME?</v>
      </c>
      <c r="AO49" s="128" t="e" cm="1">
        <f t="array" aca="1" ref="AO49" ca="1">Notmerged(AO20)</f>
        <v>#NAME?</v>
      </c>
      <c r="AP49" s="128" t="e" cm="1">
        <f t="array" aca="1" ref="AP49" ca="1">Notmerged(AP20)</f>
        <v>#NAME?</v>
      </c>
      <c r="AQ49" s="128" t="e" cm="1">
        <f t="array" aca="1" ref="AQ49" ca="1">Notmerged(AQ20)</f>
        <v>#NAME?</v>
      </c>
      <c r="AR49" s="128" t="e" cm="1">
        <f t="array" aca="1" ref="AR49" ca="1">Notmerged(AR20)</f>
        <v>#NAME?</v>
      </c>
      <c r="AS49" s="128" t="e" cm="1">
        <f t="array" aca="1" ref="AS49" ca="1">Notmerged(AS20)</f>
        <v>#NAME?</v>
      </c>
      <c r="AT49" s="128" t="e" cm="1">
        <f t="array" aca="1" ref="AT49" ca="1">Notmerged(AT20)</f>
        <v>#NAME?</v>
      </c>
      <c r="AU49" s="128" t="e" cm="1">
        <f t="array" aca="1" ref="AU49" ca="1">Notmerged(AU20)</f>
        <v>#NAME?</v>
      </c>
      <c r="AV49" s="128" t="e" cm="1">
        <f t="array" aca="1" ref="AV49" ca="1">Notmerged(AV20)</f>
        <v>#NAME?</v>
      </c>
      <c r="AW49" s="128" t="e" cm="1">
        <f t="array" aca="1" ref="AW49" ca="1">Notmerged(AW20)</f>
        <v>#NAME?</v>
      </c>
      <c r="AX49" s="128" t="e" cm="1">
        <f t="array" aca="1" ref="AX49" ca="1">Notmerged(AX20)</f>
        <v>#NAME?</v>
      </c>
      <c r="AY49" s="128" t="e" cm="1">
        <f t="array" aca="1" ref="AY49" ca="1">Notmerged(AY20)</f>
        <v>#NAME?</v>
      </c>
      <c r="AZ49" s="128" t="e" cm="1">
        <f t="array" aca="1" ref="AZ49" ca="1">Notmerged(AZ20)</f>
        <v>#NAME?</v>
      </c>
      <c r="BA49" s="128" t="e" cm="1">
        <f t="array" aca="1" ref="BA49" ca="1">Notmerged(BA20)</f>
        <v>#NAME?</v>
      </c>
      <c r="BB49" s="128" t="e" cm="1">
        <f t="array" aca="1" ref="BB49" ca="1">Notmerged(BB20)</f>
        <v>#NAME?</v>
      </c>
      <c r="BC49" s="128" t="e" cm="1">
        <f t="array" aca="1" ref="BC49" ca="1">Notmerged(BC20)</f>
        <v>#NAME?</v>
      </c>
      <c r="BD49" s="128" t="e" cm="1">
        <f t="array" aca="1" ref="BD49" ca="1">Notmerged(BD20)</f>
        <v>#NAME?</v>
      </c>
      <c r="BE49" s="128" t="e" cm="1">
        <f t="array" aca="1" ref="BE49" ca="1">Notmerged(BE20)</f>
        <v>#NAME?</v>
      </c>
      <c r="BF49" s="128" t="e" cm="1">
        <f t="array" aca="1" ref="BF49" ca="1">Notmerged(BF20)</f>
        <v>#NAME?</v>
      </c>
      <c r="BG49" s="128" t="e" cm="1">
        <f t="array" aca="1" ref="BG49" ca="1">Notmerged(BG20)</f>
        <v>#NAME?</v>
      </c>
      <c r="BH49" s="128" t="e" cm="1">
        <f t="array" aca="1" ref="BH49" ca="1">Notmerged(BH20)</f>
        <v>#NAME?</v>
      </c>
      <c r="BI49" s="128" t="e" cm="1">
        <f t="array" aca="1" ref="BI49" ca="1">Notmerged(BI20)</f>
        <v>#NAME?</v>
      </c>
      <c r="BJ49" s="128" t="e" cm="1">
        <f t="array" aca="1" ref="BJ49" ca="1">Notmerged(BJ20)</f>
        <v>#NAME?</v>
      </c>
      <c r="BK49" s="128" t="e" cm="1">
        <f t="array" aca="1" ref="BK49" ca="1">Notmerged(BK20)</f>
        <v>#NAME?</v>
      </c>
    </row>
    <row r="50" spans="2:63" x14ac:dyDescent="0.3">
      <c r="B50" s="128" t="e" cm="1">
        <f t="array" aca="1" ref="B50" ca="1">Notmerged(B21)</f>
        <v>#NAME?</v>
      </c>
      <c r="C50" s="128" t="e" cm="1">
        <f t="array" aca="1" ref="C50" ca="1">Notmerged(C21)</f>
        <v>#NAME?</v>
      </c>
      <c r="D50" s="128" t="e" cm="1">
        <f t="array" aca="1" ref="D50" ca="1">Notmerged(D21)</f>
        <v>#NAME?</v>
      </c>
      <c r="E50" s="128" t="e" cm="1">
        <f t="array" aca="1" ref="E50" ca="1">Notmerged(E21)</f>
        <v>#NAME?</v>
      </c>
      <c r="F50" s="128" t="e" cm="1">
        <f t="array" aca="1" ref="F50" ca="1">Notmerged(F21)</f>
        <v>#NAME?</v>
      </c>
      <c r="G50" s="128" t="e" cm="1">
        <f t="array" aca="1" ref="G50" ca="1">Notmerged(G21)</f>
        <v>#NAME?</v>
      </c>
      <c r="H50" s="128" t="e" cm="1">
        <f t="array" aca="1" ref="H50" ca="1">Notmerged(H21)</f>
        <v>#NAME?</v>
      </c>
      <c r="I50" s="128" t="e" cm="1">
        <f t="array" aca="1" ref="I50" ca="1">Notmerged(I21)</f>
        <v>#NAME?</v>
      </c>
      <c r="J50" s="128" t="e" cm="1">
        <f t="array" aca="1" ref="J50" ca="1">Notmerged(J21)</f>
        <v>#NAME?</v>
      </c>
      <c r="K50" s="128" t="e" cm="1">
        <f t="array" aca="1" ref="K50" ca="1">Notmerged(K21)</f>
        <v>#NAME?</v>
      </c>
      <c r="L50" s="128" t="e" cm="1">
        <f t="array" aca="1" ref="L50" ca="1">Notmerged(L21)</f>
        <v>#NAME?</v>
      </c>
      <c r="M50" s="128" t="e" cm="1">
        <f t="array" aca="1" ref="M50" ca="1">Notmerged(M21)</f>
        <v>#NAME?</v>
      </c>
      <c r="N50" s="128" t="e" cm="1">
        <f t="array" aca="1" ref="N50" ca="1">Notmerged(N21)</f>
        <v>#NAME?</v>
      </c>
      <c r="O50" s="128" t="e" cm="1">
        <f t="array" aca="1" ref="O50" ca="1">Notmerged(O21)</f>
        <v>#NAME?</v>
      </c>
      <c r="P50" s="128" t="e" cm="1">
        <f t="array" aca="1" ref="P50" ca="1">Notmerged(P21)</f>
        <v>#NAME?</v>
      </c>
      <c r="Q50" s="128" t="e" cm="1">
        <f t="array" aca="1" ref="Q50" ca="1">Notmerged(Q21)</f>
        <v>#NAME?</v>
      </c>
      <c r="R50" s="128" t="e" cm="1">
        <f t="array" aca="1" ref="R50" ca="1">Notmerged(R21)</f>
        <v>#NAME?</v>
      </c>
      <c r="S50" s="128" t="e" cm="1">
        <f t="array" aca="1" ref="S50" ca="1">Notmerged(S21)</f>
        <v>#NAME?</v>
      </c>
      <c r="T50" s="128" t="e" cm="1">
        <f t="array" aca="1" ref="T50" ca="1">Notmerged(T21)</f>
        <v>#NAME?</v>
      </c>
      <c r="U50" s="128" t="e" cm="1">
        <f t="array" aca="1" ref="U50" ca="1">Notmerged(U21)</f>
        <v>#NAME?</v>
      </c>
      <c r="V50" s="128" t="e" cm="1">
        <f t="array" aca="1" ref="V50" ca="1">Notmerged(V21)</f>
        <v>#NAME?</v>
      </c>
      <c r="W50" s="128" t="e" cm="1">
        <f t="array" aca="1" ref="W50" ca="1">Notmerged(W21)</f>
        <v>#NAME?</v>
      </c>
      <c r="X50" s="128" t="e" cm="1">
        <f t="array" aca="1" ref="X50" ca="1">Notmerged(X21)</f>
        <v>#NAME?</v>
      </c>
      <c r="Y50" s="128" t="e" cm="1">
        <f t="array" aca="1" ref="Y50" ca="1">Notmerged(Y21)</f>
        <v>#NAME?</v>
      </c>
      <c r="Z50" s="128" t="e" cm="1">
        <f t="array" aca="1" ref="Z50" ca="1">Notmerged(Z21)</f>
        <v>#NAME?</v>
      </c>
      <c r="AA50" s="128" t="e" cm="1">
        <f t="array" aca="1" ref="AA50" ca="1">Notmerged(AA21)</f>
        <v>#NAME?</v>
      </c>
      <c r="AB50" s="128" t="e" cm="1">
        <f t="array" aca="1" ref="AB50" ca="1">Notmerged(AB21)</f>
        <v>#NAME?</v>
      </c>
      <c r="AC50" s="128" t="e" cm="1">
        <f t="array" aca="1" ref="AC50" ca="1">Notmerged(AC21)</f>
        <v>#NAME?</v>
      </c>
      <c r="AD50" s="128" t="e" cm="1">
        <f t="array" aca="1" ref="AD50" ca="1">Notmerged(AD21)</f>
        <v>#NAME?</v>
      </c>
      <c r="AE50" s="128" t="e" cm="1">
        <f t="array" aca="1" ref="AE50" ca="1">Notmerged(AE21)</f>
        <v>#NAME?</v>
      </c>
      <c r="AF50" s="128" t="e" cm="1">
        <f t="array" aca="1" ref="AF50" ca="1">Notmerged(AF21)</f>
        <v>#NAME?</v>
      </c>
      <c r="AG50" s="128" t="e" cm="1">
        <f t="array" aca="1" ref="AG50" ca="1">Notmerged(AG21)</f>
        <v>#NAME?</v>
      </c>
      <c r="AH50" s="128" t="e" cm="1">
        <f t="array" aca="1" ref="AH50" ca="1">Notmerged(AH21)</f>
        <v>#NAME?</v>
      </c>
      <c r="AI50" s="128" t="e" cm="1">
        <f t="array" aca="1" ref="AI50" ca="1">Notmerged(AI21)</f>
        <v>#NAME?</v>
      </c>
      <c r="AJ50" s="128" t="e" cm="1">
        <f t="array" aca="1" ref="AJ50" ca="1">Notmerged(AJ21)</f>
        <v>#NAME?</v>
      </c>
      <c r="AK50" s="128" t="e" cm="1">
        <f t="array" aca="1" ref="AK50" ca="1">Notmerged(AK21)</f>
        <v>#NAME?</v>
      </c>
      <c r="AL50" s="128" t="e" cm="1">
        <f t="array" aca="1" ref="AL50" ca="1">Notmerged(AL21)</f>
        <v>#NAME?</v>
      </c>
      <c r="AM50" s="128" t="e" cm="1">
        <f t="array" aca="1" ref="AM50" ca="1">Notmerged(AM21)</f>
        <v>#NAME?</v>
      </c>
      <c r="AN50" s="128" t="e" cm="1">
        <f t="array" aca="1" ref="AN50" ca="1">Notmerged(AN21)</f>
        <v>#NAME?</v>
      </c>
      <c r="AO50" s="128" t="e" cm="1">
        <f t="array" aca="1" ref="AO50" ca="1">Notmerged(AO21)</f>
        <v>#NAME?</v>
      </c>
      <c r="AP50" s="128" t="e" cm="1">
        <f t="array" aca="1" ref="AP50" ca="1">Notmerged(AP21)</f>
        <v>#NAME?</v>
      </c>
      <c r="AQ50" s="128" t="e" cm="1">
        <f t="array" aca="1" ref="AQ50" ca="1">Notmerged(AQ21)</f>
        <v>#NAME?</v>
      </c>
      <c r="AR50" s="128" t="e" cm="1">
        <f t="array" aca="1" ref="AR50" ca="1">Notmerged(AR21)</f>
        <v>#NAME?</v>
      </c>
      <c r="AS50" s="128" t="e" cm="1">
        <f t="array" aca="1" ref="AS50" ca="1">Notmerged(AS21)</f>
        <v>#NAME?</v>
      </c>
      <c r="AT50" s="128" t="e" cm="1">
        <f t="array" aca="1" ref="AT50" ca="1">Notmerged(AT21)</f>
        <v>#NAME?</v>
      </c>
      <c r="AU50" s="128" t="e" cm="1">
        <f t="array" aca="1" ref="AU50" ca="1">Notmerged(AU21)</f>
        <v>#NAME?</v>
      </c>
      <c r="AV50" s="128" t="e" cm="1">
        <f t="array" aca="1" ref="AV50" ca="1">Notmerged(AV21)</f>
        <v>#NAME?</v>
      </c>
      <c r="AW50" s="128" t="e" cm="1">
        <f t="array" aca="1" ref="AW50" ca="1">Notmerged(AW21)</f>
        <v>#NAME?</v>
      </c>
      <c r="AX50" s="128" t="e" cm="1">
        <f t="array" aca="1" ref="AX50" ca="1">Notmerged(AX21)</f>
        <v>#NAME?</v>
      </c>
      <c r="AY50" s="128" t="e" cm="1">
        <f t="array" aca="1" ref="AY50" ca="1">Notmerged(AY21)</f>
        <v>#NAME?</v>
      </c>
      <c r="AZ50" s="128" t="e" cm="1">
        <f t="array" aca="1" ref="AZ50" ca="1">Notmerged(AZ21)</f>
        <v>#NAME?</v>
      </c>
      <c r="BA50" s="128" t="e" cm="1">
        <f t="array" aca="1" ref="BA50" ca="1">Notmerged(BA21)</f>
        <v>#NAME?</v>
      </c>
      <c r="BB50" s="128" t="e" cm="1">
        <f t="array" aca="1" ref="BB50" ca="1">Notmerged(BB21)</f>
        <v>#NAME?</v>
      </c>
      <c r="BC50" s="128" t="e" cm="1">
        <f t="array" aca="1" ref="BC50" ca="1">Notmerged(BC21)</f>
        <v>#NAME?</v>
      </c>
      <c r="BD50" s="128" t="e" cm="1">
        <f t="array" aca="1" ref="BD50" ca="1">Notmerged(BD21)</f>
        <v>#NAME?</v>
      </c>
      <c r="BE50" s="128" t="e" cm="1">
        <f t="array" aca="1" ref="BE50" ca="1">Notmerged(BE21)</f>
        <v>#NAME?</v>
      </c>
      <c r="BF50" s="128" t="e" cm="1">
        <f t="array" aca="1" ref="BF50" ca="1">Notmerged(BF21)</f>
        <v>#NAME?</v>
      </c>
      <c r="BG50" s="128" t="e" cm="1">
        <f t="array" aca="1" ref="BG50" ca="1">Notmerged(BG21)</f>
        <v>#NAME?</v>
      </c>
      <c r="BH50" s="128" t="e" cm="1">
        <f t="array" aca="1" ref="BH50" ca="1">Notmerged(BH21)</f>
        <v>#NAME?</v>
      </c>
      <c r="BI50" s="128" t="e" cm="1">
        <f t="array" aca="1" ref="BI50" ca="1">Notmerged(BI21)</f>
        <v>#NAME?</v>
      </c>
      <c r="BJ50" s="128" t="e" cm="1">
        <f t="array" aca="1" ref="BJ50" ca="1">Notmerged(BJ21)</f>
        <v>#NAME?</v>
      </c>
      <c r="BK50" s="128" t="e" cm="1">
        <f t="array" aca="1" ref="BK50" ca="1">Notmerged(BK21)</f>
        <v>#NAME?</v>
      </c>
    </row>
    <row r="51" spans="2:63" x14ac:dyDescent="0.3">
      <c r="B51" s="128" t="e" cm="1">
        <f t="array" aca="1" ref="B51" ca="1">Notmerged(#REF!)</f>
        <v>#NAME?</v>
      </c>
      <c r="C51" s="128" t="e" cm="1">
        <f t="array" aca="1" ref="C51" ca="1">Notmerged(C22)</f>
        <v>#NAME?</v>
      </c>
      <c r="D51" s="128" t="e" cm="1">
        <f t="array" aca="1" ref="D51" ca="1">Notmerged(D22)</f>
        <v>#NAME?</v>
      </c>
      <c r="E51" s="128" t="e" cm="1">
        <f t="array" aca="1" ref="E51" ca="1">Notmerged(E22)</f>
        <v>#NAME?</v>
      </c>
      <c r="F51" s="128" t="e" cm="1">
        <f t="array" aca="1" ref="F51" ca="1">Notmerged(F22)</f>
        <v>#NAME?</v>
      </c>
      <c r="G51" s="128" t="e" cm="1">
        <f t="array" aca="1" ref="G51" ca="1">Notmerged(G22)</f>
        <v>#NAME?</v>
      </c>
      <c r="H51" s="128" t="e" cm="1">
        <f t="array" aca="1" ref="H51" ca="1">Notmerged(H22)</f>
        <v>#NAME?</v>
      </c>
      <c r="I51" s="128" t="e" cm="1">
        <f t="array" aca="1" ref="I51" ca="1">Notmerged(I22)</f>
        <v>#NAME?</v>
      </c>
      <c r="J51" s="128" t="e" cm="1">
        <f t="array" aca="1" ref="J51" ca="1">Notmerged(J22)</f>
        <v>#NAME?</v>
      </c>
      <c r="K51" s="128" t="e" cm="1">
        <f t="array" aca="1" ref="K51" ca="1">Notmerged(K22)</f>
        <v>#NAME?</v>
      </c>
      <c r="L51" s="128" t="e" cm="1">
        <f t="array" aca="1" ref="L51" ca="1">Notmerged(L22)</f>
        <v>#NAME?</v>
      </c>
      <c r="M51" s="128" t="e" cm="1">
        <f t="array" aca="1" ref="M51" ca="1">Notmerged(M22)</f>
        <v>#NAME?</v>
      </c>
      <c r="N51" s="128" t="e" cm="1">
        <f t="array" aca="1" ref="N51" ca="1">Notmerged(N22)</f>
        <v>#NAME?</v>
      </c>
      <c r="O51" s="128" t="e" cm="1">
        <f t="array" aca="1" ref="O51" ca="1">Notmerged(O22)</f>
        <v>#NAME?</v>
      </c>
      <c r="P51" s="128" t="e" cm="1">
        <f t="array" aca="1" ref="P51" ca="1">Notmerged(P22)</f>
        <v>#NAME?</v>
      </c>
      <c r="Q51" s="128" t="e" cm="1">
        <f t="array" aca="1" ref="Q51" ca="1">Notmerged(Q22)</f>
        <v>#NAME?</v>
      </c>
      <c r="R51" s="128" t="e" cm="1">
        <f t="array" aca="1" ref="R51" ca="1">Notmerged(R22)</f>
        <v>#NAME?</v>
      </c>
      <c r="S51" s="128" t="e" cm="1">
        <f t="array" aca="1" ref="S51" ca="1">Notmerged(S22)</f>
        <v>#NAME?</v>
      </c>
      <c r="T51" s="128" t="e" cm="1">
        <f t="array" aca="1" ref="T51" ca="1">Notmerged(T22)</f>
        <v>#NAME?</v>
      </c>
      <c r="U51" s="128" t="e" cm="1">
        <f t="array" aca="1" ref="U51" ca="1">Notmerged(U22)</f>
        <v>#NAME?</v>
      </c>
      <c r="V51" s="128" t="e" cm="1">
        <f t="array" aca="1" ref="V51" ca="1">Notmerged(V22)</f>
        <v>#NAME?</v>
      </c>
      <c r="W51" s="128" t="e" cm="1">
        <f t="array" aca="1" ref="W51" ca="1">Notmerged(W22)</f>
        <v>#NAME?</v>
      </c>
      <c r="X51" s="128" t="e" cm="1">
        <f t="array" aca="1" ref="X51" ca="1">Notmerged(X22)</f>
        <v>#NAME?</v>
      </c>
      <c r="Y51" s="128" t="e" cm="1">
        <f t="array" aca="1" ref="Y51" ca="1">Notmerged(Y22)</f>
        <v>#NAME?</v>
      </c>
      <c r="Z51" s="128" t="e" cm="1">
        <f t="array" aca="1" ref="Z51" ca="1">Notmerged(Z22)</f>
        <v>#NAME?</v>
      </c>
      <c r="AA51" s="128" t="e" cm="1">
        <f t="array" aca="1" ref="AA51" ca="1">Notmerged(AA22)</f>
        <v>#NAME?</v>
      </c>
      <c r="AB51" s="128" t="e" cm="1">
        <f t="array" aca="1" ref="AB51" ca="1">Notmerged(AB22)</f>
        <v>#NAME?</v>
      </c>
      <c r="AC51" s="128" t="e" cm="1">
        <f t="array" aca="1" ref="AC51" ca="1">Notmerged(AC22)</f>
        <v>#NAME?</v>
      </c>
      <c r="AD51" s="128" t="e" cm="1">
        <f t="array" aca="1" ref="AD51" ca="1">Notmerged(AD22)</f>
        <v>#NAME?</v>
      </c>
      <c r="AE51" s="128" t="e" cm="1">
        <f t="array" aca="1" ref="AE51" ca="1">Notmerged(AE22)</f>
        <v>#NAME?</v>
      </c>
      <c r="AF51" s="128" t="e" cm="1">
        <f t="array" aca="1" ref="AF51" ca="1">Notmerged(AF22)</f>
        <v>#NAME?</v>
      </c>
      <c r="AG51" s="128" t="e" cm="1">
        <f t="array" aca="1" ref="AG51" ca="1">Notmerged(AG22)</f>
        <v>#NAME?</v>
      </c>
      <c r="AH51" s="128" t="e" cm="1">
        <f t="array" aca="1" ref="AH51" ca="1">Notmerged(AH22)</f>
        <v>#NAME?</v>
      </c>
      <c r="AI51" s="128" t="e" cm="1">
        <f t="array" aca="1" ref="AI51" ca="1">Notmerged(AI22)</f>
        <v>#NAME?</v>
      </c>
      <c r="AJ51" s="128" t="e" cm="1">
        <f t="array" aca="1" ref="AJ51" ca="1">Notmerged(AJ22)</f>
        <v>#NAME?</v>
      </c>
      <c r="AK51" s="128" t="e" cm="1">
        <f t="array" aca="1" ref="AK51" ca="1">Notmerged(AK22)</f>
        <v>#NAME?</v>
      </c>
      <c r="AL51" s="128" t="e" cm="1">
        <f t="array" aca="1" ref="AL51" ca="1">Notmerged(AL22)</f>
        <v>#NAME?</v>
      </c>
      <c r="AM51" s="128" t="e" cm="1">
        <f t="array" aca="1" ref="AM51" ca="1">Notmerged(AM22)</f>
        <v>#NAME?</v>
      </c>
      <c r="AN51" s="128" t="e" cm="1">
        <f t="array" aca="1" ref="AN51" ca="1">Notmerged(AN22)</f>
        <v>#NAME?</v>
      </c>
      <c r="AO51" s="128" t="e" cm="1">
        <f t="array" aca="1" ref="AO51" ca="1">Notmerged(AO22)</f>
        <v>#NAME?</v>
      </c>
      <c r="AP51" s="128" t="e" cm="1">
        <f t="array" aca="1" ref="AP51" ca="1">Notmerged(AP22)</f>
        <v>#NAME?</v>
      </c>
      <c r="AQ51" s="128" t="e" cm="1">
        <f t="array" aca="1" ref="AQ51" ca="1">Notmerged(AQ22)</f>
        <v>#NAME?</v>
      </c>
      <c r="AR51" s="128" t="e" cm="1">
        <f t="array" aca="1" ref="AR51" ca="1">Notmerged(AR22)</f>
        <v>#NAME?</v>
      </c>
      <c r="AS51" s="128" t="e" cm="1">
        <f t="array" aca="1" ref="AS51" ca="1">Notmerged(AS22)</f>
        <v>#NAME?</v>
      </c>
      <c r="AT51" s="128" t="e" cm="1">
        <f t="array" aca="1" ref="AT51" ca="1">Notmerged(AT22)</f>
        <v>#NAME?</v>
      </c>
      <c r="AU51" s="128" t="e" cm="1">
        <f t="array" aca="1" ref="AU51" ca="1">Notmerged(AU22)</f>
        <v>#NAME?</v>
      </c>
      <c r="AV51" s="128" t="e" cm="1">
        <f t="array" aca="1" ref="AV51" ca="1">Notmerged(AV22)</f>
        <v>#NAME?</v>
      </c>
      <c r="AW51" s="128" t="e" cm="1">
        <f t="array" aca="1" ref="AW51" ca="1">Notmerged(AW22)</f>
        <v>#NAME?</v>
      </c>
      <c r="AX51" s="128" t="e" cm="1">
        <f t="array" aca="1" ref="AX51" ca="1">Notmerged(AX22)</f>
        <v>#NAME?</v>
      </c>
      <c r="AY51" s="128" t="e" cm="1">
        <f t="array" aca="1" ref="AY51" ca="1">Notmerged(AY22)</f>
        <v>#NAME?</v>
      </c>
      <c r="AZ51" s="128" t="e" cm="1">
        <f t="array" aca="1" ref="AZ51" ca="1">Notmerged(AZ22)</f>
        <v>#NAME?</v>
      </c>
      <c r="BA51" s="128" t="e" cm="1">
        <f t="array" aca="1" ref="BA51" ca="1">Notmerged(BA22)</f>
        <v>#NAME?</v>
      </c>
      <c r="BB51" s="128" t="e" cm="1">
        <f t="array" aca="1" ref="BB51" ca="1">Notmerged(BB22)</f>
        <v>#NAME?</v>
      </c>
      <c r="BC51" s="128" t="e" cm="1">
        <f t="array" aca="1" ref="BC51" ca="1">Notmerged(BC22)</f>
        <v>#NAME?</v>
      </c>
      <c r="BD51" s="128" t="e" cm="1">
        <f t="array" aca="1" ref="BD51" ca="1">Notmerged(BD22)</f>
        <v>#NAME?</v>
      </c>
      <c r="BE51" s="128" t="e" cm="1">
        <f t="array" aca="1" ref="BE51" ca="1">Notmerged(BE22)</f>
        <v>#NAME?</v>
      </c>
      <c r="BF51" s="128" t="e" cm="1">
        <f t="array" aca="1" ref="BF51" ca="1">Notmerged(BF22)</f>
        <v>#NAME?</v>
      </c>
      <c r="BG51" s="128" t="e" cm="1">
        <f t="array" aca="1" ref="BG51" ca="1">Notmerged(BG22)</f>
        <v>#NAME?</v>
      </c>
      <c r="BH51" s="128" t="e" cm="1">
        <f t="array" aca="1" ref="BH51" ca="1">Notmerged(BH22)</f>
        <v>#NAME?</v>
      </c>
      <c r="BI51" s="128" t="e" cm="1">
        <f t="array" aca="1" ref="BI51" ca="1">Notmerged(BI22)</f>
        <v>#NAME?</v>
      </c>
      <c r="BJ51" s="128" t="e" cm="1">
        <f t="array" aca="1" ref="BJ51" ca="1">Notmerged(BJ22)</f>
        <v>#NAME?</v>
      </c>
      <c r="BK51" s="128" t="e" cm="1">
        <f t="array" aca="1" ref="BK51" ca="1">Notmerged(BK22)</f>
        <v>#NAME?</v>
      </c>
    </row>
    <row r="52" spans="2:63" x14ac:dyDescent="0.3">
      <c r="B52" s="128" t="e" cm="1">
        <f t="array" aca="1" ref="B52" ca="1">Notmerged(B23)</f>
        <v>#NAME?</v>
      </c>
      <c r="C52" s="128" t="e" cm="1">
        <f t="array" aca="1" ref="C52" ca="1">Notmerged(#REF!)</f>
        <v>#NAME?</v>
      </c>
      <c r="D52" s="128" t="e" cm="1">
        <f t="array" aca="1" ref="D52" ca="1">Notmerged(D23)</f>
        <v>#NAME?</v>
      </c>
      <c r="E52" s="128" t="e" cm="1">
        <f t="array" aca="1" ref="E52" ca="1">Notmerged(E23)</f>
        <v>#NAME?</v>
      </c>
      <c r="F52" s="128" t="e" cm="1">
        <f t="array" aca="1" ref="F52" ca="1">Notmerged(F23)</f>
        <v>#NAME?</v>
      </c>
      <c r="G52" s="128" t="e" cm="1">
        <f t="array" aca="1" ref="G52" ca="1">Notmerged(G23)</f>
        <v>#NAME?</v>
      </c>
      <c r="H52" s="128" t="e" cm="1">
        <f t="array" aca="1" ref="H52" ca="1">Notmerged(H23)</f>
        <v>#NAME?</v>
      </c>
      <c r="I52" s="128" t="e" cm="1">
        <f t="array" aca="1" ref="I52" ca="1">Notmerged(I23)</f>
        <v>#NAME?</v>
      </c>
      <c r="J52" s="128" t="e" cm="1">
        <f t="array" aca="1" ref="J52" ca="1">Notmerged(J23)</f>
        <v>#NAME?</v>
      </c>
      <c r="K52" s="128" t="e" cm="1">
        <f t="array" aca="1" ref="K52" ca="1">Notmerged(K23)</f>
        <v>#NAME?</v>
      </c>
      <c r="L52" s="128" t="e" cm="1">
        <f t="array" aca="1" ref="L52" ca="1">Notmerged(L23)</f>
        <v>#NAME?</v>
      </c>
      <c r="M52" s="128" t="e" cm="1">
        <f t="array" aca="1" ref="M52" ca="1">Notmerged(M23)</f>
        <v>#NAME?</v>
      </c>
      <c r="N52" s="128" t="e" cm="1">
        <f t="array" aca="1" ref="N52" ca="1">Notmerged(N23)</f>
        <v>#NAME?</v>
      </c>
      <c r="O52" s="128" t="e" cm="1">
        <f t="array" aca="1" ref="O52" ca="1">Notmerged(O23)</f>
        <v>#NAME?</v>
      </c>
      <c r="P52" s="128" t="e" cm="1">
        <f t="array" aca="1" ref="P52" ca="1">Notmerged(P23)</f>
        <v>#NAME?</v>
      </c>
      <c r="Q52" s="128" t="e" cm="1">
        <f t="array" aca="1" ref="Q52" ca="1">Notmerged(Q23)</f>
        <v>#NAME?</v>
      </c>
      <c r="R52" s="128" t="e" cm="1">
        <f t="array" aca="1" ref="R52" ca="1">Notmerged(R23)</f>
        <v>#NAME?</v>
      </c>
      <c r="S52" s="128" t="e" cm="1">
        <f t="array" aca="1" ref="S52" ca="1">Notmerged(S23)</f>
        <v>#NAME?</v>
      </c>
      <c r="T52" s="128" t="e" cm="1">
        <f t="array" aca="1" ref="T52" ca="1">Notmerged(T23)</f>
        <v>#NAME?</v>
      </c>
      <c r="U52" s="128" t="e" cm="1">
        <f t="array" aca="1" ref="U52" ca="1">Notmerged(U23)</f>
        <v>#NAME?</v>
      </c>
      <c r="V52" s="128" t="e" cm="1">
        <f t="array" aca="1" ref="V52" ca="1">Notmerged(V23)</f>
        <v>#NAME?</v>
      </c>
      <c r="W52" s="128" t="e" cm="1">
        <f t="array" aca="1" ref="W52" ca="1">Notmerged(W23)</f>
        <v>#NAME?</v>
      </c>
      <c r="X52" s="128" t="e" cm="1">
        <f t="array" aca="1" ref="X52" ca="1">Notmerged(X23)</f>
        <v>#NAME?</v>
      </c>
      <c r="Y52" s="128" t="e" cm="1">
        <f t="array" aca="1" ref="Y52" ca="1">Notmerged(Y23)</f>
        <v>#NAME?</v>
      </c>
      <c r="Z52" s="128" t="e" cm="1">
        <f t="array" aca="1" ref="Z52" ca="1">Notmerged(Z23)</f>
        <v>#NAME?</v>
      </c>
      <c r="AA52" s="128" t="e" cm="1">
        <f t="array" aca="1" ref="AA52" ca="1">Notmerged(AA23)</f>
        <v>#NAME?</v>
      </c>
      <c r="AB52" s="128" t="e" cm="1">
        <f t="array" aca="1" ref="AB52" ca="1">Notmerged(AB23)</f>
        <v>#NAME?</v>
      </c>
      <c r="AC52" s="128" t="e" cm="1">
        <f t="array" aca="1" ref="AC52" ca="1">Notmerged(AC23)</f>
        <v>#NAME?</v>
      </c>
      <c r="AD52" s="128" t="e" cm="1">
        <f t="array" aca="1" ref="AD52" ca="1">Notmerged(AD23)</f>
        <v>#NAME?</v>
      </c>
      <c r="AE52" s="128" t="e" cm="1">
        <f t="array" aca="1" ref="AE52" ca="1">Notmerged(AE23)</f>
        <v>#NAME?</v>
      </c>
      <c r="AF52" s="128" t="e" cm="1">
        <f t="array" aca="1" ref="AF52" ca="1">Notmerged(AF23)</f>
        <v>#NAME?</v>
      </c>
      <c r="AG52" s="128" t="e" cm="1">
        <f t="array" aca="1" ref="AG52" ca="1">Notmerged(AG23)</f>
        <v>#NAME?</v>
      </c>
      <c r="AH52" s="128" t="e" cm="1">
        <f t="array" aca="1" ref="AH52" ca="1">Notmerged(AH23)</f>
        <v>#NAME?</v>
      </c>
      <c r="AI52" s="128" t="e" cm="1">
        <f t="array" aca="1" ref="AI52" ca="1">Notmerged(AI23)</f>
        <v>#NAME?</v>
      </c>
      <c r="AJ52" s="128" t="e" cm="1">
        <f t="array" aca="1" ref="AJ52" ca="1">Notmerged(AJ23)</f>
        <v>#NAME?</v>
      </c>
      <c r="AK52" s="128" t="e" cm="1">
        <f t="array" aca="1" ref="AK52" ca="1">Notmerged(AK23)</f>
        <v>#NAME?</v>
      </c>
      <c r="AL52" s="128" t="e" cm="1">
        <f t="array" aca="1" ref="AL52" ca="1">Notmerged(AL23)</f>
        <v>#NAME?</v>
      </c>
      <c r="AM52" s="128" t="e" cm="1">
        <f t="array" aca="1" ref="AM52" ca="1">Notmerged(AM23)</f>
        <v>#NAME?</v>
      </c>
      <c r="AN52" s="128" t="e" cm="1">
        <f t="array" aca="1" ref="AN52" ca="1">Notmerged(AN23)</f>
        <v>#NAME?</v>
      </c>
      <c r="AO52" s="128" t="e" cm="1">
        <f t="array" aca="1" ref="AO52" ca="1">Notmerged(AO23)</f>
        <v>#NAME?</v>
      </c>
      <c r="AP52" s="128" t="e" cm="1">
        <f t="array" aca="1" ref="AP52" ca="1">Notmerged(AP23)</f>
        <v>#NAME?</v>
      </c>
      <c r="AQ52" s="128" t="e" cm="1">
        <f t="array" aca="1" ref="AQ52" ca="1">Notmerged(AQ23)</f>
        <v>#NAME?</v>
      </c>
      <c r="AR52" s="128" t="e" cm="1">
        <f t="array" aca="1" ref="AR52" ca="1">Notmerged(AR23)</f>
        <v>#NAME?</v>
      </c>
      <c r="AS52" s="128" t="e" cm="1">
        <f t="array" aca="1" ref="AS52" ca="1">Notmerged(AS23)</f>
        <v>#NAME?</v>
      </c>
      <c r="AT52" s="128" t="e" cm="1">
        <f t="array" aca="1" ref="AT52" ca="1">Notmerged(AT23)</f>
        <v>#NAME?</v>
      </c>
      <c r="AU52" s="128" t="e" cm="1">
        <f t="array" aca="1" ref="AU52" ca="1">Notmerged(AU23)</f>
        <v>#NAME?</v>
      </c>
      <c r="AV52" s="128" t="e" cm="1">
        <f t="array" aca="1" ref="AV52" ca="1">Notmerged(AV23)</f>
        <v>#NAME?</v>
      </c>
      <c r="AW52" s="128" t="e" cm="1">
        <f t="array" aca="1" ref="AW52" ca="1">Notmerged(AW23)</f>
        <v>#NAME?</v>
      </c>
      <c r="AX52" s="128" t="e" cm="1">
        <f t="array" aca="1" ref="AX52" ca="1">Notmerged(AX23)</f>
        <v>#NAME?</v>
      </c>
      <c r="AY52" s="128" t="e" cm="1">
        <f t="array" aca="1" ref="AY52" ca="1">Notmerged(AY23)</f>
        <v>#NAME?</v>
      </c>
      <c r="AZ52" s="128" t="e" cm="1">
        <f t="array" aca="1" ref="AZ52" ca="1">Notmerged(AZ23)</f>
        <v>#NAME?</v>
      </c>
      <c r="BA52" s="128" t="e" cm="1">
        <f t="array" aca="1" ref="BA52" ca="1">Notmerged(BA23)</f>
        <v>#NAME?</v>
      </c>
      <c r="BB52" s="128" t="e" cm="1">
        <f t="array" aca="1" ref="BB52" ca="1">Notmerged(BB23)</f>
        <v>#NAME?</v>
      </c>
      <c r="BC52" s="128" t="e" cm="1">
        <f t="array" aca="1" ref="BC52" ca="1">Notmerged(BC23)</f>
        <v>#NAME?</v>
      </c>
      <c r="BD52" s="128" t="e" cm="1">
        <f t="array" aca="1" ref="BD52" ca="1">Notmerged(BD23)</f>
        <v>#NAME?</v>
      </c>
      <c r="BE52" s="128" t="e" cm="1">
        <f t="array" aca="1" ref="BE52" ca="1">Notmerged(BE23)</f>
        <v>#NAME?</v>
      </c>
      <c r="BF52" s="128" t="e" cm="1">
        <f t="array" aca="1" ref="BF52" ca="1">Notmerged(BF23)</f>
        <v>#NAME?</v>
      </c>
      <c r="BG52" s="128" t="e" cm="1">
        <f t="array" aca="1" ref="BG52" ca="1">Notmerged(BG23)</f>
        <v>#NAME?</v>
      </c>
      <c r="BH52" s="128" t="e" cm="1">
        <f t="array" aca="1" ref="BH52" ca="1">Notmerged(BH23)</f>
        <v>#NAME?</v>
      </c>
      <c r="BI52" s="128" t="e" cm="1">
        <f t="array" aca="1" ref="BI52" ca="1">Notmerged(BI23)</f>
        <v>#NAME?</v>
      </c>
      <c r="BJ52" s="128" t="e" cm="1">
        <f t="array" aca="1" ref="BJ52" ca="1">Notmerged(BJ23)</f>
        <v>#NAME?</v>
      </c>
      <c r="BK52" s="128" t="e" cm="1">
        <f t="array" aca="1" ref="BK52" ca="1">Notmerged(BK23)</f>
        <v>#NAME?</v>
      </c>
    </row>
    <row r="53" spans="2:63" x14ac:dyDescent="0.3">
      <c r="B53" s="128" t="e" cm="1">
        <f t="array" aca="1" ref="B53" ca="1">Notmerged(B22)</f>
        <v>#NAME?</v>
      </c>
      <c r="C53" s="128" t="e" cm="1">
        <f t="array" aca="1" ref="C53" ca="1">Notmerged(C23)</f>
        <v>#NAME?</v>
      </c>
      <c r="D53" s="128" t="e" cm="1">
        <f t="array" aca="1" ref="D53" ca="1">Notmerged(D24)</f>
        <v>#NAME?</v>
      </c>
      <c r="E53" s="128" t="e" cm="1">
        <f t="array" aca="1" ref="E53" ca="1">Notmerged(E24)</f>
        <v>#NAME?</v>
      </c>
      <c r="F53" s="128" t="e" cm="1">
        <f t="array" aca="1" ref="F53" ca="1">Notmerged(F24)</f>
        <v>#NAME?</v>
      </c>
      <c r="G53" s="128" t="e" cm="1">
        <f t="array" aca="1" ref="G53" ca="1">Notmerged(G24)</f>
        <v>#NAME?</v>
      </c>
      <c r="H53" s="128" t="e" cm="1">
        <f t="array" aca="1" ref="H53" ca="1">Notmerged(H24)</f>
        <v>#NAME?</v>
      </c>
      <c r="I53" s="128" t="e" cm="1">
        <f t="array" aca="1" ref="I53" ca="1">Notmerged(I24)</f>
        <v>#NAME?</v>
      </c>
      <c r="J53" s="128" t="e" cm="1">
        <f t="array" aca="1" ref="J53" ca="1">Notmerged(J24)</f>
        <v>#NAME?</v>
      </c>
      <c r="K53" s="128" t="e" cm="1">
        <f t="array" aca="1" ref="K53" ca="1">Notmerged(K24)</f>
        <v>#NAME?</v>
      </c>
      <c r="L53" s="128" t="e" cm="1">
        <f t="array" aca="1" ref="L53" ca="1">Notmerged(L24)</f>
        <v>#NAME?</v>
      </c>
      <c r="M53" s="128" t="e" cm="1">
        <f t="array" aca="1" ref="M53" ca="1">Notmerged(M24)</f>
        <v>#NAME?</v>
      </c>
      <c r="N53" s="128" t="e" cm="1">
        <f t="array" aca="1" ref="N53" ca="1">Notmerged(N24)</f>
        <v>#NAME?</v>
      </c>
      <c r="O53" s="128" t="e" cm="1">
        <f t="array" aca="1" ref="O53" ca="1">Notmerged(O24)</f>
        <v>#NAME?</v>
      </c>
      <c r="P53" s="128" t="e" cm="1">
        <f t="array" aca="1" ref="P53" ca="1">Notmerged(P24)</f>
        <v>#NAME?</v>
      </c>
      <c r="Q53" s="128" t="e" cm="1">
        <f t="array" aca="1" ref="Q53" ca="1">Notmerged(Q24)</f>
        <v>#NAME?</v>
      </c>
      <c r="R53" s="128" t="e" cm="1">
        <f t="array" aca="1" ref="R53" ca="1">Notmerged(R24)</f>
        <v>#NAME?</v>
      </c>
      <c r="S53" s="128" t="e" cm="1">
        <f t="array" aca="1" ref="S53" ca="1">Notmerged(S24)</f>
        <v>#NAME?</v>
      </c>
      <c r="T53" s="128" t="e" cm="1">
        <f t="array" aca="1" ref="T53" ca="1">Notmerged(T24)</f>
        <v>#NAME?</v>
      </c>
      <c r="U53" s="128" t="e" cm="1">
        <f t="array" aca="1" ref="U53" ca="1">Notmerged(U24)</f>
        <v>#NAME?</v>
      </c>
      <c r="V53" s="128" t="e" cm="1">
        <f t="array" aca="1" ref="V53" ca="1">Notmerged(V24)</f>
        <v>#NAME?</v>
      </c>
      <c r="W53" s="128" t="e" cm="1">
        <f t="array" aca="1" ref="W53" ca="1">Notmerged(W24)</f>
        <v>#NAME?</v>
      </c>
      <c r="X53" s="128" t="e" cm="1">
        <f t="array" aca="1" ref="X53" ca="1">Notmerged(X24)</f>
        <v>#NAME?</v>
      </c>
      <c r="Y53" s="128" t="e" cm="1">
        <f t="array" aca="1" ref="Y53" ca="1">Notmerged(Y24)</f>
        <v>#NAME?</v>
      </c>
      <c r="Z53" s="128" t="e" cm="1">
        <f t="array" aca="1" ref="Z53" ca="1">Notmerged(Z24)</f>
        <v>#NAME?</v>
      </c>
      <c r="AA53" s="128" t="e" cm="1">
        <f t="array" aca="1" ref="AA53" ca="1">Notmerged(AA24)</f>
        <v>#NAME?</v>
      </c>
      <c r="AB53" s="128" t="e" cm="1">
        <f t="array" aca="1" ref="AB53" ca="1">Notmerged(AB24)</f>
        <v>#NAME?</v>
      </c>
      <c r="AC53" s="128" t="e" cm="1">
        <f t="array" aca="1" ref="AC53" ca="1">Notmerged(AC24)</f>
        <v>#NAME?</v>
      </c>
      <c r="AD53" s="128" t="e" cm="1">
        <f t="array" aca="1" ref="AD53" ca="1">Notmerged(AD24)</f>
        <v>#NAME?</v>
      </c>
      <c r="AE53" s="128" t="e" cm="1">
        <f t="array" aca="1" ref="AE53" ca="1">Notmerged(AE24)</f>
        <v>#NAME?</v>
      </c>
      <c r="AF53" s="128" t="e" cm="1">
        <f t="array" aca="1" ref="AF53" ca="1">Notmerged(AF24)</f>
        <v>#NAME?</v>
      </c>
      <c r="AG53" s="128" t="e" cm="1">
        <f t="array" aca="1" ref="AG53" ca="1">Notmerged(AG24)</f>
        <v>#NAME?</v>
      </c>
      <c r="AH53" s="128" t="e" cm="1">
        <f t="array" aca="1" ref="AH53" ca="1">Notmerged(AH24)</f>
        <v>#NAME?</v>
      </c>
      <c r="AI53" s="128" t="e" cm="1">
        <f t="array" aca="1" ref="AI53" ca="1">Notmerged(AI24)</f>
        <v>#NAME?</v>
      </c>
      <c r="AJ53" s="128" t="e" cm="1">
        <f t="array" aca="1" ref="AJ53" ca="1">Notmerged(AJ24)</f>
        <v>#NAME?</v>
      </c>
      <c r="AK53" s="128" t="e" cm="1">
        <f t="array" aca="1" ref="AK53" ca="1">Notmerged(AK24)</f>
        <v>#NAME?</v>
      </c>
      <c r="AL53" s="128" t="e" cm="1">
        <f t="array" aca="1" ref="AL53" ca="1">Notmerged(AL24)</f>
        <v>#NAME?</v>
      </c>
      <c r="AM53" s="128" t="e" cm="1">
        <f t="array" aca="1" ref="AM53" ca="1">Notmerged(AM24)</f>
        <v>#NAME?</v>
      </c>
      <c r="AN53" s="128" t="e" cm="1">
        <f t="array" aca="1" ref="AN53" ca="1">Notmerged(AN24)</f>
        <v>#NAME?</v>
      </c>
      <c r="AO53" s="128" t="e" cm="1">
        <f t="array" aca="1" ref="AO53" ca="1">Notmerged(AO24)</f>
        <v>#NAME?</v>
      </c>
      <c r="AP53" s="128" t="e" cm="1">
        <f t="array" aca="1" ref="AP53" ca="1">Notmerged(AP24)</f>
        <v>#NAME?</v>
      </c>
      <c r="AQ53" s="128" t="e" cm="1">
        <f t="array" aca="1" ref="AQ53" ca="1">Notmerged(AQ24)</f>
        <v>#NAME?</v>
      </c>
      <c r="AR53" s="128" t="e" cm="1">
        <f t="array" aca="1" ref="AR53" ca="1">Notmerged(AR24)</f>
        <v>#NAME?</v>
      </c>
      <c r="AS53" s="128" t="e" cm="1">
        <f t="array" aca="1" ref="AS53" ca="1">Notmerged(AS24)</f>
        <v>#NAME?</v>
      </c>
      <c r="AT53" s="128" t="e" cm="1">
        <f t="array" aca="1" ref="AT53" ca="1">Notmerged(AT24)</f>
        <v>#NAME?</v>
      </c>
      <c r="AU53" s="128" t="e" cm="1">
        <f t="array" aca="1" ref="AU53" ca="1">Notmerged(AU24)</f>
        <v>#NAME?</v>
      </c>
      <c r="AV53" s="128" t="e" cm="1">
        <f t="array" aca="1" ref="AV53" ca="1">Notmerged(AV24)</f>
        <v>#NAME?</v>
      </c>
      <c r="AW53" s="128" t="e" cm="1">
        <f t="array" aca="1" ref="AW53" ca="1">Notmerged(AW24)</f>
        <v>#NAME?</v>
      </c>
      <c r="AX53" s="128" t="e" cm="1">
        <f t="array" aca="1" ref="AX53" ca="1">Notmerged(AX24)</f>
        <v>#NAME?</v>
      </c>
      <c r="AY53" s="128" t="e" cm="1">
        <f t="array" aca="1" ref="AY53" ca="1">Notmerged(AY24)</f>
        <v>#NAME?</v>
      </c>
      <c r="AZ53" s="128" t="e" cm="1">
        <f t="array" aca="1" ref="AZ53" ca="1">Notmerged(AZ24)</f>
        <v>#NAME?</v>
      </c>
      <c r="BA53" s="128" t="e" cm="1">
        <f t="array" aca="1" ref="BA53" ca="1">Notmerged(BA24)</f>
        <v>#NAME?</v>
      </c>
      <c r="BB53" s="128" t="e" cm="1">
        <f t="array" aca="1" ref="BB53" ca="1">Notmerged(BB24)</f>
        <v>#NAME?</v>
      </c>
      <c r="BC53" s="128" t="e" cm="1">
        <f t="array" aca="1" ref="BC53" ca="1">Notmerged(BC24)</f>
        <v>#NAME?</v>
      </c>
      <c r="BD53" s="128" t="e" cm="1">
        <f t="array" aca="1" ref="BD53" ca="1">Notmerged(BD24)</f>
        <v>#NAME?</v>
      </c>
      <c r="BE53" s="128" t="e" cm="1">
        <f t="array" aca="1" ref="BE53" ca="1">Notmerged(BE24)</f>
        <v>#NAME?</v>
      </c>
      <c r="BF53" s="128" t="e" cm="1">
        <f t="array" aca="1" ref="BF53" ca="1">Notmerged(BF24)</f>
        <v>#NAME?</v>
      </c>
      <c r="BG53" s="128" t="e" cm="1">
        <f t="array" aca="1" ref="BG53" ca="1">Notmerged(BG24)</f>
        <v>#NAME?</v>
      </c>
      <c r="BH53" s="128" t="e" cm="1">
        <f t="array" aca="1" ref="BH53" ca="1">Notmerged(BH24)</f>
        <v>#NAME?</v>
      </c>
      <c r="BI53" s="128" t="e" cm="1">
        <f t="array" aca="1" ref="BI53" ca="1">Notmerged(BI24)</f>
        <v>#NAME?</v>
      </c>
      <c r="BJ53" s="128" t="e" cm="1">
        <f t="array" aca="1" ref="BJ53" ca="1">Notmerged(BJ24)</f>
        <v>#NAME?</v>
      </c>
      <c r="BK53" s="128" t="e" cm="1">
        <f t="array" aca="1" ref="BK53" ca="1">Notmerged(BK24)</f>
        <v>#NAME?</v>
      </c>
    </row>
    <row r="54" spans="2:63" x14ac:dyDescent="0.3">
      <c r="B54" s="128" t="e" cm="1">
        <f t="array" aca="1" ref="B54" ca="1">Notmerged(#REF!)</f>
        <v>#NAME?</v>
      </c>
      <c r="C54" s="128" t="e" cm="1">
        <f t="array" aca="1" ref="C54" ca="1">Notmerged(C25)</f>
        <v>#NAME?</v>
      </c>
      <c r="D54" s="128" t="e" cm="1">
        <f t="array" aca="1" ref="D54" ca="1">Notmerged(D25)</f>
        <v>#NAME?</v>
      </c>
      <c r="E54" s="128" t="e" cm="1">
        <f t="array" aca="1" ref="E54" ca="1">Notmerged(E25)</f>
        <v>#NAME?</v>
      </c>
      <c r="F54" s="128" t="e" cm="1">
        <f t="array" aca="1" ref="F54" ca="1">Notmerged(F25)</f>
        <v>#NAME?</v>
      </c>
      <c r="G54" s="128" t="e" cm="1">
        <f t="array" aca="1" ref="G54" ca="1">Notmerged(G25)</f>
        <v>#NAME?</v>
      </c>
      <c r="H54" s="128" t="e" cm="1">
        <f t="array" aca="1" ref="H54" ca="1">Notmerged(H25)</f>
        <v>#NAME?</v>
      </c>
      <c r="I54" s="128" t="e" cm="1">
        <f t="array" aca="1" ref="I54" ca="1">Notmerged(I25)</f>
        <v>#NAME?</v>
      </c>
      <c r="J54" s="128" t="e" cm="1">
        <f t="array" aca="1" ref="J54" ca="1">Notmerged(J25)</f>
        <v>#NAME?</v>
      </c>
      <c r="K54" s="128" t="e" cm="1">
        <f t="array" aca="1" ref="K54" ca="1">Notmerged(K25)</f>
        <v>#NAME?</v>
      </c>
      <c r="L54" s="128" t="e" cm="1">
        <f t="array" aca="1" ref="L54" ca="1">Notmerged(L25)</f>
        <v>#NAME?</v>
      </c>
      <c r="M54" s="128" t="e" cm="1">
        <f t="array" aca="1" ref="M54" ca="1">Notmerged(M25)</f>
        <v>#NAME?</v>
      </c>
      <c r="N54" s="128" t="e" cm="1">
        <f t="array" aca="1" ref="N54" ca="1">Notmerged(N25)</f>
        <v>#NAME?</v>
      </c>
      <c r="O54" s="128" t="e" cm="1">
        <f t="array" aca="1" ref="O54" ca="1">Notmerged(O25)</f>
        <v>#NAME?</v>
      </c>
      <c r="P54" s="128" t="e" cm="1">
        <f t="array" aca="1" ref="P54" ca="1">Notmerged(P25)</f>
        <v>#NAME?</v>
      </c>
      <c r="Q54" s="128" t="e" cm="1">
        <f t="array" aca="1" ref="Q54" ca="1">Notmerged(Q25)</f>
        <v>#NAME?</v>
      </c>
      <c r="R54" s="128" t="e" cm="1">
        <f t="array" aca="1" ref="R54" ca="1">Notmerged(R25)</f>
        <v>#NAME?</v>
      </c>
      <c r="S54" s="128" t="e" cm="1">
        <f t="array" aca="1" ref="S54" ca="1">Notmerged(S25)</f>
        <v>#NAME?</v>
      </c>
      <c r="T54" s="128" t="e" cm="1">
        <f t="array" aca="1" ref="T54" ca="1">Notmerged(T25)</f>
        <v>#NAME?</v>
      </c>
      <c r="U54" s="128" t="e" cm="1">
        <f t="array" aca="1" ref="U54" ca="1">Notmerged(U25)</f>
        <v>#NAME?</v>
      </c>
      <c r="V54" s="128" t="e" cm="1">
        <f t="array" aca="1" ref="V54" ca="1">Notmerged(V25)</f>
        <v>#NAME?</v>
      </c>
      <c r="W54" s="128" t="e" cm="1">
        <f t="array" aca="1" ref="W54" ca="1">Notmerged(W25)</f>
        <v>#NAME?</v>
      </c>
      <c r="X54" s="128" t="e" cm="1">
        <f t="array" aca="1" ref="X54" ca="1">Notmerged(X25)</f>
        <v>#NAME?</v>
      </c>
      <c r="Y54" s="128" t="e" cm="1">
        <f t="array" aca="1" ref="Y54" ca="1">Notmerged(Y25)</f>
        <v>#NAME?</v>
      </c>
      <c r="Z54" s="128" t="e" cm="1">
        <f t="array" aca="1" ref="Z54" ca="1">Notmerged(Z25)</f>
        <v>#NAME?</v>
      </c>
      <c r="AA54" s="128" t="e" cm="1">
        <f t="array" aca="1" ref="AA54" ca="1">Notmerged(AA25)</f>
        <v>#NAME?</v>
      </c>
      <c r="AB54" s="128" t="e" cm="1">
        <f t="array" aca="1" ref="AB54" ca="1">Notmerged(AB25)</f>
        <v>#NAME?</v>
      </c>
      <c r="AC54" s="128" t="e" cm="1">
        <f t="array" aca="1" ref="AC54" ca="1">Notmerged(AC25)</f>
        <v>#NAME?</v>
      </c>
      <c r="AD54" s="128" t="e" cm="1">
        <f t="array" aca="1" ref="AD54" ca="1">Notmerged(AD25)</f>
        <v>#NAME?</v>
      </c>
      <c r="AE54" s="128" t="e" cm="1">
        <f t="array" aca="1" ref="AE54" ca="1">Notmerged(AE25)</f>
        <v>#NAME?</v>
      </c>
      <c r="AF54" s="128" t="e" cm="1">
        <f t="array" aca="1" ref="AF54" ca="1">Notmerged(AF25)</f>
        <v>#NAME?</v>
      </c>
      <c r="AG54" s="128" t="e" cm="1">
        <f t="array" aca="1" ref="AG54" ca="1">Notmerged(AG25)</f>
        <v>#NAME?</v>
      </c>
      <c r="AH54" s="128" t="e" cm="1">
        <f t="array" aca="1" ref="AH54" ca="1">Notmerged(AH25)</f>
        <v>#NAME?</v>
      </c>
      <c r="AI54" s="128" t="e" cm="1">
        <f t="array" aca="1" ref="AI54" ca="1">Notmerged(AI25)</f>
        <v>#NAME?</v>
      </c>
      <c r="AJ54" s="128" t="e" cm="1">
        <f t="array" aca="1" ref="AJ54" ca="1">Notmerged(AJ25)</f>
        <v>#NAME?</v>
      </c>
      <c r="AK54" s="128" t="e" cm="1">
        <f t="array" aca="1" ref="AK54" ca="1">Notmerged(AK25)</f>
        <v>#NAME?</v>
      </c>
      <c r="AL54" s="128" t="e" cm="1">
        <f t="array" aca="1" ref="AL54" ca="1">Notmerged(AL25)</f>
        <v>#NAME?</v>
      </c>
      <c r="AM54" s="128" t="e" cm="1">
        <f t="array" aca="1" ref="AM54" ca="1">Notmerged(AM25)</f>
        <v>#NAME?</v>
      </c>
      <c r="AN54" s="128" t="e" cm="1">
        <f t="array" aca="1" ref="AN54" ca="1">Notmerged(AN25)</f>
        <v>#NAME?</v>
      </c>
      <c r="AO54" s="128" t="e" cm="1">
        <f t="array" aca="1" ref="AO54" ca="1">Notmerged(AO25)</f>
        <v>#NAME?</v>
      </c>
      <c r="AP54" s="128" t="e" cm="1">
        <f t="array" aca="1" ref="AP54" ca="1">Notmerged(AP25)</f>
        <v>#NAME?</v>
      </c>
      <c r="AQ54" s="128" t="e" cm="1">
        <f t="array" aca="1" ref="AQ54" ca="1">Notmerged(AQ25)</f>
        <v>#NAME?</v>
      </c>
      <c r="AR54" s="128" t="e" cm="1">
        <f t="array" aca="1" ref="AR54" ca="1">Notmerged(AR25)</f>
        <v>#NAME?</v>
      </c>
      <c r="AS54" s="128" t="e" cm="1">
        <f t="array" aca="1" ref="AS54" ca="1">Notmerged(AS25)</f>
        <v>#NAME?</v>
      </c>
      <c r="AT54" s="128" t="e" cm="1">
        <f t="array" aca="1" ref="AT54" ca="1">Notmerged(AT25)</f>
        <v>#NAME?</v>
      </c>
      <c r="AU54" s="128" t="e" cm="1">
        <f t="array" aca="1" ref="AU54" ca="1">Notmerged(AU25)</f>
        <v>#NAME?</v>
      </c>
      <c r="AV54" s="128" t="e" cm="1">
        <f t="array" aca="1" ref="AV54" ca="1">Notmerged(AV25)</f>
        <v>#NAME?</v>
      </c>
      <c r="AW54" s="128" t="e" cm="1">
        <f t="array" aca="1" ref="AW54" ca="1">Notmerged(AW25)</f>
        <v>#NAME?</v>
      </c>
      <c r="AX54" s="128" t="e" cm="1">
        <f t="array" aca="1" ref="AX54" ca="1">Notmerged(AX25)</f>
        <v>#NAME?</v>
      </c>
      <c r="AY54" s="128" t="e" cm="1">
        <f t="array" aca="1" ref="AY54" ca="1">Notmerged(AY25)</f>
        <v>#NAME?</v>
      </c>
      <c r="AZ54" s="128" t="e" cm="1">
        <f t="array" aca="1" ref="AZ54" ca="1">Notmerged(AZ25)</f>
        <v>#NAME?</v>
      </c>
      <c r="BA54" s="128" t="e" cm="1">
        <f t="array" aca="1" ref="BA54" ca="1">Notmerged(BA25)</f>
        <v>#NAME?</v>
      </c>
      <c r="BB54" s="128" t="e" cm="1">
        <f t="array" aca="1" ref="BB54" ca="1">Notmerged(BB25)</f>
        <v>#NAME?</v>
      </c>
      <c r="BC54" s="128" t="e" cm="1">
        <f t="array" aca="1" ref="BC54" ca="1">Notmerged(BC25)</f>
        <v>#NAME?</v>
      </c>
      <c r="BD54" s="128" t="e" cm="1">
        <f t="array" aca="1" ref="BD54" ca="1">Notmerged(BD25)</f>
        <v>#NAME?</v>
      </c>
      <c r="BE54" s="128" t="e" cm="1">
        <f t="array" aca="1" ref="BE54" ca="1">Notmerged(BE25)</f>
        <v>#NAME?</v>
      </c>
      <c r="BF54" s="128" t="e" cm="1">
        <f t="array" aca="1" ref="BF54" ca="1">Notmerged(BF25)</f>
        <v>#NAME?</v>
      </c>
      <c r="BG54" s="128" t="e" cm="1">
        <f t="array" aca="1" ref="BG54" ca="1">Notmerged(BG25)</f>
        <v>#NAME?</v>
      </c>
      <c r="BH54" s="128" t="e" cm="1">
        <f t="array" aca="1" ref="BH54" ca="1">Notmerged(BH25)</f>
        <v>#NAME?</v>
      </c>
      <c r="BI54" s="128" t="e" cm="1">
        <f t="array" aca="1" ref="BI54" ca="1">Notmerged(BI25)</f>
        <v>#NAME?</v>
      </c>
      <c r="BJ54" s="128" t="e" cm="1">
        <f t="array" aca="1" ref="BJ54" ca="1">Notmerged(BJ25)</f>
        <v>#NAME?</v>
      </c>
      <c r="BK54" s="128" t="e" cm="1">
        <f t="array" aca="1" ref="BK54" ca="1">Notmerged(BK25)</f>
        <v>#NAME?</v>
      </c>
    </row>
    <row r="55" spans="2:63" x14ac:dyDescent="0.3">
      <c r="B55" s="128" t="e" cm="1">
        <f t="array" aca="1" ref="B55" ca="1">Notmerged(B26)</f>
        <v>#NAME?</v>
      </c>
      <c r="C55" s="128" t="e" cm="1">
        <f t="array" aca="1" ref="C55" ca="1">Notmerged(C26)</f>
        <v>#NAME?</v>
      </c>
      <c r="D55" s="128" t="e" cm="1">
        <f t="array" aca="1" ref="D55" ca="1">Notmerged(D26)</f>
        <v>#NAME?</v>
      </c>
      <c r="E55" s="128" t="e" cm="1">
        <f t="array" aca="1" ref="E55" ca="1">Notmerged(E26)</f>
        <v>#NAME?</v>
      </c>
      <c r="F55" s="128" t="e" cm="1">
        <f t="array" aca="1" ref="F55" ca="1">Notmerged(F26)</f>
        <v>#NAME?</v>
      </c>
      <c r="G55" s="128" t="e" cm="1">
        <f t="array" aca="1" ref="G55" ca="1">Notmerged(G26)</f>
        <v>#NAME?</v>
      </c>
      <c r="H55" s="128" t="e" cm="1">
        <f t="array" aca="1" ref="H55" ca="1">Notmerged(H26)</f>
        <v>#NAME?</v>
      </c>
      <c r="I55" s="128" t="e" cm="1">
        <f t="array" aca="1" ref="I55" ca="1">Notmerged(I26)</f>
        <v>#NAME?</v>
      </c>
      <c r="J55" s="128" t="e" cm="1">
        <f t="array" aca="1" ref="J55" ca="1">Notmerged(J26)</f>
        <v>#NAME?</v>
      </c>
      <c r="K55" s="128" t="e" cm="1">
        <f t="array" aca="1" ref="K55" ca="1">Notmerged(K26)</f>
        <v>#NAME?</v>
      </c>
      <c r="L55" s="128" t="e" cm="1">
        <f t="array" aca="1" ref="L55" ca="1">Notmerged(L26)</f>
        <v>#NAME?</v>
      </c>
      <c r="M55" s="128" t="e" cm="1">
        <f t="array" aca="1" ref="M55" ca="1">Notmerged(M26)</f>
        <v>#NAME?</v>
      </c>
      <c r="N55" s="128" t="e" cm="1">
        <f t="array" aca="1" ref="N55" ca="1">Notmerged(N26)</f>
        <v>#NAME?</v>
      </c>
      <c r="O55" s="128" t="e" cm="1">
        <f t="array" aca="1" ref="O55" ca="1">Notmerged(O26)</f>
        <v>#NAME?</v>
      </c>
      <c r="P55" s="128" t="e" cm="1">
        <f t="array" aca="1" ref="P55" ca="1">Notmerged(P26)</f>
        <v>#NAME?</v>
      </c>
      <c r="Q55" s="128" t="e" cm="1">
        <f t="array" aca="1" ref="Q55" ca="1">Notmerged(Q26)</f>
        <v>#NAME?</v>
      </c>
      <c r="R55" s="128" t="e" cm="1">
        <f t="array" aca="1" ref="R55" ca="1">Notmerged(R26)</f>
        <v>#NAME?</v>
      </c>
      <c r="S55" s="128" t="e" cm="1">
        <f t="array" aca="1" ref="S55" ca="1">Notmerged(S26)</f>
        <v>#NAME?</v>
      </c>
      <c r="T55" s="128" t="e" cm="1">
        <f t="array" aca="1" ref="T55" ca="1">Notmerged(T26)</f>
        <v>#NAME?</v>
      </c>
      <c r="U55" s="128" t="e" cm="1">
        <f t="array" aca="1" ref="U55" ca="1">Notmerged(U26)</f>
        <v>#NAME?</v>
      </c>
      <c r="V55" s="128" t="e" cm="1">
        <f t="array" aca="1" ref="V55" ca="1">Notmerged(V26)</f>
        <v>#NAME?</v>
      </c>
      <c r="W55" s="128" t="e" cm="1">
        <f t="array" aca="1" ref="W55" ca="1">Notmerged(W26)</f>
        <v>#NAME?</v>
      </c>
      <c r="X55" s="128" t="e" cm="1">
        <f t="array" aca="1" ref="X55" ca="1">Notmerged(X26)</f>
        <v>#NAME?</v>
      </c>
      <c r="Y55" s="128" t="e" cm="1">
        <f t="array" aca="1" ref="Y55" ca="1">Notmerged(Y26)</f>
        <v>#NAME?</v>
      </c>
      <c r="Z55" s="128" t="e" cm="1">
        <f t="array" aca="1" ref="Z55" ca="1">Notmerged(Z26)</f>
        <v>#NAME?</v>
      </c>
      <c r="AA55" s="128" t="e" cm="1">
        <f t="array" aca="1" ref="AA55" ca="1">Notmerged(AA26)</f>
        <v>#NAME?</v>
      </c>
      <c r="AB55" s="128" t="e" cm="1">
        <f t="array" aca="1" ref="AB55" ca="1">Notmerged(AB26)</f>
        <v>#NAME?</v>
      </c>
      <c r="AC55" s="128" t="e" cm="1">
        <f t="array" aca="1" ref="AC55" ca="1">Notmerged(AC26)</f>
        <v>#NAME?</v>
      </c>
      <c r="AD55" s="128" t="e" cm="1">
        <f t="array" aca="1" ref="AD55" ca="1">Notmerged(AD26)</f>
        <v>#NAME?</v>
      </c>
      <c r="AE55" s="128" t="e" cm="1">
        <f t="array" aca="1" ref="AE55" ca="1">Notmerged(AE26)</f>
        <v>#NAME?</v>
      </c>
      <c r="AF55" s="128" t="e" cm="1">
        <f t="array" aca="1" ref="AF55" ca="1">Notmerged(AF26)</f>
        <v>#NAME?</v>
      </c>
      <c r="AG55" s="128" t="e" cm="1">
        <f t="array" aca="1" ref="AG55" ca="1">Notmerged(AG26)</f>
        <v>#NAME?</v>
      </c>
      <c r="AH55" s="128" t="e" cm="1">
        <f t="array" aca="1" ref="AH55" ca="1">Notmerged(AH26)</f>
        <v>#NAME?</v>
      </c>
      <c r="AI55" s="128" t="e" cm="1">
        <f t="array" aca="1" ref="AI55" ca="1">Notmerged(AI26)</f>
        <v>#NAME?</v>
      </c>
      <c r="AJ55" s="128" t="e" cm="1">
        <f t="array" aca="1" ref="AJ55" ca="1">Notmerged(AJ26)</f>
        <v>#NAME?</v>
      </c>
      <c r="AK55" s="128" t="e" cm="1">
        <f t="array" aca="1" ref="AK55" ca="1">Notmerged(AK26)</f>
        <v>#NAME?</v>
      </c>
      <c r="AL55" s="128" t="e" cm="1">
        <f t="array" aca="1" ref="AL55" ca="1">Notmerged(AL26)</f>
        <v>#NAME?</v>
      </c>
      <c r="AM55" s="128" t="e" cm="1">
        <f t="array" aca="1" ref="AM55" ca="1">Notmerged(AM26)</f>
        <v>#NAME?</v>
      </c>
      <c r="AN55" s="128" t="e" cm="1">
        <f t="array" aca="1" ref="AN55" ca="1">Notmerged(AN26)</f>
        <v>#NAME?</v>
      </c>
      <c r="AO55" s="128" t="e" cm="1">
        <f t="array" aca="1" ref="AO55" ca="1">Notmerged(AO26)</f>
        <v>#NAME?</v>
      </c>
      <c r="AP55" s="128" t="e" cm="1">
        <f t="array" aca="1" ref="AP55" ca="1">Notmerged(AP26)</f>
        <v>#NAME?</v>
      </c>
      <c r="AQ55" s="128" t="e" cm="1">
        <f t="array" aca="1" ref="AQ55" ca="1">Notmerged(AQ26)</f>
        <v>#NAME?</v>
      </c>
      <c r="AR55" s="128" t="e" cm="1">
        <f t="array" aca="1" ref="AR55" ca="1">Notmerged(AR26)</f>
        <v>#NAME?</v>
      </c>
      <c r="AS55" s="128" t="e" cm="1">
        <f t="array" aca="1" ref="AS55" ca="1">Notmerged(AS26)</f>
        <v>#NAME?</v>
      </c>
      <c r="AT55" s="128" t="e" cm="1">
        <f t="array" aca="1" ref="AT55" ca="1">Notmerged(AT26)</f>
        <v>#NAME?</v>
      </c>
      <c r="AU55" s="128" t="e" cm="1">
        <f t="array" aca="1" ref="AU55" ca="1">Notmerged(AU26)</f>
        <v>#NAME?</v>
      </c>
      <c r="AV55" s="128" t="e" cm="1">
        <f t="array" aca="1" ref="AV55" ca="1">Notmerged(AV26)</f>
        <v>#NAME?</v>
      </c>
      <c r="AW55" s="128" t="e" cm="1">
        <f t="array" aca="1" ref="AW55" ca="1">Notmerged(AW26)</f>
        <v>#NAME?</v>
      </c>
      <c r="AX55" s="128" t="e" cm="1">
        <f t="array" aca="1" ref="AX55" ca="1">Notmerged(AX26)</f>
        <v>#NAME?</v>
      </c>
      <c r="AY55" s="128" t="e" cm="1">
        <f t="array" aca="1" ref="AY55" ca="1">Notmerged(AY26)</f>
        <v>#NAME?</v>
      </c>
      <c r="AZ55" s="128" t="e" cm="1">
        <f t="array" aca="1" ref="AZ55" ca="1">Notmerged(AZ26)</f>
        <v>#NAME?</v>
      </c>
      <c r="BA55" s="128" t="e" cm="1">
        <f t="array" aca="1" ref="BA55" ca="1">Notmerged(BA26)</f>
        <v>#NAME?</v>
      </c>
      <c r="BB55" s="128" t="e" cm="1">
        <f t="array" aca="1" ref="BB55" ca="1">Notmerged(BB26)</f>
        <v>#NAME?</v>
      </c>
      <c r="BC55" s="128" t="e" cm="1">
        <f t="array" aca="1" ref="BC55" ca="1">Notmerged(BC26)</f>
        <v>#NAME?</v>
      </c>
      <c r="BD55" s="128" t="e" cm="1">
        <f t="array" aca="1" ref="BD55" ca="1">Notmerged(BD26)</f>
        <v>#NAME?</v>
      </c>
      <c r="BE55" s="128" t="e" cm="1">
        <f t="array" aca="1" ref="BE55" ca="1">Notmerged(BE26)</f>
        <v>#NAME?</v>
      </c>
      <c r="BF55" s="128" t="e" cm="1">
        <f t="array" aca="1" ref="BF55" ca="1">Notmerged(BF26)</f>
        <v>#NAME?</v>
      </c>
      <c r="BG55" s="128" t="e" cm="1">
        <f t="array" aca="1" ref="BG55" ca="1">Notmerged(BG26)</f>
        <v>#NAME?</v>
      </c>
      <c r="BH55" s="128" t="e" cm="1">
        <f t="array" aca="1" ref="BH55" ca="1">Notmerged(BH26)</f>
        <v>#NAME?</v>
      </c>
      <c r="BI55" s="128" t="e" cm="1">
        <f t="array" aca="1" ref="BI55" ca="1">Notmerged(BI26)</f>
        <v>#NAME?</v>
      </c>
      <c r="BJ55" s="128" t="e" cm="1">
        <f t="array" aca="1" ref="BJ55" ca="1">Notmerged(BJ26)</f>
        <v>#NAME?</v>
      </c>
      <c r="BK55" s="128" t="e" cm="1">
        <f t="array" aca="1" ref="BK55" ca="1">Notmerged(BK26)</f>
        <v>#NAME?</v>
      </c>
    </row>
    <row r="56" spans="2:63" x14ac:dyDescent="0.3">
      <c r="B56" s="128" t="e" cm="1">
        <f t="array" aca="1" ref="B56" ca="1">Notmerged(B25)</f>
        <v>#NAME?</v>
      </c>
      <c r="C56" s="128" t="e" cm="1">
        <f t="array" aca="1" ref="C56" ca="1">Notmerged(C27)</f>
        <v>#NAME?</v>
      </c>
      <c r="D56" s="128" t="e" cm="1">
        <f t="array" aca="1" ref="D56" ca="1">Notmerged(D27)</f>
        <v>#NAME?</v>
      </c>
      <c r="E56" s="128" t="e" cm="1">
        <f t="array" aca="1" ref="E56" ca="1">Notmerged(E27)</f>
        <v>#NAME?</v>
      </c>
      <c r="F56" s="128" t="e" cm="1">
        <f t="array" aca="1" ref="F56" ca="1">Notmerged(F27)</f>
        <v>#NAME?</v>
      </c>
      <c r="G56" s="128" t="e" cm="1">
        <f t="array" aca="1" ref="G56" ca="1">Notmerged(G27)</f>
        <v>#NAME?</v>
      </c>
      <c r="H56" s="128" t="e" cm="1">
        <f t="array" aca="1" ref="H56" ca="1">Notmerged(H27)</f>
        <v>#NAME?</v>
      </c>
      <c r="I56" s="128" t="e" cm="1">
        <f t="array" aca="1" ref="I56" ca="1">Notmerged(I27)</f>
        <v>#NAME?</v>
      </c>
      <c r="J56" s="128" t="e" cm="1">
        <f t="array" aca="1" ref="J56" ca="1">Notmerged(J27)</f>
        <v>#NAME?</v>
      </c>
      <c r="K56" s="128" t="e" cm="1">
        <f t="array" aca="1" ref="K56" ca="1">Notmerged(K27)</f>
        <v>#NAME?</v>
      </c>
      <c r="L56" s="128" t="e" cm="1">
        <f t="array" aca="1" ref="L56" ca="1">Notmerged(L27)</f>
        <v>#NAME?</v>
      </c>
      <c r="M56" s="128" t="e" cm="1">
        <f t="array" aca="1" ref="M56" ca="1">Notmerged(M27)</f>
        <v>#NAME?</v>
      </c>
      <c r="N56" s="128" t="e" cm="1">
        <f t="array" aca="1" ref="N56" ca="1">Notmerged(N27)</f>
        <v>#NAME?</v>
      </c>
      <c r="O56" s="128" t="e" cm="1">
        <f t="array" aca="1" ref="O56" ca="1">Notmerged(O27)</f>
        <v>#NAME?</v>
      </c>
      <c r="P56" s="128" t="e" cm="1">
        <f t="array" aca="1" ref="P56" ca="1">Notmerged(P27)</f>
        <v>#NAME?</v>
      </c>
      <c r="Q56" s="128" t="e" cm="1">
        <f t="array" aca="1" ref="Q56" ca="1">Notmerged(Q27)</f>
        <v>#NAME?</v>
      </c>
      <c r="R56" s="128" t="e" cm="1">
        <f t="array" aca="1" ref="R56" ca="1">Notmerged(R27)</f>
        <v>#NAME?</v>
      </c>
      <c r="S56" s="128" t="e" cm="1">
        <f t="array" aca="1" ref="S56" ca="1">Notmerged(S27)</f>
        <v>#NAME?</v>
      </c>
      <c r="T56" s="128" t="e" cm="1">
        <f t="array" aca="1" ref="T56" ca="1">Notmerged(T27)</f>
        <v>#NAME?</v>
      </c>
      <c r="U56" s="128" t="e" cm="1">
        <f t="array" aca="1" ref="U56" ca="1">Notmerged(U27)</f>
        <v>#NAME?</v>
      </c>
      <c r="V56" s="128" t="e" cm="1">
        <f t="array" aca="1" ref="V56" ca="1">Notmerged(V27)</f>
        <v>#NAME?</v>
      </c>
      <c r="W56" s="128" t="e" cm="1">
        <f t="array" aca="1" ref="W56" ca="1">Notmerged(W27)</f>
        <v>#NAME?</v>
      </c>
      <c r="X56" s="128" t="e" cm="1">
        <f t="array" aca="1" ref="X56" ca="1">Notmerged(X27)</f>
        <v>#NAME?</v>
      </c>
      <c r="Y56" s="128" t="e" cm="1">
        <f t="array" aca="1" ref="Y56" ca="1">Notmerged(Y27)</f>
        <v>#NAME?</v>
      </c>
      <c r="Z56" s="128" t="e" cm="1">
        <f t="array" aca="1" ref="Z56" ca="1">Notmerged(Z27)</f>
        <v>#NAME?</v>
      </c>
      <c r="AA56" s="128" t="e" cm="1">
        <f t="array" aca="1" ref="AA56" ca="1">Notmerged(AA27)</f>
        <v>#NAME?</v>
      </c>
      <c r="AB56" s="128" t="e" cm="1">
        <f t="array" aca="1" ref="AB56" ca="1">Notmerged(AB27)</f>
        <v>#NAME?</v>
      </c>
      <c r="AC56" s="128" t="e" cm="1">
        <f t="array" aca="1" ref="AC56" ca="1">Notmerged(AC27)</f>
        <v>#NAME?</v>
      </c>
      <c r="AD56" s="128" t="e" cm="1">
        <f t="array" aca="1" ref="AD56" ca="1">Notmerged(AD27)</f>
        <v>#NAME?</v>
      </c>
      <c r="AE56" s="128" t="e" cm="1">
        <f t="array" aca="1" ref="AE56" ca="1">Notmerged(AE27)</f>
        <v>#NAME?</v>
      </c>
      <c r="AF56" s="128" t="e" cm="1">
        <f t="array" aca="1" ref="AF56" ca="1">Notmerged(AF27)</f>
        <v>#NAME?</v>
      </c>
      <c r="AG56" s="128" t="e" cm="1">
        <f t="array" aca="1" ref="AG56" ca="1">Notmerged(AG27)</f>
        <v>#NAME?</v>
      </c>
      <c r="AH56" s="128" t="e" cm="1">
        <f t="array" aca="1" ref="AH56" ca="1">Notmerged(AH27)</f>
        <v>#NAME?</v>
      </c>
      <c r="AI56" s="128" t="e" cm="1">
        <f t="array" aca="1" ref="AI56" ca="1">Notmerged(AI27)</f>
        <v>#NAME?</v>
      </c>
      <c r="AJ56" s="128" t="e" cm="1">
        <f t="array" aca="1" ref="AJ56" ca="1">Notmerged(AJ27)</f>
        <v>#NAME?</v>
      </c>
      <c r="AK56" s="128" t="e" cm="1">
        <f t="array" aca="1" ref="AK56" ca="1">Notmerged(AK27)</f>
        <v>#NAME?</v>
      </c>
      <c r="AL56" s="128" t="e" cm="1">
        <f t="array" aca="1" ref="AL56" ca="1">Notmerged(AL27)</f>
        <v>#NAME?</v>
      </c>
      <c r="AM56" s="128" t="e" cm="1">
        <f t="array" aca="1" ref="AM56" ca="1">Notmerged(AM27)</f>
        <v>#NAME?</v>
      </c>
      <c r="AN56" s="128" t="e" cm="1">
        <f t="array" aca="1" ref="AN56" ca="1">Notmerged(AN27)</f>
        <v>#NAME?</v>
      </c>
      <c r="AO56" s="128" t="e" cm="1">
        <f t="array" aca="1" ref="AO56" ca="1">Notmerged(AO27)</f>
        <v>#NAME?</v>
      </c>
      <c r="AP56" s="128" t="e" cm="1">
        <f t="array" aca="1" ref="AP56" ca="1">Notmerged(AP27)</f>
        <v>#NAME?</v>
      </c>
      <c r="AQ56" s="128" t="e" cm="1">
        <f t="array" aca="1" ref="AQ56" ca="1">Notmerged(AQ27)</f>
        <v>#NAME?</v>
      </c>
      <c r="AR56" s="128" t="e" cm="1">
        <f t="array" aca="1" ref="AR56" ca="1">Notmerged(AR27)</f>
        <v>#NAME?</v>
      </c>
      <c r="AS56" s="128" t="e" cm="1">
        <f t="array" aca="1" ref="AS56" ca="1">Notmerged(AS27)</f>
        <v>#NAME?</v>
      </c>
      <c r="AT56" s="128" t="e" cm="1">
        <f t="array" aca="1" ref="AT56" ca="1">Notmerged(AT27)</f>
        <v>#NAME?</v>
      </c>
      <c r="AU56" s="128" t="e" cm="1">
        <f t="array" aca="1" ref="AU56" ca="1">Notmerged(AU27)</f>
        <v>#NAME?</v>
      </c>
      <c r="AV56" s="128" t="e" cm="1">
        <f t="array" aca="1" ref="AV56" ca="1">Notmerged(AV27)</f>
        <v>#NAME?</v>
      </c>
      <c r="AW56" s="128" t="e" cm="1">
        <f t="array" aca="1" ref="AW56" ca="1">Notmerged(AW27)</f>
        <v>#NAME?</v>
      </c>
      <c r="AX56" s="128" t="e" cm="1">
        <f t="array" aca="1" ref="AX56" ca="1">Notmerged(AX27)</f>
        <v>#NAME?</v>
      </c>
      <c r="AY56" s="128" t="e" cm="1">
        <f t="array" aca="1" ref="AY56" ca="1">Notmerged(AY27)</f>
        <v>#NAME?</v>
      </c>
      <c r="AZ56" s="128" t="e" cm="1">
        <f t="array" aca="1" ref="AZ56" ca="1">Notmerged(AZ27)</f>
        <v>#NAME?</v>
      </c>
      <c r="BA56" s="128" t="e" cm="1">
        <f t="array" aca="1" ref="BA56" ca="1">Notmerged(BA27)</f>
        <v>#NAME?</v>
      </c>
      <c r="BB56" s="128" t="e" cm="1">
        <f t="array" aca="1" ref="BB56" ca="1">Notmerged(BB27)</f>
        <v>#NAME?</v>
      </c>
      <c r="BC56" s="128" t="e" cm="1">
        <f t="array" aca="1" ref="BC56" ca="1">Notmerged(BC27)</f>
        <v>#NAME?</v>
      </c>
      <c r="BD56" s="128" t="e" cm="1">
        <f t="array" aca="1" ref="BD56" ca="1">Notmerged(BD27)</f>
        <v>#NAME?</v>
      </c>
      <c r="BE56" s="128" t="e" cm="1">
        <f t="array" aca="1" ref="BE56" ca="1">Notmerged(BE27)</f>
        <v>#NAME?</v>
      </c>
      <c r="BF56" s="128" t="e" cm="1">
        <f t="array" aca="1" ref="BF56" ca="1">Notmerged(BF27)</f>
        <v>#NAME?</v>
      </c>
      <c r="BG56" s="128" t="e" cm="1">
        <f t="array" aca="1" ref="BG56" ca="1">Notmerged(BG27)</f>
        <v>#NAME?</v>
      </c>
      <c r="BH56" s="128" t="e" cm="1">
        <f t="array" aca="1" ref="BH56" ca="1">Notmerged(BH27)</f>
        <v>#NAME?</v>
      </c>
      <c r="BI56" s="128" t="e" cm="1">
        <f t="array" aca="1" ref="BI56" ca="1">Notmerged(BI27)</f>
        <v>#NAME?</v>
      </c>
      <c r="BJ56" s="128" t="e" cm="1">
        <f t="array" aca="1" ref="BJ56" ca="1">Notmerged(BJ27)</f>
        <v>#NAME?</v>
      </c>
      <c r="BK56" s="128" t="e" cm="1">
        <f t="array" aca="1" ref="BK56" ca="1">Notmerged(BK27)</f>
        <v>#NAME?</v>
      </c>
    </row>
    <row r="57" spans="2:63" x14ac:dyDescent="0.3">
      <c r="B57" s="128" t="e" cm="1">
        <f t="array" aca="1" ref="B57" ca="1">Notmerged(B28)</f>
        <v>#NAME?</v>
      </c>
      <c r="C57" s="128" t="e" cm="1">
        <f t="array" aca="1" ref="C57" ca="1">Notmerged(C28)</f>
        <v>#NAME?</v>
      </c>
      <c r="D57" s="128" t="e" cm="1">
        <f t="array" aca="1" ref="D57" ca="1">Notmerged(D28)</f>
        <v>#NAME?</v>
      </c>
      <c r="E57" s="128" t="e" cm="1">
        <f t="array" aca="1" ref="E57" ca="1">Notmerged(E28)</f>
        <v>#NAME?</v>
      </c>
      <c r="F57" s="128" t="e" cm="1">
        <f t="array" aca="1" ref="F57" ca="1">Notmerged(F28)</f>
        <v>#NAME?</v>
      </c>
      <c r="G57" s="128" t="e" cm="1">
        <f t="array" aca="1" ref="G57" ca="1">Notmerged(G28)</f>
        <v>#NAME?</v>
      </c>
      <c r="H57" s="128" t="e" cm="1">
        <f t="array" aca="1" ref="H57" ca="1">Notmerged(H28)</f>
        <v>#NAME?</v>
      </c>
      <c r="I57" s="128" t="e" cm="1">
        <f t="array" aca="1" ref="I57" ca="1">Notmerged(I28)</f>
        <v>#NAME?</v>
      </c>
      <c r="J57" s="128" t="e" cm="1">
        <f t="array" aca="1" ref="J57" ca="1">Notmerged(J28)</f>
        <v>#NAME?</v>
      </c>
      <c r="K57" s="128" t="e" cm="1">
        <f t="array" aca="1" ref="K57" ca="1">Notmerged(K28)</f>
        <v>#NAME?</v>
      </c>
      <c r="L57" s="128" t="e" cm="1">
        <f t="array" aca="1" ref="L57" ca="1">Notmerged(L28)</f>
        <v>#NAME?</v>
      </c>
      <c r="M57" s="128" t="e" cm="1">
        <f t="array" aca="1" ref="M57" ca="1">Notmerged(M28)</f>
        <v>#NAME?</v>
      </c>
      <c r="N57" s="128" t="e" cm="1">
        <f t="array" aca="1" ref="N57" ca="1">Notmerged(N28)</f>
        <v>#NAME?</v>
      </c>
      <c r="O57" s="128" t="e" cm="1">
        <f t="array" aca="1" ref="O57" ca="1">Notmerged(O28)</f>
        <v>#NAME?</v>
      </c>
      <c r="P57" s="128" t="e" cm="1">
        <f t="array" aca="1" ref="P57" ca="1">Notmerged(P28)</f>
        <v>#NAME?</v>
      </c>
      <c r="Q57" s="128" t="e" cm="1">
        <f t="array" aca="1" ref="Q57" ca="1">Notmerged(Q28)</f>
        <v>#NAME?</v>
      </c>
      <c r="R57" s="128" t="e" cm="1">
        <f t="array" aca="1" ref="R57" ca="1">Notmerged(R28)</f>
        <v>#NAME?</v>
      </c>
      <c r="S57" s="128" t="e" cm="1">
        <f t="array" aca="1" ref="S57" ca="1">Notmerged(S28)</f>
        <v>#NAME?</v>
      </c>
      <c r="T57" s="128" t="e" cm="1">
        <f t="array" aca="1" ref="T57" ca="1">Notmerged(T28)</f>
        <v>#NAME?</v>
      </c>
      <c r="U57" s="128" t="e" cm="1">
        <f t="array" aca="1" ref="U57" ca="1">Notmerged(U28)</f>
        <v>#NAME?</v>
      </c>
      <c r="V57" s="128" t="e" cm="1">
        <f t="array" aca="1" ref="V57" ca="1">Notmerged(V28)</f>
        <v>#NAME?</v>
      </c>
      <c r="W57" s="128" t="e" cm="1">
        <f t="array" aca="1" ref="W57" ca="1">Notmerged(W28)</f>
        <v>#NAME?</v>
      </c>
      <c r="X57" s="128" t="e" cm="1">
        <f t="array" aca="1" ref="X57" ca="1">Notmerged(X28)</f>
        <v>#NAME?</v>
      </c>
      <c r="Y57" s="128" t="e" cm="1">
        <f t="array" aca="1" ref="Y57" ca="1">Notmerged(Y28)</f>
        <v>#NAME?</v>
      </c>
      <c r="Z57" s="128" t="e" cm="1">
        <f t="array" aca="1" ref="Z57" ca="1">Notmerged(Z28)</f>
        <v>#NAME?</v>
      </c>
      <c r="AA57" s="128" t="e" cm="1">
        <f t="array" aca="1" ref="AA57" ca="1">Notmerged(AA28)</f>
        <v>#NAME?</v>
      </c>
      <c r="AB57" s="128" t="e" cm="1">
        <f t="array" aca="1" ref="AB57" ca="1">Notmerged(AB28)</f>
        <v>#NAME?</v>
      </c>
      <c r="AC57" s="128" t="e" cm="1">
        <f t="array" aca="1" ref="AC57" ca="1">Notmerged(AC28)</f>
        <v>#NAME?</v>
      </c>
      <c r="AD57" s="128" t="e" cm="1">
        <f t="array" aca="1" ref="AD57" ca="1">Notmerged(AD28)</f>
        <v>#NAME?</v>
      </c>
      <c r="AE57" s="128" t="e" cm="1">
        <f t="array" aca="1" ref="AE57" ca="1">Notmerged(AE28)</f>
        <v>#NAME?</v>
      </c>
      <c r="AF57" s="128" t="e" cm="1">
        <f t="array" aca="1" ref="AF57" ca="1">Notmerged(AF28)</f>
        <v>#NAME?</v>
      </c>
      <c r="AG57" s="128" t="e" cm="1">
        <f t="array" aca="1" ref="AG57" ca="1">Notmerged(AG28)</f>
        <v>#NAME?</v>
      </c>
      <c r="AH57" s="128" t="e" cm="1">
        <f t="array" aca="1" ref="AH57" ca="1">Notmerged(AH28)</f>
        <v>#NAME?</v>
      </c>
      <c r="AI57" s="128" t="e" cm="1">
        <f t="array" aca="1" ref="AI57" ca="1">Notmerged(AI28)</f>
        <v>#NAME?</v>
      </c>
      <c r="AJ57" s="128" t="e" cm="1">
        <f t="array" aca="1" ref="AJ57" ca="1">Notmerged(AJ28)</f>
        <v>#NAME?</v>
      </c>
      <c r="AK57" s="128" t="e" cm="1">
        <f t="array" aca="1" ref="AK57" ca="1">Notmerged(AK28)</f>
        <v>#NAME?</v>
      </c>
      <c r="AL57" s="128" t="e" cm="1">
        <f t="array" aca="1" ref="AL57" ca="1">Notmerged(AL28)</f>
        <v>#NAME?</v>
      </c>
      <c r="AM57" s="128" t="e" cm="1">
        <f t="array" aca="1" ref="AM57" ca="1">Notmerged(AM28)</f>
        <v>#NAME?</v>
      </c>
      <c r="AN57" s="128" t="e" cm="1">
        <f t="array" aca="1" ref="AN57" ca="1">Notmerged(AN28)</f>
        <v>#NAME?</v>
      </c>
      <c r="AO57" s="128" t="e" cm="1">
        <f t="array" aca="1" ref="AO57" ca="1">Notmerged(AO28)</f>
        <v>#NAME?</v>
      </c>
      <c r="AP57" s="128" t="e" cm="1">
        <f t="array" aca="1" ref="AP57" ca="1">Notmerged(AP28)</f>
        <v>#NAME?</v>
      </c>
      <c r="AQ57" s="128" t="e" cm="1">
        <f t="array" aca="1" ref="AQ57" ca="1">Notmerged(AQ28)</f>
        <v>#NAME?</v>
      </c>
      <c r="AR57" s="128" t="e" cm="1">
        <f t="array" aca="1" ref="AR57" ca="1">Notmerged(AR28)</f>
        <v>#NAME?</v>
      </c>
      <c r="AS57" s="128" t="e" cm="1">
        <f t="array" aca="1" ref="AS57" ca="1">Notmerged(AS28)</f>
        <v>#NAME?</v>
      </c>
      <c r="AT57" s="128" t="e" cm="1">
        <f t="array" aca="1" ref="AT57" ca="1">Notmerged(AT28)</f>
        <v>#NAME?</v>
      </c>
      <c r="AU57" s="128" t="e" cm="1">
        <f t="array" aca="1" ref="AU57" ca="1">Notmerged(AU28)</f>
        <v>#NAME?</v>
      </c>
      <c r="AV57" s="128" t="e" cm="1">
        <f t="array" aca="1" ref="AV57" ca="1">Notmerged(AV28)</f>
        <v>#NAME?</v>
      </c>
      <c r="AW57" s="128" t="e" cm="1">
        <f t="array" aca="1" ref="AW57" ca="1">Notmerged(AW28)</f>
        <v>#NAME?</v>
      </c>
      <c r="AX57" s="128" t="e" cm="1">
        <f t="array" aca="1" ref="AX57" ca="1">Notmerged(AX28)</f>
        <v>#NAME?</v>
      </c>
      <c r="AY57" s="128" t="e" cm="1">
        <f t="array" aca="1" ref="AY57" ca="1">Notmerged(AY28)</f>
        <v>#NAME?</v>
      </c>
      <c r="AZ57" s="128" t="e" cm="1">
        <f t="array" aca="1" ref="AZ57" ca="1">Notmerged(AZ28)</f>
        <v>#NAME?</v>
      </c>
      <c r="BA57" s="128" t="e" cm="1">
        <f t="array" aca="1" ref="BA57" ca="1">Notmerged(BA28)</f>
        <v>#NAME?</v>
      </c>
      <c r="BB57" s="128" t="e" cm="1">
        <f t="array" aca="1" ref="BB57" ca="1">Notmerged(BB28)</f>
        <v>#NAME?</v>
      </c>
      <c r="BC57" s="128" t="e" cm="1">
        <f t="array" aca="1" ref="BC57" ca="1">Notmerged(BC28)</f>
        <v>#NAME?</v>
      </c>
      <c r="BD57" s="128" t="e" cm="1">
        <f t="array" aca="1" ref="BD57" ca="1">Notmerged(BD28)</f>
        <v>#NAME?</v>
      </c>
      <c r="BE57" s="128" t="e" cm="1">
        <f t="array" aca="1" ref="BE57" ca="1">Notmerged(BE28)</f>
        <v>#NAME?</v>
      </c>
      <c r="BF57" s="128" t="e" cm="1">
        <f t="array" aca="1" ref="BF57" ca="1">Notmerged(BF28)</f>
        <v>#NAME?</v>
      </c>
      <c r="BG57" s="128" t="e" cm="1">
        <f t="array" aca="1" ref="BG57" ca="1">Notmerged(BG28)</f>
        <v>#NAME?</v>
      </c>
      <c r="BH57" s="128" t="e" cm="1">
        <f t="array" aca="1" ref="BH57" ca="1">Notmerged(BH28)</f>
        <v>#NAME?</v>
      </c>
      <c r="BI57" s="128" t="e" cm="1">
        <f t="array" aca="1" ref="BI57" ca="1">Notmerged(BI28)</f>
        <v>#NAME?</v>
      </c>
      <c r="BJ57" s="128" t="e" cm="1">
        <f t="array" aca="1" ref="BJ57" ca="1">Notmerged(BJ28)</f>
        <v>#NAME?</v>
      </c>
      <c r="BK57" s="128" t="e" cm="1">
        <f t="array" aca="1" ref="BK57" ca="1">Notmerged(BK28)</f>
        <v>#NAME?</v>
      </c>
    </row>
    <row r="58" spans="2:63" x14ac:dyDescent="0.3">
      <c r="B58" s="128" t="e" cm="1">
        <f t="array" aca="1" ref="B58" ca="1">Notmerged(B29)</f>
        <v>#NAME?</v>
      </c>
      <c r="C58" s="128" t="e" cm="1">
        <f t="array" aca="1" ref="C58" ca="1">Notmerged(C29)</f>
        <v>#NAME?</v>
      </c>
      <c r="D58" s="128" t="e" cm="1">
        <f t="array" aca="1" ref="D58" ca="1">Notmerged(D29)</f>
        <v>#NAME?</v>
      </c>
      <c r="E58" s="128" t="e" cm="1">
        <f t="array" aca="1" ref="E58" ca="1">Notmerged(E29)</f>
        <v>#NAME?</v>
      </c>
      <c r="F58" s="128" t="e" cm="1">
        <f t="array" aca="1" ref="F58" ca="1">Notmerged(F29)</f>
        <v>#NAME?</v>
      </c>
      <c r="G58" s="128" t="e" cm="1">
        <f t="array" aca="1" ref="G58" ca="1">Notmerged(G29)</f>
        <v>#NAME?</v>
      </c>
      <c r="H58" s="128" t="e" cm="1">
        <f t="array" aca="1" ref="H58" ca="1">Notmerged(H29)</f>
        <v>#NAME?</v>
      </c>
      <c r="I58" s="128" t="e" cm="1">
        <f t="array" aca="1" ref="I58" ca="1">Notmerged(I29)</f>
        <v>#NAME?</v>
      </c>
      <c r="J58" s="128" t="e" cm="1">
        <f t="array" aca="1" ref="J58" ca="1">Notmerged(J29)</f>
        <v>#NAME?</v>
      </c>
      <c r="K58" s="128" t="e" cm="1">
        <f t="array" aca="1" ref="K58" ca="1">Notmerged(K29)</f>
        <v>#NAME?</v>
      </c>
      <c r="L58" s="128" t="e" cm="1">
        <f t="array" aca="1" ref="L58" ca="1">Notmerged(L29)</f>
        <v>#NAME?</v>
      </c>
      <c r="M58" s="128" t="e" cm="1">
        <f t="array" aca="1" ref="M58" ca="1">Notmerged(M29)</f>
        <v>#NAME?</v>
      </c>
      <c r="N58" s="128" t="e" cm="1">
        <f t="array" aca="1" ref="N58" ca="1">Notmerged(N29)</f>
        <v>#NAME?</v>
      </c>
      <c r="O58" s="128" t="e" cm="1">
        <f t="array" aca="1" ref="O58" ca="1">Notmerged(O29)</f>
        <v>#NAME?</v>
      </c>
      <c r="P58" s="128" t="e" cm="1">
        <f t="array" aca="1" ref="P58" ca="1">Notmerged(P29)</f>
        <v>#NAME?</v>
      </c>
      <c r="Q58" s="128" t="e" cm="1">
        <f t="array" aca="1" ref="Q58" ca="1">Notmerged(Q29)</f>
        <v>#NAME?</v>
      </c>
      <c r="R58" s="128" t="e" cm="1">
        <f t="array" aca="1" ref="R58" ca="1">Notmerged(R29)</f>
        <v>#NAME?</v>
      </c>
      <c r="S58" s="128" t="e" cm="1">
        <f t="array" aca="1" ref="S58" ca="1">Notmerged(S29)</f>
        <v>#NAME?</v>
      </c>
      <c r="T58" s="128" t="e" cm="1">
        <f t="array" aca="1" ref="T58" ca="1">Notmerged(T29)</f>
        <v>#NAME?</v>
      </c>
      <c r="U58" s="128" t="e" cm="1">
        <f t="array" aca="1" ref="U58" ca="1">Notmerged(U29)</f>
        <v>#NAME?</v>
      </c>
      <c r="V58" s="128" t="e" cm="1">
        <f t="array" aca="1" ref="V58" ca="1">Notmerged(V29)</f>
        <v>#NAME?</v>
      </c>
      <c r="W58" s="128" t="e" cm="1">
        <f t="array" aca="1" ref="W58" ca="1">Notmerged(W29)</f>
        <v>#NAME?</v>
      </c>
      <c r="X58" s="128" t="e" cm="1">
        <f t="array" aca="1" ref="X58" ca="1">Notmerged(X29)</f>
        <v>#NAME?</v>
      </c>
      <c r="Y58" s="128" t="e" cm="1">
        <f t="array" aca="1" ref="Y58" ca="1">Notmerged(Y29)</f>
        <v>#NAME?</v>
      </c>
      <c r="Z58" s="128" t="e" cm="1">
        <f t="array" aca="1" ref="Z58" ca="1">Notmerged(Z29)</f>
        <v>#NAME?</v>
      </c>
      <c r="AA58" s="128" t="e" cm="1">
        <f t="array" aca="1" ref="AA58" ca="1">Notmerged(AA29)</f>
        <v>#NAME?</v>
      </c>
      <c r="AB58" s="128" t="e" cm="1">
        <f t="array" aca="1" ref="AB58" ca="1">Notmerged(AB29)</f>
        <v>#NAME?</v>
      </c>
      <c r="AC58" s="128" t="e" cm="1">
        <f t="array" aca="1" ref="AC58" ca="1">Notmerged(AC29)</f>
        <v>#NAME?</v>
      </c>
      <c r="AD58" s="128" t="e" cm="1">
        <f t="array" aca="1" ref="AD58" ca="1">Notmerged(AD29)</f>
        <v>#NAME?</v>
      </c>
      <c r="AE58" s="128" t="e" cm="1">
        <f t="array" aca="1" ref="AE58" ca="1">Notmerged(AE29)</f>
        <v>#NAME?</v>
      </c>
      <c r="AF58" s="128" t="e" cm="1">
        <f t="array" aca="1" ref="AF58" ca="1">Notmerged(AF29)</f>
        <v>#NAME?</v>
      </c>
      <c r="AG58" s="128" t="e" cm="1">
        <f t="array" aca="1" ref="AG58" ca="1">Notmerged(AG29)</f>
        <v>#NAME?</v>
      </c>
      <c r="AH58" s="128" t="e" cm="1">
        <f t="array" aca="1" ref="AH58" ca="1">Notmerged(AH29)</f>
        <v>#NAME?</v>
      </c>
      <c r="AI58" s="128" t="e" cm="1">
        <f t="array" aca="1" ref="AI58" ca="1">Notmerged(AI29)</f>
        <v>#NAME?</v>
      </c>
      <c r="AJ58" s="128" t="e" cm="1">
        <f t="array" aca="1" ref="AJ58" ca="1">Notmerged(AJ29)</f>
        <v>#NAME?</v>
      </c>
      <c r="AK58" s="128" t="e" cm="1">
        <f t="array" aca="1" ref="AK58" ca="1">Notmerged(AK29)</f>
        <v>#NAME?</v>
      </c>
      <c r="AL58" s="128" t="e" cm="1">
        <f t="array" aca="1" ref="AL58" ca="1">Notmerged(AL29)</f>
        <v>#NAME?</v>
      </c>
      <c r="AM58" s="128" t="e" cm="1">
        <f t="array" aca="1" ref="AM58" ca="1">Notmerged(AM29)</f>
        <v>#NAME?</v>
      </c>
      <c r="AN58" s="128" t="e" cm="1">
        <f t="array" aca="1" ref="AN58" ca="1">Notmerged(AN29)</f>
        <v>#NAME?</v>
      </c>
      <c r="AO58" s="128" t="e" cm="1">
        <f t="array" aca="1" ref="AO58" ca="1">Notmerged(AO29)</f>
        <v>#NAME?</v>
      </c>
      <c r="AP58" s="128" t="e" cm="1">
        <f t="array" aca="1" ref="AP58" ca="1">Notmerged(AP29)</f>
        <v>#NAME?</v>
      </c>
      <c r="AQ58" s="128" t="e" cm="1">
        <f t="array" aca="1" ref="AQ58" ca="1">Notmerged(AQ29)</f>
        <v>#NAME?</v>
      </c>
      <c r="AR58" s="128" t="e" cm="1">
        <f t="array" aca="1" ref="AR58" ca="1">Notmerged(AR29)</f>
        <v>#NAME?</v>
      </c>
      <c r="AS58" s="128" t="e" cm="1">
        <f t="array" aca="1" ref="AS58" ca="1">Notmerged(AS29)</f>
        <v>#NAME?</v>
      </c>
      <c r="AT58" s="128" t="e" cm="1">
        <f t="array" aca="1" ref="AT58" ca="1">Notmerged(AT29)</f>
        <v>#NAME?</v>
      </c>
      <c r="AU58" s="128" t="e" cm="1">
        <f t="array" aca="1" ref="AU58" ca="1">Notmerged(AU29)</f>
        <v>#NAME?</v>
      </c>
      <c r="AV58" s="128" t="e" cm="1">
        <f t="array" aca="1" ref="AV58" ca="1">Notmerged(AV29)</f>
        <v>#NAME?</v>
      </c>
      <c r="AW58" s="128" t="e" cm="1">
        <f t="array" aca="1" ref="AW58" ca="1">Notmerged(AW29)</f>
        <v>#NAME?</v>
      </c>
      <c r="AX58" s="128" t="e" cm="1">
        <f t="array" aca="1" ref="AX58" ca="1">Notmerged(AX29)</f>
        <v>#NAME?</v>
      </c>
      <c r="AY58" s="128" t="e" cm="1">
        <f t="array" aca="1" ref="AY58" ca="1">Notmerged(AY29)</f>
        <v>#NAME?</v>
      </c>
      <c r="AZ58" s="128" t="e" cm="1">
        <f t="array" aca="1" ref="AZ58" ca="1">Notmerged(AZ29)</f>
        <v>#NAME?</v>
      </c>
      <c r="BA58" s="128" t="e" cm="1">
        <f t="array" aca="1" ref="BA58" ca="1">Notmerged(BA29)</f>
        <v>#NAME?</v>
      </c>
      <c r="BB58" s="128" t="e" cm="1">
        <f t="array" aca="1" ref="BB58" ca="1">Notmerged(BB29)</f>
        <v>#NAME?</v>
      </c>
      <c r="BC58" s="128" t="e" cm="1">
        <f t="array" aca="1" ref="BC58" ca="1">Notmerged(BC29)</f>
        <v>#NAME?</v>
      </c>
      <c r="BD58" s="128" t="e" cm="1">
        <f t="array" aca="1" ref="BD58" ca="1">Notmerged(BD29)</f>
        <v>#NAME?</v>
      </c>
      <c r="BE58" s="128" t="e" cm="1">
        <f t="array" aca="1" ref="BE58" ca="1">Notmerged(BE29)</f>
        <v>#NAME?</v>
      </c>
      <c r="BF58" s="128" t="e" cm="1">
        <f t="array" aca="1" ref="BF58" ca="1">Notmerged(BF29)</f>
        <v>#NAME?</v>
      </c>
      <c r="BG58" s="128" t="e" cm="1">
        <f t="array" aca="1" ref="BG58" ca="1">Notmerged(BG29)</f>
        <v>#NAME?</v>
      </c>
      <c r="BH58" s="128" t="e" cm="1">
        <f t="array" aca="1" ref="BH58" ca="1">Notmerged(BH29)</f>
        <v>#NAME?</v>
      </c>
      <c r="BI58" s="128" t="e" cm="1">
        <f t="array" aca="1" ref="BI58" ca="1">Notmerged(BI29)</f>
        <v>#NAME?</v>
      </c>
      <c r="BJ58" s="128" t="e" cm="1">
        <f t="array" aca="1" ref="BJ58" ca="1">Notmerged(BJ29)</f>
        <v>#NAME?</v>
      </c>
      <c r="BK58" s="128" t="e" cm="1">
        <f t="array" aca="1" ref="BK58" ca="1">Notmerged(BK29)</f>
        <v>#NAME?</v>
      </c>
    </row>
    <row r="59" spans="2:63" x14ac:dyDescent="0.3">
      <c r="B59" s="128" t="e" cm="1">
        <f t="array" aca="1" ref="B59" ca="1">Notmerged(B30)</f>
        <v>#NAME?</v>
      </c>
      <c r="C59" s="128" t="e" cm="1">
        <f t="array" aca="1" ref="C59" ca="1">Notmerged(C30)</f>
        <v>#NAME?</v>
      </c>
      <c r="D59" s="128" t="e" cm="1">
        <f t="array" aca="1" ref="D59" ca="1">Notmerged(D30)</f>
        <v>#NAME?</v>
      </c>
      <c r="E59" s="128" t="e" cm="1">
        <f t="array" aca="1" ref="E59" ca="1">Notmerged(E30)</f>
        <v>#NAME?</v>
      </c>
      <c r="F59" s="128" t="e" cm="1">
        <f t="array" aca="1" ref="F59" ca="1">Notmerged(F30)</f>
        <v>#NAME?</v>
      </c>
      <c r="G59" s="128" t="e" cm="1">
        <f t="array" aca="1" ref="G59" ca="1">Notmerged(G30)</f>
        <v>#NAME?</v>
      </c>
      <c r="H59" s="128" t="e" cm="1">
        <f t="array" aca="1" ref="H59" ca="1">Notmerged(H30)</f>
        <v>#NAME?</v>
      </c>
      <c r="I59" s="128" t="e" cm="1">
        <f t="array" aca="1" ref="I59" ca="1">Notmerged(I30)</f>
        <v>#NAME?</v>
      </c>
      <c r="J59" s="128" t="e" cm="1">
        <f t="array" aca="1" ref="J59" ca="1">Notmerged(J30)</f>
        <v>#NAME?</v>
      </c>
      <c r="K59" s="128" t="e" cm="1">
        <f t="array" aca="1" ref="K59" ca="1">Notmerged(K30)</f>
        <v>#NAME?</v>
      </c>
      <c r="L59" s="128" t="e" cm="1">
        <f t="array" aca="1" ref="L59" ca="1">Notmerged(L30)</f>
        <v>#NAME?</v>
      </c>
      <c r="M59" s="128" t="e" cm="1">
        <f t="array" aca="1" ref="M59" ca="1">Notmerged(M30)</f>
        <v>#NAME?</v>
      </c>
      <c r="N59" s="128" t="e" cm="1">
        <f t="array" aca="1" ref="N59" ca="1">Notmerged(N30)</f>
        <v>#NAME?</v>
      </c>
      <c r="O59" s="128" t="e" cm="1">
        <f t="array" aca="1" ref="O59" ca="1">Notmerged(O30)</f>
        <v>#NAME?</v>
      </c>
      <c r="P59" s="128" t="e" cm="1">
        <f t="array" aca="1" ref="P59" ca="1">Notmerged(P30)</f>
        <v>#NAME?</v>
      </c>
      <c r="Q59" s="128" t="e" cm="1">
        <f t="array" aca="1" ref="Q59" ca="1">Notmerged(Q30)</f>
        <v>#NAME?</v>
      </c>
      <c r="R59" s="128" t="e" cm="1">
        <f t="array" aca="1" ref="R59" ca="1">Notmerged(R30)</f>
        <v>#NAME?</v>
      </c>
      <c r="S59" s="128" t="e" cm="1">
        <f t="array" aca="1" ref="S59" ca="1">Notmerged(S30)</f>
        <v>#NAME?</v>
      </c>
      <c r="T59" s="128" t="e" cm="1">
        <f t="array" aca="1" ref="T59" ca="1">Notmerged(T30)</f>
        <v>#NAME?</v>
      </c>
      <c r="U59" s="128" t="e" cm="1">
        <f t="array" aca="1" ref="U59" ca="1">Notmerged(U30)</f>
        <v>#NAME?</v>
      </c>
      <c r="V59" s="128" t="e" cm="1">
        <f t="array" aca="1" ref="V59" ca="1">Notmerged(V30)</f>
        <v>#NAME?</v>
      </c>
      <c r="W59" s="128" t="e" cm="1">
        <f t="array" aca="1" ref="W59" ca="1">Notmerged(W30)</f>
        <v>#NAME?</v>
      </c>
      <c r="X59" s="128" t="e" cm="1">
        <f t="array" aca="1" ref="X59" ca="1">Notmerged(X30)</f>
        <v>#NAME?</v>
      </c>
      <c r="Y59" s="128" t="e" cm="1">
        <f t="array" aca="1" ref="Y59" ca="1">Notmerged(Y30)</f>
        <v>#NAME?</v>
      </c>
      <c r="Z59" s="128" t="e" cm="1">
        <f t="array" aca="1" ref="Z59" ca="1">Notmerged(Z30)</f>
        <v>#NAME?</v>
      </c>
      <c r="AA59" s="128" t="e" cm="1">
        <f t="array" aca="1" ref="AA59" ca="1">Notmerged(AA30)</f>
        <v>#NAME?</v>
      </c>
      <c r="AB59" s="128" t="e" cm="1">
        <f t="array" aca="1" ref="AB59" ca="1">Notmerged(AB30)</f>
        <v>#NAME?</v>
      </c>
      <c r="AC59" s="128" t="e" cm="1">
        <f t="array" aca="1" ref="AC59" ca="1">Notmerged(AC30)</f>
        <v>#NAME?</v>
      </c>
      <c r="AD59" s="128" t="e" cm="1">
        <f t="array" aca="1" ref="AD59" ca="1">Notmerged(AD30)</f>
        <v>#NAME?</v>
      </c>
      <c r="AE59" s="128" t="e" cm="1">
        <f t="array" aca="1" ref="AE59" ca="1">Notmerged(AE30)</f>
        <v>#NAME?</v>
      </c>
      <c r="AF59" s="128" t="e" cm="1">
        <f t="array" aca="1" ref="AF59" ca="1">Notmerged(AF30)</f>
        <v>#NAME?</v>
      </c>
      <c r="AG59" s="128" t="e" cm="1">
        <f t="array" aca="1" ref="AG59" ca="1">Notmerged(AG30)</f>
        <v>#NAME?</v>
      </c>
      <c r="AH59" s="128" t="e" cm="1">
        <f t="array" aca="1" ref="AH59" ca="1">Notmerged(AH30)</f>
        <v>#NAME?</v>
      </c>
      <c r="AI59" s="128" t="e" cm="1">
        <f t="array" aca="1" ref="AI59" ca="1">Notmerged(AI30)</f>
        <v>#NAME?</v>
      </c>
      <c r="AJ59" s="128" t="e" cm="1">
        <f t="array" aca="1" ref="AJ59" ca="1">Notmerged(AJ30)</f>
        <v>#NAME?</v>
      </c>
      <c r="AK59" s="128" t="e" cm="1">
        <f t="array" aca="1" ref="AK59" ca="1">Notmerged(AK30)</f>
        <v>#NAME?</v>
      </c>
      <c r="AL59" s="128" t="e" cm="1">
        <f t="array" aca="1" ref="AL59" ca="1">Notmerged(AL30)</f>
        <v>#NAME?</v>
      </c>
      <c r="AM59" s="128" t="e" cm="1">
        <f t="array" aca="1" ref="AM59" ca="1">Notmerged(AM30)</f>
        <v>#NAME?</v>
      </c>
      <c r="AN59" s="128" t="e" cm="1">
        <f t="array" aca="1" ref="AN59" ca="1">Notmerged(AN30)</f>
        <v>#NAME?</v>
      </c>
      <c r="AO59" s="128" t="e" cm="1">
        <f t="array" aca="1" ref="AO59" ca="1">Notmerged(AO30)</f>
        <v>#NAME?</v>
      </c>
      <c r="AP59" s="128" t="e" cm="1">
        <f t="array" aca="1" ref="AP59" ca="1">Notmerged(AP30)</f>
        <v>#NAME?</v>
      </c>
      <c r="AQ59" s="128" t="e" cm="1">
        <f t="array" aca="1" ref="AQ59" ca="1">Notmerged(AQ30)</f>
        <v>#NAME?</v>
      </c>
      <c r="AR59" s="128" t="e" cm="1">
        <f t="array" aca="1" ref="AR59" ca="1">Notmerged(AR30)</f>
        <v>#NAME?</v>
      </c>
      <c r="AS59" s="128" t="e" cm="1">
        <f t="array" aca="1" ref="AS59" ca="1">Notmerged(AS30)</f>
        <v>#NAME?</v>
      </c>
      <c r="AT59" s="128" t="e" cm="1">
        <f t="array" aca="1" ref="AT59" ca="1">Notmerged(AT30)</f>
        <v>#NAME?</v>
      </c>
      <c r="AU59" s="128" t="e" cm="1">
        <f t="array" aca="1" ref="AU59" ca="1">Notmerged(AU30)</f>
        <v>#NAME?</v>
      </c>
      <c r="AV59" s="128" t="e" cm="1">
        <f t="array" aca="1" ref="AV59" ca="1">Notmerged(AV30)</f>
        <v>#NAME?</v>
      </c>
      <c r="AW59" s="128" t="e" cm="1">
        <f t="array" aca="1" ref="AW59" ca="1">Notmerged(AW30)</f>
        <v>#NAME?</v>
      </c>
      <c r="AX59" s="128" t="e" cm="1">
        <f t="array" aca="1" ref="AX59" ca="1">Notmerged(AX30)</f>
        <v>#NAME?</v>
      </c>
      <c r="AY59" s="128" t="e" cm="1">
        <f t="array" aca="1" ref="AY59" ca="1">Notmerged(AY30)</f>
        <v>#NAME?</v>
      </c>
      <c r="AZ59" s="128" t="e" cm="1">
        <f t="array" aca="1" ref="AZ59" ca="1">Notmerged(AZ30)</f>
        <v>#NAME?</v>
      </c>
      <c r="BA59" s="128" t="e" cm="1">
        <f t="array" aca="1" ref="BA59" ca="1">Notmerged(BA30)</f>
        <v>#NAME?</v>
      </c>
      <c r="BB59" s="128" t="e" cm="1">
        <f t="array" aca="1" ref="BB59" ca="1">Notmerged(BB30)</f>
        <v>#NAME?</v>
      </c>
      <c r="BC59" s="128" t="e" cm="1">
        <f t="array" aca="1" ref="BC59" ca="1">Notmerged(BC30)</f>
        <v>#NAME?</v>
      </c>
      <c r="BD59" s="128" t="e" cm="1">
        <f t="array" aca="1" ref="BD59" ca="1">Notmerged(BD30)</f>
        <v>#NAME?</v>
      </c>
      <c r="BE59" s="128" t="e" cm="1">
        <f t="array" aca="1" ref="BE59" ca="1">Notmerged(BE30)</f>
        <v>#NAME?</v>
      </c>
      <c r="BF59" s="128" t="e" cm="1">
        <f t="array" aca="1" ref="BF59" ca="1">Notmerged(BF30)</f>
        <v>#NAME?</v>
      </c>
      <c r="BG59" s="128" t="e" cm="1">
        <f t="array" aca="1" ref="BG59" ca="1">Notmerged(BG30)</f>
        <v>#NAME?</v>
      </c>
      <c r="BH59" s="128" t="e" cm="1">
        <f t="array" aca="1" ref="BH59" ca="1">Notmerged(BH30)</f>
        <v>#NAME?</v>
      </c>
      <c r="BI59" s="128" t="e" cm="1">
        <f t="array" aca="1" ref="BI59" ca="1">Notmerged(BI30)</f>
        <v>#NAME?</v>
      </c>
      <c r="BJ59" s="128" t="e" cm="1">
        <f t="array" aca="1" ref="BJ59" ca="1">Notmerged(BJ30)</f>
        <v>#NAME?</v>
      </c>
      <c r="BK59" s="128" t="e" cm="1">
        <f t="array" aca="1" ref="BK59" ca="1">Notmerged(BK30)</f>
        <v>#NAME?</v>
      </c>
    </row>
    <row r="60" spans="2:63" x14ac:dyDescent="0.3">
      <c r="B60" s="128" t="e" cm="1">
        <f t="array" aca="1" ref="B60" ca="1">Notmerged(B31)</f>
        <v>#NAME?</v>
      </c>
      <c r="C60" s="128" t="e" cm="1">
        <f t="array" aca="1" ref="C60" ca="1">Notmerged(C31)</f>
        <v>#NAME?</v>
      </c>
      <c r="D60" s="128" t="e" cm="1">
        <f t="array" aca="1" ref="D60" ca="1">Notmerged(D31)</f>
        <v>#NAME?</v>
      </c>
      <c r="E60" s="128" t="e" cm="1">
        <f t="array" aca="1" ref="E60" ca="1">Notmerged(E31)</f>
        <v>#NAME?</v>
      </c>
      <c r="F60" s="128" t="e" cm="1">
        <f t="array" aca="1" ref="F60" ca="1">Notmerged(F31)</f>
        <v>#NAME?</v>
      </c>
      <c r="G60" s="128" t="e" cm="1">
        <f t="array" aca="1" ref="G60" ca="1">Notmerged(G31)</f>
        <v>#NAME?</v>
      </c>
      <c r="H60" s="128" t="e" cm="1">
        <f t="array" aca="1" ref="H60" ca="1">Notmerged(H31)</f>
        <v>#NAME?</v>
      </c>
      <c r="I60" s="128" t="e" cm="1">
        <f t="array" aca="1" ref="I60" ca="1">Notmerged(I31)</f>
        <v>#NAME?</v>
      </c>
      <c r="J60" s="128" t="e" cm="1">
        <f t="array" aca="1" ref="J60" ca="1">Notmerged(J31)</f>
        <v>#NAME?</v>
      </c>
      <c r="K60" s="128" t="e" cm="1">
        <f t="array" aca="1" ref="K60" ca="1">Notmerged(K31)</f>
        <v>#NAME?</v>
      </c>
      <c r="L60" s="128" t="e" cm="1">
        <f t="array" aca="1" ref="L60" ca="1">Notmerged(L31)</f>
        <v>#NAME?</v>
      </c>
      <c r="M60" s="128" t="e" cm="1">
        <f t="array" aca="1" ref="M60" ca="1">Notmerged(M31)</f>
        <v>#NAME?</v>
      </c>
      <c r="N60" s="128" t="e" cm="1">
        <f t="array" aca="1" ref="N60" ca="1">Notmerged(N31)</f>
        <v>#NAME?</v>
      </c>
      <c r="O60" s="128" t="e" cm="1">
        <f t="array" aca="1" ref="O60" ca="1">Notmerged(O31)</f>
        <v>#NAME?</v>
      </c>
      <c r="P60" s="128" t="e" cm="1">
        <f t="array" aca="1" ref="P60" ca="1">Notmerged(P31)</f>
        <v>#NAME?</v>
      </c>
      <c r="Q60" s="128" t="e" cm="1">
        <f t="array" aca="1" ref="Q60" ca="1">Notmerged(Q31)</f>
        <v>#NAME?</v>
      </c>
      <c r="R60" s="128" t="e" cm="1">
        <f t="array" aca="1" ref="R60" ca="1">Notmerged(R31)</f>
        <v>#NAME?</v>
      </c>
      <c r="S60" s="128" t="e" cm="1">
        <f t="array" aca="1" ref="S60" ca="1">Notmerged(S31)</f>
        <v>#NAME?</v>
      </c>
      <c r="T60" s="128" t="e" cm="1">
        <f t="array" aca="1" ref="T60" ca="1">Notmerged(T31)</f>
        <v>#NAME?</v>
      </c>
      <c r="U60" s="128" t="e" cm="1">
        <f t="array" aca="1" ref="U60" ca="1">Notmerged(U31)</f>
        <v>#NAME?</v>
      </c>
      <c r="V60" s="128" t="e" cm="1">
        <f t="array" aca="1" ref="V60" ca="1">Notmerged(V31)</f>
        <v>#NAME?</v>
      </c>
      <c r="W60" s="128" t="e" cm="1">
        <f t="array" aca="1" ref="W60" ca="1">Notmerged(W31)</f>
        <v>#NAME?</v>
      </c>
      <c r="X60" s="128" t="e" cm="1">
        <f t="array" aca="1" ref="X60" ca="1">Notmerged(X31)</f>
        <v>#NAME?</v>
      </c>
      <c r="Y60" s="128" t="e" cm="1">
        <f t="array" aca="1" ref="Y60" ca="1">Notmerged(Y31)</f>
        <v>#NAME?</v>
      </c>
      <c r="Z60" s="128" t="e" cm="1">
        <f t="array" aca="1" ref="Z60" ca="1">Notmerged(Z31)</f>
        <v>#NAME?</v>
      </c>
      <c r="AA60" s="128" t="e" cm="1">
        <f t="array" aca="1" ref="AA60" ca="1">Notmerged(AA31)</f>
        <v>#NAME?</v>
      </c>
      <c r="AB60" s="128" t="e" cm="1">
        <f t="array" aca="1" ref="AB60" ca="1">Notmerged(AB31)</f>
        <v>#NAME?</v>
      </c>
      <c r="AC60" s="128" t="e" cm="1">
        <f t="array" aca="1" ref="AC60" ca="1">Notmerged(AC31)</f>
        <v>#NAME?</v>
      </c>
      <c r="AD60" s="128" t="e" cm="1">
        <f t="array" aca="1" ref="AD60" ca="1">Notmerged(AD31)</f>
        <v>#NAME?</v>
      </c>
      <c r="AE60" s="128" t="e" cm="1">
        <f t="array" aca="1" ref="AE60" ca="1">Notmerged(AE31)</f>
        <v>#NAME?</v>
      </c>
      <c r="AF60" s="128" t="e" cm="1">
        <f t="array" aca="1" ref="AF60" ca="1">Notmerged(AF31)</f>
        <v>#NAME?</v>
      </c>
      <c r="AG60" s="128" t="e" cm="1">
        <f t="array" aca="1" ref="AG60" ca="1">Notmerged(AG31)</f>
        <v>#NAME?</v>
      </c>
      <c r="AH60" s="128" t="e" cm="1">
        <f t="array" aca="1" ref="AH60" ca="1">Notmerged(AH31)</f>
        <v>#NAME?</v>
      </c>
      <c r="AI60" s="128" t="e" cm="1">
        <f t="array" aca="1" ref="AI60" ca="1">Notmerged(AI31)</f>
        <v>#NAME?</v>
      </c>
      <c r="AJ60" s="128" t="e" cm="1">
        <f t="array" aca="1" ref="AJ60" ca="1">Notmerged(AJ31)</f>
        <v>#NAME?</v>
      </c>
      <c r="AK60" s="128" t="e" cm="1">
        <f t="array" aca="1" ref="AK60" ca="1">Notmerged(AK31)</f>
        <v>#NAME?</v>
      </c>
      <c r="AL60" s="128" t="e" cm="1">
        <f t="array" aca="1" ref="AL60" ca="1">Notmerged(AL31)</f>
        <v>#NAME?</v>
      </c>
      <c r="AM60" s="128" t="e" cm="1">
        <f t="array" aca="1" ref="AM60" ca="1">Notmerged(AM31)</f>
        <v>#NAME?</v>
      </c>
      <c r="AN60" s="128" t="e" cm="1">
        <f t="array" aca="1" ref="AN60" ca="1">Notmerged(AN31)</f>
        <v>#NAME?</v>
      </c>
      <c r="AO60" s="128" t="e" cm="1">
        <f t="array" aca="1" ref="AO60" ca="1">Notmerged(AO31)</f>
        <v>#NAME?</v>
      </c>
      <c r="AP60" s="128" t="e" cm="1">
        <f t="array" aca="1" ref="AP60" ca="1">Notmerged(AP31)</f>
        <v>#NAME?</v>
      </c>
      <c r="AQ60" s="128" t="e" cm="1">
        <f t="array" aca="1" ref="AQ60" ca="1">Notmerged(AQ31)</f>
        <v>#NAME?</v>
      </c>
      <c r="AR60" s="128" t="e" cm="1">
        <f t="array" aca="1" ref="AR60" ca="1">Notmerged(AR31)</f>
        <v>#NAME?</v>
      </c>
      <c r="AS60" s="128" t="e" cm="1">
        <f t="array" aca="1" ref="AS60" ca="1">Notmerged(AS31)</f>
        <v>#NAME?</v>
      </c>
      <c r="AT60" s="128" t="e" cm="1">
        <f t="array" aca="1" ref="AT60" ca="1">Notmerged(AT31)</f>
        <v>#NAME?</v>
      </c>
      <c r="AU60" s="128" t="e" cm="1">
        <f t="array" aca="1" ref="AU60" ca="1">Notmerged(AU31)</f>
        <v>#NAME?</v>
      </c>
      <c r="AV60" s="128" t="e" cm="1">
        <f t="array" aca="1" ref="AV60" ca="1">Notmerged(AV31)</f>
        <v>#NAME?</v>
      </c>
      <c r="AW60" s="128" t="e" cm="1">
        <f t="array" aca="1" ref="AW60" ca="1">Notmerged(AW31)</f>
        <v>#NAME?</v>
      </c>
      <c r="AX60" s="128" t="e" cm="1">
        <f t="array" aca="1" ref="AX60" ca="1">Notmerged(AX31)</f>
        <v>#NAME?</v>
      </c>
      <c r="AY60" s="128" t="e" cm="1">
        <f t="array" aca="1" ref="AY60" ca="1">Notmerged(AY31)</f>
        <v>#NAME?</v>
      </c>
      <c r="AZ60" s="128" t="e" cm="1">
        <f t="array" aca="1" ref="AZ60" ca="1">Notmerged(AZ31)</f>
        <v>#NAME?</v>
      </c>
      <c r="BA60" s="128" t="e" cm="1">
        <f t="array" aca="1" ref="BA60" ca="1">Notmerged(BA31)</f>
        <v>#NAME?</v>
      </c>
      <c r="BB60" s="128" t="e" cm="1">
        <f t="array" aca="1" ref="BB60" ca="1">Notmerged(BB31)</f>
        <v>#NAME?</v>
      </c>
      <c r="BC60" s="128" t="e" cm="1">
        <f t="array" aca="1" ref="BC60" ca="1">Notmerged(BC31)</f>
        <v>#NAME?</v>
      </c>
      <c r="BD60" s="128" t="e" cm="1">
        <f t="array" aca="1" ref="BD60" ca="1">Notmerged(BD31)</f>
        <v>#NAME?</v>
      </c>
      <c r="BE60" s="128" t="e" cm="1">
        <f t="array" aca="1" ref="BE60" ca="1">Notmerged(BE31)</f>
        <v>#NAME?</v>
      </c>
      <c r="BF60" s="128" t="e" cm="1">
        <f t="array" aca="1" ref="BF60" ca="1">Notmerged(BF31)</f>
        <v>#NAME?</v>
      </c>
      <c r="BG60" s="128" t="e" cm="1">
        <f t="array" aca="1" ref="BG60" ca="1">Notmerged(BG31)</f>
        <v>#NAME?</v>
      </c>
      <c r="BH60" s="128" t="e" cm="1">
        <f t="array" aca="1" ref="BH60" ca="1">Notmerged(BH31)</f>
        <v>#NAME?</v>
      </c>
      <c r="BI60" s="128" t="e" cm="1">
        <f t="array" aca="1" ref="BI60" ca="1">Notmerged(BI31)</f>
        <v>#NAME?</v>
      </c>
      <c r="BJ60" s="128" t="e" cm="1">
        <f t="array" aca="1" ref="BJ60" ca="1">Notmerged(BJ31)</f>
        <v>#NAME?</v>
      </c>
      <c r="BK60" s="128" t="e" cm="1">
        <f t="array" aca="1" ref="BK60" ca="1">Notmerged(BK31)</f>
        <v>#NAME?</v>
      </c>
    </row>
  </sheetData>
  <sheetProtection algorithmName="SHA-512" hashValue="ZCa4Yt+TETu+vgmBFxTDBRtbxp8GSAfRBtCpiNdca+XO6/G2yt4a0k9tmEroHRFtDCOhYA+T6mUKCw6K6DPT6w==" saltValue="0LkB/w04Z1yyeh0/OsagOQ==" spinCount="100000" sheet="1" objects="1" scenarios="1" formatCells="0"/>
  <mergeCells count="292">
    <mergeCell ref="AO7:AO9"/>
    <mergeCell ref="AO10:AO12"/>
    <mergeCell ref="AO13:AO15"/>
    <mergeCell ref="AO16:AO18"/>
    <mergeCell ref="AO19:AO21"/>
    <mergeCell ref="AO22:AO24"/>
    <mergeCell ref="AM4:AM6"/>
    <mergeCell ref="AM7:AM9"/>
    <mergeCell ref="AM10:AM12"/>
    <mergeCell ref="AM13:AM15"/>
    <mergeCell ref="AM16:AM18"/>
    <mergeCell ref="AM19:AM21"/>
    <mergeCell ref="AN4:AN6"/>
    <mergeCell ref="AN7:AN9"/>
    <mergeCell ref="AN10:AN12"/>
    <mergeCell ref="AN13:AN15"/>
    <mergeCell ref="AN16:AN18"/>
    <mergeCell ref="AN19:AN21"/>
    <mergeCell ref="AN22:AN24"/>
    <mergeCell ref="AL7:AL9"/>
    <mergeCell ref="AL10:AL12"/>
    <mergeCell ref="AL13:AL15"/>
    <mergeCell ref="AL16:AL18"/>
    <mergeCell ref="AL19:AL21"/>
    <mergeCell ref="AJ7:AJ9"/>
    <mergeCell ref="AJ10:AJ12"/>
    <mergeCell ref="AJ13:AJ15"/>
    <mergeCell ref="AJ16:AJ18"/>
    <mergeCell ref="AJ19:AJ21"/>
    <mergeCell ref="AJ22:AJ24"/>
    <mergeCell ref="AK7:AK9"/>
    <mergeCell ref="AK10:AK12"/>
    <mergeCell ref="AK13:AK15"/>
    <mergeCell ref="AK16:AK18"/>
    <mergeCell ref="AK19:AK21"/>
    <mergeCell ref="AK22:AK24"/>
    <mergeCell ref="AH4:AH6"/>
    <mergeCell ref="AH7:AH9"/>
    <mergeCell ref="AH10:AH12"/>
    <mergeCell ref="AH13:AH15"/>
    <mergeCell ref="AH16:AH18"/>
    <mergeCell ref="AH19:AH21"/>
    <mergeCell ref="AH22:AH23"/>
    <mergeCell ref="AI7:AI9"/>
    <mergeCell ref="AI10:AI12"/>
    <mergeCell ref="AI13:AI15"/>
    <mergeCell ref="AI16:AI18"/>
    <mergeCell ref="AI19:AI21"/>
    <mergeCell ref="AI22:AI24"/>
    <mergeCell ref="AF7:AF9"/>
    <mergeCell ref="AF11:AF12"/>
    <mergeCell ref="AF13:AF15"/>
    <mergeCell ref="AF16:AF18"/>
    <mergeCell ref="AF19:AF21"/>
    <mergeCell ref="AF22:AF24"/>
    <mergeCell ref="AG4:AG9"/>
    <mergeCell ref="AG10:AG11"/>
    <mergeCell ref="AG16:AG18"/>
    <mergeCell ref="AD4:AD6"/>
    <mergeCell ref="AD7:AD9"/>
    <mergeCell ref="AD10:AD12"/>
    <mergeCell ref="AD13:AD15"/>
    <mergeCell ref="AD16:AD18"/>
    <mergeCell ref="AD19:AD22"/>
    <mergeCell ref="AE4:AE6"/>
    <mergeCell ref="AE7:AE9"/>
    <mergeCell ref="AE10:AE12"/>
    <mergeCell ref="AE13:AE15"/>
    <mergeCell ref="AE16:AE18"/>
    <mergeCell ref="AE19:AE21"/>
    <mergeCell ref="AB4:AB6"/>
    <mergeCell ref="AB7:AB9"/>
    <mergeCell ref="AB10:AB12"/>
    <mergeCell ref="AB13:AB15"/>
    <mergeCell ref="AB16:AB18"/>
    <mergeCell ref="AB19:AB21"/>
    <mergeCell ref="AC4:AC6"/>
    <mergeCell ref="AC7:AC9"/>
    <mergeCell ref="AC10:AC12"/>
    <mergeCell ref="AC13:AC15"/>
    <mergeCell ref="AC16:AC18"/>
    <mergeCell ref="AC19:AC21"/>
    <mergeCell ref="BC22:BC24"/>
    <mergeCell ref="BE6:BE7"/>
    <mergeCell ref="BE8:BE13"/>
    <mergeCell ref="BB19:BB21"/>
    <mergeCell ref="BC4:BC6"/>
    <mergeCell ref="BC7:BC9"/>
    <mergeCell ref="BC10:BC12"/>
    <mergeCell ref="BC13:BC15"/>
    <mergeCell ref="BC16:BC18"/>
    <mergeCell ref="BC19:BC21"/>
    <mergeCell ref="BB4:BB6"/>
    <mergeCell ref="BB7:BB9"/>
    <mergeCell ref="BB10:BB12"/>
    <mergeCell ref="BB13:BB15"/>
    <mergeCell ref="BB16:BB18"/>
    <mergeCell ref="BA4:BA9"/>
    <mergeCell ref="BA10:BA15"/>
    <mergeCell ref="BA16:BA18"/>
    <mergeCell ref="BA19:BA21"/>
    <mergeCell ref="BA22:BA27"/>
    <mergeCell ref="AY22:AY24"/>
    <mergeCell ref="AZ4:AZ9"/>
    <mergeCell ref="AZ16:AZ21"/>
    <mergeCell ref="AZ22:AZ27"/>
    <mergeCell ref="AZ10:AZ12"/>
    <mergeCell ref="AZ13:AZ15"/>
    <mergeCell ref="AY4:AY6"/>
    <mergeCell ref="AY7:AY9"/>
    <mergeCell ref="AY10:AY12"/>
    <mergeCell ref="AY13:AY15"/>
    <mergeCell ref="AY16:AY21"/>
    <mergeCell ref="AW4:AW9"/>
    <mergeCell ref="AW10:AW15"/>
    <mergeCell ref="AW16:AW21"/>
    <mergeCell ref="AW22:AW27"/>
    <mergeCell ref="AX4:AX9"/>
    <mergeCell ref="AX10:AX15"/>
    <mergeCell ref="AX16:AX21"/>
    <mergeCell ref="AX22:AX27"/>
    <mergeCell ref="U22:U24"/>
    <mergeCell ref="AU16:AU18"/>
    <mergeCell ref="AU19:AU21"/>
    <mergeCell ref="AU22:AU27"/>
    <mergeCell ref="AV17:AV22"/>
    <mergeCell ref="U4:U6"/>
    <mergeCell ref="U7:U9"/>
    <mergeCell ref="U10:U13"/>
    <mergeCell ref="U16:U18"/>
    <mergeCell ref="U19:U21"/>
    <mergeCell ref="V4:V6"/>
    <mergeCell ref="V7:V9"/>
    <mergeCell ref="V10:V12"/>
    <mergeCell ref="V13:V15"/>
    <mergeCell ref="V16:V18"/>
    <mergeCell ref="V19:V21"/>
    <mergeCell ref="S19:S21"/>
    <mergeCell ref="S22:S24"/>
    <mergeCell ref="T4:T6"/>
    <mergeCell ref="T7:T9"/>
    <mergeCell ref="T10:T12"/>
    <mergeCell ref="T13:T15"/>
    <mergeCell ref="T16:T18"/>
    <mergeCell ref="T19:T21"/>
    <mergeCell ref="T22:T24"/>
    <mergeCell ref="S4:S6"/>
    <mergeCell ref="S7:S9"/>
    <mergeCell ref="S10:S12"/>
    <mergeCell ref="S13:S15"/>
    <mergeCell ref="S16:S18"/>
    <mergeCell ref="Q19:Q21"/>
    <mergeCell ref="Q22:Q24"/>
    <mergeCell ref="R4:R6"/>
    <mergeCell ref="R7:R9"/>
    <mergeCell ref="R10:R12"/>
    <mergeCell ref="R13:R15"/>
    <mergeCell ref="R16:R18"/>
    <mergeCell ref="R19:R21"/>
    <mergeCell ref="R22:R24"/>
    <mergeCell ref="Q4:Q6"/>
    <mergeCell ref="Q7:Q9"/>
    <mergeCell ref="Q10:Q12"/>
    <mergeCell ref="Q13:Q15"/>
    <mergeCell ref="Q16:Q18"/>
    <mergeCell ref="O19:O21"/>
    <mergeCell ref="O22:O24"/>
    <mergeCell ref="P4:P6"/>
    <mergeCell ref="P7:P9"/>
    <mergeCell ref="P10:P12"/>
    <mergeCell ref="P13:P15"/>
    <mergeCell ref="P16:P18"/>
    <mergeCell ref="P19:P21"/>
    <mergeCell ref="P22:P24"/>
    <mergeCell ref="O4:O6"/>
    <mergeCell ref="O7:O9"/>
    <mergeCell ref="O10:O12"/>
    <mergeCell ref="O13:O15"/>
    <mergeCell ref="O16:O18"/>
    <mergeCell ref="M22:M27"/>
    <mergeCell ref="N7:N9"/>
    <mergeCell ref="N10:N12"/>
    <mergeCell ref="N13:N15"/>
    <mergeCell ref="N16:N18"/>
    <mergeCell ref="N19:N21"/>
    <mergeCell ref="N22:N24"/>
    <mergeCell ref="M10:M15"/>
    <mergeCell ref="M16:M18"/>
    <mergeCell ref="M19:M21"/>
    <mergeCell ref="L20:L25"/>
    <mergeCell ref="L7:L9"/>
    <mergeCell ref="L10:L12"/>
    <mergeCell ref="L13:L15"/>
    <mergeCell ref="L16:L18"/>
    <mergeCell ref="K4:K9"/>
    <mergeCell ref="K10:K12"/>
    <mergeCell ref="K13:K15"/>
    <mergeCell ref="K16:K21"/>
    <mergeCell ref="F23:F26"/>
    <mergeCell ref="F10:F13"/>
    <mergeCell ref="F7:F9"/>
    <mergeCell ref="F14:F16"/>
    <mergeCell ref="F18:F21"/>
    <mergeCell ref="D15:D17"/>
    <mergeCell ref="D18:D21"/>
    <mergeCell ref="D22:D25"/>
    <mergeCell ref="E4:E7"/>
    <mergeCell ref="E10:E13"/>
    <mergeCell ref="E16:E18"/>
    <mergeCell ref="E19:E21"/>
    <mergeCell ref="E22:E25"/>
    <mergeCell ref="D6:D9"/>
    <mergeCell ref="D10:D13"/>
    <mergeCell ref="C4:C5"/>
    <mergeCell ref="C6:C9"/>
    <mergeCell ref="C10:C15"/>
    <mergeCell ref="C18:C21"/>
    <mergeCell ref="C22:C25"/>
    <mergeCell ref="B19:B21"/>
    <mergeCell ref="B4:B6"/>
    <mergeCell ref="B7:B9"/>
    <mergeCell ref="B10:B12"/>
    <mergeCell ref="B13:B15"/>
    <mergeCell ref="G23:G26"/>
    <mergeCell ref="H7:H9"/>
    <mergeCell ref="H10:H12"/>
    <mergeCell ref="H13:H15"/>
    <mergeCell ref="H16:H18"/>
    <mergeCell ref="H19:H21"/>
    <mergeCell ref="H22:H24"/>
    <mergeCell ref="G7:G9"/>
    <mergeCell ref="G10:G12"/>
    <mergeCell ref="G13:G15"/>
    <mergeCell ref="G16:G17"/>
    <mergeCell ref="G18:G21"/>
    <mergeCell ref="I7:I12"/>
    <mergeCell ref="I14:I17"/>
    <mergeCell ref="I18:I21"/>
    <mergeCell ref="I22:I27"/>
    <mergeCell ref="J7:J9"/>
    <mergeCell ref="J10:J12"/>
    <mergeCell ref="J13:J15"/>
    <mergeCell ref="J16:J18"/>
    <mergeCell ref="J19:J21"/>
    <mergeCell ref="J22:J24"/>
    <mergeCell ref="BH4:BH9"/>
    <mergeCell ref="BH10:BH15"/>
    <mergeCell ref="BH16:BH19"/>
    <mergeCell ref="BH20:BH25"/>
    <mergeCell ref="BD4:BD6"/>
    <mergeCell ref="BD7:BD9"/>
    <mergeCell ref="BD10:BD12"/>
    <mergeCell ref="BD13:BD15"/>
    <mergeCell ref="BD16:BD18"/>
    <mergeCell ref="BD19:BD21"/>
    <mergeCell ref="BD22:BD24"/>
    <mergeCell ref="V22:V24"/>
    <mergeCell ref="W4:W6"/>
    <mergeCell ref="W7:W9"/>
    <mergeCell ref="W10:W12"/>
    <mergeCell ref="W13:W15"/>
    <mergeCell ref="W16:W18"/>
    <mergeCell ref="W19:W21"/>
    <mergeCell ref="W22:W24"/>
    <mergeCell ref="X4:X6"/>
    <mergeCell ref="X7:X9"/>
    <mergeCell ref="X10:X12"/>
    <mergeCell ref="X13:X15"/>
    <mergeCell ref="X16:X18"/>
    <mergeCell ref="X19:X21"/>
    <mergeCell ref="X22:X24"/>
    <mergeCell ref="AA4:AA6"/>
    <mergeCell ref="AA7:AA9"/>
    <mergeCell ref="AA10:AA12"/>
    <mergeCell ref="AA13:AA15"/>
    <mergeCell ref="AA16:AA18"/>
    <mergeCell ref="AA19:AA21"/>
    <mergeCell ref="AA22:AA24"/>
    <mergeCell ref="Y4:Y6"/>
    <mergeCell ref="Y7:Y9"/>
    <mergeCell ref="Y10:Y12"/>
    <mergeCell ref="Y13:Y15"/>
    <mergeCell ref="Y16:Y18"/>
    <mergeCell ref="Y19:Y21"/>
    <mergeCell ref="Y22:Y24"/>
    <mergeCell ref="Z4:Z6"/>
    <mergeCell ref="Z7:Z9"/>
    <mergeCell ref="Z10:Z12"/>
    <mergeCell ref="Z13:Z15"/>
    <mergeCell ref="Z16:Z18"/>
    <mergeCell ref="Z19:Z21"/>
    <mergeCell ref="Z22:Z24"/>
  </mergeCells>
  <pageMargins left="0.7" right="0.7" top="0.75" bottom="0.75" header="0.3" footer="0.3"/>
  <pageSetup paperSize="9" scale="14" orientation="landscape"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utton 1">
              <controlPr defaultSize="0" print="0" autoFill="0" autoPict="0" macro="[0]!MergeCells">
                <anchor moveWithCells="1" sizeWithCells="1">
                  <from>
                    <xdr:col>0</xdr:col>
                    <xdr:colOff>68580</xdr:colOff>
                    <xdr:row>0</xdr:row>
                    <xdr:rowOff>7620</xdr:rowOff>
                  </from>
                  <to>
                    <xdr:col>0</xdr:col>
                    <xdr:colOff>1295400</xdr:colOff>
                    <xdr:row>0</xdr:row>
                    <xdr:rowOff>335280</xdr:rowOff>
                  </to>
                </anchor>
              </controlPr>
            </control>
          </mc:Choice>
        </mc:AlternateContent>
        <mc:AlternateContent xmlns:mc="http://schemas.openxmlformats.org/markup-compatibility/2006">
          <mc:Choice Requires="x14">
            <control shapeId="16386" r:id="rId5" name="Button 2">
              <controlPr defaultSize="0" print="0" autoFill="0" autoPict="0" macro="[0]!UnmergeCells">
                <anchor moveWithCells="1" sizeWithCells="1">
                  <from>
                    <xdr:col>0</xdr:col>
                    <xdr:colOff>68580</xdr:colOff>
                    <xdr:row>0</xdr:row>
                    <xdr:rowOff>342900</xdr:rowOff>
                  </from>
                  <to>
                    <xdr:col>0</xdr:col>
                    <xdr:colOff>1295400</xdr:colOff>
                    <xdr:row>0</xdr:row>
                    <xdr:rowOff>640080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BK60"/>
  <sheetViews>
    <sheetView zoomScale="70" zoomScaleNormal="70" workbookViewId="0">
      <pane xSplit="1" ySplit="3" topLeftCell="B4" activePane="bottomRight" state="frozen"/>
      <selection pane="topRight" activeCell="F14" sqref="F14"/>
      <selection pane="bottomLeft" activeCell="F14" sqref="F14"/>
      <selection pane="bottomRight" activeCell="AA21" sqref="AA21:AA28"/>
    </sheetView>
  </sheetViews>
  <sheetFormatPr defaultColWidth="9.109375" defaultRowHeight="14.4" x14ac:dyDescent="0.3"/>
  <cols>
    <col min="1" max="1" width="19.44140625" style="117" customWidth="1"/>
    <col min="2" max="63" width="20.5546875" style="129" customWidth="1"/>
    <col min="64" max="16384" width="9.109375" style="117"/>
  </cols>
  <sheetData>
    <row r="1" spans="1:63" ht="53.1" customHeight="1" thickBot="1" x14ac:dyDescent="0.35"/>
    <row r="2" spans="1:63" ht="37.5" customHeight="1" thickBot="1" x14ac:dyDescent="0.55000000000000004">
      <c r="A2" s="120" t="s">
        <v>2780</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row>
    <row r="3" spans="1:63" s="121" customFormat="1" ht="31.5" customHeight="1" x14ac:dyDescent="0.3">
      <c r="A3" s="118" t="s">
        <v>1208</v>
      </c>
      <c r="B3" s="119" t="s">
        <v>1707</v>
      </c>
      <c r="C3" s="278">
        <f>MONDAY!C3</f>
        <v>201</v>
      </c>
      <c r="D3" s="278">
        <f>MONDAY!D3</f>
        <v>202</v>
      </c>
      <c r="E3" s="278">
        <f>MONDAY!E3</f>
        <v>203</v>
      </c>
      <c r="F3" s="278">
        <f>MONDAY!F3</f>
        <v>204</v>
      </c>
      <c r="G3" s="278">
        <f>MONDAY!G3</f>
        <v>205</v>
      </c>
      <c r="H3" s="278">
        <f>MONDAY!H3</f>
        <v>206</v>
      </c>
      <c r="I3" s="278">
        <f>MONDAY!I3</f>
        <v>207</v>
      </c>
      <c r="J3" s="278">
        <f>MONDAY!J3</f>
        <v>212</v>
      </c>
      <c r="K3" s="278">
        <f>MONDAY!K3</f>
        <v>301</v>
      </c>
      <c r="L3" s="278">
        <f>MONDAY!L3</f>
        <v>302</v>
      </c>
      <c r="M3" s="278">
        <f>MONDAY!M3</f>
        <v>303</v>
      </c>
      <c r="N3" s="278">
        <f>MONDAY!N3</f>
        <v>304</v>
      </c>
      <c r="O3" s="278">
        <f>MONDAY!O3</f>
        <v>305</v>
      </c>
      <c r="P3" s="278">
        <f>MONDAY!P3</f>
        <v>306</v>
      </c>
      <c r="Q3" s="278">
        <f>MONDAY!Q3</f>
        <v>307</v>
      </c>
      <c r="R3" s="278">
        <f>MONDAY!R3</f>
        <v>308</v>
      </c>
      <c r="S3" s="278">
        <f>MONDAY!S3</f>
        <v>402</v>
      </c>
      <c r="T3" s="278">
        <f>MONDAY!T3</f>
        <v>407</v>
      </c>
      <c r="U3" s="278">
        <f>MONDAY!U3</f>
        <v>410</v>
      </c>
      <c r="V3" s="278">
        <f>MONDAY!V3</f>
        <v>501</v>
      </c>
      <c r="W3" s="278">
        <f>MONDAY!W3</f>
        <v>502</v>
      </c>
      <c r="X3" s="278">
        <f>MONDAY!X3</f>
        <v>503</v>
      </c>
      <c r="Y3" s="278">
        <f>MONDAY!Y3</f>
        <v>504</v>
      </c>
      <c r="Z3" s="278">
        <f>MONDAY!Z3</f>
        <v>505</v>
      </c>
      <c r="AA3" s="278">
        <f>MONDAY!AA3</f>
        <v>506</v>
      </c>
      <c r="AB3" s="278">
        <f>MONDAY!AB3</f>
        <v>507</v>
      </c>
      <c r="AC3" s="278">
        <f>MONDAY!AC3</f>
        <v>508</v>
      </c>
      <c r="AD3" s="278">
        <f>MONDAY!AD3</f>
        <v>509</v>
      </c>
      <c r="AE3" s="278">
        <f>MONDAY!AE3</f>
        <v>510</v>
      </c>
      <c r="AF3" s="278">
        <f>MONDAY!AF3</f>
        <v>511</v>
      </c>
      <c r="AG3" s="278">
        <f>MONDAY!AG3</f>
        <v>512</v>
      </c>
      <c r="AH3" s="278">
        <f>MONDAY!AH3</f>
        <v>601</v>
      </c>
      <c r="AI3" s="278">
        <f>MONDAY!AI3</f>
        <v>602</v>
      </c>
      <c r="AJ3" s="278">
        <f>MONDAY!AJ3</f>
        <v>603</v>
      </c>
      <c r="AK3" s="278">
        <f>MONDAY!AK3</f>
        <v>604</v>
      </c>
      <c r="AL3" s="278">
        <f>MONDAY!AL3</f>
        <v>605</v>
      </c>
      <c r="AM3" s="278">
        <f>MONDAY!AM3</f>
        <v>606</v>
      </c>
      <c r="AN3" s="278">
        <f>MONDAY!AN3</f>
        <v>607</v>
      </c>
      <c r="AO3" s="278">
        <f>MONDAY!AO3</f>
        <v>608</v>
      </c>
      <c r="AP3" s="278">
        <f>MONDAY!AP3</f>
        <v>0</v>
      </c>
      <c r="AQ3" s="278">
        <f>MONDAY!AQ3</f>
        <v>0</v>
      </c>
      <c r="AR3" s="278">
        <f>MONDAY!AR3</f>
        <v>0</v>
      </c>
      <c r="AS3" s="278" t="str">
        <f>MONDAY!AS3</f>
        <v>&lt;Room&gt;</v>
      </c>
      <c r="AT3" s="278" t="str">
        <f>MONDAY!AT3</f>
        <v>&lt;Room&gt;</v>
      </c>
      <c r="AU3" s="278" t="str">
        <f>MONDAY!AU3</f>
        <v>M01</v>
      </c>
      <c r="AV3" s="278" t="str">
        <f>MONDAY!AV3</f>
        <v>M02</v>
      </c>
      <c r="AW3" s="278">
        <f>MONDAY!AW3</f>
        <v>101</v>
      </c>
      <c r="AX3" s="278">
        <f>MONDAY!AX3</f>
        <v>208</v>
      </c>
      <c r="AY3" s="278">
        <f>MONDAY!AY3</f>
        <v>209</v>
      </c>
      <c r="AZ3" s="278">
        <f>MONDAY!AZ3</f>
        <v>210</v>
      </c>
      <c r="BA3" s="278">
        <f>MONDAY!BA3</f>
        <v>211</v>
      </c>
      <c r="BB3" s="278">
        <f>MONDAY!BB3</f>
        <v>401</v>
      </c>
      <c r="BC3" s="278">
        <f>MONDAY!BC3</f>
        <v>408</v>
      </c>
      <c r="BD3" s="278">
        <f>MONDAY!BD3</f>
        <v>409</v>
      </c>
      <c r="BE3" s="278" t="str">
        <f>MONDAY!BE3</f>
        <v>KITCHEN 1</v>
      </c>
      <c r="BF3" s="278" t="str">
        <f>MONDAY!BF3</f>
        <v>KITCHEN 2</v>
      </c>
      <c r="BG3" s="278" t="str">
        <f>MONDAY!BG3</f>
        <v>BAR</v>
      </c>
      <c r="BH3" s="278" t="str">
        <f>MONDAY!BH3</f>
        <v>SUITE ROOM</v>
      </c>
      <c r="BI3" s="278" t="str">
        <f>MONDAY!BI3</f>
        <v>&lt;Lab&gt;</v>
      </c>
      <c r="BJ3" s="278" t="str">
        <f>MONDAY!BJ3</f>
        <v>&lt;Lab&gt;</v>
      </c>
      <c r="BK3" s="278" t="str">
        <f>MONDAY!BK3</f>
        <v>&lt;Lab&gt;</v>
      </c>
    </row>
    <row r="4" spans="1:63" ht="15.75" customHeight="1" x14ac:dyDescent="0.3">
      <c r="A4" s="122" t="s">
        <v>1713</v>
      </c>
      <c r="B4" s="371" t="s">
        <v>1714</v>
      </c>
      <c r="C4" s="263" t="s">
        <v>1716</v>
      </c>
      <c r="D4" s="263" t="s">
        <v>1716</v>
      </c>
      <c r="E4" s="263" t="s">
        <v>1716</v>
      </c>
      <c r="F4" s="263" t="s">
        <v>1716</v>
      </c>
      <c r="G4" s="263" t="s">
        <v>1716</v>
      </c>
      <c r="H4" s="379" t="s">
        <v>2781</v>
      </c>
      <c r="I4" s="263" t="s">
        <v>1716</v>
      </c>
      <c r="J4" s="263" t="s">
        <v>1716</v>
      </c>
      <c r="K4" s="379" t="s">
        <v>2782</v>
      </c>
      <c r="L4" s="379" t="s">
        <v>2783</v>
      </c>
      <c r="M4" s="263" t="s">
        <v>1716</v>
      </c>
      <c r="N4" s="263" t="s">
        <v>1716</v>
      </c>
      <c r="O4" s="263" t="s">
        <v>1716</v>
      </c>
      <c r="P4" s="263" t="s">
        <v>1716</v>
      </c>
      <c r="Q4" s="263" t="s">
        <v>1716</v>
      </c>
      <c r="R4" s="263" t="s">
        <v>1716</v>
      </c>
      <c r="S4" s="263" t="s">
        <v>1734</v>
      </c>
      <c r="T4" s="263" t="s">
        <v>1716</v>
      </c>
      <c r="U4" s="263" t="s">
        <v>1716</v>
      </c>
      <c r="V4" s="263" t="s">
        <v>1734</v>
      </c>
      <c r="W4" s="263" t="s">
        <v>1734</v>
      </c>
      <c r="X4" s="263" t="s">
        <v>1734</v>
      </c>
      <c r="Y4" s="263" t="s">
        <v>1734</v>
      </c>
      <c r="Z4" s="263" t="s">
        <v>1734</v>
      </c>
      <c r="AA4" s="263" t="s">
        <v>1734</v>
      </c>
      <c r="AB4" s="263" t="s">
        <v>1734</v>
      </c>
      <c r="AC4" s="263" t="s">
        <v>1734</v>
      </c>
      <c r="AD4" s="263" t="s">
        <v>1734</v>
      </c>
      <c r="AE4" s="263" t="s">
        <v>1734</v>
      </c>
      <c r="AF4" s="263" t="s">
        <v>1734</v>
      </c>
      <c r="AG4" s="263" t="s">
        <v>1734</v>
      </c>
      <c r="AH4" s="263" t="s">
        <v>1716</v>
      </c>
      <c r="AI4" s="263" t="s">
        <v>1734</v>
      </c>
      <c r="AJ4" s="263" t="s">
        <v>1734</v>
      </c>
      <c r="AK4" s="263" t="s">
        <v>1734</v>
      </c>
      <c r="AL4" s="263" t="s">
        <v>2784</v>
      </c>
      <c r="AM4" s="263" t="s">
        <v>1734</v>
      </c>
      <c r="AN4" s="263" t="s">
        <v>1716</v>
      </c>
      <c r="AO4" s="263" t="s">
        <v>1734</v>
      </c>
      <c r="AP4" s="263"/>
      <c r="AQ4" s="263"/>
      <c r="AR4" s="263"/>
      <c r="AS4" s="263"/>
      <c r="AT4" s="263"/>
      <c r="AU4" s="263" t="s">
        <v>1734</v>
      </c>
      <c r="AV4" s="263" t="s">
        <v>1734</v>
      </c>
      <c r="AW4" s="379" t="s">
        <v>2785</v>
      </c>
      <c r="AX4" s="379" t="s">
        <v>2786</v>
      </c>
      <c r="AY4" s="263" t="s">
        <v>1716</v>
      </c>
      <c r="AZ4" s="379" t="s">
        <v>2787</v>
      </c>
      <c r="BA4" s="379" t="s">
        <v>2788</v>
      </c>
      <c r="BB4" s="263" t="s">
        <v>1734</v>
      </c>
      <c r="BC4" s="263" t="s">
        <v>1734</v>
      </c>
      <c r="BD4" s="263" t="s">
        <v>1716</v>
      </c>
      <c r="BE4" s="263" t="s">
        <v>1734</v>
      </c>
      <c r="BF4" s="263" t="s">
        <v>1716</v>
      </c>
      <c r="BG4" s="263" t="s">
        <v>1734</v>
      </c>
      <c r="BH4" s="263" t="s">
        <v>1716</v>
      </c>
      <c r="BI4" s="263"/>
      <c r="BJ4" s="263"/>
      <c r="BK4" s="263"/>
    </row>
    <row r="5" spans="1:63" ht="15.75" customHeight="1" x14ac:dyDescent="0.3">
      <c r="A5" s="124" t="s">
        <v>1743</v>
      </c>
      <c r="B5" s="372"/>
      <c r="C5" s="262" t="s">
        <v>1716</v>
      </c>
      <c r="D5" s="262" t="s">
        <v>1716</v>
      </c>
      <c r="E5" s="262" t="s">
        <v>1716</v>
      </c>
      <c r="F5" s="262" t="s">
        <v>1716</v>
      </c>
      <c r="G5" s="262" t="s">
        <v>1716</v>
      </c>
      <c r="H5" s="380"/>
      <c r="I5" s="262" t="s">
        <v>1716</v>
      </c>
      <c r="J5" s="262" t="s">
        <v>1716</v>
      </c>
      <c r="K5" s="380"/>
      <c r="L5" s="380"/>
      <c r="M5" s="262" t="s">
        <v>1716</v>
      </c>
      <c r="N5" s="262" t="s">
        <v>1716</v>
      </c>
      <c r="O5" s="262" t="s">
        <v>1716</v>
      </c>
      <c r="P5" s="262" t="s">
        <v>1716</v>
      </c>
      <c r="Q5" s="262" t="s">
        <v>1716</v>
      </c>
      <c r="R5" s="262" t="s">
        <v>1716</v>
      </c>
      <c r="S5" s="262"/>
      <c r="T5" s="262" t="s">
        <v>1716</v>
      </c>
      <c r="U5" s="262" t="s">
        <v>1716</v>
      </c>
      <c r="V5" s="262"/>
      <c r="W5" s="262"/>
      <c r="X5" s="262"/>
      <c r="Y5" s="262"/>
      <c r="Z5" s="262"/>
      <c r="AA5" s="262"/>
      <c r="AB5" s="262"/>
      <c r="AC5" s="262"/>
      <c r="AD5" s="262"/>
      <c r="AE5" s="262"/>
      <c r="AF5" s="262"/>
      <c r="AG5" s="262"/>
      <c r="AH5" s="262" t="s">
        <v>1716</v>
      </c>
      <c r="AI5" s="262"/>
      <c r="AJ5" s="262"/>
      <c r="AK5" s="262"/>
      <c r="AL5" s="262"/>
      <c r="AM5" s="262"/>
      <c r="AN5" s="378" t="s">
        <v>2789</v>
      </c>
      <c r="AO5" s="262"/>
      <c r="AP5" s="262"/>
      <c r="AQ5" s="262"/>
      <c r="AR5" s="262"/>
      <c r="AS5" s="262"/>
      <c r="AT5" s="262"/>
      <c r="AU5" s="262"/>
      <c r="AV5" s="262"/>
      <c r="AW5" s="380"/>
      <c r="AX5" s="380"/>
      <c r="AY5" s="262" t="s">
        <v>1716</v>
      </c>
      <c r="AZ5" s="380"/>
      <c r="BA5" s="380"/>
      <c r="BB5" s="262"/>
      <c r="BC5" s="262"/>
      <c r="BD5" s="262"/>
      <c r="BE5" s="262"/>
      <c r="BF5" s="378" t="s">
        <v>2790</v>
      </c>
      <c r="BG5" s="262"/>
      <c r="BH5" s="262" t="s">
        <v>1716</v>
      </c>
      <c r="BI5" s="262"/>
      <c r="BJ5" s="262"/>
      <c r="BK5" s="262"/>
    </row>
    <row r="6" spans="1:63" ht="15.6" customHeight="1" x14ac:dyDescent="0.3">
      <c r="A6" s="124" t="s">
        <v>1744</v>
      </c>
      <c r="B6" s="373"/>
      <c r="C6" s="377" t="s">
        <v>2791</v>
      </c>
      <c r="D6" s="377" t="s">
        <v>2792</v>
      </c>
      <c r="E6" s="377" t="s">
        <v>2793</v>
      </c>
      <c r="F6" s="262" t="s">
        <v>1716</v>
      </c>
      <c r="G6" s="377" t="s">
        <v>2794</v>
      </c>
      <c r="H6" s="380"/>
      <c r="I6" s="262" t="s">
        <v>1716</v>
      </c>
      <c r="J6" s="377" t="s">
        <v>2795</v>
      </c>
      <c r="K6" s="380"/>
      <c r="L6" s="380"/>
      <c r="M6" s="262" t="s">
        <v>1716</v>
      </c>
      <c r="N6" s="379" t="s">
        <v>2796</v>
      </c>
      <c r="O6" s="379" t="s">
        <v>2797</v>
      </c>
      <c r="P6" s="262" t="s">
        <v>1716</v>
      </c>
      <c r="Q6" s="378" t="s">
        <v>2798</v>
      </c>
      <c r="R6" s="379" t="s">
        <v>2799</v>
      </c>
      <c r="S6" s="262"/>
      <c r="T6" s="262" t="s">
        <v>1716</v>
      </c>
      <c r="U6" s="262" t="s">
        <v>1716</v>
      </c>
      <c r="V6" s="262"/>
      <c r="W6" s="262"/>
      <c r="X6" s="262"/>
      <c r="Y6" s="262"/>
      <c r="Z6" s="262"/>
      <c r="AA6" s="262"/>
      <c r="AB6" s="262"/>
      <c r="AC6" s="262"/>
      <c r="AD6" s="262"/>
      <c r="AE6" s="262"/>
      <c r="AF6" s="262"/>
      <c r="AG6" s="262"/>
      <c r="AH6" s="262" t="s">
        <v>1716</v>
      </c>
      <c r="AI6" s="262"/>
      <c r="AJ6" s="262"/>
      <c r="AK6" s="262"/>
      <c r="AL6" s="262"/>
      <c r="AM6" s="262"/>
      <c r="AN6" s="378"/>
      <c r="AO6" s="262"/>
      <c r="AP6" s="262"/>
      <c r="AQ6" s="262"/>
      <c r="AR6" s="262"/>
      <c r="AS6" s="262"/>
      <c r="AT6" s="262"/>
      <c r="AU6" s="262"/>
      <c r="AV6" s="262"/>
      <c r="AW6" s="380"/>
      <c r="AX6" s="380"/>
      <c r="AY6" s="262" t="s">
        <v>1716</v>
      </c>
      <c r="AZ6" s="380"/>
      <c r="BA6" s="380"/>
      <c r="BB6" s="262"/>
      <c r="BC6" s="262"/>
      <c r="BD6" s="262"/>
      <c r="BE6" s="262"/>
      <c r="BF6" s="378"/>
      <c r="BG6" s="262"/>
      <c r="BH6" s="262" t="s">
        <v>1716</v>
      </c>
      <c r="BI6" s="262"/>
      <c r="BJ6" s="262"/>
      <c r="BK6" s="262"/>
    </row>
    <row r="7" spans="1:63" ht="15.75" customHeight="1" x14ac:dyDescent="0.3">
      <c r="A7" s="124" t="s">
        <v>1748</v>
      </c>
      <c r="B7" s="371" t="s">
        <v>1714</v>
      </c>
      <c r="C7" s="377"/>
      <c r="D7" s="377"/>
      <c r="E7" s="377"/>
      <c r="F7" s="379" t="s">
        <v>2800</v>
      </c>
      <c r="G7" s="377"/>
      <c r="H7" s="380"/>
      <c r="I7" s="262" t="s">
        <v>1716</v>
      </c>
      <c r="J7" s="377"/>
      <c r="K7" s="380"/>
      <c r="L7" s="380"/>
      <c r="M7" s="262" t="s">
        <v>1716</v>
      </c>
      <c r="N7" s="380"/>
      <c r="O7" s="380"/>
      <c r="P7" s="262" t="s">
        <v>1716</v>
      </c>
      <c r="Q7" s="378"/>
      <c r="R7" s="380"/>
      <c r="S7" s="262"/>
      <c r="T7" s="262" t="s">
        <v>1716</v>
      </c>
      <c r="U7" s="262" t="s">
        <v>1716</v>
      </c>
      <c r="V7" s="262"/>
      <c r="W7" s="262"/>
      <c r="X7" s="262"/>
      <c r="Y7" s="262"/>
      <c r="Z7" s="262"/>
      <c r="AA7" s="262"/>
      <c r="AB7" s="262"/>
      <c r="AC7" s="262"/>
      <c r="AD7" s="262"/>
      <c r="AE7" s="262"/>
      <c r="AF7" s="262"/>
      <c r="AG7" s="262"/>
      <c r="AH7" s="262" t="s">
        <v>1716</v>
      </c>
      <c r="AI7" s="262"/>
      <c r="AJ7" s="262"/>
      <c r="AK7" s="262"/>
      <c r="AL7" s="262"/>
      <c r="AM7" s="262"/>
      <c r="AN7" s="379" t="s">
        <v>2801</v>
      </c>
      <c r="AO7" s="262"/>
      <c r="AP7" s="262"/>
      <c r="AQ7" s="262"/>
      <c r="AR7" s="262"/>
      <c r="AS7" s="262"/>
      <c r="AT7" s="262"/>
      <c r="AU7" s="262"/>
      <c r="AV7" s="262"/>
      <c r="AW7" s="380"/>
      <c r="AX7" s="380"/>
      <c r="AY7" s="262" t="s">
        <v>1716</v>
      </c>
      <c r="AZ7" s="380"/>
      <c r="BA7" s="380"/>
      <c r="BB7" s="262"/>
      <c r="BC7" s="262"/>
      <c r="BD7" s="262"/>
      <c r="BE7" s="262"/>
      <c r="BF7" s="379" t="s">
        <v>2802</v>
      </c>
      <c r="BG7" s="262"/>
      <c r="BH7" s="262" t="s">
        <v>1716</v>
      </c>
      <c r="BI7" s="262"/>
      <c r="BJ7" s="262"/>
      <c r="BK7" s="262"/>
    </row>
    <row r="8" spans="1:63" ht="15.6" x14ac:dyDescent="0.3">
      <c r="A8" s="124" t="s">
        <v>1787</v>
      </c>
      <c r="B8" s="372"/>
      <c r="C8" s="377"/>
      <c r="D8" s="377"/>
      <c r="E8" s="377"/>
      <c r="F8" s="380"/>
      <c r="G8" s="377"/>
      <c r="H8" s="380"/>
      <c r="I8" s="262" t="s">
        <v>1716</v>
      </c>
      <c r="J8" s="377"/>
      <c r="K8" s="380"/>
      <c r="L8" s="380"/>
      <c r="M8" s="262" t="s">
        <v>1716</v>
      </c>
      <c r="N8" s="380"/>
      <c r="O8" s="380"/>
      <c r="P8" s="262" t="s">
        <v>1716</v>
      </c>
      <c r="Q8" s="379" t="s">
        <v>2803</v>
      </c>
      <c r="R8" s="380"/>
      <c r="S8" s="262"/>
      <c r="T8" s="262" t="s">
        <v>1716</v>
      </c>
      <c r="U8" s="262" t="s">
        <v>1716</v>
      </c>
      <c r="V8" s="262"/>
      <c r="W8" s="262"/>
      <c r="X8" s="262"/>
      <c r="Y8" s="262"/>
      <c r="Z8" s="262"/>
      <c r="AA8" s="262"/>
      <c r="AB8" s="262"/>
      <c r="AC8" s="262"/>
      <c r="AD8" s="262"/>
      <c r="AE8" s="262"/>
      <c r="AF8" s="262"/>
      <c r="AG8" s="262"/>
      <c r="AH8" s="379" t="s">
        <v>2804</v>
      </c>
      <c r="AI8" s="262"/>
      <c r="AJ8" s="262"/>
      <c r="AK8" s="262"/>
      <c r="AL8" s="262"/>
      <c r="AM8" s="262"/>
      <c r="AN8" s="380"/>
      <c r="AO8" s="262"/>
      <c r="AP8" s="262"/>
      <c r="AQ8" s="262"/>
      <c r="AR8" s="262"/>
      <c r="AS8" s="262"/>
      <c r="AT8" s="262"/>
      <c r="AU8" s="262"/>
      <c r="AV8" s="262"/>
      <c r="AW8" s="380"/>
      <c r="AX8" s="380"/>
      <c r="AY8" s="262" t="s">
        <v>1716</v>
      </c>
      <c r="AZ8" s="380"/>
      <c r="BA8" s="380"/>
      <c r="BB8" s="262"/>
      <c r="BC8" s="262"/>
      <c r="BD8" s="262"/>
      <c r="BE8" s="262"/>
      <c r="BF8" s="380"/>
      <c r="BG8" s="262"/>
      <c r="BH8" s="379" t="s">
        <v>2805</v>
      </c>
      <c r="BI8" s="262"/>
      <c r="BJ8" s="262"/>
      <c r="BK8" s="262"/>
    </row>
    <row r="9" spans="1:63" ht="15.6" x14ac:dyDescent="0.3">
      <c r="A9" s="124" t="s">
        <v>1791</v>
      </c>
      <c r="B9" s="373"/>
      <c r="C9" s="377"/>
      <c r="D9" s="377"/>
      <c r="E9" s="377"/>
      <c r="F9" s="380"/>
      <c r="G9" s="377"/>
      <c r="H9" s="381"/>
      <c r="I9" s="262" t="s">
        <v>1716</v>
      </c>
      <c r="J9" s="377"/>
      <c r="K9" s="381"/>
      <c r="L9" s="381"/>
      <c r="M9" s="262" t="s">
        <v>1716</v>
      </c>
      <c r="N9" s="380"/>
      <c r="O9" s="380"/>
      <c r="P9" s="262" t="s">
        <v>1716</v>
      </c>
      <c r="Q9" s="380"/>
      <c r="R9" s="380"/>
      <c r="S9" s="262"/>
      <c r="T9" s="262" t="s">
        <v>1716</v>
      </c>
      <c r="U9" s="262" t="s">
        <v>1716</v>
      </c>
      <c r="V9" s="262"/>
      <c r="W9" s="262"/>
      <c r="X9" s="262"/>
      <c r="Y9" s="262"/>
      <c r="Z9" s="262"/>
      <c r="AA9" s="262"/>
      <c r="AB9" s="262"/>
      <c r="AC9" s="262"/>
      <c r="AD9" s="262"/>
      <c r="AE9" s="262"/>
      <c r="AF9" s="262"/>
      <c r="AG9" s="262"/>
      <c r="AH9" s="380"/>
      <c r="AI9" s="262"/>
      <c r="AJ9" s="262"/>
      <c r="AK9" s="262"/>
      <c r="AL9" s="262"/>
      <c r="AM9" s="262"/>
      <c r="AN9" s="380"/>
      <c r="AO9" s="262"/>
      <c r="AP9" s="262"/>
      <c r="AQ9" s="262"/>
      <c r="AR9" s="262"/>
      <c r="AS9" s="262"/>
      <c r="AT9" s="262"/>
      <c r="AU9" s="262"/>
      <c r="AV9" s="262"/>
      <c r="AW9" s="381"/>
      <c r="AX9" s="381"/>
      <c r="AY9" s="262" t="s">
        <v>1716</v>
      </c>
      <c r="AZ9" s="381"/>
      <c r="BA9" s="381"/>
      <c r="BB9" s="262"/>
      <c r="BC9" s="262"/>
      <c r="BD9" s="262"/>
      <c r="BE9" s="262"/>
      <c r="BF9" s="380"/>
      <c r="BG9" s="262"/>
      <c r="BH9" s="380"/>
      <c r="BI9" s="262"/>
      <c r="BJ9" s="262"/>
      <c r="BK9" s="262"/>
    </row>
    <row r="10" spans="1:63" ht="15.6" x14ac:dyDescent="0.3">
      <c r="A10" s="124" t="s">
        <v>1792</v>
      </c>
      <c r="B10" s="371" t="s">
        <v>1714</v>
      </c>
      <c r="C10" s="377" t="s">
        <v>2806</v>
      </c>
      <c r="D10" s="377" t="s">
        <v>2807</v>
      </c>
      <c r="E10" s="377" t="s">
        <v>2808</v>
      </c>
      <c r="F10" s="380"/>
      <c r="G10" s="377" t="s">
        <v>2809</v>
      </c>
      <c r="H10" s="262" t="s">
        <v>1716</v>
      </c>
      <c r="I10" s="379" t="s">
        <v>2810</v>
      </c>
      <c r="J10" s="377" t="s">
        <v>2811</v>
      </c>
      <c r="K10" s="379" t="s">
        <v>2812</v>
      </c>
      <c r="L10" s="379" t="s">
        <v>2813</v>
      </c>
      <c r="M10" s="262" t="s">
        <v>1716</v>
      </c>
      <c r="N10" s="380"/>
      <c r="O10" s="380"/>
      <c r="P10" s="262" t="s">
        <v>1716</v>
      </c>
      <c r="Q10" s="380"/>
      <c r="R10" s="380"/>
      <c r="S10" s="262"/>
      <c r="T10" s="406" t="s">
        <v>2814</v>
      </c>
      <c r="U10" s="262" t="s">
        <v>1716</v>
      </c>
      <c r="V10" s="262"/>
      <c r="W10" s="262"/>
      <c r="X10" s="262"/>
      <c r="Y10" s="262"/>
      <c r="Z10" s="262"/>
      <c r="AA10" s="262"/>
      <c r="AB10" s="262"/>
      <c r="AC10" s="262"/>
      <c r="AD10" s="262"/>
      <c r="AE10" s="262"/>
      <c r="AF10" s="262"/>
      <c r="AG10" s="262"/>
      <c r="AH10" s="380"/>
      <c r="AI10" s="262"/>
      <c r="AJ10" s="262"/>
      <c r="AK10" s="262"/>
      <c r="AL10" s="262"/>
      <c r="AM10" s="262"/>
      <c r="AN10" s="380"/>
      <c r="AO10" s="262"/>
      <c r="AP10" s="262"/>
      <c r="AQ10" s="262"/>
      <c r="AR10" s="262"/>
      <c r="AS10" s="262"/>
      <c r="AT10" s="262"/>
      <c r="AU10" s="262"/>
      <c r="AV10" s="262"/>
      <c r="AW10" s="379" t="s">
        <v>2792</v>
      </c>
      <c r="AX10" s="379" t="s">
        <v>2815</v>
      </c>
      <c r="AY10" s="379" t="s">
        <v>2477</v>
      </c>
      <c r="AZ10" s="385" t="s">
        <v>2816</v>
      </c>
      <c r="BA10" s="379" t="s">
        <v>2817</v>
      </c>
      <c r="BB10" s="262"/>
      <c r="BC10" s="262"/>
      <c r="BD10" s="379" t="s">
        <v>2818</v>
      </c>
      <c r="BE10" s="262"/>
      <c r="BF10" s="380"/>
      <c r="BG10" s="262"/>
      <c r="BH10" s="380"/>
      <c r="BI10" s="262"/>
      <c r="BJ10" s="262"/>
      <c r="BK10" s="262"/>
    </row>
    <row r="11" spans="1:63" ht="15.6" customHeight="1" x14ac:dyDescent="0.3">
      <c r="A11" s="124" t="s">
        <v>1834</v>
      </c>
      <c r="B11" s="372"/>
      <c r="C11" s="377"/>
      <c r="D11" s="377"/>
      <c r="E11" s="377"/>
      <c r="F11" s="380"/>
      <c r="G11" s="377"/>
      <c r="H11" s="262" t="s">
        <v>1716</v>
      </c>
      <c r="I11" s="380"/>
      <c r="J11" s="377"/>
      <c r="K11" s="380"/>
      <c r="L11" s="380"/>
      <c r="M11" s="262" t="s">
        <v>1716</v>
      </c>
      <c r="N11" s="381"/>
      <c r="O11" s="381"/>
      <c r="P11" s="262" t="s">
        <v>1716</v>
      </c>
      <c r="Q11" s="380"/>
      <c r="R11" s="381"/>
      <c r="S11" s="262"/>
      <c r="T11" s="406"/>
      <c r="U11" s="262" t="s">
        <v>1716</v>
      </c>
      <c r="V11" s="262"/>
      <c r="W11" s="262"/>
      <c r="X11" s="262"/>
      <c r="Y11" s="262"/>
      <c r="Z11" s="262"/>
      <c r="AA11" s="262"/>
      <c r="AB11" s="262"/>
      <c r="AC11" s="262"/>
      <c r="AD11" s="262"/>
      <c r="AE11" s="262"/>
      <c r="AF11" s="262"/>
      <c r="AG11" s="262"/>
      <c r="AH11" s="380"/>
      <c r="AI11" s="262"/>
      <c r="AJ11" s="262"/>
      <c r="AK11" s="262"/>
      <c r="AL11" s="262"/>
      <c r="AM11" s="262"/>
      <c r="AN11" s="380"/>
      <c r="AO11" s="262"/>
      <c r="AP11" s="262"/>
      <c r="AQ11" s="262"/>
      <c r="AR11" s="262"/>
      <c r="AS11" s="262"/>
      <c r="AT11" s="262"/>
      <c r="AU11" s="262"/>
      <c r="AV11" s="262"/>
      <c r="AW11" s="380"/>
      <c r="AX11" s="380"/>
      <c r="AY11" s="380"/>
      <c r="AZ11" s="386"/>
      <c r="BA11" s="380"/>
      <c r="BB11" s="262"/>
      <c r="BC11" s="262"/>
      <c r="BD11" s="380"/>
      <c r="BE11" s="262"/>
      <c r="BF11" s="380"/>
      <c r="BG11" s="262"/>
      <c r="BH11" s="380"/>
      <c r="BI11" s="262"/>
      <c r="BJ11" s="262"/>
      <c r="BK11" s="262"/>
    </row>
    <row r="12" spans="1:63" ht="15.6" x14ac:dyDescent="0.3">
      <c r="A12" s="124" t="s">
        <v>1835</v>
      </c>
      <c r="B12" s="373"/>
      <c r="C12" s="377"/>
      <c r="D12" s="377"/>
      <c r="E12" s="377"/>
      <c r="F12" s="381"/>
      <c r="G12" s="377"/>
      <c r="H12" s="262" t="s">
        <v>1716</v>
      </c>
      <c r="I12" s="380"/>
      <c r="J12" s="377"/>
      <c r="K12" s="380"/>
      <c r="L12" s="380"/>
      <c r="M12" s="379" t="s">
        <v>2813</v>
      </c>
      <c r="N12" s="378" t="s">
        <v>2819</v>
      </c>
      <c r="O12" s="378" t="s">
        <v>2820</v>
      </c>
      <c r="P12" s="262" t="s">
        <v>1716</v>
      </c>
      <c r="Q12" s="380"/>
      <c r="R12" s="378" t="s">
        <v>2821</v>
      </c>
      <c r="S12" s="262"/>
      <c r="T12" s="406"/>
      <c r="U12" s="262" t="s">
        <v>1716</v>
      </c>
      <c r="V12" s="262"/>
      <c r="W12" s="262"/>
      <c r="X12" s="262"/>
      <c r="Y12" s="262"/>
      <c r="Z12" s="262"/>
      <c r="AA12" s="262"/>
      <c r="AB12" s="262"/>
      <c r="AC12" s="262"/>
      <c r="AD12" s="262"/>
      <c r="AE12" s="262"/>
      <c r="AF12" s="262"/>
      <c r="AG12" s="262"/>
      <c r="AH12" s="380"/>
      <c r="AI12" s="262"/>
      <c r="AJ12" s="262"/>
      <c r="AK12" s="262"/>
      <c r="AL12" s="262"/>
      <c r="AM12" s="262"/>
      <c r="AN12" s="381"/>
      <c r="AO12" s="262"/>
      <c r="AP12" s="262"/>
      <c r="AQ12" s="262"/>
      <c r="AR12" s="262"/>
      <c r="AS12" s="262"/>
      <c r="AT12" s="262"/>
      <c r="AU12" s="262"/>
      <c r="AV12" s="262"/>
      <c r="AW12" s="380"/>
      <c r="AX12" s="380"/>
      <c r="AY12" s="380"/>
      <c r="AZ12" s="387"/>
      <c r="BA12" s="380"/>
      <c r="BB12" s="262"/>
      <c r="BC12" s="262"/>
      <c r="BD12" s="380"/>
      <c r="BE12" s="262"/>
      <c r="BF12" s="381"/>
      <c r="BG12" s="262"/>
      <c r="BH12" s="380"/>
      <c r="BI12" s="262"/>
      <c r="BJ12" s="262"/>
      <c r="BK12" s="262"/>
    </row>
    <row r="13" spans="1:63" ht="15.6" x14ac:dyDescent="0.3">
      <c r="A13" s="124" t="s">
        <v>1836</v>
      </c>
      <c r="B13" s="371" t="s">
        <v>1714</v>
      </c>
      <c r="C13" s="377"/>
      <c r="D13" s="377"/>
      <c r="E13" s="377"/>
      <c r="F13" s="262" t="s">
        <v>1716</v>
      </c>
      <c r="G13" s="377"/>
      <c r="H13" s="379" t="s">
        <v>2822</v>
      </c>
      <c r="I13" s="380"/>
      <c r="J13" s="377"/>
      <c r="K13" s="380"/>
      <c r="L13" s="380"/>
      <c r="M13" s="380"/>
      <c r="N13" s="378"/>
      <c r="O13" s="378"/>
      <c r="P13" s="262" t="s">
        <v>1716</v>
      </c>
      <c r="Q13" s="381"/>
      <c r="R13" s="378"/>
      <c r="S13" s="262"/>
      <c r="T13" s="406"/>
      <c r="U13" s="262" t="s">
        <v>1716</v>
      </c>
      <c r="V13" s="262"/>
      <c r="W13" s="262"/>
      <c r="X13" s="262"/>
      <c r="Y13" s="262"/>
      <c r="Z13" s="262"/>
      <c r="AA13" s="262"/>
      <c r="AB13" s="262"/>
      <c r="AC13" s="262"/>
      <c r="AD13" s="262"/>
      <c r="AE13" s="262"/>
      <c r="AF13" s="262"/>
      <c r="AG13" s="262"/>
      <c r="AH13" s="381"/>
      <c r="AI13" s="262"/>
      <c r="AJ13" s="262"/>
      <c r="AK13" s="262"/>
      <c r="AL13" s="262"/>
      <c r="AM13" s="262"/>
      <c r="AN13" s="262" t="s">
        <v>1716</v>
      </c>
      <c r="AO13" s="262"/>
      <c r="AP13" s="262"/>
      <c r="AQ13" s="262"/>
      <c r="AR13" s="262"/>
      <c r="AS13" s="262"/>
      <c r="AT13" s="262"/>
      <c r="AU13" s="262"/>
      <c r="AV13" s="262"/>
      <c r="AW13" s="380"/>
      <c r="AX13" s="380"/>
      <c r="AY13" s="380"/>
      <c r="AZ13" s="385" t="s">
        <v>2823</v>
      </c>
      <c r="BA13" s="380"/>
      <c r="BB13" s="262"/>
      <c r="BC13" s="262"/>
      <c r="BD13" s="380"/>
      <c r="BE13" s="262"/>
      <c r="BF13" s="262" t="s">
        <v>1716</v>
      </c>
      <c r="BG13" s="262"/>
      <c r="BH13" s="381"/>
      <c r="BI13" s="262"/>
      <c r="BJ13" s="262"/>
      <c r="BK13" s="262"/>
    </row>
    <row r="14" spans="1:63" ht="15.6" customHeight="1" x14ac:dyDescent="0.3">
      <c r="A14" s="124" t="s">
        <v>1875</v>
      </c>
      <c r="B14" s="372"/>
      <c r="C14" s="262" t="s">
        <v>1716</v>
      </c>
      <c r="D14" s="262" t="s">
        <v>1716</v>
      </c>
      <c r="E14" s="377" t="s">
        <v>2824</v>
      </c>
      <c r="F14" s="377" t="s">
        <v>2825</v>
      </c>
      <c r="G14" s="262" t="s">
        <v>1716</v>
      </c>
      <c r="H14" s="380"/>
      <c r="I14" s="380"/>
      <c r="J14" s="262" t="s">
        <v>1716</v>
      </c>
      <c r="K14" s="380"/>
      <c r="L14" s="380"/>
      <c r="M14" s="380"/>
      <c r="N14" s="262" t="s">
        <v>1716</v>
      </c>
      <c r="O14" s="262" t="s">
        <v>1716</v>
      </c>
      <c r="P14" s="262" t="s">
        <v>1716</v>
      </c>
      <c r="Q14" s="262" t="s">
        <v>1716</v>
      </c>
      <c r="R14" s="262" t="s">
        <v>1716</v>
      </c>
      <c r="S14" s="262"/>
      <c r="T14" s="262" t="s">
        <v>1716</v>
      </c>
      <c r="U14" s="262" t="s">
        <v>1716</v>
      </c>
      <c r="V14" s="262"/>
      <c r="W14" s="262" t="s">
        <v>1235</v>
      </c>
      <c r="X14" s="262"/>
      <c r="Y14" s="262"/>
      <c r="Z14" s="262"/>
      <c r="AA14" s="262"/>
      <c r="AB14" s="262"/>
      <c r="AC14" s="262"/>
      <c r="AD14" s="262"/>
      <c r="AE14" s="262"/>
      <c r="AF14" s="262"/>
      <c r="AG14" s="262"/>
      <c r="AH14" s="262" t="s">
        <v>1716</v>
      </c>
      <c r="AI14" s="262"/>
      <c r="AJ14" s="262"/>
      <c r="AK14" s="262"/>
      <c r="AL14" s="262"/>
      <c r="AM14" s="262"/>
      <c r="AN14" s="262" t="s">
        <v>1716</v>
      </c>
      <c r="AO14" s="262"/>
      <c r="AP14" s="262"/>
      <c r="AQ14" s="262"/>
      <c r="AR14" s="262"/>
      <c r="AS14" s="262"/>
      <c r="AT14" s="262"/>
      <c r="AU14" s="262"/>
      <c r="AV14" s="262"/>
      <c r="AW14" s="380"/>
      <c r="AX14" s="380"/>
      <c r="AY14" s="380"/>
      <c r="AZ14" s="386"/>
      <c r="BA14" s="380"/>
      <c r="BB14" s="262"/>
      <c r="BC14" s="262"/>
      <c r="BD14" s="380"/>
      <c r="BE14" s="262"/>
      <c r="BF14" s="262" t="s">
        <v>1716</v>
      </c>
      <c r="BG14" s="262"/>
      <c r="BH14" s="262" t="s">
        <v>1716</v>
      </c>
      <c r="BI14" s="262"/>
      <c r="BJ14" s="262"/>
      <c r="BK14" s="262"/>
    </row>
    <row r="15" spans="1:63" ht="15.6" customHeight="1" x14ac:dyDescent="0.3">
      <c r="A15" s="124" t="s">
        <v>1876</v>
      </c>
      <c r="B15" s="373"/>
      <c r="C15" s="262" t="s">
        <v>1716</v>
      </c>
      <c r="D15" s="262" t="s">
        <v>1716</v>
      </c>
      <c r="E15" s="377"/>
      <c r="F15" s="377"/>
      <c r="G15" s="262" t="s">
        <v>1716</v>
      </c>
      <c r="H15" s="380"/>
      <c r="I15" s="381"/>
      <c r="J15" s="262" t="s">
        <v>1716</v>
      </c>
      <c r="K15" s="381"/>
      <c r="L15" s="381"/>
      <c r="M15" s="380"/>
      <c r="N15" s="262" t="s">
        <v>1716</v>
      </c>
      <c r="O15" s="262" t="s">
        <v>1716</v>
      </c>
      <c r="P15" s="262" t="s">
        <v>1716</v>
      </c>
      <c r="Q15" s="262" t="s">
        <v>1716</v>
      </c>
      <c r="R15" s="262" t="s">
        <v>1716</v>
      </c>
      <c r="S15" s="262"/>
      <c r="T15" s="262" t="s">
        <v>1716</v>
      </c>
      <c r="U15" s="262" t="s">
        <v>1716</v>
      </c>
      <c r="V15" s="262"/>
      <c r="W15" s="262"/>
      <c r="X15" s="262"/>
      <c r="Y15" s="262"/>
      <c r="Z15" s="262"/>
      <c r="AA15" s="262"/>
      <c r="AB15" s="262"/>
      <c r="AC15" s="262"/>
      <c r="AD15" s="262"/>
      <c r="AE15" s="262"/>
      <c r="AF15" s="262"/>
      <c r="AG15" s="262"/>
      <c r="AH15" s="262" t="s">
        <v>1716</v>
      </c>
      <c r="AI15" s="262"/>
      <c r="AJ15" s="262"/>
      <c r="AK15" s="262"/>
      <c r="AL15" s="262"/>
      <c r="AM15" s="262"/>
      <c r="AN15" s="378" t="s">
        <v>2826</v>
      </c>
      <c r="AO15" s="262"/>
      <c r="AP15" s="262"/>
      <c r="AQ15" s="262"/>
      <c r="AR15" s="262"/>
      <c r="AS15" s="262"/>
      <c r="AT15" s="262"/>
      <c r="AU15" s="262"/>
      <c r="AV15" s="262"/>
      <c r="AW15" s="381"/>
      <c r="AX15" s="381"/>
      <c r="AY15" s="381"/>
      <c r="AZ15" s="387"/>
      <c r="BA15" s="381"/>
      <c r="BB15" s="262"/>
      <c r="BC15" s="262"/>
      <c r="BD15" s="381"/>
      <c r="BE15" s="262"/>
      <c r="BF15" s="262" t="s">
        <v>1716</v>
      </c>
      <c r="BG15" s="262"/>
      <c r="BH15" s="379" t="s">
        <v>2827</v>
      </c>
      <c r="BI15" s="262"/>
      <c r="BJ15" s="262"/>
      <c r="BK15" s="262"/>
    </row>
    <row r="16" spans="1:63" ht="15.75" customHeight="1" x14ac:dyDescent="0.3">
      <c r="A16" s="124" t="s">
        <v>1877</v>
      </c>
      <c r="B16" s="262" t="s">
        <v>1716</v>
      </c>
      <c r="C16" s="262" t="s">
        <v>1716</v>
      </c>
      <c r="D16" s="262" t="s">
        <v>1716</v>
      </c>
      <c r="E16" s="377"/>
      <c r="F16" s="377"/>
      <c r="G16" s="262" t="s">
        <v>1716</v>
      </c>
      <c r="H16" s="380"/>
      <c r="I16" s="262" t="s">
        <v>1734</v>
      </c>
      <c r="J16" s="262" t="s">
        <v>1716</v>
      </c>
      <c r="K16" s="379" t="s">
        <v>2828</v>
      </c>
      <c r="L16" s="379" t="s">
        <v>2829</v>
      </c>
      <c r="M16" s="380"/>
      <c r="N16" s="379" t="s">
        <v>2830</v>
      </c>
      <c r="O16" s="379" t="s">
        <v>2831</v>
      </c>
      <c r="P16" s="379" t="s">
        <v>2832</v>
      </c>
      <c r="Q16" s="379" t="s">
        <v>2833</v>
      </c>
      <c r="R16" s="262" t="s">
        <v>1716</v>
      </c>
      <c r="S16" s="262"/>
      <c r="T16" s="262" t="s">
        <v>1716</v>
      </c>
      <c r="U16" s="262" t="s">
        <v>1716</v>
      </c>
      <c r="V16" s="262"/>
      <c r="W16" s="262"/>
      <c r="X16" s="262"/>
      <c r="Y16" s="262"/>
      <c r="Z16" s="262"/>
      <c r="AA16" s="262"/>
      <c r="AB16" s="262"/>
      <c r="AC16" s="262"/>
      <c r="AD16" s="262"/>
      <c r="AE16" s="262"/>
      <c r="AF16" s="262"/>
      <c r="AG16" s="262"/>
      <c r="AH16" s="262" t="s">
        <v>1716</v>
      </c>
      <c r="AI16" s="262"/>
      <c r="AJ16" s="262"/>
      <c r="AK16" s="262"/>
      <c r="AL16" s="262"/>
      <c r="AM16" s="262"/>
      <c r="AN16" s="378"/>
      <c r="AO16" s="262"/>
      <c r="AP16" s="262"/>
      <c r="AQ16" s="262"/>
      <c r="AR16" s="262"/>
      <c r="AS16" s="262"/>
      <c r="AT16" s="262"/>
      <c r="AU16" s="262"/>
      <c r="AV16" s="262"/>
      <c r="AW16" s="379" t="s">
        <v>2834</v>
      </c>
      <c r="AX16" s="379" t="s">
        <v>2806</v>
      </c>
      <c r="AY16" s="379" t="s">
        <v>2811</v>
      </c>
      <c r="AZ16" s="379" t="s">
        <v>2835</v>
      </c>
      <c r="BA16" s="379" t="s">
        <v>2836</v>
      </c>
      <c r="BB16" s="262"/>
      <c r="BC16" s="262"/>
      <c r="BD16" s="379" t="s">
        <v>2837</v>
      </c>
      <c r="BE16" s="262"/>
      <c r="BF16" s="262" t="s">
        <v>1716</v>
      </c>
      <c r="BG16" s="262"/>
      <c r="BH16" s="380"/>
      <c r="BI16" s="262"/>
      <c r="BJ16" s="262"/>
      <c r="BK16" s="262"/>
    </row>
    <row r="17" spans="1:63" ht="15.75" customHeight="1" x14ac:dyDescent="0.3">
      <c r="A17" s="124" t="s">
        <v>1921</v>
      </c>
      <c r="B17" s="125"/>
      <c r="C17" s="262" t="s">
        <v>1716</v>
      </c>
      <c r="D17" s="262" t="s">
        <v>1716</v>
      </c>
      <c r="E17" s="377"/>
      <c r="F17" s="377"/>
      <c r="G17" s="262" t="s">
        <v>1716</v>
      </c>
      <c r="H17" s="380"/>
      <c r="I17" s="262"/>
      <c r="J17" s="262" t="s">
        <v>1716</v>
      </c>
      <c r="K17" s="380"/>
      <c r="L17" s="380"/>
      <c r="M17" s="381"/>
      <c r="N17" s="380"/>
      <c r="O17" s="380"/>
      <c r="P17" s="380"/>
      <c r="Q17" s="380"/>
      <c r="R17" s="262" t="s">
        <v>1716</v>
      </c>
      <c r="S17" s="262"/>
      <c r="T17" s="262" t="s">
        <v>1716</v>
      </c>
      <c r="U17" s="379" t="s">
        <v>2838</v>
      </c>
      <c r="V17" s="262"/>
      <c r="W17" s="262"/>
      <c r="X17" s="262"/>
      <c r="Y17" s="262"/>
      <c r="Z17" s="262"/>
      <c r="AA17" s="262"/>
      <c r="AB17" s="262"/>
      <c r="AC17" s="262"/>
      <c r="AD17" s="262"/>
      <c r="AE17" s="262"/>
      <c r="AF17" s="262"/>
      <c r="AG17" s="262"/>
      <c r="AH17" s="262" t="s">
        <v>1716</v>
      </c>
      <c r="AI17" s="262"/>
      <c r="AJ17" s="262"/>
      <c r="AK17" s="262"/>
      <c r="AL17" s="262"/>
      <c r="AM17" s="262"/>
      <c r="AN17" s="379" t="s">
        <v>2839</v>
      </c>
      <c r="AO17" s="262"/>
      <c r="AP17" s="262"/>
      <c r="AQ17" s="262"/>
      <c r="AR17" s="262"/>
      <c r="AS17" s="262"/>
      <c r="AT17" s="262"/>
      <c r="AU17" s="262"/>
      <c r="AV17" s="262"/>
      <c r="AW17" s="380"/>
      <c r="AX17" s="380"/>
      <c r="AY17" s="380"/>
      <c r="AZ17" s="380"/>
      <c r="BA17" s="380"/>
      <c r="BB17" s="262"/>
      <c r="BC17" s="262"/>
      <c r="BD17" s="380"/>
      <c r="BE17" s="262"/>
      <c r="BF17" s="378" t="s">
        <v>2840</v>
      </c>
      <c r="BG17" s="262"/>
      <c r="BH17" s="380"/>
      <c r="BI17" s="262"/>
      <c r="BJ17" s="262"/>
      <c r="BK17" s="262"/>
    </row>
    <row r="18" spans="1:63" ht="15.6" x14ac:dyDescent="0.3">
      <c r="A18" s="124" t="s">
        <v>1922</v>
      </c>
      <c r="B18" s="125"/>
      <c r="C18" s="377" t="s">
        <v>2841</v>
      </c>
      <c r="D18" s="377" t="s">
        <v>2842</v>
      </c>
      <c r="E18" s="262" t="s">
        <v>1716</v>
      </c>
      <c r="F18" s="377" t="s">
        <v>2843</v>
      </c>
      <c r="G18" s="377" t="s">
        <v>2355</v>
      </c>
      <c r="H18" s="381"/>
      <c r="I18" s="262"/>
      <c r="J18" s="262" t="s">
        <v>1716</v>
      </c>
      <c r="K18" s="380"/>
      <c r="L18" s="380"/>
      <c r="M18" s="262" t="s">
        <v>1734</v>
      </c>
      <c r="N18" s="380"/>
      <c r="O18" s="380"/>
      <c r="P18" s="380"/>
      <c r="Q18" s="380"/>
      <c r="R18" s="379" t="s">
        <v>2844</v>
      </c>
      <c r="S18" s="262"/>
      <c r="T18" s="262" t="s">
        <v>1716</v>
      </c>
      <c r="U18" s="380"/>
      <c r="V18" s="262"/>
      <c r="W18" s="262"/>
      <c r="X18" s="262"/>
      <c r="Y18" s="262"/>
      <c r="Z18" s="262"/>
      <c r="AA18" s="262"/>
      <c r="AB18" s="262"/>
      <c r="AC18" s="262"/>
      <c r="AD18" s="262"/>
      <c r="AE18" s="262"/>
      <c r="AF18" s="262"/>
      <c r="AG18" s="262"/>
      <c r="AH18" s="379" t="s">
        <v>2845</v>
      </c>
      <c r="AI18" s="262"/>
      <c r="AJ18" s="262"/>
      <c r="AK18" s="262"/>
      <c r="AL18" s="262"/>
      <c r="AM18" s="262"/>
      <c r="AN18" s="380"/>
      <c r="AO18" s="262"/>
      <c r="AP18" s="262"/>
      <c r="AQ18" s="262"/>
      <c r="AR18" s="262"/>
      <c r="AS18" s="262"/>
      <c r="AT18" s="262"/>
      <c r="AU18" s="262"/>
      <c r="AV18" s="262"/>
      <c r="AW18" s="380"/>
      <c r="AX18" s="380"/>
      <c r="AY18" s="380"/>
      <c r="AZ18" s="380"/>
      <c r="BA18" s="380"/>
      <c r="BB18" s="262"/>
      <c r="BC18" s="262"/>
      <c r="BD18" s="380"/>
      <c r="BE18" s="262"/>
      <c r="BF18" s="378"/>
      <c r="BG18" s="262"/>
      <c r="BH18" s="380"/>
      <c r="BI18" s="262"/>
      <c r="BJ18" s="262"/>
      <c r="BK18" s="262"/>
    </row>
    <row r="19" spans="1:63" ht="15.75" customHeight="1" x14ac:dyDescent="0.3">
      <c r="A19" s="124" t="s">
        <v>1926</v>
      </c>
      <c r="B19" s="371" t="s">
        <v>1714</v>
      </c>
      <c r="C19" s="377"/>
      <c r="D19" s="377"/>
      <c r="E19" s="262" t="s">
        <v>1716</v>
      </c>
      <c r="F19" s="377"/>
      <c r="G19" s="377"/>
      <c r="H19" s="262" t="s">
        <v>1734</v>
      </c>
      <c r="I19" s="262"/>
      <c r="J19" s="379" t="s">
        <v>2846</v>
      </c>
      <c r="K19" s="380"/>
      <c r="L19" s="380"/>
      <c r="M19" s="262"/>
      <c r="N19" s="380"/>
      <c r="O19" s="380"/>
      <c r="P19" s="380"/>
      <c r="Q19" s="380"/>
      <c r="R19" s="380"/>
      <c r="S19" s="262"/>
      <c r="T19" s="262" t="s">
        <v>1716</v>
      </c>
      <c r="U19" s="380"/>
      <c r="V19" s="262"/>
      <c r="W19" s="262"/>
      <c r="X19" s="262"/>
      <c r="Y19" s="262"/>
      <c r="Z19" s="262"/>
      <c r="AA19" s="262"/>
      <c r="AB19" s="262"/>
      <c r="AC19" s="262"/>
      <c r="AD19" s="262"/>
      <c r="AE19" s="262"/>
      <c r="AF19" s="262"/>
      <c r="AG19" s="262"/>
      <c r="AH19" s="380"/>
      <c r="AI19" s="262"/>
      <c r="AJ19" s="262"/>
      <c r="AK19" s="262"/>
      <c r="AL19" s="262"/>
      <c r="AM19" s="262"/>
      <c r="AN19" s="380"/>
      <c r="AO19" s="262"/>
      <c r="AP19" s="262"/>
      <c r="AQ19" s="262"/>
      <c r="AR19" s="262"/>
      <c r="AS19" s="262"/>
      <c r="AT19" s="262"/>
      <c r="AU19" s="262"/>
      <c r="AV19" s="262"/>
      <c r="AW19" s="380"/>
      <c r="AX19" s="380"/>
      <c r="AY19" s="380"/>
      <c r="AZ19" s="380"/>
      <c r="BA19" s="380"/>
      <c r="BB19" s="262"/>
      <c r="BC19" s="262"/>
      <c r="BD19" s="380"/>
      <c r="BE19" s="262"/>
      <c r="BF19" s="379" t="s">
        <v>2847</v>
      </c>
      <c r="BG19" s="262"/>
      <c r="BH19" s="380"/>
      <c r="BI19" s="262"/>
      <c r="BJ19" s="262"/>
      <c r="BK19" s="262"/>
    </row>
    <row r="20" spans="1:63" ht="15.6" x14ac:dyDescent="0.3">
      <c r="A20" s="124" t="s">
        <v>1956</v>
      </c>
      <c r="B20" s="372"/>
      <c r="C20" s="377"/>
      <c r="D20" s="377"/>
      <c r="E20" s="262" t="s">
        <v>1716</v>
      </c>
      <c r="F20" s="377"/>
      <c r="G20" s="377"/>
      <c r="H20" s="262"/>
      <c r="I20" s="262"/>
      <c r="J20" s="380"/>
      <c r="K20" s="380"/>
      <c r="L20" s="380"/>
      <c r="M20" s="262"/>
      <c r="N20" s="380"/>
      <c r="O20" s="380"/>
      <c r="P20" s="380"/>
      <c r="Q20" s="380"/>
      <c r="R20" s="380"/>
      <c r="S20" s="262"/>
      <c r="T20" s="262" t="s">
        <v>1716</v>
      </c>
      <c r="U20" s="380"/>
      <c r="V20" s="262"/>
      <c r="W20" s="262"/>
      <c r="X20" s="262"/>
      <c r="Y20" s="262"/>
      <c r="Z20" s="262"/>
      <c r="AA20" s="262"/>
      <c r="AB20" s="262"/>
      <c r="AC20" s="262"/>
      <c r="AD20" s="262"/>
      <c r="AE20" s="262"/>
      <c r="AF20" s="262"/>
      <c r="AG20" s="262"/>
      <c r="AH20" s="380"/>
      <c r="AI20" s="262"/>
      <c r="AJ20" s="262"/>
      <c r="AK20" s="262"/>
      <c r="AL20" s="262"/>
      <c r="AM20" s="262"/>
      <c r="AN20" s="380"/>
      <c r="AO20" s="262"/>
      <c r="AP20" s="262"/>
      <c r="AQ20" s="262"/>
      <c r="AR20" s="262"/>
      <c r="AS20" s="262"/>
      <c r="AT20" s="262"/>
      <c r="AU20" s="262"/>
      <c r="AV20" s="262"/>
      <c r="AW20" s="380"/>
      <c r="AX20" s="380"/>
      <c r="AY20" s="380"/>
      <c r="AZ20" s="380"/>
      <c r="BA20" s="380"/>
      <c r="BB20" s="262"/>
      <c r="BC20" s="262"/>
      <c r="BD20" s="380"/>
      <c r="BE20" s="262"/>
      <c r="BF20" s="380"/>
      <c r="BG20" s="262"/>
      <c r="BH20" s="381"/>
      <c r="BI20" s="262"/>
      <c r="BJ20" s="262"/>
      <c r="BK20" s="262"/>
    </row>
    <row r="21" spans="1:63" ht="15.6" x14ac:dyDescent="0.3">
      <c r="A21" s="124" t="s">
        <v>1958</v>
      </c>
      <c r="B21" s="373"/>
      <c r="C21" s="377"/>
      <c r="D21" s="377"/>
      <c r="E21" s="262" t="s">
        <v>1716</v>
      </c>
      <c r="F21" s="377"/>
      <c r="G21" s="377"/>
      <c r="H21" s="262"/>
      <c r="I21" s="262"/>
      <c r="J21" s="380"/>
      <c r="K21" s="381"/>
      <c r="L21" s="381"/>
      <c r="M21" s="262"/>
      <c r="N21" s="381"/>
      <c r="O21" s="381"/>
      <c r="P21" s="381"/>
      <c r="Q21" s="381"/>
      <c r="R21" s="380"/>
      <c r="S21" s="262"/>
      <c r="T21" s="262" t="s">
        <v>1716</v>
      </c>
      <c r="U21" s="380"/>
      <c r="V21" s="262"/>
      <c r="W21" s="262"/>
      <c r="X21" s="262"/>
      <c r="Y21" s="262"/>
      <c r="Z21" s="262"/>
      <c r="AA21" s="262"/>
      <c r="AB21" s="262"/>
      <c r="AC21" s="262"/>
      <c r="AD21" s="262"/>
      <c r="AE21" s="262"/>
      <c r="AF21" s="262"/>
      <c r="AG21" s="262"/>
      <c r="AH21" s="380"/>
      <c r="AI21" s="262"/>
      <c r="AJ21" s="262"/>
      <c r="AK21" s="262"/>
      <c r="AL21" s="262"/>
      <c r="AM21" s="262"/>
      <c r="AN21" s="380"/>
      <c r="AO21" s="262"/>
      <c r="AP21" s="262"/>
      <c r="AQ21" s="262"/>
      <c r="AR21" s="262"/>
      <c r="AS21" s="262"/>
      <c r="AT21" s="262"/>
      <c r="AU21" s="262"/>
      <c r="AV21" s="262"/>
      <c r="AW21" s="381"/>
      <c r="AX21" s="381"/>
      <c r="AY21" s="381"/>
      <c r="AZ21" s="381"/>
      <c r="BA21" s="381"/>
      <c r="BB21" s="262"/>
      <c r="BC21" s="262"/>
      <c r="BD21" s="381"/>
      <c r="BE21" s="262"/>
      <c r="BF21" s="380"/>
      <c r="BG21" s="262"/>
      <c r="BH21" s="262" t="s">
        <v>1734</v>
      </c>
      <c r="BI21" s="262"/>
      <c r="BJ21" s="262"/>
      <c r="BK21" s="262"/>
    </row>
    <row r="22" spans="1:63" ht="15.6" x14ac:dyDescent="0.3">
      <c r="A22" s="124" t="s">
        <v>1959</v>
      </c>
      <c r="B22" s="262" t="s">
        <v>1734</v>
      </c>
      <c r="C22" s="262" t="s">
        <v>1734</v>
      </c>
      <c r="D22" s="377" t="s">
        <v>2848</v>
      </c>
      <c r="E22" s="377" t="s">
        <v>2849</v>
      </c>
      <c r="F22" s="262" t="s">
        <v>1734</v>
      </c>
      <c r="G22" s="262" t="s">
        <v>1734</v>
      </c>
      <c r="H22" s="262"/>
      <c r="I22" s="262"/>
      <c r="J22" s="380"/>
      <c r="K22" s="262" t="s">
        <v>1734</v>
      </c>
      <c r="L22" s="262" t="s">
        <v>1734</v>
      </c>
      <c r="M22" s="262"/>
      <c r="N22" s="378" t="s">
        <v>2850</v>
      </c>
      <c r="O22" s="378" t="s">
        <v>2851</v>
      </c>
      <c r="P22" s="262" t="s">
        <v>1734</v>
      </c>
      <c r="Q22" s="378" t="s">
        <v>2852</v>
      </c>
      <c r="R22" s="380"/>
      <c r="S22" s="262"/>
      <c r="T22" s="406" t="s">
        <v>2853</v>
      </c>
      <c r="U22" s="381"/>
      <c r="V22" s="262"/>
      <c r="W22" s="262"/>
      <c r="X22" s="262"/>
      <c r="Y22" s="262"/>
      <c r="Z22" s="262"/>
      <c r="AA22" s="262"/>
      <c r="AB22" s="262"/>
      <c r="AC22" s="262"/>
      <c r="AD22" s="262"/>
      <c r="AE22" s="262"/>
      <c r="AF22" s="262"/>
      <c r="AG22" s="262"/>
      <c r="AH22" s="380"/>
      <c r="AI22" s="262"/>
      <c r="AJ22" s="262"/>
      <c r="AK22" s="262"/>
      <c r="AL22" s="262"/>
      <c r="AM22" s="262"/>
      <c r="AN22" s="381"/>
      <c r="AO22" s="262"/>
      <c r="AP22" s="262"/>
      <c r="AQ22" s="262"/>
      <c r="AR22" s="262"/>
      <c r="AS22" s="262"/>
      <c r="AT22" s="262"/>
      <c r="AU22" s="262"/>
      <c r="AV22" s="262"/>
      <c r="AW22" s="379" t="s">
        <v>2854</v>
      </c>
      <c r="AX22" s="379" t="s">
        <v>2841</v>
      </c>
      <c r="AY22" s="379" t="s">
        <v>2855</v>
      </c>
      <c r="AZ22" s="385" t="s">
        <v>2753</v>
      </c>
      <c r="BA22" s="379" t="s">
        <v>2856</v>
      </c>
      <c r="BB22" s="262"/>
      <c r="BC22" s="262"/>
      <c r="BD22" s="379" t="s">
        <v>2857</v>
      </c>
      <c r="BE22" s="262"/>
      <c r="BF22" s="380"/>
      <c r="BG22" s="262"/>
      <c r="BH22" s="262"/>
      <c r="BI22" s="262"/>
      <c r="BJ22" s="262"/>
      <c r="BK22" s="262"/>
    </row>
    <row r="23" spans="1:63" ht="15.6" x14ac:dyDescent="0.3">
      <c r="A23" s="124" t="s">
        <v>1980</v>
      </c>
      <c r="B23" s="262"/>
      <c r="C23" s="262"/>
      <c r="D23" s="377"/>
      <c r="E23" s="377"/>
      <c r="F23" s="262"/>
      <c r="G23" s="262"/>
      <c r="H23" s="262"/>
      <c r="I23" s="262"/>
      <c r="J23" s="380"/>
      <c r="K23" s="262"/>
      <c r="L23" s="262"/>
      <c r="M23" s="262"/>
      <c r="N23" s="378"/>
      <c r="O23" s="378"/>
      <c r="P23" s="262"/>
      <c r="Q23" s="378"/>
      <c r="R23" s="381"/>
      <c r="S23" s="262"/>
      <c r="T23" s="406"/>
      <c r="U23" s="262" t="s">
        <v>1734</v>
      </c>
      <c r="V23" s="262"/>
      <c r="W23" s="262"/>
      <c r="X23" s="262"/>
      <c r="Y23" s="262"/>
      <c r="Z23" s="262"/>
      <c r="AA23" s="262"/>
      <c r="AB23" s="262"/>
      <c r="AC23" s="262"/>
      <c r="AD23" s="262"/>
      <c r="AE23" s="262"/>
      <c r="AF23" s="262"/>
      <c r="AG23" s="262"/>
      <c r="AH23" s="381"/>
      <c r="AI23" s="262"/>
      <c r="AJ23" s="262"/>
      <c r="AK23" s="262"/>
      <c r="AL23" s="262"/>
      <c r="AM23" s="262"/>
      <c r="AN23" s="262" t="s">
        <v>1734</v>
      </c>
      <c r="AO23" s="262"/>
      <c r="AP23" s="262"/>
      <c r="AQ23" s="262"/>
      <c r="AR23" s="262"/>
      <c r="AS23" s="262"/>
      <c r="AT23" s="262"/>
      <c r="AU23" s="262"/>
      <c r="AV23" s="262"/>
      <c r="AW23" s="380"/>
      <c r="AX23" s="380"/>
      <c r="AY23" s="380"/>
      <c r="AZ23" s="386"/>
      <c r="BA23" s="380"/>
      <c r="BB23" s="262"/>
      <c r="BC23" s="262"/>
      <c r="BD23" s="380"/>
      <c r="BE23" s="262"/>
      <c r="BF23" s="380"/>
      <c r="BG23" s="262"/>
      <c r="BH23" s="262"/>
      <c r="BI23" s="262"/>
      <c r="BJ23" s="262"/>
      <c r="BK23" s="262"/>
    </row>
    <row r="24" spans="1:63" ht="15.6" x14ac:dyDescent="0.3">
      <c r="A24" s="124" t="s">
        <v>1981</v>
      </c>
      <c r="B24" s="262"/>
      <c r="C24" s="262"/>
      <c r="D24" s="377"/>
      <c r="E24" s="377"/>
      <c r="F24" s="262"/>
      <c r="G24" s="262"/>
      <c r="H24" s="262"/>
      <c r="I24" s="262"/>
      <c r="J24" s="381"/>
      <c r="K24" s="262"/>
      <c r="L24" s="262"/>
      <c r="M24" s="262"/>
      <c r="N24" s="262" t="s">
        <v>1734</v>
      </c>
      <c r="O24" s="262" t="s">
        <v>1734</v>
      </c>
      <c r="P24" s="262"/>
      <c r="Q24" s="262" t="s">
        <v>1734</v>
      </c>
      <c r="R24" s="262" t="s">
        <v>1734</v>
      </c>
      <c r="S24" s="262"/>
      <c r="T24" s="406"/>
      <c r="U24" s="262"/>
      <c r="V24" s="262"/>
      <c r="W24" s="262"/>
      <c r="X24" s="262"/>
      <c r="Y24" s="262"/>
      <c r="Z24" s="262"/>
      <c r="AA24" s="262"/>
      <c r="AB24" s="262"/>
      <c r="AC24" s="262"/>
      <c r="AD24" s="262"/>
      <c r="AE24" s="262"/>
      <c r="AF24" s="262"/>
      <c r="AG24" s="262"/>
      <c r="AH24" s="262" t="s">
        <v>1734</v>
      </c>
      <c r="AI24" s="262"/>
      <c r="AJ24" s="262"/>
      <c r="AK24" s="262"/>
      <c r="AL24" s="262"/>
      <c r="AM24" s="262"/>
      <c r="AN24" s="262"/>
      <c r="AO24" s="262"/>
      <c r="AP24" s="262"/>
      <c r="AQ24" s="262"/>
      <c r="AR24" s="262"/>
      <c r="AS24" s="262"/>
      <c r="AT24" s="262"/>
      <c r="AU24" s="262"/>
      <c r="AV24" s="262"/>
      <c r="AW24" s="380"/>
      <c r="AX24" s="380"/>
      <c r="AY24" s="380"/>
      <c r="AZ24" s="387"/>
      <c r="BA24" s="380"/>
      <c r="BB24" s="262"/>
      <c r="BC24" s="262"/>
      <c r="BD24" s="380"/>
      <c r="BE24" s="262"/>
      <c r="BF24" s="381"/>
      <c r="BG24" s="262"/>
      <c r="BH24" s="262"/>
      <c r="BI24" s="262"/>
      <c r="BJ24" s="262"/>
      <c r="BK24" s="262"/>
    </row>
    <row r="25" spans="1:63" ht="15.6" x14ac:dyDescent="0.3">
      <c r="A25" s="124" t="s">
        <v>1982</v>
      </c>
      <c r="B25" s="262"/>
      <c r="C25" s="262"/>
      <c r="D25" s="377"/>
      <c r="E25" s="377"/>
      <c r="F25" s="262"/>
      <c r="G25" s="262"/>
      <c r="H25" s="262"/>
      <c r="I25" s="262"/>
      <c r="J25" s="262" t="s">
        <v>1734</v>
      </c>
      <c r="K25" s="262"/>
      <c r="L25" s="262"/>
      <c r="M25" s="262"/>
      <c r="N25" s="262"/>
      <c r="O25" s="262"/>
      <c r="P25" s="262"/>
      <c r="Q25" s="262"/>
      <c r="R25" s="262"/>
      <c r="S25" s="262"/>
      <c r="T25" s="406"/>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2"/>
      <c r="AU25" s="262"/>
      <c r="AV25" s="262"/>
      <c r="AW25" s="380"/>
      <c r="AX25" s="380"/>
      <c r="AY25" s="380"/>
      <c r="AZ25" s="262" t="s">
        <v>1734</v>
      </c>
      <c r="BA25" s="380"/>
      <c r="BB25" s="262"/>
      <c r="BC25" s="262"/>
      <c r="BD25" s="380"/>
      <c r="BE25" s="262"/>
      <c r="BF25" s="262" t="s">
        <v>1734</v>
      </c>
      <c r="BG25" s="262"/>
      <c r="BH25" s="262"/>
      <c r="BI25" s="262"/>
      <c r="BJ25" s="262"/>
      <c r="BK25" s="262"/>
    </row>
    <row r="26" spans="1:63" ht="15.6" x14ac:dyDescent="0.3">
      <c r="A26" s="124" t="s">
        <v>1983</v>
      </c>
      <c r="B26" s="262"/>
      <c r="C26" s="262"/>
      <c r="D26" s="262" t="s">
        <v>1734</v>
      </c>
      <c r="E26" s="262" t="s">
        <v>1734</v>
      </c>
      <c r="F26" s="262"/>
      <c r="G26" s="262"/>
      <c r="H26" s="262"/>
      <c r="I26" s="262"/>
      <c r="J26" s="262"/>
      <c r="K26" s="262"/>
      <c r="L26" s="262"/>
      <c r="M26" s="262"/>
      <c r="N26" s="262"/>
      <c r="O26" s="262"/>
      <c r="P26" s="262"/>
      <c r="Q26" s="262"/>
      <c r="R26" s="262"/>
      <c r="S26" s="262"/>
      <c r="T26" s="262" t="s">
        <v>1734</v>
      </c>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380"/>
      <c r="AX26" s="380"/>
      <c r="AY26" s="380"/>
      <c r="AZ26" s="262"/>
      <c r="BA26" s="380"/>
      <c r="BB26" s="262"/>
      <c r="BC26" s="262"/>
      <c r="BD26" s="380"/>
      <c r="BE26" s="262"/>
      <c r="BF26" s="262"/>
      <c r="BG26" s="262"/>
      <c r="BH26" s="262"/>
      <c r="BI26" s="262"/>
      <c r="BJ26" s="262"/>
      <c r="BK26" s="262"/>
    </row>
    <row r="27" spans="1:63" ht="15.6" x14ac:dyDescent="0.3">
      <c r="A27" s="124" t="s">
        <v>1984</v>
      </c>
      <c r="B27" s="262"/>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381"/>
      <c r="AX27" s="381"/>
      <c r="AY27" s="381"/>
      <c r="AZ27" s="262"/>
      <c r="BA27" s="381"/>
      <c r="BB27" s="262"/>
      <c r="BC27" s="262"/>
      <c r="BD27" s="381"/>
      <c r="BE27" s="262"/>
      <c r="BF27" s="262"/>
      <c r="BG27" s="262"/>
      <c r="BH27" s="262"/>
      <c r="BI27" s="262"/>
      <c r="BJ27" s="262"/>
      <c r="BK27" s="262"/>
    </row>
    <row r="28" spans="1:63" ht="15.6" x14ac:dyDescent="0.3">
      <c r="A28" s="124" t="s">
        <v>1985</v>
      </c>
      <c r="B28" s="262"/>
      <c r="C28" s="262"/>
      <c r="D28" s="262"/>
      <c r="E28" s="262"/>
      <c r="F28" s="262"/>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t="s">
        <v>1734</v>
      </c>
      <c r="AX28" s="262" t="s">
        <v>1734</v>
      </c>
      <c r="AY28" s="262" t="s">
        <v>1734</v>
      </c>
      <c r="AZ28" s="262"/>
      <c r="BA28" s="262" t="s">
        <v>1734</v>
      </c>
      <c r="BB28" s="262"/>
      <c r="BC28" s="262"/>
      <c r="BD28" s="262" t="s">
        <v>1734</v>
      </c>
      <c r="BE28" s="262"/>
      <c r="BF28" s="262"/>
      <c r="BG28" s="262"/>
      <c r="BH28" s="262"/>
      <c r="BI28" s="262"/>
      <c r="BJ28" s="262"/>
      <c r="BK28" s="262"/>
    </row>
    <row r="29" spans="1:63" ht="15.6" x14ac:dyDescent="0.3">
      <c r="A29" s="124" t="s">
        <v>1986</v>
      </c>
      <c r="B29" s="262"/>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2"/>
      <c r="BD29" s="262"/>
      <c r="BE29" s="262"/>
      <c r="BF29" s="262"/>
      <c r="BG29" s="262"/>
      <c r="BH29" s="262"/>
      <c r="BI29" s="262"/>
      <c r="BJ29" s="262"/>
      <c r="BK29" s="262"/>
    </row>
    <row r="30" spans="1:63" ht="15.6" x14ac:dyDescent="0.3">
      <c r="A30" s="124" t="s">
        <v>1987</v>
      </c>
      <c r="B30" s="262"/>
      <c r="C30" s="262"/>
      <c r="D30" s="262"/>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row>
    <row r="31" spans="1:63" ht="16.2" thickBot="1" x14ac:dyDescent="0.35">
      <c r="A31" s="126" t="s">
        <v>1988</v>
      </c>
      <c r="B31" s="264"/>
      <c r="C31" s="264"/>
      <c r="D31" s="264"/>
      <c r="E31" s="264"/>
      <c r="F31" s="264"/>
      <c r="G31" s="264"/>
      <c r="H31" s="264"/>
      <c r="I31" s="264"/>
      <c r="J31" s="264"/>
      <c r="K31" s="264"/>
      <c r="L31" s="264"/>
      <c r="M31" s="264"/>
      <c r="N31" s="264"/>
      <c r="O31" s="264"/>
      <c r="P31" s="264"/>
      <c r="Q31" s="264"/>
      <c r="R31" s="264"/>
      <c r="S31" s="264"/>
      <c r="T31" s="264"/>
      <c r="U31" s="264"/>
      <c r="V31" s="264"/>
      <c r="W31" s="264"/>
      <c r="X31" s="264"/>
      <c r="Y31" s="264"/>
      <c r="Z31" s="264"/>
      <c r="AA31" s="264"/>
      <c r="AB31" s="264"/>
      <c r="AC31" s="264"/>
      <c r="AD31" s="264"/>
      <c r="AE31" s="264"/>
      <c r="AF31" s="264"/>
      <c r="AG31" s="264"/>
      <c r="AH31" s="264"/>
      <c r="AI31" s="264"/>
      <c r="AJ31" s="264"/>
      <c r="AK31" s="264"/>
      <c r="AL31" s="264"/>
      <c r="AM31" s="264"/>
      <c r="AN31" s="264"/>
      <c r="AO31" s="264"/>
      <c r="AP31" s="264"/>
      <c r="AQ31" s="264"/>
      <c r="AR31" s="264"/>
      <c r="AS31" s="264"/>
      <c r="AT31" s="264"/>
      <c r="AU31" s="264"/>
      <c r="AV31" s="264"/>
      <c r="AW31" s="264"/>
      <c r="AX31" s="264"/>
      <c r="AY31" s="264"/>
      <c r="AZ31" s="264"/>
      <c r="BA31" s="264"/>
      <c r="BB31" s="264"/>
      <c r="BC31" s="264"/>
      <c r="BD31" s="264"/>
      <c r="BE31" s="264"/>
      <c r="BF31" s="264"/>
      <c r="BG31" s="264"/>
      <c r="BH31" s="264"/>
      <c r="BI31" s="264"/>
      <c r="BJ31" s="264"/>
      <c r="BK31" s="264"/>
    </row>
    <row r="32" spans="1:63" s="131" customFormat="1" ht="24" customHeight="1" thickBot="1" x14ac:dyDescent="0.35">
      <c r="A32" s="130" t="s">
        <v>1989</v>
      </c>
      <c r="B32" s="265">
        <f t="shared" ref="B32:AG32" ca="1" si="0">IF(COUNTA(B$4:B$31)=0,"",(COUNTA(TIME)-COUNTIF(B$33:B$60,TRUE))/COUNTA(TIME))</f>
        <v>1</v>
      </c>
      <c r="C32" s="51">
        <f t="shared" ca="1" si="0"/>
        <v>1</v>
      </c>
      <c r="D32" s="51">
        <f t="shared" ca="1" si="0"/>
        <v>1</v>
      </c>
      <c r="E32" s="51">
        <f t="shared" ca="1" si="0"/>
        <v>1</v>
      </c>
      <c r="F32" s="51">
        <f t="shared" ca="1" si="0"/>
        <v>1</v>
      </c>
      <c r="G32" s="51">
        <f t="shared" ca="1" si="0"/>
        <v>1</v>
      </c>
      <c r="H32" s="51">
        <f t="shared" ca="1" si="0"/>
        <v>1</v>
      </c>
      <c r="I32" s="51">
        <f t="shared" ca="1" si="0"/>
        <v>1</v>
      </c>
      <c r="J32" s="51">
        <f t="shared" ca="1" si="0"/>
        <v>1</v>
      </c>
      <c r="K32" s="51">
        <f t="shared" ca="1" si="0"/>
        <v>1</v>
      </c>
      <c r="L32" s="51">
        <f t="shared" ca="1" si="0"/>
        <v>1</v>
      </c>
      <c r="M32" s="51">
        <f t="shared" ca="1" si="0"/>
        <v>1</v>
      </c>
      <c r="N32" s="51">
        <f t="shared" ca="1" si="0"/>
        <v>1</v>
      </c>
      <c r="O32" s="51">
        <f t="shared" ca="1" si="0"/>
        <v>1</v>
      </c>
      <c r="P32" s="51">
        <f t="shared" ca="1" si="0"/>
        <v>1</v>
      </c>
      <c r="Q32" s="51">
        <f t="shared" ca="1" si="0"/>
        <v>1</v>
      </c>
      <c r="R32" s="51">
        <f t="shared" ca="1" si="0"/>
        <v>1</v>
      </c>
      <c r="S32" s="51">
        <f t="shared" ca="1" si="0"/>
        <v>1</v>
      </c>
      <c r="T32" s="51">
        <f t="shared" ca="1" si="0"/>
        <v>1</v>
      </c>
      <c r="U32" s="51">
        <f t="shared" ca="1" si="0"/>
        <v>1</v>
      </c>
      <c r="V32" s="51">
        <f t="shared" ca="1" si="0"/>
        <v>1</v>
      </c>
      <c r="W32" s="51">
        <f t="shared" ca="1" si="0"/>
        <v>1</v>
      </c>
      <c r="X32" s="51">
        <f t="shared" ca="1" si="0"/>
        <v>1</v>
      </c>
      <c r="Y32" s="51">
        <f t="shared" ca="1" si="0"/>
        <v>1</v>
      </c>
      <c r="Z32" s="51">
        <f t="shared" ca="1" si="0"/>
        <v>1</v>
      </c>
      <c r="AA32" s="51">
        <f t="shared" ca="1" si="0"/>
        <v>1</v>
      </c>
      <c r="AB32" s="51">
        <f t="shared" ca="1" si="0"/>
        <v>1</v>
      </c>
      <c r="AC32" s="51">
        <f t="shared" ca="1" si="0"/>
        <v>1</v>
      </c>
      <c r="AD32" s="51">
        <f t="shared" ca="1" si="0"/>
        <v>1</v>
      </c>
      <c r="AE32" s="51">
        <f t="shared" ca="1" si="0"/>
        <v>1</v>
      </c>
      <c r="AF32" s="51">
        <f t="shared" ca="1" si="0"/>
        <v>1</v>
      </c>
      <c r="AG32" s="51">
        <f t="shared" ca="1" si="0"/>
        <v>1</v>
      </c>
      <c r="AH32" s="51">
        <f t="shared" ref="AH32:BJ32" ca="1" si="1">IF(COUNTA(AH$4:AH$31)=0,"",(COUNTA(TIME)-COUNTIF(AH$33:AH$60,TRUE))/COUNTA(TIME))</f>
        <v>1</v>
      </c>
      <c r="AI32" s="51">
        <f t="shared" ca="1" si="1"/>
        <v>1</v>
      </c>
      <c r="AJ32" s="51">
        <f t="shared" ca="1" si="1"/>
        <v>1</v>
      </c>
      <c r="AK32" s="51">
        <f t="shared" ca="1" si="1"/>
        <v>1</v>
      </c>
      <c r="AL32" s="51">
        <f t="shared" ca="1" si="1"/>
        <v>1</v>
      </c>
      <c r="AM32" s="51">
        <f t="shared" ca="1" si="1"/>
        <v>1</v>
      </c>
      <c r="AN32" s="51">
        <f t="shared" ca="1" si="1"/>
        <v>1</v>
      </c>
      <c r="AO32" s="51">
        <f t="shared" ca="1" si="1"/>
        <v>1</v>
      </c>
      <c r="AP32" s="51" t="str">
        <f t="shared" si="1"/>
        <v/>
      </c>
      <c r="AQ32" s="51" t="str">
        <f t="shared" si="1"/>
        <v/>
      </c>
      <c r="AR32" s="51" t="str">
        <f t="shared" si="1"/>
        <v/>
      </c>
      <c r="AS32" s="51" t="str">
        <f t="shared" si="1"/>
        <v/>
      </c>
      <c r="AT32" s="51" t="str">
        <f t="shared" si="1"/>
        <v/>
      </c>
      <c r="AU32" s="51">
        <f t="shared" ca="1" si="1"/>
        <v>1</v>
      </c>
      <c r="AV32" s="51">
        <f t="shared" ca="1" si="1"/>
        <v>1</v>
      </c>
      <c r="AW32" s="51">
        <f t="shared" ca="1" si="1"/>
        <v>1</v>
      </c>
      <c r="AX32" s="51">
        <f t="shared" ca="1" si="1"/>
        <v>1</v>
      </c>
      <c r="AY32" s="51">
        <f t="shared" ca="1" si="1"/>
        <v>1</v>
      </c>
      <c r="AZ32" s="51">
        <f t="shared" ca="1" si="1"/>
        <v>1</v>
      </c>
      <c r="BA32" s="51">
        <f t="shared" ca="1" si="1"/>
        <v>1</v>
      </c>
      <c r="BB32" s="51">
        <f t="shared" ca="1" si="1"/>
        <v>1</v>
      </c>
      <c r="BC32" s="51">
        <f t="shared" ca="1" si="1"/>
        <v>1</v>
      </c>
      <c r="BD32" s="51">
        <f t="shared" ca="1" si="1"/>
        <v>1</v>
      </c>
      <c r="BE32" s="51">
        <f t="shared" ca="1" si="1"/>
        <v>1</v>
      </c>
      <c r="BF32" s="51">
        <f t="shared" ca="1" si="1"/>
        <v>1</v>
      </c>
      <c r="BG32" s="51">
        <f t="shared" ca="1" si="1"/>
        <v>1</v>
      </c>
      <c r="BH32" s="51">
        <f t="shared" ca="1" si="1"/>
        <v>1</v>
      </c>
      <c r="BI32" s="51" t="str">
        <f t="shared" si="1"/>
        <v/>
      </c>
      <c r="BJ32" s="51" t="str">
        <f t="shared" si="1"/>
        <v/>
      </c>
      <c r="BK32" s="51" t="str">
        <f>IF(COUNTA(BK$4:BK$31)=0,"",(COUNTA(TIME)-COUNTIF(BK$33:BK$60,TRUE))/COUNTA(TIME))</f>
        <v/>
      </c>
    </row>
    <row r="33" spans="2:63" x14ac:dyDescent="0.3">
      <c r="B33" s="128" t="e" cm="1">
        <f t="array" aca="1" ref="B33" ca="1">Notmerged(B4)</f>
        <v>#NAME?</v>
      </c>
      <c r="C33" s="128" t="e" cm="1">
        <f t="array" aca="1" ref="C33" ca="1">Notmerged(C4)</f>
        <v>#NAME?</v>
      </c>
      <c r="D33" s="128" t="e" cm="1">
        <f t="array" aca="1" ref="D33" ca="1">Notmerged(D4)</f>
        <v>#NAME?</v>
      </c>
      <c r="E33" s="128" t="e" cm="1">
        <f t="array" aca="1" ref="E33" ca="1">Notmerged(E4)</f>
        <v>#NAME?</v>
      </c>
      <c r="F33" s="128" t="e" cm="1">
        <f t="array" aca="1" ref="F33" ca="1">Notmerged(F4)</f>
        <v>#NAME?</v>
      </c>
      <c r="G33" s="128" t="e" cm="1">
        <f t="array" aca="1" ref="G33" ca="1">Notmerged(G4)</f>
        <v>#NAME?</v>
      </c>
      <c r="H33" s="128" t="e" cm="1">
        <f t="array" aca="1" ref="H33" ca="1">Notmerged(H4)</f>
        <v>#NAME?</v>
      </c>
      <c r="I33" s="128" t="e" cm="1">
        <f t="array" aca="1" ref="I33" ca="1">Notmerged(I4)</f>
        <v>#NAME?</v>
      </c>
      <c r="J33" s="128" t="e" cm="1">
        <f t="array" aca="1" ref="J33" ca="1">Notmerged(J4)</f>
        <v>#NAME?</v>
      </c>
      <c r="K33" s="128" t="e" cm="1">
        <f t="array" aca="1" ref="K33" ca="1">Notmerged(K4)</f>
        <v>#NAME?</v>
      </c>
      <c r="L33" s="128" t="e" cm="1">
        <f t="array" aca="1" ref="L33" ca="1">Notmerged(L4)</f>
        <v>#NAME?</v>
      </c>
      <c r="M33" s="128" t="e" cm="1">
        <f t="array" aca="1" ref="M33" ca="1">Notmerged(M4)</f>
        <v>#NAME?</v>
      </c>
      <c r="N33" s="128" t="e" cm="1">
        <f t="array" aca="1" ref="N33" ca="1">Notmerged(N4)</f>
        <v>#NAME?</v>
      </c>
      <c r="O33" s="128" t="e" cm="1">
        <f t="array" aca="1" ref="O33" ca="1">Notmerged(O4)</f>
        <v>#NAME?</v>
      </c>
      <c r="P33" s="128" t="e" cm="1">
        <f t="array" aca="1" ref="P33" ca="1">Notmerged(P4)</f>
        <v>#NAME?</v>
      </c>
      <c r="Q33" s="128" t="e" cm="1">
        <f t="array" aca="1" ref="Q33" ca="1">Notmerged(Q4)</f>
        <v>#NAME?</v>
      </c>
      <c r="R33" s="128" t="e" cm="1">
        <f t="array" aca="1" ref="R33" ca="1">Notmerged(R4)</f>
        <v>#NAME?</v>
      </c>
      <c r="S33" s="128" t="e" cm="1">
        <f t="array" aca="1" ref="S33" ca="1">Notmerged(S4)</f>
        <v>#NAME?</v>
      </c>
      <c r="T33" s="128" t="e" cm="1">
        <f t="array" aca="1" ref="T33" ca="1">Notmerged(T4)</f>
        <v>#NAME?</v>
      </c>
      <c r="U33" s="128" t="e" cm="1">
        <f t="array" aca="1" ref="U33" ca="1">Notmerged(U4)</f>
        <v>#NAME?</v>
      </c>
      <c r="V33" s="128" t="e" cm="1">
        <f t="array" aca="1" ref="V33" ca="1">Notmerged(V4)</f>
        <v>#NAME?</v>
      </c>
      <c r="W33" s="128" t="e" cm="1">
        <f t="array" aca="1" ref="W33" ca="1">Notmerged(W4)</f>
        <v>#NAME?</v>
      </c>
      <c r="X33" s="128" t="e" cm="1">
        <f t="array" aca="1" ref="X33" ca="1">Notmerged(X4)</f>
        <v>#NAME?</v>
      </c>
      <c r="Y33" s="128" t="e" cm="1">
        <f t="array" aca="1" ref="Y33" ca="1">Notmerged(Y4)</f>
        <v>#NAME?</v>
      </c>
      <c r="Z33" s="128" t="e" cm="1">
        <f t="array" aca="1" ref="Z33" ca="1">Notmerged(Z4)</f>
        <v>#NAME?</v>
      </c>
      <c r="AA33" s="128" t="e" cm="1">
        <f t="array" aca="1" ref="AA33" ca="1">Notmerged(AA4)</f>
        <v>#NAME?</v>
      </c>
      <c r="AB33" s="128" t="e" cm="1">
        <f t="array" aca="1" ref="AB33" ca="1">Notmerged(AB4)</f>
        <v>#NAME?</v>
      </c>
      <c r="AC33" s="128" t="e" cm="1">
        <f t="array" aca="1" ref="AC33" ca="1">Notmerged(AC4)</f>
        <v>#NAME?</v>
      </c>
      <c r="AD33" s="128" t="e" cm="1">
        <f t="array" aca="1" ref="AD33" ca="1">Notmerged(AD4)</f>
        <v>#NAME?</v>
      </c>
      <c r="AE33" s="128" t="e" cm="1">
        <f t="array" aca="1" ref="AE33" ca="1">Notmerged(AE4)</f>
        <v>#NAME?</v>
      </c>
      <c r="AF33" s="128" t="e" cm="1">
        <f t="array" aca="1" ref="AF33" ca="1">Notmerged(AF4)</f>
        <v>#NAME?</v>
      </c>
      <c r="AG33" s="128" t="e" cm="1">
        <f t="array" aca="1" ref="AG33" ca="1">Notmerged(AG4)</f>
        <v>#NAME?</v>
      </c>
      <c r="AH33" s="128" t="e" cm="1">
        <f t="array" aca="1" ref="AH33" ca="1">Notmerged(AH4)</f>
        <v>#NAME?</v>
      </c>
      <c r="AI33" s="128" t="e" cm="1">
        <f t="array" aca="1" ref="AI33" ca="1">Notmerged(AI4)</f>
        <v>#NAME?</v>
      </c>
      <c r="AJ33" s="128" t="e" cm="1">
        <f t="array" aca="1" ref="AJ33" ca="1">Notmerged(AJ4)</f>
        <v>#NAME?</v>
      </c>
      <c r="AK33" s="128" t="e" cm="1">
        <f t="array" aca="1" ref="AK33" ca="1">Notmerged(AK4)</f>
        <v>#NAME?</v>
      </c>
      <c r="AL33" s="128" t="e" cm="1">
        <f t="array" aca="1" ref="AL33" ca="1">Notmerged(AL4)</f>
        <v>#NAME?</v>
      </c>
      <c r="AM33" s="128" t="e" cm="1">
        <f t="array" aca="1" ref="AM33" ca="1">Notmerged(AM4)</f>
        <v>#NAME?</v>
      </c>
      <c r="AN33" s="128" t="e" cm="1">
        <f t="array" aca="1" ref="AN33" ca="1">Notmerged(AN4)</f>
        <v>#NAME?</v>
      </c>
      <c r="AO33" s="128" t="e" cm="1">
        <f t="array" aca="1" ref="AO33" ca="1">Notmerged(AO4)</f>
        <v>#NAME?</v>
      </c>
      <c r="AP33" s="128" t="e" cm="1">
        <f t="array" aca="1" ref="AP33" ca="1">Notmerged(AP4)</f>
        <v>#NAME?</v>
      </c>
      <c r="AQ33" s="128" t="e" cm="1">
        <f t="array" aca="1" ref="AQ33" ca="1">Notmerged(AQ4)</f>
        <v>#NAME?</v>
      </c>
      <c r="AR33" s="128" t="e" cm="1">
        <f t="array" aca="1" ref="AR33" ca="1">Notmerged(AR4)</f>
        <v>#NAME?</v>
      </c>
      <c r="AS33" s="128" t="e" cm="1">
        <f t="array" aca="1" ref="AS33" ca="1">Notmerged(AS4)</f>
        <v>#NAME?</v>
      </c>
      <c r="AT33" s="128" t="e" cm="1">
        <f t="array" aca="1" ref="AT33" ca="1">Notmerged(AT4)</f>
        <v>#NAME?</v>
      </c>
      <c r="AU33" s="128" t="e" cm="1">
        <f t="array" aca="1" ref="AU33" ca="1">Notmerged(AU4)</f>
        <v>#NAME?</v>
      </c>
      <c r="AV33" s="128" t="e" cm="1">
        <f t="array" aca="1" ref="AV33" ca="1">Notmerged(AV4)</f>
        <v>#NAME?</v>
      </c>
      <c r="AW33" s="128" t="e" cm="1">
        <f t="array" aca="1" ref="AW33" ca="1">Notmerged(AW4)</f>
        <v>#NAME?</v>
      </c>
      <c r="AX33" s="128" t="e" cm="1">
        <f t="array" aca="1" ref="AX33" ca="1">Notmerged(AX4)</f>
        <v>#NAME?</v>
      </c>
      <c r="AY33" s="128" t="e" cm="1">
        <f t="array" aca="1" ref="AY33" ca="1">Notmerged(AY4)</f>
        <v>#NAME?</v>
      </c>
      <c r="AZ33" s="128" t="e" cm="1">
        <f t="array" aca="1" ref="AZ33" ca="1">Notmerged(AZ4)</f>
        <v>#NAME?</v>
      </c>
      <c r="BA33" s="128" t="e" cm="1">
        <f t="array" aca="1" ref="BA33" ca="1">Notmerged(BA4)</f>
        <v>#NAME?</v>
      </c>
      <c r="BB33" s="128" t="e" cm="1">
        <f t="array" aca="1" ref="BB33" ca="1">Notmerged(BB4)</f>
        <v>#NAME?</v>
      </c>
      <c r="BC33" s="128" t="e" cm="1">
        <f t="array" aca="1" ref="BC33" ca="1">Notmerged(BC4)</f>
        <v>#NAME?</v>
      </c>
      <c r="BD33" s="128" t="e" cm="1">
        <f t="array" aca="1" ref="BD33" ca="1">Notmerged(BD4)</f>
        <v>#NAME?</v>
      </c>
      <c r="BE33" s="128" t="e" cm="1">
        <f t="array" aca="1" ref="BE33" ca="1">Notmerged(BE4)</f>
        <v>#NAME?</v>
      </c>
      <c r="BF33" s="128" t="e" cm="1">
        <f t="array" aca="1" ref="BF33" ca="1">Notmerged(BF4)</f>
        <v>#NAME?</v>
      </c>
      <c r="BG33" s="128" t="e" cm="1">
        <f t="array" aca="1" ref="BG33" ca="1">Notmerged(BG4)</f>
        <v>#NAME?</v>
      </c>
      <c r="BH33" s="128" t="e" cm="1">
        <f t="array" aca="1" ref="BH33" ca="1">Notmerged(BH4)</f>
        <v>#NAME?</v>
      </c>
      <c r="BI33" s="128" t="e" cm="1">
        <f t="array" aca="1" ref="BI33" ca="1">Notmerged(BI4)</f>
        <v>#NAME?</v>
      </c>
      <c r="BJ33" s="128" t="e" cm="1">
        <f t="array" aca="1" ref="BJ33" ca="1">Notmerged(BJ4)</f>
        <v>#NAME?</v>
      </c>
      <c r="BK33" s="128" t="e" cm="1">
        <f t="array" aca="1" ref="BK33" ca="1">Notmerged(#REF!)</f>
        <v>#NAME?</v>
      </c>
    </row>
    <row r="34" spans="2:63" x14ac:dyDescent="0.3">
      <c r="B34" s="128" t="e" cm="1">
        <f t="array" aca="1" ref="B34" ca="1">Notmerged(B5)</f>
        <v>#NAME?</v>
      </c>
      <c r="C34" s="128" t="e" cm="1">
        <f t="array" aca="1" ref="C34" ca="1">Notmerged(C5)</f>
        <v>#NAME?</v>
      </c>
      <c r="D34" s="128" t="e" cm="1">
        <f t="array" aca="1" ref="D34" ca="1">Notmerged(D5)</f>
        <v>#NAME?</v>
      </c>
      <c r="E34" s="128" t="e" cm="1">
        <f t="array" aca="1" ref="E34" ca="1">Notmerged(E5)</f>
        <v>#NAME?</v>
      </c>
      <c r="F34" s="128" t="e" cm="1">
        <f t="array" aca="1" ref="F34" ca="1">Notmerged(F5)</f>
        <v>#NAME?</v>
      </c>
      <c r="G34" s="128" t="e" cm="1">
        <f t="array" aca="1" ref="G34" ca="1">Notmerged(G5)</f>
        <v>#NAME?</v>
      </c>
      <c r="H34" s="128" t="e" cm="1">
        <f t="array" aca="1" ref="H34" ca="1">Notmerged(H5)</f>
        <v>#NAME?</v>
      </c>
      <c r="I34" s="128" t="e" cm="1">
        <f t="array" aca="1" ref="I34" ca="1">Notmerged(I5)</f>
        <v>#NAME?</v>
      </c>
      <c r="J34" s="128" t="e" cm="1">
        <f t="array" aca="1" ref="J34" ca="1">Notmerged(J5)</f>
        <v>#NAME?</v>
      </c>
      <c r="K34" s="128" t="e" cm="1">
        <f t="array" aca="1" ref="K34" ca="1">Notmerged(K5)</f>
        <v>#NAME?</v>
      </c>
      <c r="L34" s="128" t="e" cm="1">
        <f t="array" aca="1" ref="L34" ca="1">Notmerged(L5)</f>
        <v>#NAME?</v>
      </c>
      <c r="M34" s="128" t="e" cm="1">
        <f t="array" aca="1" ref="M34" ca="1">Notmerged(M5)</f>
        <v>#NAME?</v>
      </c>
      <c r="N34" s="128" t="e" cm="1">
        <f t="array" aca="1" ref="N34" ca="1">Notmerged(N5)</f>
        <v>#NAME?</v>
      </c>
      <c r="O34" s="128" t="e" cm="1">
        <f t="array" aca="1" ref="O34" ca="1">Notmerged(O5)</f>
        <v>#NAME?</v>
      </c>
      <c r="P34" s="128" t="e" cm="1">
        <f t="array" aca="1" ref="P34" ca="1">Notmerged(P5)</f>
        <v>#NAME?</v>
      </c>
      <c r="Q34" s="128" t="e" cm="1">
        <f t="array" aca="1" ref="Q34" ca="1">Notmerged(Q5)</f>
        <v>#NAME?</v>
      </c>
      <c r="R34" s="128" t="e" cm="1">
        <f t="array" aca="1" ref="R34" ca="1">Notmerged(R5)</f>
        <v>#NAME?</v>
      </c>
      <c r="S34" s="128" t="e" cm="1">
        <f t="array" aca="1" ref="S34" ca="1">Notmerged(S5)</f>
        <v>#NAME?</v>
      </c>
      <c r="T34" s="128" t="e" cm="1">
        <f t="array" aca="1" ref="T34" ca="1">Notmerged(T5)</f>
        <v>#NAME?</v>
      </c>
      <c r="U34" s="128" t="e" cm="1">
        <f t="array" aca="1" ref="U34" ca="1">Notmerged(U5)</f>
        <v>#NAME?</v>
      </c>
      <c r="V34" s="128" t="e" cm="1">
        <f t="array" aca="1" ref="V34" ca="1">Notmerged(V5)</f>
        <v>#NAME?</v>
      </c>
      <c r="W34" s="128" t="e" cm="1">
        <f t="array" aca="1" ref="W34" ca="1">Notmerged(W5)</f>
        <v>#NAME?</v>
      </c>
      <c r="X34" s="128" t="e" cm="1">
        <f t="array" aca="1" ref="X34" ca="1">Notmerged(X5)</f>
        <v>#NAME?</v>
      </c>
      <c r="Y34" s="128" t="e" cm="1">
        <f t="array" aca="1" ref="Y34" ca="1">Notmerged(Y5)</f>
        <v>#NAME?</v>
      </c>
      <c r="Z34" s="128" t="e" cm="1">
        <f t="array" aca="1" ref="Z34" ca="1">Notmerged(Z5)</f>
        <v>#NAME?</v>
      </c>
      <c r="AA34" s="128" t="e" cm="1">
        <f t="array" aca="1" ref="AA34" ca="1">Notmerged(AA5)</f>
        <v>#NAME?</v>
      </c>
      <c r="AB34" s="128" t="e" cm="1">
        <f t="array" aca="1" ref="AB34" ca="1">Notmerged(AB5)</f>
        <v>#NAME?</v>
      </c>
      <c r="AC34" s="128" t="e" cm="1">
        <f t="array" aca="1" ref="AC34" ca="1">Notmerged(AC5)</f>
        <v>#NAME?</v>
      </c>
      <c r="AD34" s="128" t="e" cm="1">
        <f t="array" aca="1" ref="AD34" ca="1">Notmerged(AD5)</f>
        <v>#NAME?</v>
      </c>
      <c r="AE34" s="128" t="e" cm="1">
        <f t="array" aca="1" ref="AE34" ca="1">Notmerged(AE5)</f>
        <v>#NAME?</v>
      </c>
      <c r="AF34" s="128" t="e" cm="1">
        <f t="array" aca="1" ref="AF34" ca="1">Notmerged(AF5)</f>
        <v>#NAME?</v>
      </c>
      <c r="AG34" s="128" t="e" cm="1">
        <f t="array" aca="1" ref="AG34" ca="1">Notmerged(AG5)</f>
        <v>#NAME?</v>
      </c>
      <c r="AH34" s="128" t="e" cm="1">
        <f t="array" aca="1" ref="AH34" ca="1">Notmerged(AH5)</f>
        <v>#NAME?</v>
      </c>
      <c r="AI34" s="128" t="e" cm="1">
        <f t="array" aca="1" ref="AI34" ca="1">Notmerged(AI5)</f>
        <v>#NAME?</v>
      </c>
      <c r="AJ34" s="128" t="e" cm="1">
        <f t="array" aca="1" ref="AJ34" ca="1">Notmerged(AJ5)</f>
        <v>#NAME?</v>
      </c>
      <c r="AK34" s="128" t="e" cm="1">
        <f t="array" aca="1" ref="AK34" ca="1">Notmerged(AK5)</f>
        <v>#NAME?</v>
      </c>
      <c r="AL34" s="128" t="e" cm="1">
        <f t="array" aca="1" ref="AL34" ca="1">Notmerged(AL5)</f>
        <v>#NAME?</v>
      </c>
      <c r="AM34" s="128" t="e" cm="1">
        <f t="array" aca="1" ref="AM34" ca="1">Notmerged(AM5)</f>
        <v>#NAME?</v>
      </c>
      <c r="AN34" s="128" t="e" cm="1">
        <f t="array" aca="1" ref="AN34" ca="1">Notmerged(AN5)</f>
        <v>#NAME?</v>
      </c>
      <c r="AO34" s="128" t="e" cm="1">
        <f t="array" aca="1" ref="AO34" ca="1">Notmerged(AO5)</f>
        <v>#NAME?</v>
      </c>
      <c r="AP34" s="128" t="e" cm="1">
        <f t="array" aca="1" ref="AP34" ca="1">Notmerged(AP5)</f>
        <v>#NAME?</v>
      </c>
      <c r="AQ34" s="128" t="e" cm="1">
        <f t="array" aca="1" ref="AQ34" ca="1">Notmerged(AQ5)</f>
        <v>#NAME?</v>
      </c>
      <c r="AR34" s="128" t="e" cm="1">
        <f t="array" aca="1" ref="AR34" ca="1">Notmerged(AR5)</f>
        <v>#NAME?</v>
      </c>
      <c r="AS34" s="128" t="e" cm="1">
        <f t="array" aca="1" ref="AS34" ca="1">Notmerged(AS5)</f>
        <v>#NAME?</v>
      </c>
      <c r="AT34" s="128" t="e" cm="1">
        <f t="array" aca="1" ref="AT34" ca="1">Notmerged(AT5)</f>
        <v>#NAME?</v>
      </c>
      <c r="AU34" s="128" t="e" cm="1">
        <f t="array" aca="1" ref="AU34" ca="1">Notmerged(AU5)</f>
        <v>#NAME?</v>
      </c>
      <c r="AV34" s="128" t="e" cm="1">
        <f t="array" aca="1" ref="AV34" ca="1">Notmerged(AV5)</f>
        <v>#NAME?</v>
      </c>
      <c r="AW34" s="128" t="e" cm="1">
        <f t="array" aca="1" ref="AW34" ca="1">Notmerged(AW5)</f>
        <v>#NAME?</v>
      </c>
      <c r="AX34" s="128" t="e" cm="1">
        <f t="array" aca="1" ref="AX34" ca="1">Notmerged(AX5)</f>
        <v>#NAME?</v>
      </c>
      <c r="AY34" s="128" t="e" cm="1">
        <f t="array" aca="1" ref="AY34" ca="1">Notmerged(AY5)</f>
        <v>#NAME?</v>
      </c>
      <c r="AZ34" s="128" t="e" cm="1">
        <f t="array" aca="1" ref="AZ34" ca="1">Notmerged(AZ5)</f>
        <v>#NAME?</v>
      </c>
      <c r="BA34" s="128" t="e" cm="1">
        <f t="array" aca="1" ref="BA34" ca="1">Notmerged(BA5)</f>
        <v>#NAME?</v>
      </c>
      <c r="BB34" s="128" t="e" cm="1">
        <f t="array" aca="1" ref="BB34" ca="1">Notmerged(BB5)</f>
        <v>#NAME?</v>
      </c>
      <c r="BC34" s="128" t="e" cm="1">
        <f t="array" aca="1" ref="BC34" ca="1">Notmerged(BC5)</f>
        <v>#NAME?</v>
      </c>
      <c r="BD34" s="128" t="e" cm="1">
        <f t="array" aca="1" ref="BD34" ca="1">Notmerged(BD5)</f>
        <v>#NAME?</v>
      </c>
      <c r="BE34" s="128" t="e" cm="1">
        <f t="array" aca="1" ref="BE34" ca="1">Notmerged(BE5)</f>
        <v>#NAME?</v>
      </c>
      <c r="BF34" s="128" t="e" cm="1">
        <f t="array" aca="1" ref="BF34" ca="1">Notmerged(BF5)</f>
        <v>#NAME?</v>
      </c>
      <c r="BG34" s="128" t="e" cm="1">
        <f t="array" aca="1" ref="BG34" ca="1">Notmerged(BG5)</f>
        <v>#NAME?</v>
      </c>
      <c r="BH34" s="128" t="e" cm="1">
        <f t="array" aca="1" ref="BH34" ca="1">Notmerged(BH5)</f>
        <v>#NAME?</v>
      </c>
      <c r="BI34" s="128" t="e" cm="1">
        <f t="array" aca="1" ref="BI34" ca="1">Notmerged(BI5)</f>
        <v>#NAME?</v>
      </c>
      <c r="BJ34" s="128" t="e" cm="1">
        <f t="array" aca="1" ref="BJ34" ca="1">Notmerged(BJ5)</f>
        <v>#NAME?</v>
      </c>
      <c r="BK34" s="128" t="e" cm="1">
        <f t="array" aca="1" ref="BK34" ca="1">Notmerged(BK5)</f>
        <v>#NAME?</v>
      </c>
    </row>
    <row r="35" spans="2:63" x14ac:dyDescent="0.3">
      <c r="B35" s="128" t="e" cm="1">
        <f t="array" aca="1" ref="B35" ca="1">Notmerged(B6)</f>
        <v>#NAME?</v>
      </c>
      <c r="C35" s="128" t="e" cm="1">
        <f t="array" aca="1" ref="C35" ca="1">Notmerged(C6)</f>
        <v>#NAME?</v>
      </c>
      <c r="D35" s="128" t="e" cm="1">
        <f t="array" aca="1" ref="D35" ca="1">Notmerged(D6)</f>
        <v>#NAME?</v>
      </c>
      <c r="E35" s="128" t="e" cm="1">
        <f t="array" aca="1" ref="E35" ca="1">Notmerged(E6)</f>
        <v>#NAME?</v>
      </c>
      <c r="F35" s="128" t="e" cm="1">
        <f t="array" aca="1" ref="F35" ca="1">Notmerged(F6)</f>
        <v>#NAME?</v>
      </c>
      <c r="G35" s="128" t="e" cm="1">
        <f t="array" aca="1" ref="G35" ca="1">Notmerged(G6)</f>
        <v>#NAME?</v>
      </c>
      <c r="H35" s="128" t="e" cm="1">
        <f t="array" aca="1" ref="H35" ca="1">Notmerged(H6)</f>
        <v>#NAME?</v>
      </c>
      <c r="I35" s="128" t="e" cm="1">
        <f t="array" aca="1" ref="I35" ca="1">Notmerged(I6)</f>
        <v>#NAME?</v>
      </c>
      <c r="J35" s="128" t="e" cm="1">
        <f t="array" aca="1" ref="J35" ca="1">Notmerged(J6)</f>
        <v>#NAME?</v>
      </c>
      <c r="K35" s="128" t="e" cm="1">
        <f t="array" aca="1" ref="K35" ca="1">Notmerged(K6)</f>
        <v>#NAME?</v>
      </c>
      <c r="L35" s="128" t="e" cm="1">
        <f t="array" aca="1" ref="L35" ca="1">Notmerged(L6)</f>
        <v>#NAME?</v>
      </c>
      <c r="M35" s="128" t="e" cm="1">
        <f t="array" aca="1" ref="M35" ca="1">Notmerged(M6)</f>
        <v>#NAME?</v>
      </c>
      <c r="N35" s="128" t="e" cm="1">
        <f t="array" aca="1" ref="N35" ca="1">Notmerged(N6)</f>
        <v>#NAME?</v>
      </c>
      <c r="O35" s="128" t="e" cm="1">
        <f t="array" aca="1" ref="O35" ca="1">Notmerged(O6)</f>
        <v>#NAME?</v>
      </c>
      <c r="P35" s="128" t="e" cm="1">
        <f t="array" aca="1" ref="P35" ca="1">Notmerged(P6)</f>
        <v>#NAME?</v>
      </c>
      <c r="Q35" s="128" t="e" cm="1">
        <f t="array" aca="1" ref="Q35" ca="1">Notmerged(Q6)</f>
        <v>#NAME?</v>
      </c>
      <c r="R35" s="128" t="e" cm="1">
        <f t="array" aca="1" ref="R35" ca="1">Notmerged(R6)</f>
        <v>#NAME?</v>
      </c>
      <c r="S35" s="128" t="e" cm="1">
        <f t="array" aca="1" ref="S35" ca="1">Notmerged(S6)</f>
        <v>#NAME?</v>
      </c>
      <c r="T35" s="128" t="e" cm="1">
        <f t="array" aca="1" ref="T35" ca="1">Notmerged(T6)</f>
        <v>#NAME?</v>
      </c>
      <c r="U35" s="128" t="e" cm="1">
        <f t="array" aca="1" ref="U35" ca="1">Notmerged(U6)</f>
        <v>#NAME?</v>
      </c>
      <c r="V35" s="128" t="e" cm="1">
        <f t="array" aca="1" ref="V35" ca="1">Notmerged(V6)</f>
        <v>#NAME?</v>
      </c>
      <c r="W35" s="128" t="e" cm="1">
        <f t="array" aca="1" ref="W35" ca="1">Notmerged(W6)</f>
        <v>#NAME?</v>
      </c>
      <c r="X35" s="128" t="e" cm="1">
        <f t="array" aca="1" ref="X35" ca="1">Notmerged(X6)</f>
        <v>#NAME?</v>
      </c>
      <c r="Y35" s="128" t="e" cm="1">
        <f t="array" aca="1" ref="Y35" ca="1">Notmerged(Y6)</f>
        <v>#NAME?</v>
      </c>
      <c r="Z35" s="128" t="e" cm="1">
        <f t="array" aca="1" ref="Z35" ca="1">Notmerged(Z6)</f>
        <v>#NAME?</v>
      </c>
      <c r="AA35" s="128" t="e" cm="1">
        <f t="array" aca="1" ref="AA35" ca="1">Notmerged(AA6)</f>
        <v>#NAME?</v>
      </c>
      <c r="AB35" s="128" t="e" cm="1">
        <f t="array" aca="1" ref="AB35" ca="1">Notmerged(AB6)</f>
        <v>#NAME?</v>
      </c>
      <c r="AC35" s="128" t="e" cm="1">
        <f t="array" aca="1" ref="AC35" ca="1">Notmerged(AC6)</f>
        <v>#NAME?</v>
      </c>
      <c r="AD35" s="128" t="e" cm="1">
        <f t="array" aca="1" ref="AD35" ca="1">Notmerged(AD6)</f>
        <v>#NAME?</v>
      </c>
      <c r="AE35" s="128" t="e" cm="1">
        <f t="array" aca="1" ref="AE35" ca="1">Notmerged(AE6)</f>
        <v>#NAME?</v>
      </c>
      <c r="AF35" s="128" t="e" cm="1">
        <f t="array" aca="1" ref="AF35" ca="1">Notmerged(AF6)</f>
        <v>#NAME?</v>
      </c>
      <c r="AG35" s="128" t="e" cm="1">
        <f t="array" aca="1" ref="AG35" ca="1">Notmerged(AG6)</f>
        <v>#NAME?</v>
      </c>
      <c r="AH35" s="128" t="e" cm="1">
        <f t="array" aca="1" ref="AH35" ca="1">Notmerged(AH6)</f>
        <v>#NAME?</v>
      </c>
      <c r="AI35" s="128" t="e" cm="1">
        <f t="array" aca="1" ref="AI35" ca="1">Notmerged(AI6)</f>
        <v>#NAME?</v>
      </c>
      <c r="AJ35" s="128" t="e" cm="1">
        <f t="array" aca="1" ref="AJ35" ca="1">Notmerged(AJ6)</f>
        <v>#NAME?</v>
      </c>
      <c r="AK35" s="128" t="e" cm="1">
        <f t="array" aca="1" ref="AK35" ca="1">Notmerged(AK6)</f>
        <v>#NAME?</v>
      </c>
      <c r="AL35" s="128" t="e" cm="1">
        <f t="array" aca="1" ref="AL35" ca="1">Notmerged(AL6)</f>
        <v>#NAME?</v>
      </c>
      <c r="AM35" s="128" t="e" cm="1">
        <f t="array" aca="1" ref="AM35" ca="1">Notmerged(AM6)</f>
        <v>#NAME?</v>
      </c>
      <c r="AN35" s="128" t="e" cm="1">
        <f t="array" aca="1" ref="AN35" ca="1">Notmerged(AN6)</f>
        <v>#NAME?</v>
      </c>
      <c r="AO35" s="128" t="e" cm="1">
        <f t="array" aca="1" ref="AO35" ca="1">Notmerged(AO6)</f>
        <v>#NAME?</v>
      </c>
      <c r="AP35" s="128" t="e" cm="1">
        <f t="array" aca="1" ref="AP35" ca="1">Notmerged(AP6)</f>
        <v>#NAME?</v>
      </c>
      <c r="AQ35" s="128" t="e" cm="1">
        <f t="array" aca="1" ref="AQ35" ca="1">Notmerged(AQ6)</f>
        <v>#NAME?</v>
      </c>
      <c r="AR35" s="128" t="e" cm="1">
        <f t="array" aca="1" ref="AR35" ca="1">Notmerged(AR6)</f>
        <v>#NAME?</v>
      </c>
      <c r="AS35" s="128" t="e" cm="1">
        <f t="array" aca="1" ref="AS35" ca="1">Notmerged(AS6)</f>
        <v>#NAME?</v>
      </c>
      <c r="AT35" s="128" t="e" cm="1">
        <f t="array" aca="1" ref="AT35" ca="1">Notmerged(AT6)</f>
        <v>#NAME?</v>
      </c>
      <c r="AU35" s="128" t="e" cm="1">
        <f t="array" aca="1" ref="AU35" ca="1">Notmerged(AU6)</f>
        <v>#NAME?</v>
      </c>
      <c r="AV35" s="128" t="e" cm="1">
        <f t="array" aca="1" ref="AV35" ca="1">Notmerged(AV6)</f>
        <v>#NAME?</v>
      </c>
      <c r="AW35" s="128" t="e" cm="1">
        <f t="array" aca="1" ref="AW35" ca="1">Notmerged(AW6)</f>
        <v>#NAME?</v>
      </c>
      <c r="AX35" s="128" t="e" cm="1">
        <f t="array" aca="1" ref="AX35" ca="1">Notmerged(AX6)</f>
        <v>#NAME?</v>
      </c>
      <c r="AY35" s="128" t="e" cm="1">
        <f t="array" aca="1" ref="AY35" ca="1">Notmerged(AY6)</f>
        <v>#NAME?</v>
      </c>
      <c r="AZ35" s="128" t="e" cm="1">
        <f t="array" aca="1" ref="AZ35" ca="1">Notmerged(AZ6)</f>
        <v>#NAME?</v>
      </c>
      <c r="BA35" s="128" t="e" cm="1">
        <f t="array" aca="1" ref="BA35" ca="1">Notmerged(BA6)</f>
        <v>#NAME?</v>
      </c>
      <c r="BB35" s="128" t="e" cm="1">
        <f t="array" aca="1" ref="BB35" ca="1">Notmerged(BB6)</f>
        <v>#NAME?</v>
      </c>
      <c r="BC35" s="128" t="e" cm="1">
        <f t="array" aca="1" ref="BC35" ca="1">Notmerged(BC6)</f>
        <v>#NAME?</v>
      </c>
      <c r="BD35" s="128" t="e" cm="1">
        <f t="array" aca="1" ref="BD35" ca="1">Notmerged(BD6)</f>
        <v>#NAME?</v>
      </c>
      <c r="BE35" s="128" t="e" cm="1">
        <f t="array" aca="1" ref="BE35" ca="1">Notmerged(BE6)</f>
        <v>#NAME?</v>
      </c>
      <c r="BF35" s="128" t="e" cm="1">
        <f t="array" aca="1" ref="BF35" ca="1">Notmerged(BF6)</f>
        <v>#NAME?</v>
      </c>
      <c r="BG35" s="128" t="e" cm="1">
        <f t="array" aca="1" ref="BG35" ca="1">Notmerged(BG6)</f>
        <v>#NAME?</v>
      </c>
      <c r="BH35" s="128" t="e" cm="1">
        <f t="array" aca="1" ref="BH35" ca="1">Notmerged(BH6)</f>
        <v>#NAME?</v>
      </c>
      <c r="BI35" s="128" t="e" cm="1">
        <f t="array" aca="1" ref="BI35" ca="1">Notmerged(BI6)</f>
        <v>#NAME?</v>
      </c>
      <c r="BJ35" s="128" t="e" cm="1">
        <f t="array" aca="1" ref="BJ35" ca="1">Notmerged(BJ6)</f>
        <v>#NAME?</v>
      </c>
      <c r="BK35" s="128" t="e" cm="1">
        <f t="array" aca="1" ref="BK35" ca="1">Notmerged(BK6)</f>
        <v>#NAME?</v>
      </c>
    </row>
    <row r="36" spans="2:63" x14ac:dyDescent="0.3">
      <c r="B36" s="128" t="e" cm="1">
        <f t="array" aca="1" ref="B36" ca="1">Notmerged(B7)</f>
        <v>#NAME?</v>
      </c>
      <c r="C36" s="128" t="e" cm="1">
        <f t="array" aca="1" ref="C36" ca="1">Notmerged(C7)</f>
        <v>#NAME?</v>
      </c>
      <c r="D36" s="128" t="e" cm="1">
        <f t="array" aca="1" ref="D36" ca="1">Notmerged(D7)</f>
        <v>#NAME?</v>
      </c>
      <c r="E36" s="128" t="e" cm="1">
        <f t="array" aca="1" ref="E36" ca="1">Notmerged(E7)</f>
        <v>#NAME?</v>
      </c>
      <c r="F36" s="128" t="e" cm="1">
        <f t="array" aca="1" ref="F36" ca="1">Notmerged(F7)</f>
        <v>#NAME?</v>
      </c>
      <c r="G36" s="128" t="e" cm="1">
        <f t="array" aca="1" ref="G36" ca="1">Notmerged(G7)</f>
        <v>#NAME?</v>
      </c>
      <c r="H36" s="128" t="e" cm="1">
        <f t="array" aca="1" ref="H36" ca="1">Notmerged(H7)</f>
        <v>#NAME?</v>
      </c>
      <c r="I36" s="128" t="e" cm="1">
        <f t="array" aca="1" ref="I36" ca="1">Notmerged(I7)</f>
        <v>#NAME?</v>
      </c>
      <c r="J36" s="128" t="e" cm="1">
        <f t="array" aca="1" ref="J36" ca="1">Notmerged(J7)</f>
        <v>#NAME?</v>
      </c>
      <c r="K36" s="128" t="e" cm="1">
        <f t="array" aca="1" ref="K36" ca="1">Notmerged(K7)</f>
        <v>#NAME?</v>
      </c>
      <c r="L36" s="128" t="e" cm="1">
        <f t="array" aca="1" ref="L36" ca="1">Notmerged(L7)</f>
        <v>#NAME?</v>
      </c>
      <c r="M36" s="128" t="e" cm="1">
        <f t="array" aca="1" ref="M36" ca="1">Notmerged(M7)</f>
        <v>#NAME?</v>
      </c>
      <c r="N36" s="128" t="e" cm="1">
        <f t="array" aca="1" ref="N36" ca="1">Notmerged(N7)</f>
        <v>#NAME?</v>
      </c>
      <c r="O36" s="128" t="e" cm="1">
        <f t="array" aca="1" ref="O36" ca="1">Notmerged(O7)</f>
        <v>#NAME?</v>
      </c>
      <c r="P36" s="128" t="e" cm="1">
        <f t="array" aca="1" ref="P36" ca="1">Notmerged(P7)</f>
        <v>#NAME?</v>
      </c>
      <c r="Q36" s="128" t="e" cm="1">
        <f t="array" aca="1" ref="Q36" ca="1">Notmerged(Q7)</f>
        <v>#NAME?</v>
      </c>
      <c r="R36" s="128" t="e" cm="1">
        <f t="array" aca="1" ref="R36" ca="1">Notmerged(R7)</f>
        <v>#NAME?</v>
      </c>
      <c r="S36" s="128" t="e" cm="1">
        <f t="array" aca="1" ref="S36" ca="1">Notmerged(S7)</f>
        <v>#NAME?</v>
      </c>
      <c r="T36" s="128" t="e" cm="1">
        <f t="array" aca="1" ref="T36" ca="1">Notmerged(T7)</f>
        <v>#NAME?</v>
      </c>
      <c r="U36" s="128" t="e" cm="1">
        <f t="array" aca="1" ref="U36" ca="1">Notmerged(U7)</f>
        <v>#NAME?</v>
      </c>
      <c r="V36" s="128" t="e" cm="1">
        <f t="array" aca="1" ref="V36" ca="1">Notmerged(V7)</f>
        <v>#NAME?</v>
      </c>
      <c r="W36" s="128" t="e" cm="1">
        <f t="array" aca="1" ref="W36" ca="1">Notmerged(W7)</f>
        <v>#NAME?</v>
      </c>
      <c r="X36" s="128" t="e" cm="1">
        <f t="array" aca="1" ref="X36" ca="1">Notmerged(X7)</f>
        <v>#NAME?</v>
      </c>
      <c r="Y36" s="128" t="e" cm="1">
        <f t="array" aca="1" ref="Y36" ca="1">Notmerged(Y7)</f>
        <v>#NAME?</v>
      </c>
      <c r="Z36" s="128" t="e" cm="1">
        <f t="array" aca="1" ref="Z36" ca="1">Notmerged(Z7)</f>
        <v>#NAME?</v>
      </c>
      <c r="AA36" s="128" t="e" cm="1">
        <f t="array" aca="1" ref="AA36" ca="1">Notmerged(AA7)</f>
        <v>#NAME?</v>
      </c>
      <c r="AB36" s="128" t="e" cm="1">
        <f t="array" aca="1" ref="AB36" ca="1">Notmerged(AB7)</f>
        <v>#NAME?</v>
      </c>
      <c r="AC36" s="128" t="e" cm="1">
        <f t="array" aca="1" ref="AC36" ca="1">Notmerged(AC7)</f>
        <v>#NAME?</v>
      </c>
      <c r="AD36" s="128" t="e" cm="1">
        <f t="array" aca="1" ref="AD36" ca="1">Notmerged(AD7)</f>
        <v>#NAME?</v>
      </c>
      <c r="AE36" s="128" t="e" cm="1">
        <f t="array" aca="1" ref="AE36" ca="1">Notmerged(AE7)</f>
        <v>#NAME?</v>
      </c>
      <c r="AF36" s="128" t="e" cm="1">
        <f t="array" aca="1" ref="AF36" ca="1">Notmerged(AF7)</f>
        <v>#NAME?</v>
      </c>
      <c r="AG36" s="128" t="e" cm="1">
        <f t="array" aca="1" ref="AG36" ca="1">Notmerged(AG7)</f>
        <v>#NAME?</v>
      </c>
      <c r="AH36" s="128" t="e" cm="1">
        <f t="array" aca="1" ref="AH36" ca="1">Notmerged(AH7)</f>
        <v>#NAME?</v>
      </c>
      <c r="AI36" s="128" t="e" cm="1">
        <f t="array" aca="1" ref="AI36" ca="1">Notmerged(AI7)</f>
        <v>#NAME?</v>
      </c>
      <c r="AJ36" s="128" t="e" cm="1">
        <f t="array" aca="1" ref="AJ36" ca="1">Notmerged(AJ7)</f>
        <v>#NAME?</v>
      </c>
      <c r="AK36" s="128" t="e" cm="1">
        <f t="array" aca="1" ref="AK36" ca="1">Notmerged(AK7)</f>
        <v>#NAME?</v>
      </c>
      <c r="AL36" s="128" t="e" cm="1">
        <f t="array" aca="1" ref="AL36" ca="1">Notmerged(AL7)</f>
        <v>#NAME?</v>
      </c>
      <c r="AM36" s="128" t="e" cm="1">
        <f t="array" aca="1" ref="AM36" ca="1">Notmerged(AM7)</f>
        <v>#NAME?</v>
      </c>
      <c r="AN36" s="128" t="e" cm="1">
        <f t="array" aca="1" ref="AN36" ca="1">Notmerged(AN7)</f>
        <v>#NAME?</v>
      </c>
      <c r="AO36" s="128" t="e" cm="1">
        <f t="array" aca="1" ref="AO36" ca="1">Notmerged(AO7)</f>
        <v>#NAME?</v>
      </c>
      <c r="AP36" s="128" t="e" cm="1">
        <f t="array" aca="1" ref="AP36" ca="1">Notmerged(AP7)</f>
        <v>#NAME?</v>
      </c>
      <c r="AQ36" s="128" t="e" cm="1">
        <f t="array" aca="1" ref="AQ36" ca="1">Notmerged(AQ7)</f>
        <v>#NAME?</v>
      </c>
      <c r="AR36" s="128" t="e" cm="1">
        <f t="array" aca="1" ref="AR36" ca="1">Notmerged(AR7)</f>
        <v>#NAME?</v>
      </c>
      <c r="AS36" s="128" t="e" cm="1">
        <f t="array" aca="1" ref="AS36" ca="1">Notmerged(AS7)</f>
        <v>#NAME?</v>
      </c>
      <c r="AT36" s="128" t="e" cm="1">
        <f t="array" aca="1" ref="AT36" ca="1">Notmerged(AT7)</f>
        <v>#NAME?</v>
      </c>
      <c r="AU36" s="128" t="e" cm="1">
        <f t="array" aca="1" ref="AU36" ca="1">Notmerged(AU7)</f>
        <v>#NAME?</v>
      </c>
      <c r="AV36" s="128" t="e" cm="1">
        <f t="array" aca="1" ref="AV36" ca="1">Notmerged(AV7)</f>
        <v>#NAME?</v>
      </c>
      <c r="AW36" s="128" t="e" cm="1">
        <f t="array" aca="1" ref="AW36" ca="1">Notmerged(AW7)</f>
        <v>#NAME?</v>
      </c>
      <c r="AX36" s="128" t="e" cm="1">
        <f t="array" aca="1" ref="AX36" ca="1">Notmerged(AX7)</f>
        <v>#NAME?</v>
      </c>
      <c r="AY36" s="128" t="e" cm="1">
        <f t="array" aca="1" ref="AY36" ca="1">Notmerged(AY7)</f>
        <v>#NAME?</v>
      </c>
      <c r="AZ36" s="128" t="e" cm="1">
        <f t="array" aca="1" ref="AZ36" ca="1">Notmerged(AZ7)</f>
        <v>#NAME?</v>
      </c>
      <c r="BA36" s="128" t="e" cm="1">
        <f t="array" aca="1" ref="BA36" ca="1">Notmerged(BA7)</f>
        <v>#NAME?</v>
      </c>
      <c r="BB36" s="128" t="e" cm="1">
        <f t="array" aca="1" ref="BB36" ca="1">Notmerged(BB7)</f>
        <v>#NAME?</v>
      </c>
      <c r="BC36" s="128" t="e" cm="1">
        <f t="array" aca="1" ref="BC36" ca="1">Notmerged(BC7)</f>
        <v>#NAME?</v>
      </c>
      <c r="BD36" s="128" t="e" cm="1">
        <f t="array" aca="1" ref="BD36" ca="1">Notmerged(BD7)</f>
        <v>#NAME?</v>
      </c>
      <c r="BE36" s="128" t="e" cm="1">
        <f t="array" aca="1" ref="BE36" ca="1">Notmerged(BE7)</f>
        <v>#NAME?</v>
      </c>
      <c r="BF36" s="128" t="e" cm="1">
        <f t="array" aca="1" ref="BF36" ca="1">Notmerged(BF7)</f>
        <v>#NAME?</v>
      </c>
      <c r="BG36" s="128" t="e" cm="1">
        <f t="array" aca="1" ref="BG36" ca="1">Notmerged(BG7)</f>
        <v>#NAME?</v>
      </c>
      <c r="BH36" s="128" t="e" cm="1">
        <f t="array" aca="1" ref="BH36" ca="1">Notmerged(BH7)</f>
        <v>#NAME?</v>
      </c>
      <c r="BI36" s="128" t="e" cm="1">
        <f t="array" aca="1" ref="BI36" ca="1">Notmerged(BI7)</f>
        <v>#NAME?</v>
      </c>
      <c r="BJ36" s="128" t="e" cm="1">
        <f t="array" aca="1" ref="BJ36" ca="1">Notmerged(BJ7)</f>
        <v>#NAME?</v>
      </c>
      <c r="BK36" s="128" t="e" cm="1">
        <f t="array" aca="1" ref="BK36" ca="1">Notmerged(BK7)</f>
        <v>#NAME?</v>
      </c>
    </row>
    <row r="37" spans="2:63" x14ac:dyDescent="0.3">
      <c r="B37" s="128" t="e" cm="1">
        <f t="array" aca="1" ref="B37" ca="1">Notmerged(B8)</f>
        <v>#NAME?</v>
      </c>
      <c r="C37" s="128" t="e" cm="1">
        <f t="array" aca="1" ref="C37" ca="1">Notmerged(C8)</f>
        <v>#NAME?</v>
      </c>
      <c r="D37" s="128" t="e" cm="1">
        <f t="array" aca="1" ref="D37" ca="1">Notmerged(D8)</f>
        <v>#NAME?</v>
      </c>
      <c r="E37" s="128" t="e" cm="1">
        <f t="array" aca="1" ref="E37" ca="1">Notmerged(E8)</f>
        <v>#NAME?</v>
      </c>
      <c r="F37" s="128" t="e" cm="1">
        <f t="array" aca="1" ref="F37" ca="1">Notmerged(F8)</f>
        <v>#NAME?</v>
      </c>
      <c r="G37" s="128" t="e" cm="1">
        <f t="array" aca="1" ref="G37" ca="1">Notmerged(G8)</f>
        <v>#NAME?</v>
      </c>
      <c r="H37" s="128" t="e" cm="1">
        <f t="array" aca="1" ref="H37" ca="1">Notmerged(H8)</f>
        <v>#NAME?</v>
      </c>
      <c r="I37" s="128" t="e" cm="1">
        <f t="array" aca="1" ref="I37" ca="1">Notmerged(I8)</f>
        <v>#NAME?</v>
      </c>
      <c r="J37" s="128" t="e" cm="1">
        <f t="array" aca="1" ref="J37" ca="1">Notmerged(J8)</f>
        <v>#NAME?</v>
      </c>
      <c r="K37" s="128" t="e" cm="1">
        <f t="array" aca="1" ref="K37" ca="1">Notmerged(K8)</f>
        <v>#NAME?</v>
      </c>
      <c r="L37" s="128" t="e" cm="1">
        <f t="array" aca="1" ref="L37" ca="1">Notmerged(L8)</f>
        <v>#NAME?</v>
      </c>
      <c r="M37" s="128" t="e" cm="1">
        <f t="array" aca="1" ref="M37" ca="1">Notmerged(M8)</f>
        <v>#NAME?</v>
      </c>
      <c r="N37" s="128" t="e" cm="1">
        <f t="array" aca="1" ref="N37" ca="1">Notmerged(N8)</f>
        <v>#NAME?</v>
      </c>
      <c r="O37" s="128" t="e" cm="1">
        <f t="array" aca="1" ref="O37" ca="1">Notmerged(O8)</f>
        <v>#NAME?</v>
      </c>
      <c r="P37" s="128" t="e" cm="1">
        <f t="array" aca="1" ref="P37" ca="1">Notmerged(P8)</f>
        <v>#NAME?</v>
      </c>
      <c r="Q37" s="128" t="e" cm="1">
        <f t="array" aca="1" ref="Q37" ca="1">Notmerged(Q8)</f>
        <v>#NAME?</v>
      </c>
      <c r="R37" s="128" t="e" cm="1">
        <f t="array" aca="1" ref="R37" ca="1">Notmerged(R8)</f>
        <v>#NAME?</v>
      </c>
      <c r="S37" s="128" t="e" cm="1">
        <f t="array" aca="1" ref="S37" ca="1">Notmerged(S8)</f>
        <v>#NAME?</v>
      </c>
      <c r="T37" s="128" t="e" cm="1">
        <f t="array" aca="1" ref="T37" ca="1">Notmerged(T8)</f>
        <v>#NAME?</v>
      </c>
      <c r="U37" s="128" t="e" cm="1">
        <f t="array" aca="1" ref="U37" ca="1">Notmerged(U8)</f>
        <v>#NAME?</v>
      </c>
      <c r="V37" s="128" t="e" cm="1">
        <f t="array" aca="1" ref="V37" ca="1">Notmerged(V8)</f>
        <v>#NAME?</v>
      </c>
      <c r="W37" s="128" t="e" cm="1">
        <f t="array" aca="1" ref="W37" ca="1">Notmerged(W8)</f>
        <v>#NAME?</v>
      </c>
      <c r="X37" s="128" t="e" cm="1">
        <f t="array" aca="1" ref="X37" ca="1">Notmerged(X8)</f>
        <v>#NAME?</v>
      </c>
      <c r="Y37" s="128" t="e" cm="1">
        <f t="array" aca="1" ref="Y37" ca="1">Notmerged(Y8)</f>
        <v>#NAME?</v>
      </c>
      <c r="Z37" s="128" t="e" cm="1">
        <f t="array" aca="1" ref="Z37" ca="1">Notmerged(Z8)</f>
        <v>#NAME?</v>
      </c>
      <c r="AA37" s="128" t="e" cm="1">
        <f t="array" aca="1" ref="AA37" ca="1">Notmerged(AA8)</f>
        <v>#NAME?</v>
      </c>
      <c r="AB37" s="128" t="e" cm="1">
        <f t="array" aca="1" ref="AB37" ca="1">Notmerged(AB8)</f>
        <v>#NAME?</v>
      </c>
      <c r="AC37" s="128" t="e" cm="1">
        <f t="array" aca="1" ref="AC37" ca="1">Notmerged(AC8)</f>
        <v>#NAME?</v>
      </c>
      <c r="AD37" s="128" t="e" cm="1">
        <f t="array" aca="1" ref="AD37" ca="1">Notmerged(AD8)</f>
        <v>#NAME?</v>
      </c>
      <c r="AE37" s="128" t="e" cm="1">
        <f t="array" aca="1" ref="AE37" ca="1">Notmerged(AE8)</f>
        <v>#NAME?</v>
      </c>
      <c r="AF37" s="128" t="e" cm="1">
        <f t="array" aca="1" ref="AF37" ca="1">Notmerged(AF8)</f>
        <v>#NAME?</v>
      </c>
      <c r="AG37" s="128" t="e" cm="1">
        <f t="array" aca="1" ref="AG37" ca="1">Notmerged(AG8)</f>
        <v>#NAME?</v>
      </c>
      <c r="AH37" s="128" t="e" cm="1">
        <f t="array" aca="1" ref="AH37" ca="1">Notmerged(AH8)</f>
        <v>#NAME?</v>
      </c>
      <c r="AI37" s="128" t="e" cm="1">
        <f t="array" aca="1" ref="AI37" ca="1">Notmerged(AI8)</f>
        <v>#NAME?</v>
      </c>
      <c r="AJ37" s="128" t="e" cm="1">
        <f t="array" aca="1" ref="AJ37" ca="1">Notmerged(AJ8)</f>
        <v>#NAME?</v>
      </c>
      <c r="AK37" s="128" t="e" cm="1">
        <f t="array" aca="1" ref="AK37" ca="1">Notmerged(AK8)</f>
        <v>#NAME?</v>
      </c>
      <c r="AL37" s="128" t="e" cm="1">
        <f t="array" aca="1" ref="AL37" ca="1">Notmerged(AL8)</f>
        <v>#NAME?</v>
      </c>
      <c r="AM37" s="128" t="e" cm="1">
        <f t="array" aca="1" ref="AM37" ca="1">Notmerged(AM8)</f>
        <v>#NAME?</v>
      </c>
      <c r="AN37" s="128" t="e" cm="1">
        <f t="array" aca="1" ref="AN37" ca="1">Notmerged(AN8)</f>
        <v>#NAME?</v>
      </c>
      <c r="AO37" s="128" t="e" cm="1">
        <f t="array" aca="1" ref="AO37" ca="1">Notmerged(AO8)</f>
        <v>#NAME?</v>
      </c>
      <c r="AP37" s="128" t="e" cm="1">
        <f t="array" aca="1" ref="AP37" ca="1">Notmerged(AP8)</f>
        <v>#NAME?</v>
      </c>
      <c r="AQ37" s="128" t="e" cm="1">
        <f t="array" aca="1" ref="AQ37" ca="1">Notmerged(AQ8)</f>
        <v>#NAME?</v>
      </c>
      <c r="AR37" s="128" t="e" cm="1">
        <f t="array" aca="1" ref="AR37" ca="1">Notmerged(AR8)</f>
        <v>#NAME?</v>
      </c>
      <c r="AS37" s="128" t="e" cm="1">
        <f t="array" aca="1" ref="AS37" ca="1">Notmerged(AS8)</f>
        <v>#NAME?</v>
      </c>
      <c r="AT37" s="128" t="e" cm="1">
        <f t="array" aca="1" ref="AT37" ca="1">Notmerged(AT8)</f>
        <v>#NAME?</v>
      </c>
      <c r="AU37" s="128" t="e" cm="1">
        <f t="array" aca="1" ref="AU37" ca="1">Notmerged(AU8)</f>
        <v>#NAME?</v>
      </c>
      <c r="AV37" s="128" t="e" cm="1">
        <f t="array" aca="1" ref="AV37" ca="1">Notmerged(AV8)</f>
        <v>#NAME?</v>
      </c>
      <c r="AW37" s="128" t="e" cm="1">
        <f t="array" aca="1" ref="AW37" ca="1">Notmerged(AW8)</f>
        <v>#NAME?</v>
      </c>
      <c r="AX37" s="128" t="e" cm="1">
        <f t="array" aca="1" ref="AX37" ca="1">Notmerged(AX8)</f>
        <v>#NAME?</v>
      </c>
      <c r="AY37" s="128" t="e" cm="1">
        <f t="array" aca="1" ref="AY37" ca="1">Notmerged(AY8)</f>
        <v>#NAME?</v>
      </c>
      <c r="AZ37" s="128" t="e" cm="1">
        <f t="array" aca="1" ref="AZ37" ca="1">Notmerged(AZ8)</f>
        <v>#NAME?</v>
      </c>
      <c r="BA37" s="128" t="e" cm="1">
        <f t="array" aca="1" ref="BA37" ca="1">Notmerged(BA8)</f>
        <v>#NAME?</v>
      </c>
      <c r="BB37" s="128" t="e" cm="1">
        <f t="array" aca="1" ref="BB37" ca="1">Notmerged(BB8)</f>
        <v>#NAME?</v>
      </c>
      <c r="BC37" s="128" t="e" cm="1">
        <f t="array" aca="1" ref="BC37" ca="1">Notmerged(BC8)</f>
        <v>#NAME?</v>
      </c>
      <c r="BD37" s="128" t="e" cm="1">
        <f t="array" aca="1" ref="BD37" ca="1">Notmerged(BD8)</f>
        <v>#NAME?</v>
      </c>
      <c r="BE37" s="128" t="e" cm="1">
        <f t="array" aca="1" ref="BE37" ca="1">Notmerged(BE8)</f>
        <v>#NAME?</v>
      </c>
      <c r="BF37" s="128" t="e" cm="1">
        <f t="array" aca="1" ref="BF37" ca="1">Notmerged(BF8)</f>
        <v>#NAME?</v>
      </c>
      <c r="BG37" s="128" t="e" cm="1">
        <f t="array" aca="1" ref="BG37" ca="1">Notmerged(BG8)</f>
        <v>#NAME?</v>
      </c>
      <c r="BH37" s="128" t="e" cm="1">
        <f t="array" aca="1" ref="BH37" ca="1">Notmerged(BH8)</f>
        <v>#NAME?</v>
      </c>
      <c r="BI37" s="128" t="e" cm="1">
        <f t="array" aca="1" ref="BI37" ca="1">Notmerged(BI8)</f>
        <v>#NAME?</v>
      </c>
      <c r="BJ37" s="128" t="e" cm="1">
        <f t="array" aca="1" ref="BJ37" ca="1">Notmerged(BJ8)</f>
        <v>#NAME?</v>
      </c>
      <c r="BK37" s="128" t="e" cm="1">
        <f t="array" aca="1" ref="BK37" ca="1">Notmerged(BK8)</f>
        <v>#NAME?</v>
      </c>
    </row>
    <row r="38" spans="2:63" x14ac:dyDescent="0.3">
      <c r="B38" s="128" t="e" cm="1">
        <f t="array" aca="1" ref="B38" ca="1">Notmerged(B9)</f>
        <v>#NAME?</v>
      </c>
      <c r="C38" s="128" t="e" cm="1">
        <f t="array" aca="1" ref="C38" ca="1">Notmerged(C9)</f>
        <v>#NAME?</v>
      </c>
      <c r="D38" s="128" t="e" cm="1">
        <f t="array" aca="1" ref="D38" ca="1">Notmerged(D9)</f>
        <v>#NAME?</v>
      </c>
      <c r="E38" s="128" t="e" cm="1">
        <f t="array" aca="1" ref="E38" ca="1">Notmerged(E9)</f>
        <v>#NAME?</v>
      </c>
      <c r="F38" s="128" t="e" cm="1">
        <f t="array" aca="1" ref="F38" ca="1">Notmerged(F9)</f>
        <v>#NAME?</v>
      </c>
      <c r="G38" s="128" t="e" cm="1">
        <f t="array" aca="1" ref="G38" ca="1">Notmerged(G9)</f>
        <v>#NAME?</v>
      </c>
      <c r="H38" s="128" t="e" cm="1">
        <f t="array" aca="1" ref="H38" ca="1">Notmerged(H9)</f>
        <v>#NAME?</v>
      </c>
      <c r="I38" s="128" t="e" cm="1">
        <f t="array" aca="1" ref="I38" ca="1">Notmerged(I9)</f>
        <v>#NAME?</v>
      </c>
      <c r="J38" s="128" t="e" cm="1">
        <f t="array" aca="1" ref="J38" ca="1">Notmerged(J9)</f>
        <v>#NAME?</v>
      </c>
      <c r="K38" s="128" t="e" cm="1">
        <f t="array" aca="1" ref="K38" ca="1">Notmerged(K9)</f>
        <v>#NAME?</v>
      </c>
      <c r="L38" s="128" t="e" cm="1">
        <f t="array" aca="1" ref="L38" ca="1">Notmerged(L9)</f>
        <v>#NAME?</v>
      </c>
      <c r="M38" s="128" t="e" cm="1">
        <f t="array" aca="1" ref="M38" ca="1">Notmerged(M9)</f>
        <v>#NAME?</v>
      </c>
      <c r="N38" s="128" t="e" cm="1">
        <f t="array" aca="1" ref="N38" ca="1">Notmerged(N9)</f>
        <v>#NAME?</v>
      </c>
      <c r="O38" s="128" t="e" cm="1">
        <f t="array" aca="1" ref="O38" ca="1">Notmerged(O9)</f>
        <v>#NAME?</v>
      </c>
      <c r="P38" s="128" t="e" cm="1">
        <f t="array" aca="1" ref="P38" ca="1">Notmerged(P9)</f>
        <v>#NAME?</v>
      </c>
      <c r="Q38" s="128" t="e" cm="1">
        <f t="array" aca="1" ref="Q38" ca="1">Notmerged(Q9)</f>
        <v>#NAME?</v>
      </c>
      <c r="R38" s="128" t="e" cm="1">
        <f t="array" aca="1" ref="R38" ca="1">Notmerged(R9)</f>
        <v>#NAME?</v>
      </c>
      <c r="S38" s="128" t="e" cm="1">
        <f t="array" aca="1" ref="S38" ca="1">Notmerged(S9)</f>
        <v>#NAME?</v>
      </c>
      <c r="T38" s="128" t="e" cm="1">
        <f t="array" aca="1" ref="T38" ca="1">Notmerged(T9)</f>
        <v>#NAME?</v>
      </c>
      <c r="U38" s="128" t="e" cm="1">
        <f t="array" aca="1" ref="U38" ca="1">Notmerged(U9)</f>
        <v>#NAME?</v>
      </c>
      <c r="V38" s="128" t="e" cm="1">
        <f t="array" aca="1" ref="V38" ca="1">Notmerged(V9)</f>
        <v>#NAME?</v>
      </c>
      <c r="W38" s="128" t="e" cm="1">
        <f t="array" aca="1" ref="W38" ca="1">Notmerged(W9)</f>
        <v>#NAME?</v>
      </c>
      <c r="X38" s="128" t="e" cm="1">
        <f t="array" aca="1" ref="X38" ca="1">Notmerged(X9)</f>
        <v>#NAME?</v>
      </c>
      <c r="Y38" s="128" t="e" cm="1">
        <f t="array" aca="1" ref="Y38" ca="1">Notmerged(Y9)</f>
        <v>#NAME?</v>
      </c>
      <c r="Z38" s="128" t="e" cm="1">
        <f t="array" aca="1" ref="Z38" ca="1">Notmerged(Z9)</f>
        <v>#NAME?</v>
      </c>
      <c r="AA38" s="128" t="e" cm="1">
        <f t="array" aca="1" ref="AA38" ca="1">Notmerged(AA9)</f>
        <v>#NAME?</v>
      </c>
      <c r="AB38" s="128" t="e" cm="1">
        <f t="array" aca="1" ref="AB38" ca="1">Notmerged(AB9)</f>
        <v>#NAME?</v>
      </c>
      <c r="AC38" s="128" t="e" cm="1">
        <f t="array" aca="1" ref="AC38" ca="1">Notmerged(AC9)</f>
        <v>#NAME?</v>
      </c>
      <c r="AD38" s="128" t="e" cm="1">
        <f t="array" aca="1" ref="AD38" ca="1">Notmerged(AD9)</f>
        <v>#NAME?</v>
      </c>
      <c r="AE38" s="128" t="e" cm="1">
        <f t="array" aca="1" ref="AE38" ca="1">Notmerged(AE9)</f>
        <v>#NAME?</v>
      </c>
      <c r="AF38" s="128" t="e" cm="1">
        <f t="array" aca="1" ref="AF38" ca="1">Notmerged(AF9)</f>
        <v>#NAME?</v>
      </c>
      <c r="AG38" s="128" t="e" cm="1">
        <f t="array" aca="1" ref="AG38" ca="1">Notmerged(AG9)</f>
        <v>#NAME?</v>
      </c>
      <c r="AH38" s="128" t="e" cm="1">
        <f t="array" aca="1" ref="AH38" ca="1">Notmerged(AH9)</f>
        <v>#NAME?</v>
      </c>
      <c r="AI38" s="128" t="e" cm="1">
        <f t="array" aca="1" ref="AI38" ca="1">Notmerged(AI9)</f>
        <v>#NAME?</v>
      </c>
      <c r="AJ38" s="128" t="e" cm="1">
        <f t="array" aca="1" ref="AJ38" ca="1">Notmerged(AJ9)</f>
        <v>#NAME?</v>
      </c>
      <c r="AK38" s="128" t="e" cm="1">
        <f t="array" aca="1" ref="AK38" ca="1">Notmerged(AK9)</f>
        <v>#NAME?</v>
      </c>
      <c r="AL38" s="128" t="e" cm="1">
        <f t="array" aca="1" ref="AL38" ca="1">Notmerged(AL9)</f>
        <v>#NAME?</v>
      </c>
      <c r="AM38" s="128" t="e" cm="1">
        <f t="array" aca="1" ref="AM38" ca="1">Notmerged(AM9)</f>
        <v>#NAME?</v>
      </c>
      <c r="AN38" s="128" t="e" cm="1">
        <f t="array" aca="1" ref="AN38" ca="1">Notmerged(AN9)</f>
        <v>#NAME?</v>
      </c>
      <c r="AO38" s="128" t="e" cm="1">
        <f t="array" aca="1" ref="AO38" ca="1">Notmerged(AO9)</f>
        <v>#NAME?</v>
      </c>
      <c r="AP38" s="128" t="e" cm="1">
        <f t="array" aca="1" ref="AP38" ca="1">Notmerged(AP9)</f>
        <v>#NAME?</v>
      </c>
      <c r="AQ38" s="128" t="e" cm="1">
        <f t="array" aca="1" ref="AQ38" ca="1">Notmerged(AQ9)</f>
        <v>#NAME?</v>
      </c>
      <c r="AR38" s="128" t="e" cm="1">
        <f t="array" aca="1" ref="AR38" ca="1">Notmerged(AR9)</f>
        <v>#NAME?</v>
      </c>
      <c r="AS38" s="128" t="e" cm="1">
        <f t="array" aca="1" ref="AS38" ca="1">Notmerged(AS9)</f>
        <v>#NAME?</v>
      </c>
      <c r="AT38" s="128" t="e" cm="1">
        <f t="array" aca="1" ref="AT38" ca="1">Notmerged(AT9)</f>
        <v>#NAME?</v>
      </c>
      <c r="AU38" s="128" t="e" cm="1">
        <f t="array" aca="1" ref="AU38" ca="1">Notmerged(AU9)</f>
        <v>#NAME?</v>
      </c>
      <c r="AV38" s="128" t="e" cm="1">
        <f t="array" aca="1" ref="AV38" ca="1">Notmerged(AV9)</f>
        <v>#NAME?</v>
      </c>
      <c r="AW38" s="128" t="e" cm="1">
        <f t="array" aca="1" ref="AW38" ca="1">Notmerged(AW9)</f>
        <v>#NAME?</v>
      </c>
      <c r="AX38" s="128" t="e" cm="1">
        <f t="array" aca="1" ref="AX38" ca="1">Notmerged(AX9)</f>
        <v>#NAME?</v>
      </c>
      <c r="AY38" s="128" t="e" cm="1">
        <f t="array" aca="1" ref="AY38" ca="1">Notmerged(AY9)</f>
        <v>#NAME?</v>
      </c>
      <c r="AZ38" s="128" t="e" cm="1">
        <f t="array" aca="1" ref="AZ38" ca="1">Notmerged(AZ9)</f>
        <v>#NAME?</v>
      </c>
      <c r="BA38" s="128" t="e" cm="1">
        <f t="array" aca="1" ref="BA38" ca="1">Notmerged(BA9)</f>
        <v>#NAME?</v>
      </c>
      <c r="BB38" s="128" t="e" cm="1">
        <f t="array" aca="1" ref="BB38" ca="1">Notmerged(BB9)</f>
        <v>#NAME?</v>
      </c>
      <c r="BC38" s="128" t="e" cm="1">
        <f t="array" aca="1" ref="BC38" ca="1">Notmerged(BC9)</f>
        <v>#NAME?</v>
      </c>
      <c r="BD38" s="128" t="e" cm="1">
        <f t="array" aca="1" ref="BD38" ca="1">Notmerged(BD9)</f>
        <v>#NAME?</v>
      </c>
      <c r="BE38" s="128" t="e" cm="1">
        <f t="array" aca="1" ref="BE38" ca="1">Notmerged(BE9)</f>
        <v>#NAME?</v>
      </c>
      <c r="BF38" s="128" t="e" cm="1">
        <f t="array" aca="1" ref="BF38" ca="1">Notmerged(BF9)</f>
        <v>#NAME?</v>
      </c>
      <c r="BG38" s="128" t="e" cm="1">
        <f t="array" aca="1" ref="BG38" ca="1">Notmerged(BG9)</f>
        <v>#NAME?</v>
      </c>
      <c r="BH38" s="128" t="e" cm="1">
        <f t="array" aca="1" ref="BH38" ca="1">Notmerged(BH9)</f>
        <v>#NAME?</v>
      </c>
      <c r="BI38" s="128" t="e" cm="1">
        <f t="array" aca="1" ref="BI38" ca="1">Notmerged(BI9)</f>
        <v>#NAME?</v>
      </c>
      <c r="BJ38" s="128" t="e" cm="1">
        <f t="array" aca="1" ref="BJ38" ca="1">Notmerged(BJ9)</f>
        <v>#NAME?</v>
      </c>
      <c r="BK38" s="128" t="e" cm="1">
        <f t="array" aca="1" ref="BK38" ca="1">Notmerged(BK9)</f>
        <v>#NAME?</v>
      </c>
    </row>
    <row r="39" spans="2:63" x14ac:dyDescent="0.3">
      <c r="B39" s="128" t="e" cm="1">
        <f t="array" aca="1" ref="B39" ca="1">Notmerged(B10)</f>
        <v>#NAME?</v>
      </c>
      <c r="C39" s="128" t="e" cm="1">
        <f t="array" aca="1" ref="C39" ca="1">Notmerged(C10)</f>
        <v>#NAME?</v>
      </c>
      <c r="D39" s="128" t="e" cm="1">
        <f t="array" aca="1" ref="D39" ca="1">Notmerged(D10)</f>
        <v>#NAME?</v>
      </c>
      <c r="E39" s="128" t="e" cm="1">
        <f t="array" aca="1" ref="E39" ca="1">Notmerged(E10)</f>
        <v>#NAME?</v>
      </c>
      <c r="F39" s="128" t="e" cm="1">
        <f t="array" aca="1" ref="F39" ca="1">Notmerged(F10)</f>
        <v>#NAME?</v>
      </c>
      <c r="G39" s="128" t="e" cm="1">
        <f t="array" aca="1" ref="G39" ca="1">Notmerged(G10)</f>
        <v>#NAME?</v>
      </c>
      <c r="H39" s="128" t="e" cm="1">
        <f t="array" aca="1" ref="H39" ca="1">Notmerged(H10)</f>
        <v>#NAME?</v>
      </c>
      <c r="I39" s="128" t="e" cm="1">
        <f t="array" aca="1" ref="I39" ca="1">Notmerged(I10)</f>
        <v>#NAME?</v>
      </c>
      <c r="J39" s="128" t="e" cm="1">
        <f t="array" aca="1" ref="J39" ca="1">Notmerged(J10)</f>
        <v>#NAME?</v>
      </c>
      <c r="K39" s="128" t="e" cm="1">
        <f t="array" aca="1" ref="K39" ca="1">Notmerged(K10)</f>
        <v>#NAME?</v>
      </c>
      <c r="L39" s="128" t="e" cm="1">
        <f t="array" aca="1" ref="L39" ca="1">Notmerged(L10)</f>
        <v>#NAME?</v>
      </c>
      <c r="M39" s="128" t="e" cm="1">
        <f t="array" aca="1" ref="M39" ca="1">Notmerged(M10)</f>
        <v>#NAME?</v>
      </c>
      <c r="N39" s="128" t="e" cm="1">
        <f t="array" aca="1" ref="N39" ca="1">Notmerged(N10)</f>
        <v>#NAME?</v>
      </c>
      <c r="O39" s="128" t="e" cm="1">
        <f t="array" aca="1" ref="O39" ca="1">Notmerged(O10)</f>
        <v>#NAME?</v>
      </c>
      <c r="P39" s="128" t="e" cm="1">
        <f t="array" aca="1" ref="P39" ca="1">Notmerged(P10)</f>
        <v>#NAME?</v>
      </c>
      <c r="Q39" s="128" t="e" cm="1">
        <f t="array" aca="1" ref="Q39" ca="1">Notmerged(Q10)</f>
        <v>#NAME?</v>
      </c>
      <c r="R39" s="128" t="e" cm="1">
        <f t="array" aca="1" ref="R39" ca="1">Notmerged(R10)</f>
        <v>#NAME?</v>
      </c>
      <c r="S39" s="128" t="e" cm="1">
        <f t="array" aca="1" ref="S39" ca="1">Notmerged(S10)</f>
        <v>#NAME?</v>
      </c>
      <c r="T39" s="128" t="e" cm="1">
        <f t="array" aca="1" ref="T39" ca="1">Notmerged(T10)</f>
        <v>#NAME?</v>
      </c>
      <c r="U39" s="128" t="e" cm="1">
        <f t="array" aca="1" ref="U39" ca="1">Notmerged(U10)</f>
        <v>#NAME?</v>
      </c>
      <c r="V39" s="128" t="e" cm="1">
        <f t="array" aca="1" ref="V39" ca="1">Notmerged(V10)</f>
        <v>#NAME?</v>
      </c>
      <c r="W39" s="128" t="e" cm="1">
        <f t="array" aca="1" ref="W39" ca="1">Notmerged(W10)</f>
        <v>#NAME?</v>
      </c>
      <c r="X39" s="128" t="e" cm="1">
        <f t="array" aca="1" ref="X39" ca="1">Notmerged(X10)</f>
        <v>#NAME?</v>
      </c>
      <c r="Y39" s="128" t="e" cm="1">
        <f t="array" aca="1" ref="Y39" ca="1">Notmerged(Y10)</f>
        <v>#NAME?</v>
      </c>
      <c r="Z39" s="128" t="e" cm="1">
        <f t="array" aca="1" ref="Z39" ca="1">Notmerged(Z10)</f>
        <v>#NAME?</v>
      </c>
      <c r="AA39" s="128" t="e" cm="1">
        <f t="array" aca="1" ref="AA39" ca="1">Notmerged(AA10)</f>
        <v>#NAME?</v>
      </c>
      <c r="AB39" s="128" t="e" cm="1">
        <f t="array" aca="1" ref="AB39" ca="1">Notmerged(AB10)</f>
        <v>#NAME?</v>
      </c>
      <c r="AC39" s="128" t="e" cm="1">
        <f t="array" aca="1" ref="AC39" ca="1">Notmerged(AC10)</f>
        <v>#NAME?</v>
      </c>
      <c r="AD39" s="128" t="e" cm="1">
        <f t="array" aca="1" ref="AD39" ca="1">Notmerged(AD10)</f>
        <v>#NAME?</v>
      </c>
      <c r="AE39" s="128" t="e" cm="1">
        <f t="array" aca="1" ref="AE39" ca="1">Notmerged(AE10)</f>
        <v>#NAME?</v>
      </c>
      <c r="AF39" s="128" t="e" cm="1">
        <f t="array" aca="1" ref="AF39" ca="1">Notmerged(AF10)</f>
        <v>#NAME?</v>
      </c>
      <c r="AG39" s="128" t="e" cm="1">
        <f t="array" aca="1" ref="AG39" ca="1">Notmerged(AG10)</f>
        <v>#NAME?</v>
      </c>
      <c r="AH39" s="128" t="e" cm="1">
        <f t="array" aca="1" ref="AH39" ca="1">Notmerged(AH10)</f>
        <v>#NAME?</v>
      </c>
      <c r="AI39" s="128" t="e" cm="1">
        <f t="array" aca="1" ref="AI39" ca="1">Notmerged(AI10)</f>
        <v>#NAME?</v>
      </c>
      <c r="AJ39" s="128" t="e" cm="1">
        <f t="array" aca="1" ref="AJ39" ca="1">Notmerged(AJ10)</f>
        <v>#NAME?</v>
      </c>
      <c r="AK39" s="128" t="e" cm="1">
        <f t="array" aca="1" ref="AK39" ca="1">Notmerged(AK10)</f>
        <v>#NAME?</v>
      </c>
      <c r="AL39" s="128" t="e" cm="1">
        <f t="array" aca="1" ref="AL39" ca="1">Notmerged(AL10)</f>
        <v>#NAME?</v>
      </c>
      <c r="AM39" s="128" t="e" cm="1">
        <f t="array" aca="1" ref="AM39" ca="1">Notmerged(AM10)</f>
        <v>#NAME?</v>
      </c>
      <c r="AN39" s="128" t="e" cm="1">
        <f t="array" aca="1" ref="AN39" ca="1">Notmerged(AN10)</f>
        <v>#NAME?</v>
      </c>
      <c r="AO39" s="128" t="e" cm="1">
        <f t="array" aca="1" ref="AO39" ca="1">Notmerged(AO10)</f>
        <v>#NAME?</v>
      </c>
      <c r="AP39" s="128" t="e" cm="1">
        <f t="array" aca="1" ref="AP39" ca="1">Notmerged(AP10)</f>
        <v>#NAME?</v>
      </c>
      <c r="AQ39" s="128" t="e" cm="1">
        <f t="array" aca="1" ref="AQ39" ca="1">Notmerged(AQ10)</f>
        <v>#NAME?</v>
      </c>
      <c r="AR39" s="128" t="e" cm="1">
        <f t="array" aca="1" ref="AR39" ca="1">Notmerged(AR10)</f>
        <v>#NAME?</v>
      </c>
      <c r="AS39" s="128" t="e" cm="1">
        <f t="array" aca="1" ref="AS39" ca="1">Notmerged(AS10)</f>
        <v>#NAME?</v>
      </c>
      <c r="AT39" s="128" t="e" cm="1">
        <f t="array" aca="1" ref="AT39" ca="1">Notmerged(AT10)</f>
        <v>#NAME?</v>
      </c>
      <c r="AU39" s="128" t="e" cm="1">
        <f t="array" aca="1" ref="AU39" ca="1">Notmerged(AU10)</f>
        <v>#NAME?</v>
      </c>
      <c r="AV39" s="128" t="e" cm="1">
        <f t="array" aca="1" ref="AV39" ca="1">Notmerged(AV10)</f>
        <v>#NAME?</v>
      </c>
      <c r="AW39" s="128" t="e" cm="1">
        <f t="array" aca="1" ref="AW39" ca="1">Notmerged(AW10)</f>
        <v>#NAME?</v>
      </c>
      <c r="AX39" s="128" t="e" cm="1">
        <f t="array" aca="1" ref="AX39" ca="1">Notmerged(AX10)</f>
        <v>#NAME?</v>
      </c>
      <c r="AY39" s="128" t="e" cm="1">
        <f t="array" aca="1" ref="AY39" ca="1">Notmerged(AY10)</f>
        <v>#NAME?</v>
      </c>
      <c r="AZ39" s="128" t="e" cm="1">
        <f t="array" aca="1" ref="AZ39" ca="1">Notmerged(AZ10)</f>
        <v>#NAME?</v>
      </c>
      <c r="BA39" s="128" t="e" cm="1">
        <f t="array" aca="1" ref="BA39" ca="1">Notmerged(BA10)</f>
        <v>#NAME?</v>
      </c>
      <c r="BB39" s="128" t="e" cm="1">
        <f t="array" aca="1" ref="BB39" ca="1">Notmerged(BB10)</f>
        <v>#NAME?</v>
      </c>
      <c r="BC39" s="128" t="e" cm="1">
        <f t="array" aca="1" ref="BC39" ca="1">Notmerged(BC10)</f>
        <v>#NAME?</v>
      </c>
      <c r="BD39" s="128" t="e" cm="1">
        <f t="array" aca="1" ref="BD39" ca="1">Notmerged(BD10)</f>
        <v>#NAME?</v>
      </c>
      <c r="BE39" s="128" t="e" cm="1">
        <f t="array" aca="1" ref="BE39" ca="1">Notmerged(BE10)</f>
        <v>#NAME?</v>
      </c>
      <c r="BF39" s="128" t="e" cm="1">
        <f t="array" aca="1" ref="BF39" ca="1">Notmerged(BF10)</f>
        <v>#NAME?</v>
      </c>
      <c r="BG39" s="128" t="e" cm="1">
        <f t="array" aca="1" ref="BG39" ca="1">Notmerged(BG10)</f>
        <v>#NAME?</v>
      </c>
      <c r="BH39" s="128" t="e" cm="1">
        <f t="array" aca="1" ref="BH39" ca="1">Notmerged(BH10)</f>
        <v>#NAME?</v>
      </c>
      <c r="BI39" s="128" t="e" cm="1">
        <f t="array" aca="1" ref="BI39" ca="1">Notmerged(BI10)</f>
        <v>#NAME?</v>
      </c>
      <c r="BJ39" s="128" t="e" cm="1">
        <f t="array" aca="1" ref="BJ39" ca="1">Notmerged(BJ10)</f>
        <v>#NAME?</v>
      </c>
      <c r="BK39" s="128" t="e" cm="1">
        <f t="array" aca="1" ref="BK39" ca="1">Notmerged(BK10)</f>
        <v>#NAME?</v>
      </c>
    </row>
    <row r="40" spans="2:63" x14ac:dyDescent="0.3">
      <c r="B40" s="128" t="e" cm="1">
        <f t="array" aca="1" ref="B40" ca="1">Notmerged(B11)</f>
        <v>#NAME?</v>
      </c>
      <c r="C40" s="128" t="e" cm="1">
        <f t="array" aca="1" ref="C40" ca="1">Notmerged(C11)</f>
        <v>#NAME?</v>
      </c>
      <c r="D40" s="128" t="e" cm="1">
        <f t="array" aca="1" ref="D40" ca="1">Notmerged(D11)</f>
        <v>#NAME?</v>
      </c>
      <c r="E40" s="128" t="e" cm="1">
        <f t="array" aca="1" ref="E40" ca="1">Notmerged(E11)</f>
        <v>#NAME?</v>
      </c>
      <c r="F40" s="128" t="e" cm="1">
        <f t="array" aca="1" ref="F40" ca="1">Notmerged(F11)</f>
        <v>#NAME?</v>
      </c>
      <c r="G40" s="128" t="e" cm="1">
        <f t="array" aca="1" ref="G40" ca="1">Notmerged(G11)</f>
        <v>#NAME?</v>
      </c>
      <c r="H40" s="128" t="e" cm="1">
        <f t="array" aca="1" ref="H40" ca="1">Notmerged(H11)</f>
        <v>#NAME?</v>
      </c>
      <c r="I40" s="128" t="e" cm="1">
        <f t="array" aca="1" ref="I40" ca="1">Notmerged(I11)</f>
        <v>#NAME?</v>
      </c>
      <c r="J40" s="128" t="e" cm="1">
        <f t="array" aca="1" ref="J40" ca="1">Notmerged(J11)</f>
        <v>#NAME?</v>
      </c>
      <c r="K40" s="128" t="e" cm="1">
        <f t="array" aca="1" ref="K40" ca="1">Notmerged(K11)</f>
        <v>#NAME?</v>
      </c>
      <c r="L40" s="128" t="e" cm="1">
        <f t="array" aca="1" ref="L40" ca="1">Notmerged(L11)</f>
        <v>#NAME?</v>
      </c>
      <c r="M40" s="128" t="e" cm="1">
        <f t="array" aca="1" ref="M40" ca="1">Notmerged(M11)</f>
        <v>#NAME?</v>
      </c>
      <c r="N40" s="128" t="e" cm="1">
        <f t="array" aca="1" ref="N40" ca="1">Notmerged(N11)</f>
        <v>#NAME?</v>
      </c>
      <c r="O40" s="128" t="e" cm="1">
        <f t="array" aca="1" ref="O40" ca="1">Notmerged(O11)</f>
        <v>#NAME?</v>
      </c>
      <c r="P40" s="128" t="e" cm="1">
        <f t="array" aca="1" ref="P40" ca="1">Notmerged(P11)</f>
        <v>#NAME?</v>
      </c>
      <c r="Q40" s="128" t="e" cm="1">
        <f t="array" aca="1" ref="Q40" ca="1">Notmerged(Q11)</f>
        <v>#NAME?</v>
      </c>
      <c r="R40" s="128" t="e" cm="1">
        <f t="array" aca="1" ref="R40" ca="1">Notmerged(R11)</f>
        <v>#NAME?</v>
      </c>
      <c r="S40" s="128" t="e" cm="1">
        <f t="array" aca="1" ref="S40" ca="1">Notmerged(S11)</f>
        <v>#NAME?</v>
      </c>
      <c r="T40" s="128" t="e" cm="1">
        <f t="array" aca="1" ref="T40" ca="1">Notmerged(T11)</f>
        <v>#NAME?</v>
      </c>
      <c r="U40" s="128" t="e" cm="1">
        <f t="array" aca="1" ref="U40" ca="1">Notmerged(U11)</f>
        <v>#NAME?</v>
      </c>
      <c r="V40" s="128" t="e" cm="1">
        <f t="array" aca="1" ref="V40" ca="1">Notmerged(V11)</f>
        <v>#NAME?</v>
      </c>
      <c r="W40" s="128" t="e" cm="1">
        <f t="array" aca="1" ref="W40" ca="1">Notmerged(W11)</f>
        <v>#NAME?</v>
      </c>
      <c r="X40" s="128" t="e" cm="1">
        <f t="array" aca="1" ref="X40" ca="1">Notmerged(X11)</f>
        <v>#NAME?</v>
      </c>
      <c r="Y40" s="128" t="e" cm="1">
        <f t="array" aca="1" ref="Y40" ca="1">Notmerged(Y11)</f>
        <v>#NAME?</v>
      </c>
      <c r="Z40" s="128" t="e" cm="1">
        <f t="array" aca="1" ref="Z40" ca="1">Notmerged(Z11)</f>
        <v>#NAME?</v>
      </c>
      <c r="AA40" s="128" t="e" cm="1">
        <f t="array" aca="1" ref="AA40" ca="1">Notmerged(AA11)</f>
        <v>#NAME?</v>
      </c>
      <c r="AB40" s="128" t="e" cm="1">
        <f t="array" aca="1" ref="AB40" ca="1">Notmerged(AB11)</f>
        <v>#NAME?</v>
      </c>
      <c r="AC40" s="128" t="e" cm="1">
        <f t="array" aca="1" ref="AC40" ca="1">Notmerged(AC11)</f>
        <v>#NAME?</v>
      </c>
      <c r="AD40" s="128" t="e" cm="1">
        <f t="array" aca="1" ref="AD40" ca="1">Notmerged(AD11)</f>
        <v>#NAME?</v>
      </c>
      <c r="AE40" s="128" t="e" cm="1">
        <f t="array" aca="1" ref="AE40" ca="1">Notmerged(AE11)</f>
        <v>#NAME?</v>
      </c>
      <c r="AF40" s="128" t="e" cm="1">
        <f t="array" aca="1" ref="AF40" ca="1">Notmerged(AF11)</f>
        <v>#NAME?</v>
      </c>
      <c r="AG40" s="128" t="e" cm="1">
        <f t="array" aca="1" ref="AG40" ca="1">Notmerged(AG11)</f>
        <v>#NAME?</v>
      </c>
      <c r="AH40" s="128" t="e" cm="1">
        <f t="array" aca="1" ref="AH40" ca="1">Notmerged(AH11)</f>
        <v>#NAME?</v>
      </c>
      <c r="AI40" s="128" t="e" cm="1">
        <f t="array" aca="1" ref="AI40" ca="1">Notmerged(AI11)</f>
        <v>#NAME?</v>
      </c>
      <c r="AJ40" s="128" t="e" cm="1">
        <f t="array" aca="1" ref="AJ40" ca="1">Notmerged(AJ11)</f>
        <v>#NAME?</v>
      </c>
      <c r="AK40" s="128" t="e" cm="1">
        <f t="array" aca="1" ref="AK40" ca="1">Notmerged(AK11)</f>
        <v>#NAME?</v>
      </c>
      <c r="AL40" s="128" t="e" cm="1">
        <f t="array" aca="1" ref="AL40" ca="1">Notmerged(AL11)</f>
        <v>#NAME?</v>
      </c>
      <c r="AM40" s="128" t="e" cm="1">
        <f t="array" aca="1" ref="AM40" ca="1">Notmerged(AM11)</f>
        <v>#NAME?</v>
      </c>
      <c r="AN40" s="128" t="e" cm="1">
        <f t="array" aca="1" ref="AN40" ca="1">Notmerged(AN11)</f>
        <v>#NAME?</v>
      </c>
      <c r="AO40" s="128" t="e" cm="1">
        <f t="array" aca="1" ref="AO40" ca="1">Notmerged(AO11)</f>
        <v>#NAME?</v>
      </c>
      <c r="AP40" s="128" t="e" cm="1">
        <f t="array" aca="1" ref="AP40" ca="1">Notmerged(AP11)</f>
        <v>#NAME?</v>
      </c>
      <c r="AQ40" s="128" t="e" cm="1">
        <f t="array" aca="1" ref="AQ40" ca="1">Notmerged(AQ11)</f>
        <v>#NAME?</v>
      </c>
      <c r="AR40" s="128" t="e" cm="1">
        <f t="array" aca="1" ref="AR40" ca="1">Notmerged(AR11)</f>
        <v>#NAME?</v>
      </c>
      <c r="AS40" s="128" t="e" cm="1">
        <f t="array" aca="1" ref="AS40" ca="1">Notmerged(AS11)</f>
        <v>#NAME?</v>
      </c>
      <c r="AT40" s="128" t="e" cm="1">
        <f t="array" aca="1" ref="AT40" ca="1">Notmerged(AT11)</f>
        <v>#NAME?</v>
      </c>
      <c r="AU40" s="128" t="e" cm="1">
        <f t="array" aca="1" ref="AU40" ca="1">Notmerged(AU11)</f>
        <v>#NAME?</v>
      </c>
      <c r="AV40" s="128" t="e" cm="1">
        <f t="array" aca="1" ref="AV40" ca="1">Notmerged(AV11)</f>
        <v>#NAME?</v>
      </c>
      <c r="AW40" s="128" t="e" cm="1">
        <f t="array" aca="1" ref="AW40" ca="1">Notmerged(AW11)</f>
        <v>#NAME?</v>
      </c>
      <c r="AX40" s="128" t="e" cm="1">
        <f t="array" aca="1" ref="AX40" ca="1">Notmerged(AX11)</f>
        <v>#NAME?</v>
      </c>
      <c r="AY40" s="128" t="e" cm="1">
        <f t="array" aca="1" ref="AY40" ca="1">Notmerged(AY11)</f>
        <v>#NAME?</v>
      </c>
      <c r="AZ40" s="128" t="e" cm="1">
        <f t="array" aca="1" ref="AZ40" ca="1">Notmerged(AZ11)</f>
        <v>#NAME?</v>
      </c>
      <c r="BA40" s="128" t="e" cm="1">
        <f t="array" aca="1" ref="BA40" ca="1">Notmerged(BA11)</f>
        <v>#NAME?</v>
      </c>
      <c r="BB40" s="128" t="e" cm="1">
        <f t="array" aca="1" ref="BB40" ca="1">Notmerged(BB11)</f>
        <v>#NAME?</v>
      </c>
      <c r="BC40" s="128" t="e" cm="1">
        <f t="array" aca="1" ref="BC40" ca="1">Notmerged(BC11)</f>
        <v>#NAME?</v>
      </c>
      <c r="BD40" s="128" t="e" cm="1">
        <f t="array" aca="1" ref="BD40" ca="1">Notmerged(BD11)</f>
        <v>#NAME?</v>
      </c>
      <c r="BE40" s="128" t="e" cm="1">
        <f t="array" aca="1" ref="BE40" ca="1">Notmerged(BE11)</f>
        <v>#NAME?</v>
      </c>
      <c r="BF40" s="128" t="e" cm="1">
        <f t="array" aca="1" ref="BF40" ca="1">Notmerged(BF11)</f>
        <v>#NAME?</v>
      </c>
      <c r="BG40" s="128" t="e" cm="1">
        <f t="array" aca="1" ref="BG40" ca="1">Notmerged(BG11)</f>
        <v>#NAME?</v>
      </c>
      <c r="BH40" s="128" t="e" cm="1">
        <f t="array" aca="1" ref="BH40" ca="1">Notmerged(BH11)</f>
        <v>#NAME?</v>
      </c>
      <c r="BI40" s="128" t="e" cm="1">
        <f t="array" aca="1" ref="BI40" ca="1">Notmerged(BI11)</f>
        <v>#NAME?</v>
      </c>
      <c r="BJ40" s="128" t="e" cm="1">
        <f t="array" aca="1" ref="BJ40" ca="1">Notmerged(BJ11)</f>
        <v>#NAME?</v>
      </c>
      <c r="BK40" s="128" t="e" cm="1">
        <f t="array" aca="1" ref="BK40" ca="1">Notmerged(BK11)</f>
        <v>#NAME?</v>
      </c>
    </row>
    <row r="41" spans="2:63" x14ac:dyDescent="0.3">
      <c r="B41" s="128" t="e" cm="1">
        <f t="array" aca="1" ref="B41" ca="1">Notmerged(B12)</f>
        <v>#NAME?</v>
      </c>
      <c r="C41" s="128" t="e" cm="1">
        <f t="array" aca="1" ref="C41" ca="1">Notmerged(C12)</f>
        <v>#NAME?</v>
      </c>
      <c r="D41" s="128" t="e" cm="1">
        <f t="array" aca="1" ref="D41" ca="1">Notmerged(D12)</f>
        <v>#NAME?</v>
      </c>
      <c r="E41" s="128" t="e" cm="1">
        <f t="array" aca="1" ref="E41" ca="1">Notmerged(E12)</f>
        <v>#NAME?</v>
      </c>
      <c r="F41" s="128" t="e" cm="1">
        <f t="array" aca="1" ref="F41" ca="1">Notmerged(F12)</f>
        <v>#NAME?</v>
      </c>
      <c r="G41" s="128" t="e" cm="1">
        <f t="array" aca="1" ref="G41" ca="1">Notmerged(G12)</f>
        <v>#NAME?</v>
      </c>
      <c r="H41" s="128" t="e" cm="1">
        <f t="array" aca="1" ref="H41" ca="1">Notmerged(H12)</f>
        <v>#NAME?</v>
      </c>
      <c r="I41" s="128" t="e" cm="1">
        <f t="array" aca="1" ref="I41" ca="1">Notmerged(I12)</f>
        <v>#NAME?</v>
      </c>
      <c r="J41" s="128" t="e" cm="1">
        <f t="array" aca="1" ref="J41" ca="1">Notmerged(J12)</f>
        <v>#NAME?</v>
      </c>
      <c r="K41" s="128" t="e" cm="1">
        <f t="array" aca="1" ref="K41" ca="1">Notmerged(K12)</f>
        <v>#NAME?</v>
      </c>
      <c r="L41" s="128" t="e" cm="1">
        <f t="array" aca="1" ref="L41" ca="1">Notmerged(L12)</f>
        <v>#NAME?</v>
      </c>
      <c r="M41" s="128" t="e" cm="1">
        <f t="array" aca="1" ref="M41" ca="1">Notmerged(M12)</f>
        <v>#NAME?</v>
      </c>
      <c r="N41" s="128" t="e" cm="1">
        <f t="array" aca="1" ref="N41" ca="1">Notmerged(N12)</f>
        <v>#NAME?</v>
      </c>
      <c r="O41" s="128" t="e" cm="1">
        <f t="array" aca="1" ref="O41" ca="1">Notmerged(O12)</f>
        <v>#NAME?</v>
      </c>
      <c r="P41" s="128" t="e" cm="1">
        <f t="array" aca="1" ref="P41" ca="1">Notmerged(P12)</f>
        <v>#NAME?</v>
      </c>
      <c r="Q41" s="128" t="e" cm="1">
        <f t="array" aca="1" ref="Q41" ca="1">Notmerged(Q12)</f>
        <v>#NAME?</v>
      </c>
      <c r="R41" s="128" t="e" cm="1">
        <f t="array" aca="1" ref="R41" ca="1">Notmerged(R12)</f>
        <v>#NAME?</v>
      </c>
      <c r="S41" s="128" t="e" cm="1">
        <f t="array" aca="1" ref="S41" ca="1">Notmerged(S12)</f>
        <v>#NAME?</v>
      </c>
      <c r="T41" s="128" t="e" cm="1">
        <f t="array" aca="1" ref="T41" ca="1">Notmerged(T12)</f>
        <v>#NAME?</v>
      </c>
      <c r="U41" s="128" t="e" cm="1">
        <f t="array" aca="1" ref="U41" ca="1">Notmerged(U12)</f>
        <v>#NAME?</v>
      </c>
      <c r="V41" s="128" t="e" cm="1">
        <f t="array" aca="1" ref="V41" ca="1">Notmerged(V12)</f>
        <v>#NAME?</v>
      </c>
      <c r="W41" s="128" t="e" cm="1">
        <f t="array" aca="1" ref="W41" ca="1">Notmerged(W12)</f>
        <v>#NAME?</v>
      </c>
      <c r="X41" s="128" t="e" cm="1">
        <f t="array" aca="1" ref="X41" ca="1">Notmerged(X12)</f>
        <v>#NAME?</v>
      </c>
      <c r="Y41" s="128" t="e" cm="1">
        <f t="array" aca="1" ref="Y41" ca="1">Notmerged(Y12)</f>
        <v>#NAME?</v>
      </c>
      <c r="Z41" s="128" t="e" cm="1">
        <f t="array" aca="1" ref="Z41" ca="1">Notmerged(Z12)</f>
        <v>#NAME?</v>
      </c>
      <c r="AA41" s="128" t="e" cm="1">
        <f t="array" aca="1" ref="AA41" ca="1">Notmerged(AA12)</f>
        <v>#NAME?</v>
      </c>
      <c r="AB41" s="128" t="e" cm="1">
        <f t="array" aca="1" ref="AB41" ca="1">Notmerged(AB12)</f>
        <v>#NAME?</v>
      </c>
      <c r="AC41" s="128" t="e" cm="1">
        <f t="array" aca="1" ref="AC41" ca="1">Notmerged(AC12)</f>
        <v>#NAME?</v>
      </c>
      <c r="AD41" s="128" t="e" cm="1">
        <f t="array" aca="1" ref="AD41" ca="1">Notmerged(AD12)</f>
        <v>#NAME?</v>
      </c>
      <c r="AE41" s="128" t="e" cm="1">
        <f t="array" aca="1" ref="AE41" ca="1">Notmerged(AE12)</f>
        <v>#NAME?</v>
      </c>
      <c r="AF41" s="128" t="e" cm="1">
        <f t="array" aca="1" ref="AF41" ca="1">Notmerged(AF12)</f>
        <v>#NAME?</v>
      </c>
      <c r="AG41" s="128" t="e" cm="1">
        <f t="array" aca="1" ref="AG41" ca="1">Notmerged(AG12)</f>
        <v>#NAME?</v>
      </c>
      <c r="AH41" s="128" t="e" cm="1">
        <f t="array" aca="1" ref="AH41" ca="1">Notmerged(AH12)</f>
        <v>#NAME?</v>
      </c>
      <c r="AI41" s="128" t="e" cm="1">
        <f t="array" aca="1" ref="AI41" ca="1">Notmerged(AI12)</f>
        <v>#NAME?</v>
      </c>
      <c r="AJ41" s="128" t="e" cm="1">
        <f t="array" aca="1" ref="AJ41" ca="1">Notmerged(AJ12)</f>
        <v>#NAME?</v>
      </c>
      <c r="AK41" s="128" t="e" cm="1">
        <f t="array" aca="1" ref="AK41" ca="1">Notmerged(AK12)</f>
        <v>#NAME?</v>
      </c>
      <c r="AL41" s="128" t="e" cm="1">
        <f t="array" aca="1" ref="AL41" ca="1">Notmerged(AL12)</f>
        <v>#NAME?</v>
      </c>
      <c r="AM41" s="128" t="e" cm="1">
        <f t="array" aca="1" ref="AM41" ca="1">Notmerged(AM12)</f>
        <v>#NAME?</v>
      </c>
      <c r="AN41" s="128" t="e" cm="1">
        <f t="array" aca="1" ref="AN41" ca="1">Notmerged(AN12)</f>
        <v>#NAME?</v>
      </c>
      <c r="AO41" s="128" t="e" cm="1">
        <f t="array" aca="1" ref="AO41" ca="1">Notmerged(AO12)</f>
        <v>#NAME?</v>
      </c>
      <c r="AP41" s="128" t="e" cm="1">
        <f t="array" aca="1" ref="AP41" ca="1">Notmerged(AP12)</f>
        <v>#NAME?</v>
      </c>
      <c r="AQ41" s="128" t="e" cm="1">
        <f t="array" aca="1" ref="AQ41" ca="1">Notmerged(AQ12)</f>
        <v>#NAME?</v>
      </c>
      <c r="AR41" s="128" t="e" cm="1">
        <f t="array" aca="1" ref="AR41" ca="1">Notmerged(AR12)</f>
        <v>#NAME?</v>
      </c>
      <c r="AS41" s="128" t="e" cm="1">
        <f t="array" aca="1" ref="AS41" ca="1">Notmerged(AS12)</f>
        <v>#NAME?</v>
      </c>
      <c r="AT41" s="128" t="e" cm="1">
        <f t="array" aca="1" ref="AT41" ca="1">Notmerged(AT12)</f>
        <v>#NAME?</v>
      </c>
      <c r="AU41" s="128" t="e" cm="1">
        <f t="array" aca="1" ref="AU41" ca="1">Notmerged(AU12)</f>
        <v>#NAME?</v>
      </c>
      <c r="AV41" s="128" t="e" cm="1">
        <f t="array" aca="1" ref="AV41" ca="1">Notmerged(AV12)</f>
        <v>#NAME?</v>
      </c>
      <c r="AW41" s="128" t="e" cm="1">
        <f t="array" aca="1" ref="AW41" ca="1">Notmerged(AW12)</f>
        <v>#NAME?</v>
      </c>
      <c r="AX41" s="128" t="e" cm="1">
        <f t="array" aca="1" ref="AX41" ca="1">Notmerged(AX12)</f>
        <v>#NAME?</v>
      </c>
      <c r="AY41" s="128" t="e" cm="1">
        <f t="array" aca="1" ref="AY41" ca="1">Notmerged(AY12)</f>
        <v>#NAME?</v>
      </c>
      <c r="AZ41" s="128" t="e" cm="1">
        <f t="array" aca="1" ref="AZ41" ca="1">Notmerged(AZ12)</f>
        <v>#NAME?</v>
      </c>
      <c r="BA41" s="128" t="e" cm="1">
        <f t="array" aca="1" ref="BA41" ca="1">Notmerged(BA12)</f>
        <v>#NAME?</v>
      </c>
      <c r="BB41" s="128" t="e" cm="1">
        <f t="array" aca="1" ref="BB41" ca="1">Notmerged(BB12)</f>
        <v>#NAME?</v>
      </c>
      <c r="BC41" s="128" t="e" cm="1">
        <f t="array" aca="1" ref="BC41" ca="1">Notmerged(BC12)</f>
        <v>#NAME?</v>
      </c>
      <c r="BD41" s="128" t="e" cm="1">
        <f t="array" aca="1" ref="BD41" ca="1">Notmerged(BD12)</f>
        <v>#NAME?</v>
      </c>
      <c r="BE41" s="128" t="e" cm="1">
        <f t="array" aca="1" ref="BE41" ca="1">Notmerged(BE12)</f>
        <v>#NAME?</v>
      </c>
      <c r="BF41" s="128" t="e" cm="1">
        <f t="array" aca="1" ref="BF41" ca="1">Notmerged(BF12)</f>
        <v>#NAME?</v>
      </c>
      <c r="BG41" s="128" t="e" cm="1">
        <f t="array" aca="1" ref="BG41" ca="1">Notmerged(BG12)</f>
        <v>#NAME?</v>
      </c>
      <c r="BH41" s="128" t="e" cm="1">
        <f t="array" aca="1" ref="BH41" ca="1">Notmerged(BH12)</f>
        <v>#NAME?</v>
      </c>
      <c r="BI41" s="128" t="e" cm="1">
        <f t="array" aca="1" ref="BI41" ca="1">Notmerged(BI12)</f>
        <v>#NAME?</v>
      </c>
      <c r="BJ41" s="128" t="e" cm="1">
        <f t="array" aca="1" ref="BJ41" ca="1">Notmerged(BJ12)</f>
        <v>#NAME?</v>
      </c>
      <c r="BK41" s="128" t="e" cm="1">
        <f t="array" aca="1" ref="BK41" ca="1">Notmerged(BK12)</f>
        <v>#NAME?</v>
      </c>
    </row>
    <row r="42" spans="2:63" x14ac:dyDescent="0.3">
      <c r="B42" s="128" t="e" cm="1">
        <f t="array" aca="1" ref="B42" ca="1">Notmerged(B13)</f>
        <v>#NAME?</v>
      </c>
      <c r="C42" s="128" t="e" cm="1">
        <f t="array" aca="1" ref="C42" ca="1">Notmerged(C13)</f>
        <v>#NAME?</v>
      </c>
      <c r="D42" s="128" t="e" cm="1">
        <f t="array" aca="1" ref="D42" ca="1">Notmerged(D13)</f>
        <v>#NAME?</v>
      </c>
      <c r="E42" s="128" t="e" cm="1">
        <f t="array" aca="1" ref="E42" ca="1">Notmerged(E13)</f>
        <v>#NAME?</v>
      </c>
      <c r="F42" s="128" t="e" cm="1">
        <f t="array" aca="1" ref="F42" ca="1">Notmerged(F13)</f>
        <v>#NAME?</v>
      </c>
      <c r="G42" s="128" t="e" cm="1">
        <f t="array" aca="1" ref="G42" ca="1">Notmerged(G13)</f>
        <v>#NAME?</v>
      </c>
      <c r="H42" s="128" t="e" cm="1">
        <f t="array" aca="1" ref="H42" ca="1">Notmerged(H13)</f>
        <v>#NAME?</v>
      </c>
      <c r="I42" s="128" t="e" cm="1">
        <f t="array" aca="1" ref="I42" ca="1">Notmerged(I13)</f>
        <v>#NAME?</v>
      </c>
      <c r="J42" s="128" t="e" cm="1">
        <f t="array" aca="1" ref="J42" ca="1">Notmerged(J13)</f>
        <v>#NAME?</v>
      </c>
      <c r="K42" s="128" t="e" cm="1">
        <f t="array" aca="1" ref="K42" ca="1">Notmerged(K13)</f>
        <v>#NAME?</v>
      </c>
      <c r="L42" s="128" t="e" cm="1">
        <f t="array" aca="1" ref="L42" ca="1">Notmerged(L13)</f>
        <v>#NAME?</v>
      </c>
      <c r="M42" s="128" t="e" cm="1">
        <f t="array" aca="1" ref="M42" ca="1">Notmerged(M13)</f>
        <v>#NAME?</v>
      </c>
      <c r="N42" s="128" t="e" cm="1">
        <f t="array" aca="1" ref="N42" ca="1">Notmerged(N13)</f>
        <v>#NAME?</v>
      </c>
      <c r="O42" s="128" t="e" cm="1">
        <f t="array" aca="1" ref="O42" ca="1">Notmerged(O13)</f>
        <v>#NAME?</v>
      </c>
      <c r="P42" s="128" t="e" cm="1">
        <f t="array" aca="1" ref="P42" ca="1">Notmerged(P13)</f>
        <v>#NAME?</v>
      </c>
      <c r="Q42" s="128" t="e" cm="1">
        <f t="array" aca="1" ref="Q42" ca="1">Notmerged(Q13)</f>
        <v>#NAME?</v>
      </c>
      <c r="R42" s="128" t="e" cm="1">
        <f t="array" aca="1" ref="R42" ca="1">Notmerged(R13)</f>
        <v>#NAME?</v>
      </c>
      <c r="S42" s="128" t="e" cm="1">
        <f t="array" aca="1" ref="S42" ca="1">Notmerged(S13)</f>
        <v>#NAME?</v>
      </c>
      <c r="T42" s="128" t="e" cm="1">
        <f t="array" aca="1" ref="T42" ca="1">Notmerged(T13)</f>
        <v>#NAME?</v>
      </c>
      <c r="U42" s="128" t="e" cm="1">
        <f t="array" aca="1" ref="U42" ca="1">Notmerged(U13)</f>
        <v>#NAME?</v>
      </c>
      <c r="V42" s="128" t="e" cm="1">
        <f t="array" aca="1" ref="V42" ca="1">Notmerged(V13)</f>
        <v>#NAME?</v>
      </c>
      <c r="W42" s="128" t="e" cm="1">
        <f t="array" aca="1" ref="W42" ca="1">Notmerged(W13)</f>
        <v>#NAME?</v>
      </c>
      <c r="X42" s="128" t="e" cm="1">
        <f t="array" aca="1" ref="X42" ca="1">Notmerged(X13)</f>
        <v>#NAME?</v>
      </c>
      <c r="Y42" s="128" t="e" cm="1">
        <f t="array" aca="1" ref="Y42" ca="1">Notmerged(Y13)</f>
        <v>#NAME?</v>
      </c>
      <c r="Z42" s="128" t="e" cm="1">
        <f t="array" aca="1" ref="Z42" ca="1">Notmerged(Z13)</f>
        <v>#NAME?</v>
      </c>
      <c r="AA42" s="128" t="e" cm="1">
        <f t="array" aca="1" ref="AA42" ca="1">Notmerged(AA13)</f>
        <v>#NAME?</v>
      </c>
      <c r="AB42" s="128" t="e" cm="1">
        <f t="array" aca="1" ref="AB42" ca="1">Notmerged(AB13)</f>
        <v>#NAME?</v>
      </c>
      <c r="AC42" s="128" t="e" cm="1">
        <f t="array" aca="1" ref="AC42" ca="1">Notmerged(AC13)</f>
        <v>#NAME?</v>
      </c>
      <c r="AD42" s="128" t="e" cm="1">
        <f t="array" aca="1" ref="AD42" ca="1">Notmerged(AD13)</f>
        <v>#NAME?</v>
      </c>
      <c r="AE42" s="128" t="e" cm="1">
        <f t="array" aca="1" ref="AE42" ca="1">Notmerged(AE13)</f>
        <v>#NAME?</v>
      </c>
      <c r="AF42" s="128" t="e" cm="1">
        <f t="array" aca="1" ref="AF42" ca="1">Notmerged(AF13)</f>
        <v>#NAME?</v>
      </c>
      <c r="AG42" s="128" t="e" cm="1">
        <f t="array" aca="1" ref="AG42" ca="1">Notmerged(AG13)</f>
        <v>#NAME?</v>
      </c>
      <c r="AH42" s="128" t="e" cm="1">
        <f t="array" aca="1" ref="AH42" ca="1">Notmerged(AH13)</f>
        <v>#NAME?</v>
      </c>
      <c r="AI42" s="128" t="e" cm="1">
        <f t="array" aca="1" ref="AI42" ca="1">Notmerged(AI13)</f>
        <v>#NAME?</v>
      </c>
      <c r="AJ42" s="128" t="e" cm="1">
        <f t="array" aca="1" ref="AJ42" ca="1">Notmerged(AJ13)</f>
        <v>#NAME?</v>
      </c>
      <c r="AK42" s="128" t="e" cm="1">
        <f t="array" aca="1" ref="AK42" ca="1">Notmerged(AK13)</f>
        <v>#NAME?</v>
      </c>
      <c r="AL42" s="128" t="e" cm="1">
        <f t="array" aca="1" ref="AL42" ca="1">Notmerged(AL13)</f>
        <v>#NAME?</v>
      </c>
      <c r="AM42" s="128" t="e" cm="1">
        <f t="array" aca="1" ref="AM42" ca="1">Notmerged(AM13)</f>
        <v>#NAME?</v>
      </c>
      <c r="AN42" s="128" t="e" cm="1">
        <f t="array" aca="1" ref="AN42" ca="1">Notmerged(AN13)</f>
        <v>#NAME?</v>
      </c>
      <c r="AO42" s="128" t="e" cm="1">
        <f t="array" aca="1" ref="AO42" ca="1">Notmerged(AO13)</f>
        <v>#NAME?</v>
      </c>
      <c r="AP42" s="128" t="e" cm="1">
        <f t="array" aca="1" ref="AP42" ca="1">Notmerged(AP13)</f>
        <v>#NAME?</v>
      </c>
      <c r="AQ42" s="128" t="e" cm="1">
        <f t="array" aca="1" ref="AQ42" ca="1">Notmerged(AQ13)</f>
        <v>#NAME?</v>
      </c>
      <c r="AR42" s="128" t="e" cm="1">
        <f t="array" aca="1" ref="AR42" ca="1">Notmerged(AR13)</f>
        <v>#NAME?</v>
      </c>
      <c r="AS42" s="128" t="e" cm="1">
        <f t="array" aca="1" ref="AS42" ca="1">Notmerged(AS13)</f>
        <v>#NAME?</v>
      </c>
      <c r="AT42" s="128" t="e" cm="1">
        <f t="array" aca="1" ref="AT42" ca="1">Notmerged(AT13)</f>
        <v>#NAME?</v>
      </c>
      <c r="AU42" s="128" t="e" cm="1">
        <f t="array" aca="1" ref="AU42" ca="1">Notmerged(AU13)</f>
        <v>#NAME?</v>
      </c>
      <c r="AV42" s="128" t="e" cm="1">
        <f t="array" aca="1" ref="AV42" ca="1">Notmerged(AV13)</f>
        <v>#NAME?</v>
      </c>
      <c r="AW42" s="128" t="e" cm="1">
        <f t="array" aca="1" ref="AW42" ca="1">Notmerged(AW13)</f>
        <v>#NAME?</v>
      </c>
      <c r="AX42" s="128" t="e" cm="1">
        <f t="array" aca="1" ref="AX42" ca="1">Notmerged(AX13)</f>
        <v>#NAME?</v>
      </c>
      <c r="AY42" s="128" t="e" cm="1">
        <f t="array" aca="1" ref="AY42" ca="1">Notmerged(AY13)</f>
        <v>#NAME?</v>
      </c>
      <c r="AZ42" s="128" t="e" cm="1">
        <f t="array" aca="1" ref="AZ42" ca="1">Notmerged(AZ13)</f>
        <v>#NAME?</v>
      </c>
      <c r="BA42" s="128" t="e" cm="1">
        <f t="array" aca="1" ref="BA42" ca="1">Notmerged(BA13)</f>
        <v>#NAME?</v>
      </c>
      <c r="BB42" s="128" t="e" cm="1">
        <f t="array" aca="1" ref="BB42" ca="1">Notmerged(BB13)</f>
        <v>#NAME?</v>
      </c>
      <c r="BC42" s="128" t="e" cm="1">
        <f t="array" aca="1" ref="BC42" ca="1">Notmerged(BC13)</f>
        <v>#NAME?</v>
      </c>
      <c r="BD42" s="128" t="e" cm="1">
        <f t="array" aca="1" ref="BD42" ca="1">Notmerged(BD13)</f>
        <v>#NAME?</v>
      </c>
      <c r="BE42" s="128" t="e" cm="1">
        <f t="array" aca="1" ref="BE42" ca="1">Notmerged(BE13)</f>
        <v>#NAME?</v>
      </c>
      <c r="BF42" s="128" t="e" cm="1">
        <f t="array" aca="1" ref="BF42" ca="1">Notmerged(BF13)</f>
        <v>#NAME?</v>
      </c>
      <c r="BG42" s="128" t="e" cm="1">
        <f t="array" aca="1" ref="BG42" ca="1">Notmerged(BG13)</f>
        <v>#NAME?</v>
      </c>
      <c r="BH42" s="128" t="e" cm="1">
        <f t="array" aca="1" ref="BH42" ca="1">Notmerged(BH13)</f>
        <v>#NAME?</v>
      </c>
      <c r="BI42" s="128" t="e" cm="1">
        <f t="array" aca="1" ref="BI42" ca="1">Notmerged(BI13)</f>
        <v>#NAME?</v>
      </c>
      <c r="BJ42" s="128" t="e" cm="1">
        <f t="array" aca="1" ref="BJ42" ca="1">Notmerged(BJ13)</f>
        <v>#NAME?</v>
      </c>
      <c r="BK42" s="128" t="e" cm="1">
        <f t="array" aca="1" ref="BK42" ca="1">Notmerged(BK13)</f>
        <v>#NAME?</v>
      </c>
    </row>
    <row r="43" spans="2:63" x14ac:dyDescent="0.3">
      <c r="B43" s="128" t="e" cm="1">
        <f t="array" aca="1" ref="B43" ca="1">Notmerged(B14)</f>
        <v>#NAME?</v>
      </c>
      <c r="C43" s="128" t="e" cm="1">
        <f t="array" aca="1" ref="C43" ca="1">Notmerged(C14)</f>
        <v>#NAME?</v>
      </c>
      <c r="D43" s="128" t="e" cm="1">
        <f t="array" aca="1" ref="D43" ca="1">Notmerged(D14)</f>
        <v>#NAME?</v>
      </c>
      <c r="E43" s="128" t="e" cm="1">
        <f t="array" aca="1" ref="E43" ca="1">Notmerged(E14)</f>
        <v>#NAME?</v>
      </c>
      <c r="F43" s="128" t="e" cm="1">
        <f t="array" aca="1" ref="F43" ca="1">Notmerged(F14)</f>
        <v>#NAME?</v>
      </c>
      <c r="G43" s="128" t="e" cm="1">
        <f t="array" aca="1" ref="G43" ca="1">Notmerged(G14)</f>
        <v>#NAME?</v>
      </c>
      <c r="H43" s="128" t="e" cm="1">
        <f t="array" aca="1" ref="H43" ca="1">Notmerged(H14)</f>
        <v>#NAME?</v>
      </c>
      <c r="I43" s="128" t="e" cm="1">
        <f t="array" aca="1" ref="I43" ca="1">Notmerged(I14)</f>
        <v>#NAME?</v>
      </c>
      <c r="J43" s="128" t="e" cm="1">
        <f t="array" aca="1" ref="J43" ca="1">Notmerged(J14)</f>
        <v>#NAME?</v>
      </c>
      <c r="K43" s="128" t="e" cm="1">
        <f t="array" aca="1" ref="K43" ca="1">Notmerged(K14)</f>
        <v>#NAME?</v>
      </c>
      <c r="L43" s="128" t="e" cm="1">
        <f t="array" aca="1" ref="L43" ca="1">Notmerged(L14)</f>
        <v>#NAME?</v>
      </c>
      <c r="M43" s="128" t="e" cm="1">
        <f t="array" aca="1" ref="M43" ca="1">Notmerged(M14)</f>
        <v>#NAME?</v>
      </c>
      <c r="N43" s="128" t="e" cm="1">
        <f t="array" aca="1" ref="N43" ca="1">Notmerged(N14)</f>
        <v>#NAME?</v>
      </c>
      <c r="O43" s="128" t="e" cm="1">
        <f t="array" aca="1" ref="O43" ca="1">Notmerged(O14)</f>
        <v>#NAME?</v>
      </c>
      <c r="P43" s="128" t="e" cm="1">
        <f t="array" aca="1" ref="P43" ca="1">Notmerged(P14)</f>
        <v>#NAME?</v>
      </c>
      <c r="Q43" s="128" t="e" cm="1">
        <f t="array" aca="1" ref="Q43" ca="1">Notmerged(Q14)</f>
        <v>#NAME?</v>
      </c>
      <c r="R43" s="128" t="e" cm="1">
        <f t="array" aca="1" ref="R43" ca="1">Notmerged(R14)</f>
        <v>#NAME?</v>
      </c>
      <c r="S43" s="128" t="e" cm="1">
        <f t="array" aca="1" ref="S43" ca="1">Notmerged(S14)</f>
        <v>#NAME?</v>
      </c>
      <c r="T43" s="128" t="e" cm="1">
        <f t="array" aca="1" ref="T43" ca="1">Notmerged(T14)</f>
        <v>#NAME?</v>
      </c>
      <c r="U43" s="128" t="e" cm="1">
        <f t="array" aca="1" ref="U43" ca="1">Notmerged(U14)</f>
        <v>#NAME?</v>
      </c>
      <c r="V43" s="128" t="e" cm="1">
        <f t="array" aca="1" ref="V43" ca="1">Notmerged(V14)</f>
        <v>#NAME?</v>
      </c>
      <c r="W43" s="128" t="e" cm="1">
        <f t="array" aca="1" ref="W43" ca="1">Notmerged(W14)</f>
        <v>#NAME?</v>
      </c>
      <c r="X43" s="128" t="e" cm="1">
        <f t="array" aca="1" ref="X43" ca="1">Notmerged(X14)</f>
        <v>#NAME?</v>
      </c>
      <c r="Y43" s="128" t="e" cm="1">
        <f t="array" aca="1" ref="Y43" ca="1">Notmerged(Y14)</f>
        <v>#NAME?</v>
      </c>
      <c r="Z43" s="128" t="e" cm="1">
        <f t="array" aca="1" ref="Z43" ca="1">Notmerged(Z14)</f>
        <v>#NAME?</v>
      </c>
      <c r="AA43" s="128" t="e" cm="1">
        <f t="array" aca="1" ref="AA43" ca="1">Notmerged(AA14)</f>
        <v>#NAME?</v>
      </c>
      <c r="AB43" s="128" t="e" cm="1">
        <f t="array" aca="1" ref="AB43" ca="1">Notmerged(AB14)</f>
        <v>#NAME?</v>
      </c>
      <c r="AC43" s="128" t="e" cm="1">
        <f t="array" aca="1" ref="AC43" ca="1">Notmerged(AC14)</f>
        <v>#NAME?</v>
      </c>
      <c r="AD43" s="128" t="e" cm="1">
        <f t="array" aca="1" ref="AD43" ca="1">Notmerged(AD14)</f>
        <v>#NAME?</v>
      </c>
      <c r="AE43" s="128" t="e" cm="1">
        <f t="array" aca="1" ref="AE43" ca="1">Notmerged(AE14)</f>
        <v>#NAME?</v>
      </c>
      <c r="AF43" s="128" t="e" cm="1">
        <f t="array" aca="1" ref="AF43" ca="1">Notmerged(AF14)</f>
        <v>#NAME?</v>
      </c>
      <c r="AG43" s="128" t="e" cm="1">
        <f t="array" aca="1" ref="AG43" ca="1">Notmerged(AG14)</f>
        <v>#NAME?</v>
      </c>
      <c r="AH43" s="128" t="e" cm="1">
        <f t="array" aca="1" ref="AH43" ca="1">Notmerged(AH14)</f>
        <v>#NAME?</v>
      </c>
      <c r="AI43" s="128" t="e" cm="1">
        <f t="array" aca="1" ref="AI43" ca="1">Notmerged(AI14)</f>
        <v>#NAME?</v>
      </c>
      <c r="AJ43" s="128" t="e" cm="1">
        <f t="array" aca="1" ref="AJ43" ca="1">Notmerged(AJ14)</f>
        <v>#NAME?</v>
      </c>
      <c r="AK43" s="128" t="e" cm="1">
        <f t="array" aca="1" ref="AK43" ca="1">Notmerged(AK14)</f>
        <v>#NAME?</v>
      </c>
      <c r="AL43" s="128" t="e" cm="1">
        <f t="array" aca="1" ref="AL43" ca="1">Notmerged(AL14)</f>
        <v>#NAME?</v>
      </c>
      <c r="AM43" s="128" t="e" cm="1">
        <f t="array" aca="1" ref="AM43" ca="1">Notmerged(AM14)</f>
        <v>#NAME?</v>
      </c>
      <c r="AN43" s="128" t="e" cm="1">
        <f t="array" aca="1" ref="AN43" ca="1">Notmerged(AN14)</f>
        <v>#NAME?</v>
      </c>
      <c r="AO43" s="128" t="e" cm="1">
        <f t="array" aca="1" ref="AO43" ca="1">Notmerged(AO14)</f>
        <v>#NAME?</v>
      </c>
      <c r="AP43" s="128" t="e" cm="1">
        <f t="array" aca="1" ref="AP43" ca="1">Notmerged(AP14)</f>
        <v>#NAME?</v>
      </c>
      <c r="AQ43" s="128" t="e" cm="1">
        <f t="array" aca="1" ref="AQ43" ca="1">Notmerged(AQ14)</f>
        <v>#NAME?</v>
      </c>
      <c r="AR43" s="128" t="e" cm="1">
        <f t="array" aca="1" ref="AR43" ca="1">Notmerged(AR14)</f>
        <v>#NAME?</v>
      </c>
      <c r="AS43" s="128" t="e" cm="1">
        <f t="array" aca="1" ref="AS43" ca="1">Notmerged(AS14)</f>
        <v>#NAME?</v>
      </c>
      <c r="AT43" s="128" t="e" cm="1">
        <f t="array" aca="1" ref="AT43" ca="1">Notmerged(AT14)</f>
        <v>#NAME?</v>
      </c>
      <c r="AU43" s="128" t="e" cm="1">
        <f t="array" aca="1" ref="AU43" ca="1">Notmerged(AU14)</f>
        <v>#NAME?</v>
      </c>
      <c r="AV43" s="128" t="e" cm="1">
        <f t="array" aca="1" ref="AV43" ca="1">Notmerged(AV14)</f>
        <v>#NAME?</v>
      </c>
      <c r="AW43" s="128" t="e" cm="1">
        <f t="array" aca="1" ref="AW43" ca="1">Notmerged(AW14)</f>
        <v>#NAME?</v>
      </c>
      <c r="AX43" s="128" t="e" cm="1">
        <f t="array" aca="1" ref="AX43" ca="1">Notmerged(AX14)</f>
        <v>#NAME?</v>
      </c>
      <c r="AY43" s="128" t="e" cm="1">
        <f t="array" aca="1" ref="AY43" ca="1">Notmerged(AY14)</f>
        <v>#NAME?</v>
      </c>
      <c r="AZ43" s="128" t="e" cm="1">
        <f t="array" aca="1" ref="AZ43" ca="1">Notmerged(AZ14)</f>
        <v>#NAME?</v>
      </c>
      <c r="BA43" s="128" t="e" cm="1">
        <f t="array" aca="1" ref="BA43" ca="1">Notmerged(BA14)</f>
        <v>#NAME?</v>
      </c>
      <c r="BB43" s="128" t="e" cm="1">
        <f t="array" aca="1" ref="BB43" ca="1">Notmerged(BB14)</f>
        <v>#NAME?</v>
      </c>
      <c r="BC43" s="128" t="e" cm="1">
        <f t="array" aca="1" ref="BC43" ca="1">Notmerged(BC14)</f>
        <v>#NAME?</v>
      </c>
      <c r="BD43" s="128" t="e" cm="1">
        <f t="array" aca="1" ref="BD43" ca="1">Notmerged(BD14)</f>
        <v>#NAME?</v>
      </c>
      <c r="BE43" s="128" t="e" cm="1">
        <f t="array" aca="1" ref="BE43" ca="1">Notmerged(BE14)</f>
        <v>#NAME?</v>
      </c>
      <c r="BF43" s="128" t="e" cm="1">
        <f t="array" aca="1" ref="BF43" ca="1">Notmerged(BF14)</f>
        <v>#NAME?</v>
      </c>
      <c r="BG43" s="128" t="e" cm="1">
        <f t="array" aca="1" ref="BG43" ca="1">Notmerged(BG14)</f>
        <v>#NAME?</v>
      </c>
      <c r="BH43" s="128" t="e" cm="1">
        <f t="array" aca="1" ref="BH43" ca="1">Notmerged(BH14)</f>
        <v>#NAME?</v>
      </c>
      <c r="BI43" s="128" t="e" cm="1">
        <f t="array" aca="1" ref="BI43" ca="1">Notmerged(BI14)</f>
        <v>#NAME?</v>
      </c>
      <c r="BJ43" s="128" t="e" cm="1">
        <f t="array" aca="1" ref="BJ43" ca="1">Notmerged(BJ14)</f>
        <v>#NAME?</v>
      </c>
      <c r="BK43" s="128" t="e" cm="1">
        <f t="array" aca="1" ref="BK43" ca="1">Notmerged(BK14)</f>
        <v>#NAME?</v>
      </c>
    </row>
    <row r="44" spans="2:63" x14ac:dyDescent="0.3">
      <c r="B44" s="128" t="e" cm="1">
        <f t="array" aca="1" ref="B44" ca="1">Notmerged(B15)</f>
        <v>#NAME?</v>
      </c>
      <c r="C44" s="128" t="e" cm="1">
        <f t="array" aca="1" ref="C44" ca="1">Notmerged(C15)</f>
        <v>#NAME?</v>
      </c>
      <c r="D44" s="128" t="e" cm="1">
        <f t="array" aca="1" ref="D44" ca="1">Notmerged(D15)</f>
        <v>#NAME?</v>
      </c>
      <c r="E44" s="128" t="e" cm="1">
        <f t="array" aca="1" ref="E44" ca="1">Notmerged(E15)</f>
        <v>#NAME?</v>
      </c>
      <c r="F44" s="128" t="e" cm="1">
        <f t="array" aca="1" ref="F44" ca="1">Notmerged(F15)</f>
        <v>#NAME?</v>
      </c>
      <c r="G44" s="128" t="e" cm="1">
        <f t="array" aca="1" ref="G44" ca="1">Notmerged(G15)</f>
        <v>#NAME?</v>
      </c>
      <c r="H44" s="128" t="e" cm="1">
        <f t="array" aca="1" ref="H44" ca="1">Notmerged(H15)</f>
        <v>#NAME?</v>
      </c>
      <c r="I44" s="128" t="e" cm="1">
        <f t="array" aca="1" ref="I44" ca="1">Notmerged(I15)</f>
        <v>#NAME?</v>
      </c>
      <c r="J44" s="128" t="e" cm="1">
        <f t="array" aca="1" ref="J44" ca="1">Notmerged(J15)</f>
        <v>#NAME?</v>
      </c>
      <c r="K44" s="128" t="e" cm="1">
        <f t="array" aca="1" ref="K44" ca="1">Notmerged(K15)</f>
        <v>#NAME?</v>
      </c>
      <c r="L44" s="128" t="e" cm="1">
        <f t="array" aca="1" ref="L44" ca="1">Notmerged(L15)</f>
        <v>#NAME?</v>
      </c>
      <c r="M44" s="128" t="e" cm="1">
        <f t="array" aca="1" ref="M44" ca="1">Notmerged(M15)</f>
        <v>#NAME?</v>
      </c>
      <c r="N44" s="128" t="e" cm="1">
        <f t="array" aca="1" ref="N44" ca="1">Notmerged(N15)</f>
        <v>#NAME?</v>
      </c>
      <c r="O44" s="128" t="e" cm="1">
        <f t="array" aca="1" ref="O44" ca="1">Notmerged(O15)</f>
        <v>#NAME?</v>
      </c>
      <c r="P44" s="128" t="e" cm="1">
        <f t="array" aca="1" ref="P44" ca="1">Notmerged(P15)</f>
        <v>#NAME?</v>
      </c>
      <c r="Q44" s="128" t="e" cm="1">
        <f t="array" aca="1" ref="Q44" ca="1">Notmerged(Q15)</f>
        <v>#NAME?</v>
      </c>
      <c r="R44" s="128" t="e" cm="1">
        <f t="array" aca="1" ref="R44" ca="1">Notmerged(R15)</f>
        <v>#NAME?</v>
      </c>
      <c r="S44" s="128" t="e" cm="1">
        <f t="array" aca="1" ref="S44" ca="1">Notmerged(S15)</f>
        <v>#NAME?</v>
      </c>
      <c r="T44" s="128" t="e" cm="1">
        <f t="array" aca="1" ref="T44" ca="1">Notmerged(T15)</f>
        <v>#NAME?</v>
      </c>
      <c r="U44" s="128" t="e" cm="1">
        <f t="array" aca="1" ref="U44" ca="1">Notmerged(U15)</f>
        <v>#NAME?</v>
      </c>
      <c r="V44" s="128" t="e" cm="1">
        <f t="array" aca="1" ref="V44" ca="1">Notmerged(V15)</f>
        <v>#NAME?</v>
      </c>
      <c r="W44" s="128" t="e" cm="1">
        <f t="array" aca="1" ref="W44" ca="1">Notmerged(W15)</f>
        <v>#NAME?</v>
      </c>
      <c r="X44" s="128" t="e" cm="1">
        <f t="array" aca="1" ref="X44" ca="1">Notmerged(X15)</f>
        <v>#NAME?</v>
      </c>
      <c r="Y44" s="128" t="e" cm="1">
        <f t="array" aca="1" ref="Y44" ca="1">Notmerged(Y15)</f>
        <v>#NAME?</v>
      </c>
      <c r="Z44" s="128" t="e" cm="1">
        <f t="array" aca="1" ref="Z44" ca="1">Notmerged(Z15)</f>
        <v>#NAME?</v>
      </c>
      <c r="AA44" s="128" t="e" cm="1">
        <f t="array" aca="1" ref="AA44" ca="1">Notmerged(AA15)</f>
        <v>#NAME?</v>
      </c>
      <c r="AB44" s="128" t="e" cm="1">
        <f t="array" aca="1" ref="AB44" ca="1">Notmerged(AB15)</f>
        <v>#NAME?</v>
      </c>
      <c r="AC44" s="128" t="e" cm="1">
        <f t="array" aca="1" ref="AC44" ca="1">Notmerged(AC15)</f>
        <v>#NAME?</v>
      </c>
      <c r="AD44" s="128" t="e" cm="1">
        <f t="array" aca="1" ref="AD44" ca="1">Notmerged(AD15)</f>
        <v>#NAME?</v>
      </c>
      <c r="AE44" s="128" t="e" cm="1">
        <f t="array" aca="1" ref="AE44" ca="1">Notmerged(AE15)</f>
        <v>#NAME?</v>
      </c>
      <c r="AF44" s="128" t="e" cm="1">
        <f t="array" aca="1" ref="AF44" ca="1">Notmerged(AF15)</f>
        <v>#NAME?</v>
      </c>
      <c r="AG44" s="128" t="e" cm="1">
        <f t="array" aca="1" ref="AG44" ca="1">Notmerged(AG15)</f>
        <v>#NAME?</v>
      </c>
      <c r="AH44" s="128" t="e" cm="1">
        <f t="array" aca="1" ref="AH44" ca="1">Notmerged(AH15)</f>
        <v>#NAME?</v>
      </c>
      <c r="AI44" s="128" t="e" cm="1">
        <f t="array" aca="1" ref="AI44" ca="1">Notmerged(AI15)</f>
        <v>#NAME?</v>
      </c>
      <c r="AJ44" s="128" t="e" cm="1">
        <f t="array" aca="1" ref="AJ44" ca="1">Notmerged(AJ15)</f>
        <v>#NAME?</v>
      </c>
      <c r="AK44" s="128" t="e" cm="1">
        <f t="array" aca="1" ref="AK44" ca="1">Notmerged(AK15)</f>
        <v>#NAME?</v>
      </c>
      <c r="AL44" s="128" t="e" cm="1">
        <f t="array" aca="1" ref="AL44" ca="1">Notmerged(AL15)</f>
        <v>#NAME?</v>
      </c>
      <c r="AM44" s="128" t="e" cm="1">
        <f t="array" aca="1" ref="AM44" ca="1">Notmerged(AM15)</f>
        <v>#NAME?</v>
      </c>
      <c r="AN44" s="128" t="e" cm="1">
        <f t="array" aca="1" ref="AN44" ca="1">Notmerged(AN15)</f>
        <v>#NAME?</v>
      </c>
      <c r="AO44" s="128" t="e" cm="1">
        <f t="array" aca="1" ref="AO44" ca="1">Notmerged(AO15)</f>
        <v>#NAME?</v>
      </c>
      <c r="AP44" s="128" t="e" cm="1">
        <f t="array" aca="1" ref="AP44" ca="1">Notmerged(AP15)</f>
        <v>#NAME?</v>
      </c>
      <c r="AQ44" s="128" t="e" cm="1">
        <f t="array" aca="1" ref="AQ44" ca="1">Notmerged(AQ15)</f>
        <v>#NAME?</v>
      </c>
      <c r="AR44" s="128" t="e" cm="1">
        <f t="array" aca="1" ref="AR44" ca="1">Notmerged(AR15)</f>
        <v>#NAME?</v>
      </c>
      <c r="AS44" s="128" t="e" cm="1">
        <f t="array" aca="1" ref="AS44" ca="1">Notmerged(AS15)</f>
        <v>#NAME?</v>
      </c>
      <c r="AT44" s="128" t="e" cm="1">
        <f t="array" aca="1" ref="AT44" ca="1">Notmerged(AT15)</f>
        <v>#NAME?</v>
      </c>
      <c r="AU44" s="128" t="e" cm="1">
        <f t="array" aca="1" ref="AU44" ca="1">Notmerged(AU15)</f>
        <v>#NAME?</v>
      </c>
      <c r="AV44" s="128" t="e" cm="1">
        <f t="array" aca="1" ref="AV44" ca="1">Notmerged(AV15)</f>
        <v>#NAME?</v>
      </c>
      <c r="AW44" s="128" t="e" cm="1">
        <f t="array" aca="1" ref="AW44" ca="1">Notmerged(AW15)</f>
        <v>#NAME?</v>
      </c>
      <c r="AX44" s="128" t="e" cm="1">
        <f t="array" aca="1" ref="AX44" ca="1">Notmerged(AX15)</f>
        <v>#NAME?</v>
      </c>
      <c r="AY44" s="128" t="e" cm="1">
        <f t="array" aca="1" ref="AY44" ca="1">Notmerged(AY15)</f>
        <v>#NAME?</v>
      </c>
      <c r="AZ44" s="128" t="e" cm="1">
        <f t="array" aca="1" ref="AZ44" ca="1">Notmerged(AZ15)</f>
        <v>#NAME?</v>
      </c>
      <c r="BA44" s="128" t="e" cm="1">
        <f t="array" aca="1" ref="BA44" ca="1">Notmerged(BA15)</f>
        <v>#NAME?</v>
      </c>
      <c r="BB44" s="128" t="e" cm="1">
        <f t="array" aca="1" ref="BB44" ca="1">Notmerged(BB15)</f>
        <v>#NAME?</v>
      </c>
      <c r="BC44" s="128" t="e" cm="1">
        <f t="array" aca="1" ref="BC44" ca="1">Notmerged(BC15)</f>
        <v>#NAME?</v>
      </c>
      <c r="BD44" s="128" t="e" cm="1">
        <f t="array" aca="1" ref="BD44" ca="1">Notmerged(BD15)</f>
        <v>#NAME?</v>
      </c>
      <c r="BE44" s="128" t="e" cm="1">
        <f t="array" aca="1" ref="BE44" ca="1">Notmerged(BE15)</f>
        <v>#NAME?</v>
      </c>
      <c r="BF44" s="128" t="e" cm="1">
        <f t="array" aca="1" ref="BF44" ca="1">Notmerged(BF15)</f>
        <v>#NAME?</v>
      </c>
      <c r="BG44" s="128" t="e" cm="1">
        <f t="array" aca="1" ref="BG44" ca="1">Notmerged(BG15)</f>
        <v>#NAME?</v>
      </c>
      <c r="BH44" s="128" t="e" cm="1">
        <f t="array" aca="1" ref="BH44" ca="1">Notmerged(BH15)</f>
        <v>#NAME?</v>
      </c>
      <c r="BI44" s="128" t="e" cm="1">
        <f t="array" aca="1" ref="BI44" ca="1">Notmerged(BI15)</f>
        <v>#NAME?</v>
      </c>
      <c r="BJ44" s="128" t="e" cm="1">
        <f t="array" aca="1" ref="BJ44" ca="1">Notmerged(BJ15)</f>
        <v>#NAME?</v>
      </c>
      <c r="BK44" s="128" t="e" cm="1">
        <f t="array" aca="1" ref="BK44" ca="1">Notmerged(BK15)</f>
        <v>#NAME?</v>
      </c>
    </row>
    <row r="45" spans="2:63" x14ac:dyDescent="0.3">
      <c r="B45" s="128" t="e" cm="1">
        <f t="array" aca="1" ref="B45" ca="1">Notmerged(B16)</f>
        <v>#NAME?</v>
      </c>
      <c r="C45" s="128" t="e" cm="1">
        <f t="array" aca="1" ref="C45" ca="1">Notmerged(C16)</f>
        <v>#NAME?</v>
      </c>
      <c r="D45" s="128" t="e" cm="1">
        <f t="array" aca="1" ref="D45" ca="1">Notmerged(D16)</f>
        <v>#NAME?</v>
      </c>
      <c r="E45" s="128" t="e" cm="1">
        <f t="array" aca="1" ref="E45" ca="1">Notmerged(E16)</f>
        <v>#NAME?</v>
      </c>
      <c r="F45" s="128" t="e" cm="1">
        <f t="array" aca="1" ref="F45" ca="1">Notmerged(F16)</f>
        <v>#NAME?</v>
      </c>
      <c r="G45" s="128" t="e" cm="1">
        <f t="array" aca="1" ref="G45" ca="1">Notmerged(G16)</f>
        <v>#NAME?</v>
      </c>
      <c r="H45" s="128" t="e" cm="1">
        <f t="array" aca="1" ref="H45" ca="1">Notmerged(H16)</f>
        <v>#NAME?</v>
      </c>
      <c r="I45" s="128" t="e" cm="1">
        <f t="array" aca="1" ref="I45" ca="1">Notmerged(I16)</f>
        <v>#NAME?</v>
      </c>
      <c r="J45" s="128" t="e" cm="1">
        <f t="array" aca="1" ref="J45" ca="1">Notmerged(J16)</f>
        <v>#NAME?</v>
      </c>
      <c r="K45" s="128" t="e" cm="1">
        <f t="array" aca="1" ref="K45" ca="1">Notmerged(K16)</f>
        <v>#NAME?</v>
      </c>
      <c r="L45" s="128" t="e" cm="1">
        <f t="array" aca="1" ref="L45" ca="1">Notmerged(L16)</f>
        <v>#NAME?</v>
      </c>
      <c r="M45" s="128" t="e" cm="1">
        <f t="array" aca="1" ref="M45" ca="1">Notmerged(M16)</f>
        <v>#NAME?</v>
      </c>
      <c r="N45" s="128" t="e" cm="1">
        <f t="array" aca="1" ref="N45" ca="1">Notmerged(N16)</f>
        <v>#NAME?</v>
      </c>
      <c r="O45" s="128" t="e" cm="1">
        <f t="array" aca="1" ref="O45" ca="1">Notmerged(O16)</f>
        <v>#NAME?</v>
      </c>
      <c r="P45" s="128" t="e" cm="1">
        <f t="array" aca="1" ref="P45" ca="1">Notmerged(P16)</f>
        <v>#NAME?</v>
      </c>
      <c r="Q45" s="128" t="e" cm="1">
        <f t="array" aca="1" ref="Q45" ca="1">Notmerged(Q16)</f>
        <v>#NAME?</v>
      </c>
      <c r="R45" s="128" t="e" cm="1">
        <f t="array" aca="1" ref="R45" ca="1">Notmerged(R16)</f>
        <v>#NAME?</v>
      </c>
      <c r="S45" s="128" t="e" cm="1">
        <f t="array" aca="1" ref="S45" ca="1">Notmerged(S16)</f>
        <v>#NAME?</v>
      </c>
      <c r="T45" s="128" t="e" cm="1">
        <f t="array" aca="1" ref="T45" ca="1">Notmerged(T16)</f>
        <v>#NAME?</v>
      </c>
      <c r="U45" s="128" t="e" cm="1">
        <f t="array" aca="1" ref="U45" ca="1">Notmerged(U16)</f>
        <v>#NAME?</v>
      </c>
      <c r="V45" s="128" t="e" cm="1">
        <f t="array" aca="1" ref="V45" ca="1">Notmerged(V16)</f>
        <v>#NAME?</v>
      </c>
      <c r="W45" s="128" t="e" cm="1">
        <f t="array" aca="1" ref="W45" ca="1">Notmerged(W16)</f>
        <v>#NAME?</v>
      </c>
      <c r="X45" s="128" t="e" cm="1">
        <f t="array" aca="1" ref="X45" ca="1">Notmerged(X16)</f>
        <v>#NAME?</v>
      </c>
      <c r="Y45" s="128" t="e" cm="1">
        <f t="array" aca="1" ref="Y45" ca="1">Notmerged(Y16)</f>
        <v>#NAME?</v>
      </c>
      <c r="Z45" s="128" t="e" cm="1">
        <f t="array" aca="1" ref="Z45" ca="1">Notmerged(Z16)</f>
        <v>#NAME?</v>
      </c>
      <c r="AA45" s="128" t="e" cm="1">
        <f t="array" aca="1" ref="AA45" ca="1">Notmerged(AA16)</f>
        <v>#NAME?</v>
      </c>
      <c r="AB45" s="128" t="e" cm="1">
        <f t="array" aca="1" ref="AB45" ca="1">Notmerged(AB16)</f>
        <v>#NAME?</v>
      </c>
      <c r="AC45" s="128" t="e" cm="1">
        <f t="array" aca="1" ref="AC45" ca="1">Notmerged(AC16)</f>
        <v>#NAME?</v>
      </c>
      <c r="AD45" s="128" t="e" cm="1">
        <f t="array" aca="1" ref="AD45" ca="1">Notmerged(AD16)</f>
        <v>#NAME?</v>
      </c>
      <c r="AE45" s="128" t="e" cm="1">
        <f t="array" aca="1" ref="AE45" ca="1">Notmerged(AE16)</f>
        <v>#NAME?</v>
      </c>
      <c r="AF45" s="128" t="e" cm="1">
        <f t="array" aca="1" ref="AF45" ca="1">Notmerged(AF16)</f>
        <v>#NAME?</v>
      </c>
      <c r="AG45" s="128" t="e" cm="1">
        <f t="array" aca="1" ref="AG45" ca="1">Notmerged(AG16)</f>
        <v>#NAME?</v>
      </c>
      <c r="AH45" s="128" t="e" cm="1">
        <f t="array" aca="1" ref="AH45" ca="1">Notmerged(AH16)</f>
        <v>#NAME?</v>
      </c>
      <c r="AI45" s="128" t="e" cm="1">
        <f t="array" aca="1" ref="AI45" ca="1">Notmerged(AI16)</f>
        <v>#NAME?</v>
      </c>
      <c r="AJ45" s="128" t="e" cm="1">
        <f t="array" aca="1" ref="AJ45" ca="1">Notmerged(AJ16)</f>
        <v>#NAME?</v>
      </c>
      <c r="AK45" s="128" t="e" cm="1">
        <f t="array" aca="1" ref="AK45" ca="1">Notmerged(AK16)</f>
        <v>#NAME?</v>
      </c>
      <c r="AL45" s="128" t="e" cm="1">
        <f t="array" aca="1" ref="AL45" ca="1">Notmerged(AL16)</f>
        <v>#NAME?</v>
      </c>
      <c r="AM45" s="128" t="e" cm="1">
        <f t="array" aca="1" ref="AM45" ca="1">Notmerged(AM16)</f>
        <v>#NAME?</v>
      </c>
      <c r="AN45" s="128" t="e" cm="1">
        <f t="array" aca="1" ref="AN45" ca="1">Notmerged(AN16)</f>
        <v>#NAME?</v>
      </c>
      <c r="AO45" s="128" t="e" cm="1">
        <f t="array" aca="1" ref="AO45" ca="1">Notmerged(AO16)</f>
        <v>#NAME?</v>
      </c>
      <c r="AP45" s="128" t="e" cm="1">
        <f t="array" aca="1" ref="AP45" ca="1">Notmerged(AP16)</f>
        <v>#NAME?</v>
      </c>
      <c r="AQ45" s="128" t="e" cm="1">
        <f t="array" aca="1" ref="AQ45" ca="1">Notmerged(AQ16)</f>
        <v>#NAME?</v>
      </c>
      <c r="AR45" s="128" t="e" cm="1">
        <f t="array" aca="1" ref="AR45" ca="1">Notmerged(AR16)</f>
        <v>#NAME?</v>
      </c>
      <c r="AS45" s="128" t="e" cm="1">
        <f t="array" aca="1" ref="AS45" ca="1">Notmerged(AS16)</f>
        <v>#NAME?</v>
      </c>
      <c r="AT45" s="128" t="e" cm="1">
        <f t="array" aca="1" ref="AT45" ca="1">Notmerged(AT16)</f>
        <v>#NAME?</v>
      </c>
      <c r="AU45" s="128" t="e" cm="1">
        <f t="array" aca="1" ref="AU45" ca="1">Notmerged(AU16)</f>
        <v>#NAME?</v>
      </c>
      <c r="AV45" s="128" t="e" cm="1">
        <f t="array" aca="1" ref="AV45" ca="1">Notmerged(AV16)</f>
        <v>#NAME?</v>
      </c>
      <c r="AW45" s="128" t="e" cm="1">
        <f t="array" aca="1" ref="AW45" ca="1">Notmerged(AW16)</f>
        <v>#NAME?</v>
      </c>
      <c r="AX45" s="128" t="e" cm="1">
        <f t="array" aca="1" ref="AX45" ca="1">Notmerged(AX16)</f>
        <v>#NAME?</v>
      </c>
      <c r="AY45" s="128" t="e" cm="1">
        <f t="array" aca="1" ref="AY45" ca="1">Notmerged(AY16)</f>
        <v>#NAME?</v>
      </c>
      <c r="AZ45" s="128" t="e" cm="1">
        <f t="array" aca="1" ref="AZ45" ca="1">Notmerged(AZ16)</f>
        <v>#NAME?</v>
      </c>
      <c r="BA45" s="128" t="e" cm="1">
        <f t="array" aca="1" ref="BA45" ca="1">Notmerged(BA16)</f>
        <v>#NAME?</v>
      </c>
      <c r="BB45" s="128" t="e" cm="1">
        <f t="array" aca="1" ref="BB45" ca="1">Notmerged(BB16)</f>
        <v>#NAME?</v>
      </c>
      <c r="BC45" s="128" t="e" cm="1">
        <f t="array" aca="1" ref="BC45" ca="1">Notmerged(BC16)</f>
        <v>#NAME?</v>
      </c>
      <c r="BD45" s="128" t="e" cm="1">
        <f t="array" aca="1" ref="BD45" ca="1">Notmerged(BD16)</f>
        <v>#NAME?</v>
      </c>
      <c r="BE45" s="128" t="e" cm="1">
        <f t="array" aca="1" ref="BE45" ca="1">Notmerged(BE16)</f>
        <v>#NAME?</v>
      </c>
      <c r="BF45" s="128" t="e" cm="1">
        <f t="array" aca="1" ref="BF45" ca="1">Notmerged(BF16)</f>
        <v>#NAME?</v>
      </c>
      <c r="BG45" s="128" t="e" cm="1">
        <f t="array" aca="1" ref="BG45" ca="1">Notmerged(BG16)</f>
        <v>#NAME?</v>
      </c>
      <c r="BH45" s="128" t="e" cm="1">
        <f t="array" aca="1" ref="BH45" ca="1">Notmerged(BH16)</f>
        <v>#NAME?</v>
      </c>
      <c r="BI45" s="128" t="e" cm="1">
        <f t="array" aca="1" ref="BI45" ca="1">Notmerged(BI16)</f>
        <v>#NAME?</v>
      </c>
      <c r="BJ45" s="128" t="e" cm="1">
        <f t="array" aca="1" ref="BJ45" ca="1">Notmerged(BJ16)</f>
        <v>#NAME?</v>
      </c>
      <c r="BK45" s="128" t="e" cm="1">
        <f t="array" aca="1" ref="BK45" ca="1">Notmerged(BK16)</f>
        <v>#NAME?</v>
      </c>
    </row>
    <row r="46" spans="2:63" x14ac:dyDescent="0.3">
      <c r="B46" s="128" t="e" cm="1">
        <f t="array" aca="1" ref="B46" ca="1">Notmerged(B17)</f>
        <v>#NAME?</v>
      </c>
      <c r="C46" s="128" t="e" cm="1">
        <f t="array" aca="1" ref="C46" ca="1">Notmerged(C17)</f>
        <v>#NAME?</v>
      </c>
      <c r="D46" s="128" t="e" cm="1">
        <f t="array" aca="1" ref="D46" ca="1">Notmerged(D17)</f>
        <v>#NAME?</v>
      </c>
      <c r="E46" s="128" t="e" cm="1">
        <f t="array" aca="1" ref="E46" ca="1">Notmerged(E17)</f>
        <v>#NAME?</v>
      </c>
      <c r="F46" s="128" t="e" cm="1">
        <f t="array" aca="1" ref="F46" ca="1">Notmerged(F17)</f>
        <v>#NAME?</v>
      </c>
      <c r="G46" s="128" t="e" cm="1">
        <f t="array" aca="1" ref="G46" ca="1">Notmerged(G17)</f>
        <v>#NAME?</v>
      </c>
      <c r="H46" s="128" t="e" cm="1">
        <f t="array" aca="1" ref="H46" ca="1">Notmerged(H17)</f>
        <v>#NAME?</v>
      </c>
      <c r="I46" s="128" t="e" cm="1">
        <f t="array" aca="1" ref="I46" ca="1">Notmerged(I17)</f>
        <v>#NAME?</v>
      </c>
      <c r="J46" s="128" t="e" cm="1">
        <f t="array" aca="1" ref="J46" ca="1">Notmerged(J17)</f>
        <v>#NAME?</v>
      </c>
      <c r="K46" s="128" t="e" cm="1">
        <f t="array" aca="1" ref="K46" ca="1">Notmerged(K17)</f>
        <v>#NAME?</v>
      </c>
      <c r="L46" s="128" t="e" cm="1">
        <f t="array" aca="1" ref="L46" ca="1">Notmerged(L17)</f>
        <v>#NAME?</v>
      </c>
      <c r="M46" s="128" t="e" cm="1">
        <f t="array" aca="1" ref="M46" ca="1">Notmerged(M17)</f>
        <v>#NAME?</v>
      </c>
      <c r="N46" s="128" t="e" cm="1">
        <f t="array" aca="1" ref="N46" ca="1">Notmerged(N17)</f>
        <v>#NAME?</v>
      </c>
      <c r="O46" s="128" t="e" cm="1">
        <f t="array" aca="1" ref="O46" ca="1">Notmerged(O17)</f>
        <v>#NAME?</v>
      </c>
      <c r="P46" s="128" t="e" cm="1">
        <f t="array" aca="1" ref="P46" ca="1">Notmerged(P17)</f>
        <v>#NAME?</v>
      </c>
      <c r="Q46" s="128" t="e" cm="1">
        <f t="array" aca="1" ref="Q46" ca="1">Notmerged(Q17)</f>
        <v>#NAME?</v>
      </c>
      <c r="R46" s="128" t="e" cm="1">
        <f t="array" aca="1" ref="R46" ca="1">Notmerged(R17)</f>
        <v>#NAME?</v>
      </c>
      <c r="S46" s="128" t="e" cm="1">
        <f t="array" aca="1" ref="S46" ca="1">Notmerged(S17)</f>
        <v>#NAME?</v>
      </c>
      <c r="T46" s="128" t="e" cm="1">
        <f t="array" aca="1" ref="T46" ca="1">Notmerged(T17)</f>
        <v>#NAME?</v>
      </c>
      <c r="U46" s="128" t="e" cm="1">
        <f t="array" aca="1" ref="U46" ca="1">Notmerged(U17)</f>
        <v>#NAME?</v>
      </c>
      <c r="V46" s="128" t="e" cm="1">
        <f t="array" aca="1" ref="V46" ca="1">Notmerged(V17)</f>
        <v>#NAME?</v>
      </c>
      <c r="W46" s="128" t="e" cm="1">
        <f t="array" aca="1" ref="W46" ca="1">Notmerged(W17)</f>
        <v>#NAME?</v>
      </c>
      <c r="X46" s="128" t="e" cm="1">
        <f t="array" aca="1" ref="X46" ca="1">Notmerged(X17)</f>
        <v>#NAME?</v>
      </c>
      <c r="Y46" s="128" t="e" cm="1">
        <f t="array" aca="1" ref="Y46" ca="1">Notmerged(Y17)</f>
        <v>#NAME?</v>
      </c>
      <c r="Z46" s="128" t="e" cm="1">
        <f t="array" aca="1" ref="Z46" ca="1">Notmerged(Z17)</f>
        <v>#NAME?</v>
      </c>
      <c r="AA46" s="128" t="e" cm="1">
        <f t="array" aca="1" ref="AA46" ca="1">Notmerged(AA17)</f>
        <v>#NAME?</v>
      </c>
      <c r="AB46" s="128" t="e" cm="1">
        <f t="array" aca="1" ref="AB46" ca="1">Notmerged(AB17)</f>
        <v>#NAME?</v>
      </c>
      <c r="AC46" s="128" t="e" cm="1">
        <f t="array" aca="1" ref="AC46" ca="1">Notmerged(AC17)</f>
        <v>#NAME?</v>
      </c>
      <c r="AD46" s="128" t="e" cm="1">
        <f t="array" aca="1" ref="AD46" ca="1">Notmerged(AD17)</f>
        <v>#NAME?</v>
      </c>
      <c r="AE46" s="128" t="e" cm="1">
        <f t="array" aca="1" ref="AE46" ca="1">Notmerged(AE17)</f>
        <v>#NAME?</v>
      </c>
      <c r="AF46" s="128" t="e" cm="1">
        <f t="array" aca="1" ref="AF46" ca="1">Notmerged(AF17)</f>
        <v>#NAME?</v>
      </c>
      <c r="AG46" s="128" t="e" cm="1">
        <f t="array" aca="1" ref="AG46" ca="1">Notmerged(AG17)</f>
        <v>#NAME?</v>
      </c>
      <c r="AH46" s="128" t="e" cm="1">
        <f t="array" aca="1" ref="AH46" ca="1">Notmerged(AH17)</f>
        <v>#NAME?</v>
      </c>
      <c r="AI46" s="128" t="e" cm="1">
        <f t="array" aca="1" ref="AI46" ca="1">Notmerged(AI17)</f>
        <v>#NAME?</v>
      </c>
      <c r="AJ46" s="128" t="e" cm="1">
        <f t="array" aca="1" ref="AJ46" ca="1">Notmerged(AJ17)</f>
        <v>#NAME?</v>
      </c>
      <c r="AK46" s="128" t="e" cm="1">
        <f t="array" aca="1" ref="AK46" ca="1">Notmerged(AK17)</f>
        <v>#NAME?</v>
      </c>
      <c r="AL46" s="128" t="e" cm="1">
        <f t="array" aca="1" ref="AL46" ca="1">Notmerged(AL17)</f>
        <v>#NAME?</v>
      </c>
      <c r="AM46" s="128" t="e" cm="1">
        <f t="array" aca="1" ref="AM46" ca="1">Notmerged(AM17)</f>
        <v>#NAME?</v>
      </c>
      <c r="AN46" s="128" t="e" cm="1">
        <f t="array" aca="1" ref="AN46" ca="1">Notmerged(AN17)</f>
        <v>#NAME?</v>
      </c>
      <c r="AO46" s="128" t="e" cm="1">
        <f t="array" aca="1" ref="AO46" ca="1">Notmerged(AO17)</f>
        <v>#NAME?</v>
      </c>
      <c r="AP46" s="128" t="e" cm="1">
        <f t="array" aca="1" ref="AP46" ca="1">Notmerged(AP17)</f>
        <v>#NAME?</v>
      </c>
      <c r="AQ46" s="128" t="e" cm="1">
        <f t="array" aca="1" ref="AQ46" ca="1">Notmerged(AQ17)</f>
        <v>#NAME?</v>
      </c>
      <c r="AR46" s="128" t="e" cm="1">
        <f t="array" aca="1" ref="AR46" ca="1">Notmerged(AR17)</f>
        <v>#NAME?</v>
      </c>
      <c r="AS46" s="128" t="e" cm="1">
        <f t="array" aca="1" ref="AS46" ca="1">Notmerged(AS17)</f>
        <v>#NAME?</v>
      </c>
      <c r="AT46" s="128" t="e" cm="1">
        <f t="array" aca="1" ref="AT46" ca="1">Notmerged(AT17)</f>
        <v>#NAME?</v>
      </c>
      <c r="AU46" s="128" t="e" cm="1">
        <f t="array" aca="1" ref="AU46" ca="1">Notmerged(AU17)</f>
        <v>#NAME?</v>
      </c>
      <c r="AV46" s="128" t="e" cm="1">
        <f t="array" aca="1" ref="AV46" ca="1">Notmerged(AV17)</f>
        <v>#NAME?</v>
      </c>
      <c r="AW46" s="128" t="e" cm="1">
        <f t="array" aca="1" ref="AW46" ca="1">Notmerged(AW17)</f>
        <v>#NAME?</v>
      </c>
      <c r="AX46" s="128" t="e" cm="1">
        <f t="array" aca="1" ref="AX46" ca="1">Notmerged(AX17)</f>
        <v>#NAME?</v>
      </c>
      <c r="AY46" s="128" t="e" cm="1">
        <f t="array" aca="1" ref="AY46" ca="1">Notmerged(AY17)</f>
        <v>#NAME?</v>
      </c>
      <c r="AZ46" s="128" t="e" cm="1">
        <f t="array" aca="1" ref="AZ46" ca="1">Notmerged(AZ17)</f>
        <v>#NAME?</v>
      </c>
      <c r="BA46" s="128" t="e" cm="1">
        <f t="array" aca="1" ref="BA46" ca="1">Notmerged(BA17)</f>
        <v>#NAME?</v>
      </c>
      <c r="BB46" s="128" t="e" cm="1">
        <f t="array" aca="1" ref="BB46" ca="1">Notmerged(BB17)</f>
        <v>#NAME?</v>
      </c>
      <c r="BC46" s="128" t="e" cm="1">
        <f t="array" aca="1" ref="BC46" ca="1">Notmerged(BC17)</f>
        <v>#NAME?</v>
      </c>
      <c r="BD46" s="128" t="e" cm="1">
        <f t="array" aca="1" ref="BD46" ca="1">Notmerged(BD17)</f>
        <v>#NAME?</v>
      </c>
      <c r="BE46" s="128" t="e" cm="1">
        <f t="array" aca="1" ref="BE46" ca="1">Notmerged(BE17)</f>
        <v>#NAME?</v>
      </c>
      <c r="BF46" s="128" t="e" cm="1">
        <f t="array" aca="1" ref="BF46" ca="1">Notmerged(BF17)</f>
        <v>#NAME?</v>
      </c>
      <c r="BG46" s="128" t="e" cm="1">
        <f t="array" aca="1" ref="BG46" ca="1">Notmerged(BG17)</f>
        <v>#NAME?</v>
      </c>
      <c r="BH46" s="128" t="e" cm="1">
        <f t="array" aca="1" ref="BH46" ca="1">Notmerged(BH17)</f>
        <v>#NAME?</v>
      </c>
      <c r="BI46" s="128" t="e" cm="1">
        <f t="array" aca="1" ref="BI46" ca="1">Notmerged(BI17)</f>
        <v>#NAME?</v>
      </c>
      <c r="BJ46" s="128" t="e" cm="1">
        <f t="array" aca="1" ref="BJ46" ca="1">Notmerged(BJ17)</f>
        <v>#NAME?</v>
      </c>
      <c r="BK46" s="128" t="e" cm="1">
        <f t="array" aca="1" ref="BK46" ca="1">Notmerged(BK17)</f>
        <v>#NAME?</v>
      </c>
    </row>
    <row r="47" spans="2:63" x14ac:dyDescent="0.3">
      <c r="B47" s="128" t="e" cm="1">
        <f t="array" aca="1" ref="B47" ca="1">Notmerged(B18)</f>
        <v>#NAME?</v>
      </c>
      <c r="C47" s="128" t="e" cm="1">
        <f t="array" aca="1" ref="C47" ca="1">Notmerged(C18)</f>
        <v>#NAME?</v>
      </c>
      <c r="D47" s="128" t="e" cm="1">
        <f t="array" aca="1" ref="D47" ca="1">Notmerged(D18)</f>
        <v>#NAME?</v>
      </c>
      <c r="E47" s="128" t="e" cm="1">
        <f t="array" aca="1" ref="E47" ca="1">Notmerged(E18)</f>
        <v>#NAME?</v>
      </c>
      <c r="F47" s="128" t="e" cm="1">
        <f t="array" aca="1" ref="F47" ca="1">Notmerged(F18)</f>
        <v>#NAME?</v>
      </c>
      <c r="G47" s="128" t="e" cm="1">
        <f t="array" aca="1" ref="G47" ca="1">Notmerged(G18)</f>
        <v>#NAME?</v>
      </c>
      <c r="H47" s="128" t="e" cm="1">
        <f t="array" aca="1" ref="H47" ca="1">Notmerged(H18)</f>
        <v>#NAME?</v>
      </c>
      <c r="I47" s="128" t="e" cm="1">
        <f t="array" aca="1" ref="I47" ca="1">Notmerged(I18)</f>
        <v>#NAME?</v>
      </c>
      <c r="J47" s="128" t="e" cm="1">
        <f t="array" aca="1" ref="J47" ca="1">Notmerged(J18)</f>
        <v>#NAME?</v>
      </c>
      <c r="K47" s="128" t="e" cm="1">
        <f t="array" aca="1" ref="K47" ca="1">Notmerged(K18)</f>
        <v>#NAME?</v>
      </c>
      <c r="L47" s="128" t="e" cm="1">
        <f t="array" aca="1" ref="L47" ca="1">Notmerged(L18)</f>
        <v>#NAME?</v>
      </c>
      <c r="M47" s="128" t="e" cm="1">
        <f t="array" aca="1" ref="M47" ca="1">Notmerged(M18)</f>
        <v>#NAME?</v>
      </c>
      <c r="N47" s="128" t="e" cm="1">
        <f t="array" aca="1" ref="N47" ca="1">Notmerged(N18)</f>
        <v>#NAME?</v>
      </c>
      <c r="O47" s="128" t="e" cm="1">
        <f t="array" aca="1" ref="O47" ca="1">Notmerged(O18)</f>
        <v>#NAME?</v>
      </c>
      <c r="P47" s="128" t="e" cm="1">
        <f t="array" aca="1" ref="P47" ca="1">Notmerged(P18)</f>
        <v>#NAME?</v>
      </c>
      <c r="Q47" s="128" t="e" cm="1">
        <f t="array" aca="1" ref="Q47" ca="1">Notmerged(Q18)</f>
        <v>#NAME?</v>
      </c>
      <c r="R47" s="128" t="e" cm="1">
        <f t="array" aca="1" ref="R47" ca="1">Notmerged(R18)</f>
        <v>#NAME?</v>
      </c>
      <c r="S47" s="128" t="e" cm="1">
        <f t="array" aca="1" ref="S47" ca="1">Notmerged(S18)</f>
        <v>#NAME?</v>
      </c>
      <c r="T47" s="128" t="e" cm="1">
        <f t="array" aca="1" ref="T47" ca="1">Notmerged(T18)</f>
        <v>#NAME?</v>
      </c>
      <c r="U47" s="128" t="e" cm="1">
        <f t="array" aca="1" ref="U47" ca="1">Notmerged(U18)</f>
        <v>#NAME?</v>
      </c>
      <c r="V47" s="128" t="e" cm="1">
        <f t="array" aca="1" ref="V47" ca="1">Notmerged(V18)</f>
        <v>#NAME?</v>
      </c>
      <c r="W47" s="128" t="e" cm="1">
        <f t="array" aca="1" ref="W47" ca="1">Notmerged(W18)</f>
        <v>#NAME?</v>
      </c>
      <c r="X47" s="128" t="e" cm="1">
        <f t="array" aca="1" ref="X47" ca="1">Notmerged(X18)</f>
        <v>#NAME?</v>
      </c>
      <c r="Y47" s="128" t="e" cm="1">
        <f t="array" aca="1" ref="Y47" ca="1">Notmerged(Y18)</f>
        <v>#NAME?</v>
      </c>
      <c r="Z47" s="128" t="e" cm="1">
        <f t="array" aca="1" ref="Z47" ca="1">Notmerged(Z18)</f>
        <v>#NAME?</v>
      </c>
      <c r="AA47" s="128" t="e" cm="1">
        <f t="array" aca="1" ref="AA47" ca="1">Notmerged(AA18)</f>
        <v>#NAME?</v>
      </c>
      <c r="AB47" s="128" t="e" cm="1">
        <f t="array" aca="1" ref="AB47" ca="1">Notmerged(AB18)</f>
        <v>#NAME?</v>
      </c>
      <c r="AC47" s="128" t="e" cm="1">
        <f t="array" aca="1" ref="AC47" ca="1">Notmerged(AC18)</f>
        <v>#NAME?</v>
      </c>
      <c r="AD47" s="128" t="e" cm="1">
        <f t="array" aca="1" ref="AD47" ca="1">Notmerged(AD18)</f>
        <v>#NAME?</v>
      </c>
      <c r="AE47" s="128" t="e" cm="1">
        <f t="array" aca="1" ref="AE47" ca="1">Notmerged(AE18)</f>
        <v>#NAME?</v>
      </c>
      <c r="AF47" s="128" t="e" cm="1">
        <f t="array" aca="1" ref="AF47" ca="1">Notmerged(AF18)</f>
        <v>#NAME?</v>
      </c>
      <c r="AG47" s="128" t="e" cm="1">
        <f t="array" aca="1" ref="AG47" ca="1">Notmerged(AG18)</f>
        <v>#NAME?</v>
      </c>
      <c r="AH47" s="128" t="e" cm="1">
        <f t="array" aca="1" ref="AH47" ca="1">Notmerged(AH18)</f>
        <v>#NAME?</v>
      </c>
      <c r="AI47" s="128" t="e" cm="1">
        <f t="array" aca="1" ref="AI47" ca="1">Notmerged(AI18)</f>
        <v>#NAME?</v>
      </c>
      <c r="AJ47" s="128" t="e" cm="1">
        <f t="array" aca="1" ref="AJ47" ca="1">Notmerged(AJ18)</f>
        <v>#NAME?</v>
      </c>
      <c r="AK47" s="128" t="e" cm="1">
        <f t="array" aca="1" ref="AK47" ca="1">Notmerged(AK18)</f>
        <v>#NAME?</v>
      </c>
      <c r="AL47" s="128" t="e" cm="1">
        <f t="array" aca="1" ref="AL47" ca="1">Notmerged(AL18)</f>
        <v>#NAME?</v>
      </c>
      <c r="AM47" s="128" t="e" cm="1">
        <f t="array" aca="1" ref="AM47" ca="1">Notmerged(AM18)</f>
        <v>#NAME?</v>
      </c>
      <c r="AN47" s="128" t="e" cm="1">
        <f t="array" aca="1" ref="AN47" ca="1">Notmerged(AN18)</f>
        <v>#NAME?</v>
      </c>
      <c r="AO47" s="128" t="e" cm="1">
        <f t="array" aca="1" ref="AO47" ca="1">Notmerged(AO18)</f>
        <v>#NAME?</v>
      </c>
      <c r="AP47" s="128" t="e" cm="1">
        <f t="array" aca="1" ref="AP47" ca="1">Notmerged(AP18)</f>
        <v>#NAME?</v>
      </c>
      <c r="AQ47" s="128" t="e" cm="1">
        <f t="array" aca="1" ref="AQ47" ca="1">Notmerged(AQ18)</f>
        <v>#NAME?</v>
      </c>
      <c r="AR47" s="128" t="e" cm="1">
        <f t="array" aca="1" ref="AR47" ca="1">Notmerged(AR18)</f>
        <v>#NAME?</v>
      </c>
      <c r="AS47" s="128" t="e" cm="1">
        <f t="array" aca="1" ref="AS47" ca="1">Notmerged(AS18)</f>
        <v>#NAME?</v>
      </c>
      <c r="AT47" s="128" t="e" cm="1">
        <f t="array" aca="1" ref="AT47" ca="1">Notmerged(AT18)</f>
        <v>#NAME?</v>
      </c>
      <c r="AU47" s="128" t="e" cm="1">
        <f t="array" aca="1" ref="AU47" ca="1">Notmerged(AU18)</f>
        <v>#NAME?</v>
      </c>
      <c r="AV47" s="128" t="e" cm="1">
        <f t="array" aca="1" ref="AV47" ca="1">Notmerged(AV18)</f>
        <v>#NAME?</v>
      </c>
      <c r="AW47" s="128" t="e" cm="1">
        <f t="array" aca="1" ref="AW47" ca="1">Notmerged(AW18)</f>
        <v>#NAME?</v>
      </c>
      <c r="AX47" s="128" t="e" cm="1">
        <f t="array" aca="1" ref="AX47" ca="1">Notmerged(AX18)</f>
        <v>#NAME?</v>
      </c>
      <c r="AY47" s="128" t="e" cm="1">
        <f t="array" aca="1" ref="AY47" ca="1">Notmerged(AY18)</f>
        <v>#NAME?</v>
      </c>
      <c r="AZ47" s="128" t="e" cm="1">
        <f t="array" aca="1" ref="AZ47" ca="1">Notmerged(AZ18)</f>
        <v>#NAME?</v>
      </c>
      <c r="BA47" s="128" t="e" cm="1">
        <f t="array" aca="1" ref="BA47" ca="1">Notmerged(BA18)</f>
        <v>#NAME?</v>
      </c>
      <c r="BB47" s="128" t="e" cm="1">
        <f t="array" aca="1" ref="BB47" ca="1">Notmerged(BB18)</f>
        <v>#NAME?</v>
      </c>
      <c r="BC47" s="128" t="e" cm="1">
        <f t="array" aca="1" ref="BC47" ca="1">Notmerged(BC18)</f>
        <v>#NAME?</v>
      </c>
      <c r="BD47" s="128" t="e" cm="1">
        <f t="array" aca="1" ref="BD47" ca="1">Notmerged(BD18)</f>
        <v>#NAME?</v>
      </c>
      <c r="BE47" s="128" t="e" cm="1">
        <f t="array" aca="1" ref="BE47" ca="1">Notmerged(BE18)</f>
        <v>#NAME?</v>
      </c>
      <c r="BF47" s="128" t="e" cm="1">
        <f t="array" aca="1" ref="BF47" ca="1">Notmerged(BF18)</f>
        <v>#NAME?</v>
      </c>
      <c r="BG47" s="128" t="e" cm="1">
        <f t="array" aca="1" ref="BG47" ca="1">Notmerged(BG18)</f>
        <v>#NAME?</v>
      </c>
      <c r="BH47" s="128" t="e" cm="1">
        <f t="array" aca="1" ref="BH47" ca="1">Notmerged(BH18)</f>
        <v>#NAME?</v>
      </c>
      <c r="BI47" s="128" t="e" cm="1">
        <f t="array" aca="1" ref="BI47" ca="1">Notmerged(BI18)</f>
        <v>#NAME?</v>
      </c>
      <c r="BJ47" s="128" t="e" cm="1">
        <f t="array" aca="1" ref="BJ47" ca="1">Notmerged(BJ18)</f>
        <v>#NAME?</v>
      </c>
      <c r="BK47" s="128" t="e" cm="1">
        <f t="array" aca="1" ref="BK47" ca="1">Notmerged(BK18)</f>
        <v>#NAME?</v>
      </c>
    </row>
    <row r="48" spans="2:63" x14ac:dyDescent="0.3">
      <c r="B48" s="128" t="e" cm="1">
        <f t="array" aca="1" ref="B48" ca="1">Notmerged(B19)</f>
        <v>#NAME?</v>
      </c>
      <c r="C48" s="128" t="e" cm="1">
        <f t="array" aca="1" ref="C48" ca="1">Notmerged(C19)</f>
        <v>#NAME?</v>
      </c>
      <c r="D48" s="128" t="e" cm="1">
        <f t="array" aca="1" ref="D48" ca="1">Notmerged(D19)</f>
        <v>#NAME?</v>
      </c>
      <c r="E48" s="128" t="e" cm="1">
        <f t="array" aca="1" ref="E48" ca="1">Notmerged(E19)</f>
        <v>#NAME?</v>
      </c>
      <c r="F48" s="128" t="e" cm="1">
        <f t="array" aca="1" ref="F48" ca="1">Notmerged(F19)</f>
        <v>#NAME?</v>
      </c>
      <c r="G48" s="128" t="e" cm="1">
        <f t="array" aca="1" ref="G48" ca="1">Notmerged(G19)</f>
        <v>#NAME?</v>
      </c>
      <c r="H48" s="128" t="e" cm="1">
        <f t="array" aca="1" ref="H48" ca="1">Notmerged(H19)</f>
        <v>#NAME?</v>
      </c>
      <c r="I48" s="128" t="e" cm="1">
        <f t="array" aca="1" ref="I48" ca="1">Notmerged(I19)</f>
        <v>#NAME?</v>
      </c>
      <c r="J48" s="128" t="e" cm="1">
        <f t="array" aca="1" ref="J48" ca="1">Notmerged(J19)</f>
        <v>#NAME?</v>
      </c>
      <c r="K48" s="128" t="e" cm="1">
        <f t="array" aca="1" ref="K48" ca="1">Notmerged(K19)</f>
        <v>#NAME?</v>
      </c>
      <c r="L48" s="128" t="e" cm="1">
        <f t="array" aca="1" ref="L48" ca="1">Notmerged(L19)</f>
        <v>#NAME?</v>
      </c>
      <c r="M48" s="128" t="e" cm="1">
        <f t="array" aca="1" ref="M48" ca="1">Notmerged(M19)</f>
        <v>#NAME?</v>
      </c>
      <c r="N48" s="128" t="e" cm="1">
        <f t="array" aca="1" ref="N48" ca="1">Notmerged(N19)</f>
        <v>#NAME?</v>
      </c>
      <c r="O48" s="128" t="e" cm="1">
        <f t="array" aca="1" ref="O48" ca="1">Notmerged(O19)</f>
        <v>#NAME?</v>
      </c>
      <c r="P48" s="128" t="e" cm="1">
        <f t="array" aca="1" ref="P48" ca="1">Notmerged(P19)</f>
        <v>#NAME?</v>
      </c>
      <c r="Q48" s="128" t="e" cm="1">
        <f t="array" aca="1" ref="Q48" ca="1">Notmerged(Q19)</f>
        <v>#NAME?</v>
      </c>
      <c r="R48" s="128" t="e" cm="1">
        <f t="array" aca="1" ref="R48" ca="1">Notmerged(R19)</f>
        <v>#NAME?</v>
      </c>
      <c r="S48" s="128" t="e" cm="1">
        <f t="array" aca="1" ref="S48" ca="1">Notmerged(S19)</f>
        <v>#NAME?</v>
      </c>
      <c r="T48" s="128" t="e" cm="1">
        <f t="array" aca="1" ref="T48" ca="1">Notmerged(T19)</f>
        <v>#NAME?</v>
      </c>
      <c r="U48" s="128" t="e" cm="1">
        <f t="array" aca="1" ref="U48" ca="1">Notmerged(U19)</f>
        <v>#NAME?</v>
      </c>
      <c r="V48" s="128" t="e" cm="1">
        <f t="array" aca="1" ref="V48" ca="1">Notmerged(V19)</f>
        <v>#NAME?</v>
      </c>
      <c r="W48" s="128" t="e" cm="1">
        <f t="array" aca="1" ref="W48" ca="1">Notmerged(W19)</f>
        <v>#NAME?</v>
      </c>
      <c r="X48" s="128" t="e" cm="1">
        <f t="array" aca="1" ref="X48" ca="1">Notmerged(X19)</f>
        <v>#NAME?</v>
      </c>
      <c r="Y48" s="128" t="e" cm="1">
        <f t="array" aca="1" ref="Y48" ca="1">Notmerged(Y19)</f>
        <v>#NAME?</v>
      </c>
      <c r="Z48" s="128" t="e" cm="1">
        <f t="array" aca="1" ref="Z48" ca="1">Notmerged(Z19)</f>
        <v>#NAME?</v>
      </c>
      <c r="AA48" s="128" t="e" cm="1">
        <f t="array" aca="1" ref="AA48" ca="1">Notmerged(AA19)</f>
        <v>#NAME?</v>
      </c>
      <c r="AB48" s="128" t="e" cm="1">
        <f t="array" aca="1" ref="AB48" ca="1">Notmerged(AB19)</f>
        <v>#NAME?</v>
      </c>
      <c r="AC48" s="128" t="e" cm="1">
        <f t="array" aca="1" ref="AC48" ca="1">Notmerged(AC19)</f>
        <v>#NAME?</v>
      </c>
      <c r="AD48" s="128" t="e" cm="1">
        <f t="array" aca="1" ref="AD48" ca="1">Notmerged(AD19)</f>
        <v>#NAME?</v>
      </c>
      <c r="AE48" s="128" t="e" cm="1">
        <f t="array" aca="1" ref="AE48" ca="1">Notmerged(AE19)</f>
        <v>#NAME?</v>
      </c>
      <c r="AF48" s="128" t="e" cm="1">
        <f t="array" aca="1" ref="AF48" ca="1">Notmerged(AF19)</f>
        <v>#NAME?</v>
      </c>
      <c r="AG48" s="128" t="e" cm="1">
        <f t="array" aca="1" ref="AG48" ca="1">Notmerged(AG19)</f>
        <v>#NAME?</v>
      </c>
      <c r="AH48" s="128" t="e" cm="1">
        <f t="array" aca="1" ref="AH48" ca="1">Notmerged(AH19)</f>
        <v>#NAME?</v>
      </c>
      <c r="AI48" s="128" t="e" cm="1">
        <f t="array" aca="1" ref="AI48" ca="1">Notmerged(AI19)</f>
        <v>#NAME?</v>
      </c>
      <c r="AJ48" s="128" t="e" cm="1">
        <f t="array" aca="1" ref="AJ48" ca="1">Notmerged(AJ19)</f>
        <v>#NAME?</v>
      </c>
      <c r="AK48" s="128" t="e" cm="1">
        <f t="array" aca="1" ref="AK48" ca="1">Notmerged(AK19)</f>
        <v>#NAME?</v>
      </c>
      <c r="AL48" s="128" t="e" cm="1">
        <f t="array" aca="1" ref="AL48" ca="1">Notmerged(AL19)</f>
        <v>#NAME?</v>
      </c>
      <c r="AM48" s="128" t="e" cm="1">
        <f t="array" aca="1" ref="AM48" ca="1">Notmerged(AM19)</f>
        <v>#NAME?</v>
      </c>
      <c r="AN48" s="128" t="e" cm="1">
        <f t="array" aca="1" ref="AN48" ca="1">Notmerged(AN19)</f>
        <v>#NAME?</v>
      </c>
      <c r="AO48" s="128" t="e" cm="1">
        <f t="array" aca="1" ref="AO48" ca="1">Notmerged(AO19)</f>
        <v>#NAME?</v>
      </c>
      <c r="AP48" s="128" t="e" cm="1">
        <f t="array" aca="1" ref="AP48" ca="1">Notmerged(AP19)</f>
        <v>#NAME?</v>
      </c>
      <c r="AQ48" s="128" t="e" cm="1">
        <f t="array" aca="1" ref="AQ48" ca="1">Notmerged(AQ19)</f>
        <v>#NAME?</v>
      </c>
      <c r="AR48" s="128" t="e" cm="1">
        <f t="array" aca="1" ref="AR48" ca="1">Notmerged(AR19)</f>
        <v>#NAME?</v>
      </c>
      <c r="AS48" s="128" t="e" cm="1">
        <f t="array" aca="1" ref="AS48" ca="1">Notmerged(AS19)</f>
        <v>#NAME?</v>
      </c>
      <c r="AT48" s="128" t="e" cm="1">
        <f t="array" aca="1" ref="AT48" ca="1">Notmerged(AT19)</f>
        <v>#NAME?</v>
      </c>
      <c r="AU48" s="128" t="e" cm="1">
        <f t="array" aca="1" ref="AU48" ca="1">Notmerged(AU19)</f>
        <v>#NAME?</v>
      </c>
      <c r="AV48" s="128" t="e" cm="1">
        <f t="array" aca="1" ref="AV48" ca="1">Notmerged(AV19)</f>
        <v>#NAME?</v>
      </c>
      <c r="AW48" s="128" t="e" cm="1">
        <f t="array" aca="1" ref="AW48" ca="1">Notmerged(AW19)</f>
        <v>#NAME?</v>
      </c>
      <c r="AX48" s="128" t="e" cm="1">
        <f t="array" aca="1" ref="AX48" ca="1">Notmerged(AX19)</f>
        <v>#NAME?</v>
      </c>
      <c r="AY48" s="128" t="e" cm="1">
        <f t="array" aca="1" ref="AY48" ca="1">Notmerged(AY19)</f>
        <v>#NAME?</v>
      </c>
      <c r="AZ48" s="128" t="e" cm="1">
        <f t="array" aca="1" ref="AZ48" ca="1">Notmerged(AZ19)</f>
        <v>#NAME?</v>
      </c>
      <c r="BA48" s="128" t="e" cm="1">
        <f t="array" aca="1" ref="BA48" ca="1">Notmerged(BA19)</f>
        <v>#NAME?</v>
      </c>
      <c r="BB48" s="128" t="e" cm="1">
        <f t="array" aca="1" ref="BB48" ca="1">Notmerged(BB19)</f>
        <v>#NAME?</v>
      </c>
      <c r="BC48" s="128" t="e" cm="1">
        <f t="array" aca="1" ref="BC48" ca="1">Notmerged(BC19)</f>
        <v>#NAME?</v>
      </c>
      <c r="BD48" s="128" t="e" cm="1">
        <f t="array" aca="1" ref="BD48" ca="1">Notmerged(BD19)</f>
        <v>#NAME?</v>
      </c>
      <c r="BE48" s="128" t="e" cm="1">
        <f t="array" aca="1" ref="BE48" ca="1">Notmerged(BE19)</f>
        <v>#NAME?</v>
      </c>
      <c r="BF48" s="128" t="e" cm="1">
        <f t="array" aca="1" ref="BF48" ca="1">Notmerged(BF19)</f>
        <v>#NAME?</v>
      </c>
      <c r="BG48" s="128" t="e" cm="1">
        <f t="array" aca="1" ref="BG48" ca="1">Notmerged(BG19)</f>
        <v>#NAME?</v>
      </c>
      <c r="BH48" s="128" t="e" cm="1">
        <f t="array" aca="1" ref="BH48" ca="1">Notmerged(BH19)</f>
        <v>#NAME?</v>
      </c>
      <c r="BI48" s="128" t="e" cm="1">
        <f t="array" aca="1" ref="BI48" ca="1">Notmerged(BI19)</f>
        <v>#NAME?</v>
      </c>
      <c r="BJ48" s="128" t="e" cm="1">
        <f t="array" aca="1" ref="BJ48" ca="1">Notmerged(BJ19)</f>
        <v>#NAME?</v>
      </c>
      <c r="BK48" s="128" t="e" cm="1">
        <f t="array" aca="1" ref="BK48" ca="1">Notmerged(BK19)</f>
        <v>#NAME?</v>
      </c>
    </row>
    <row r="49" spans="2:63" x14ac:dyDescent="0.3">
      <c r="B49" s="128" t="e" cm="1">
        <f t="array" aca="1" ref="B49" ca="1">Notmerged(B20)</f>
        <v>#NAME?</v>
      </c>
      <c r="C49" s="128" t="e" cm="1">
        <f t="array" aca="1" ref="C49" ca="1">Notmerged(C20)</f>
        <v>#NAME?</v>
      </c>
      <c r="D49" s="128" t="e" cm="1">
        <f t="array" aca="1" ref="D49" ca="1">Notmerged(D20)</f>
        <v>#NAME?</v>
      </c>
      <c r="E49" s="128" t="e" cm="1">
        <f t="array" aca="1" ref="E49" ca="1">Notmerged(E20)</f>
        <v>#NAME?</v>
      </c>
      <c r="F49" s="128" t="e" cm="1">
        <f t="array" aca="1" ref="F49" ca="1">Notmerged(F20)</f>
        <v>#NAME?</v>
      </c>
      <c r="G49" s="128" t="e" cm="1">
        <f t="array" aca="1" ref="G49" ca="1">Notmerged(G20)</f>
        <v>#NAME?</v>
      </c>
      <c r="H49" s="128" t="e" cm="1">
        <f t="array" aca="1" ref="H49" ca="1">Notmerged(H20)</f>
        <v>#NAME?</v>
      </c>
      <c r="I49" s="128" t="e" cm="1">
        <f t="array" aca="1" ref="I49" ca="1">Notmerged(I20)</f>
        <v>#NAME?</v>
      </c>
      <c r="J49" s="128" t="e" cm="1">
        <f t="array" aca="1" ref="J49" ca="1">Notmerged(J20)</f>
        <v>#NAME?</v>
      </c>
      <c r="K49" s="128" t="e" cm="1">
        <f t="array" aca="1" ref="K49" ca="1">Notmerged(K20)</f>
        <v>#NAME?</v>
      </c>
      <c r="L49" s="128" t="e" cm="1">
        <f t="array" aca="1" ref="L49" ca="1">Notmerged(L20)</f>
        <v>#NAME?</v>
      </c>
      <c r="M49" s="128" t="e" cm="1">
        <f t="array" aca="1" ref="M49" ca="1">Notmerged(M20)</f>
        <v>#NAME?</v>
      </c>
      <c r="N49" s="128" t="e" cm="1">
        <f t="array" aca="1" ref="N49" ca="1">Notmerged(N20)</f>
        <v>#NAME?</v>
      </c>
      <c r="O49" s="128" t="e" cm="1">
        <f t="array" aca="1" ref="O49" ca="1">Notmerged(O20)</f>
        <v>#NAME?</v>
      </c>
      <c r="P49" s="128" t="e" cm="1">
        <f t="array" aca="1" ref="P49" ca="1">Notmerged(P20)</f>
        <v>#NAME?</v>
      </c>
      <c r="Q49" s="128" t="e" cm="1">
        <f t="array" aca="1" ref="Q49" ca="1">Notmerged(Q20)</f>
        <v>#NAME?</v>
      </c>
      <c r="R49" s="128" t="e" cm="1">
        <f t="array" aca="1" ref="R49" ca="1">Notmerged(R20)</f>
        <v>#NAME?</v>
      </c>
      <c r="S49" s="128" t="e" cm="1">
        <f t="array" aca="1" ref="S49" ca="1">Notmerged(S20)</f>
        <v>#NAME?</v>
      </c>
      <c r="T49" s="128" t="e" cm="1">
        <f t="array" aca="1" ref="T49" ca="1">Notmerged(T20)</f>
        <v>#NAME?</v>
      </c>
      <c r="U49" s="128" t="e" cm="1">
        <f t="array" aca="1" ref="U49" ca="1">Notmerged(U20)</f>
        <v>#NAME?</v>
      </c>
      <c r="V49" s="128" t="e" cm="1">
        <f t="array" aca="1" ref="V49" ca="1">Notmerged(V20)</f>
        <v>#NAME?</v>
      </c>
      <c r="W49" s="128" t="e" cm="1">
        <f t="array" aca="1" ref="W49" ca="1">Notmerged(W20)</f>
        <v>#NAME?</v>
      </c>
      <c r="X49" s="128" t="e" cm="1">
        <f t="array" aca="1" ref="X49" ca="1">Notmerged(X20)</f>
        <v>#NAME?</v>
      </c>
      <c r="Y49" s="128" t="e" cm="1">
        <f t="array" aca="1" ref="Y49" ca="1">Notmerged(Y20)</f>
        <v>#NAME?</v>
      </c>
      <c r="Z49" s="128" t="e" cm="1">
        <f t="array" aca="1" ref="Z49" ca="1">Notmerged(Z20)</f>
        <v>#NAME?</v>
      </c>
      <c r="AA49" s="128" t="e" cm="1">
        <f t="array" aca="1" ref="AA49" ca="1">Notmerged(AA20)</f>
        <v>#NAME?</v>
      </c>
      <c r="AB49" s="128" t="e" cm="1">
        <f t="array" aca="1" ref="AB49" ca="1">Notmerged(AB20)</f>
        <v>#NAME?</v>
      </c>
      <c r="AC49" s="128" t="e" cm="1">
        <f t="array" aca="1" ref="AC49" ca="1">Notmerged(AC20)</f>
        <v>#NAME?</v>
      </c>
      <c r="AD49" s="128" t="e" cm="1">
        <f t="array" aca="1" ref="AD49" ca="1">Notmerged(AD20)</f>
        <v>#NAME?</v>
      </c>
      <c r="AE49" s="128" t="e" cm="1">
        <f t="array" aca="1" ref="AE49" ca="1">Notmerged(AE20)</f>
        <v>#NAME?</v>
      </c>
      <c r="AF49" s="128" t="e" cm="1">
        <f t="array" aca="1" ref="AF49" ca="1">Notmerged(AF20)</f>
        <v>#NAME?</v>
      </c>
      <c r="AG49" s="128" t="e" cm="1">
        <f t="array" aca="1" ref="AG49" ca="1">Notmerged(AG20)</f>
        <v>#NAME?</v>
      </c>
      <c r="AH49" s="128" t="e" cm="1">
        <f t="array" aca="1" ref="AH49" ca="1">Notmerged(AH20)</f>
        <v>#NAME?</v>
      </c>
      <c r="AI49" s="128" t="e" cm="1">
        <f t="array" aca="1" ref="AI49" ca="1">Notmerged(AI20)</f>
        <v>#NAME?</v>
      </c>
      <c r="AJ49" s="128" t="e" cm="1">
        <f t="array" aca="1" ref="AJ49" ca="1">Notmerged(AJ20)</f>
        <v>#NAME?</v>
      </c>
      <c r="AK49" s="128" t="e" cm="1">
        <f t="array" aca="1" ref="AK49" ca="1">Notmerged(AK20)</f>
        <v>#NAME?</v>
      </c>
      <c r="AL49" s="128" t="e" cm="1">
        <f t="array" aca="1" ref="AL49" ca="1">Notmerged(AL20)</f>
        <v>#NAME?</v>
      </c>
      <c r="AM49" s="128" t="e" cm="1">
        <f t="array" aca="1" ref="AM49" ca="1">Notmerged(AM20)</f>
        <v>#NAME?</v>
      </c>
      <c r="AN49" s="128" t="e" cm="1">
        <f t="array" aca="1" ref="AN49" ca="1">Notmerged(AN20)</f>
        <v>#NAME?</v>
      </c>
      <c r="AO49" s="128" t="e" cm="1">
        <f t="array" aca="1" ref="AO49" ca="1">Notmerged(AO20)</f>
        <v>#NAME?</v>
      </c>
      <c r="AP49" s="128" t="e" cm="1">
        <f t="array" aca="1" ref="AP49" ca="1">Notmerged(AP20)</f>
        <v>#NAME?</v>
      </c>
      <c r="AQ49" s="128" t="e" cm="1">
        <f t="array" aca="1" ref="AQ49" ca="1">Notmerged(AQ20)</f>
        <v>#NAME?</v>
      </c>
      <c r="AR49" s="128" t="e" cm="1">
        <f t="array" aca="1" ref="AR49" ca="1">Notmerged(AR20)</f>
        <v>#NAME?</v>
      </c>
      <c r="AS49" s="128" t="e" cm="1">
        <f t="array" aca="1" ref="AS49" ca="1">Notmerged(AS20)</f>
        <v>#NAME?</v>
      </c>
      <c r="AT49" s="128" t="e" cm="1">
        <f t="array" aca="1" ref="AT49" ca="1">Notmerged(AT20)</f>
        <v>#NAME?</v>
      </c>
      <c r="AU49" s="128" t="e" cm="1">
        <f t="array" aca="1" ref="AU49" ca="1">Notmerged(AU20)</f>
        <v>#NAME?</v>
      </c>
      <c r="AV49" s="128" t="e" cm="1">
        <f t="array" aca="1" ref="AV49" ca="1">Notmerged(AV20)</f>
        <v>#NAME?</v>
      </c>
      <c r="AW49" s="128" t="e" cm="1">
        <f t="array" aca="1" ref="AW49" ca="1">Notmerged(AW20)</f>
        <v>#NAME?</v>
      </c>
      <c r="AX49" s="128" t="e" cm="1">
        <f t="array" aca="1" ref="AX49" ca="1">Notmerged(AX20)</f>
        <v>#NAME?</v>
      </c>
      <c r="AY49" s="128" t="e" cm="1">
        <f t="array" aca="1" ref="AY49" ca="1">Notmerged(AY20)</f>
        <v>#NAME?</v>
      </c>
      <c r="AZ49" s="128" t="e" cm="1">
        <f t="array" aca="1" ref="AZ49" ca="1">Notmerged(AZ20)</f>
        <v>#NAME?</v>
      </c>
      <c r="BA49" s="128" t="e" cm="1">
        <f t="array" aca="1" ref="BA49" ca="1">Notmerged(BA20)</f>
        <v>#NAME?</v>
      </c>
      <c r="BB49" s="128" t="e" cm="1">
        <f t="array" aca="1" ref="BB49" ca="1">Notmerged(BB20)</f>
        <v>#NAME?</v>
      </c>
      <c r="BC49" s="128" t="e" cm="1">
        <f t="array" aca="1" ref="BC49" ca="1">Notmerged(BC20)</f>
        <v>#NAME?</v>
      </c>
      <c r="BD49" s="128" t="e" cm="1">
        <f t="array" aca="1" ref="BD49" ca="1">Notmerged(BD20)</f>
        <v>#NAME?</v>
      </c>
      <c r="BE49" s="128" t="e" cm="1">
        <f t="array" aca="1" ref="BE49" ca="1">Notmerged(BE20)</f>
        <v>#NAME?</v>
      </c>
      <c r="BF49" s="128" t="e" cm="1">
        <f t="array" aca="1" ref="BF49" ca="1">Notmerged(BF20)</f>
        <v>#NAME?</v>
      </c>
      <c r="BG49" s="128" t="e" cm="1">
        <f t="array" aca="1" ref="BG49" ca="1">Notmerged(BG20)</f>
        <v>#NAME?</v>
      </c>
      <c r="BH49" s="128" t="e" cm="1">
        <f t="array" aca="1" ref="BH49" ca="1">Notmerged(BH20)</f>
        <v>#NAME?</v>
      </c>
      <c r="BI49" s="128" t="e" cm="1">
        <f t="array" aca="1" ref="BI49" ca="1">Notmerged(BI20)</f>
        <v>#NAME?</v>
      </c>
      <c r="BJ49" s="128" t="e" cm="1">
        <f t="array" aca="1" ref="BJ49" ca="1">Notmerged(BJ20)</f>
        <v>#NAME?</v>
      </c>
      <c r="BK49" s="128" t="e" cm="1">
        <f t="array" aca="1" ref="BK49" ca="1">Notmerged(BK20)</f>
        <v>#NAME?</v>
      </c>
    </row>
    <row r="50" spans="2:63" x14ac:dyDescent="0.3">
      <c r="B50" s="128" t="e" cm="1">
        <f t="array" aca="1" ref="B50" ca="1">Notmerged(B21)</f>
        <v>#NAME?</v>
      </c>
      <c r="C50" s="128" t="e" cm="1">
        <f t="array" aca="1" ref="C50" ca="1">Notmerged(C21)</f>
        <v>#NAME?</v>
      </c>
      <c r="D50" s="128" t="e" cm="1">
        <f t="array" aca="1" ref="D50" ca="1">Notmerged(D21)</f>
        <v>#NAME?</v>
      </c>
      <c r="E50" s="128" t="e" cm="1">
        <f t="array" aca="1" ref="E50" ca="1">Notmerged(E21)</f>
        <v>#NAME?</v>
      </c>
      <c r="F50" s="128" t="e" cm="1">
        <f t="array" aca="1" ref="F50" ca="1">Notmerged(F21)</f>
        <v>#NAME?</v>
      </c>
      <c r="G50" s="128" t="e" cm="1">
        <f t="array" aca="1" ref="G50" ca="1">Notmerged(G21)</f>
        <v>#NAME?</v>
      </c>
      <c r="H50" s="128" t="e" cm="1">
        <f t="array" aca="1" ref="H50" ca="1">Notmerged(H21)</f>
        <v>#NAME?</v>
      </c>
      <c r="I50" s="128" t="e" cm="1">
        <f t="array" aca="1" ref="I50" ca="1">Notmerged(I21)</f>
        <v>#NAME?</v>
      </c>
      <c r="J50" s="128" t="e" cm="1">
        <f t="array" aca="1" ref="J50" ca="1">Notmerged(J21)</f>
        <v>#NAME?</v>
      </c>
      <c r="K50" s="128" t="e" cm="1">
        <f t="array" aca="1" ref="K50" ca="1">Notmerged(K21)</f>
        <v>#NAME?</v>
      </c>
      <c r="L50" s="128" t="e" cm="1">
        <f t="array" aca="1" ref="L50" ca="1">Notmerged(L21)</f>
        <v>#NAME?</v>
      </c>
      <c r="M50" s="128" t="e" cm="1">
        <f t="array" aca="1" ref="M50" ca="1">Notmerged(M21)</f>
        <v>#NAME?</v>
      </c>
      <c r="N50" s="128" t="e" cm="1">
        <f t="array" aca="1" ref="N50" ca="1">Notmerged(N21)</f>
        <v>#NAME?</v>
      </c>
      <c r="O50" s="128" t="e" cm="1">
        <f t="array" aca="1" ref="O50" ca="1">Notmerged(O21)</f>
        <v>#NAME?</v>
      </c>
      <c r="P50" s="128" t="e" cm="1">
        <f t="array" aca="1" ref="P50" ca="1">Notmerged(P21)</f>
        <v>#NAME?</v>
      </c>
      <c r="Q50" s="128" t="e" cm="1">
        <f t="array" aca="1" ref="Q50" ca="1">Notmerged(Q21)</f>
        <v>#NAME?</v>
      </c>
      <c r="R50" s="128" t="e" cm="1">
        <f t="array" aca="1" ref="R50" ca="1">Notmerged(R21)</f>
        <v>#NAME?</v>
      </c>
      <c r="S50" s="128" t="e" cm="1">
        <f t="array" aca="1" ref="S50" ca="1">Notmerged(S21)</f>
        <v>#NAME?</v>
      </c>
      <c r="T50" s="128" t="e" cm="1">
        <f t="array" aca="1" ref="T50" ca="1">Notmerged(T21)</f>
        <v>#NAME?</v>
      </c>
      <c r="U50" s="128" t="e" cm="1">
        <f t="array" aca="1" ref="U50" ca="1">Notmerged(U21)</f>
        <v>#NAME?</v>
      </c>
      <c r="V50" s="128" t="e" cm="1">
        <f t="array" aca="1" ref="V50" ca="1">Notmerged(V21)</f>
        <v>#NAME?</v>
      </c>
      <c r="W50" s="128" t="e" cm="1">
        <f t="array" aca="1" ref="W50" ca="1">Notmerged(W21)</f>
        <v>#NAME?</v>
      </c>
      <c r="X50" s="128" t="e" cm="1">
        <f t="array" aca="1" ref="X50" ca="1">Notmerged(X21)</f>
        <v>#NAME?</v>
      </c>
      <c r="Y50" s="128" t="e" cm="1">
        <f t="array" aca="1" ref="Y50" ca="1">Notmerged(Y21)</f>
        <v>#NAME?</v>
      </c>
      <c r="Z50" s="128" t="e" cm="1">
        <f t="array" aca="1" ref="Z50" ca="1">Notmerged(Z21)</f>
        <v>#NAME?</v>
      </c>
      <c r="AA50" s="128" t="e" cm="1">
        <f t="array" aca="1" ref="AA50" ca="1">Notmerged(AA21)</f>
        <v>#NAME?</v>
      </c>
      <c r="AB50" s="128" t="e" cm="1">
        <f t="array" aca="1" ref="AB50" ca="1">Notmerged(AB21)</f>
        <v>#NAME?</v>
      </c>
      <c r="AC50" s="128" t="e" cm="1">
        <f t="array" aca="1" ref="AC50" ca="1">Notmerged(AC21)</f>
        <v>#NAME?</v>
      </c>
      <c r="AD50" s="128" t="e" cm="1">
        <f t="array" aca="1" ref="AD50" ca="1">Notmerged(AD21)</f>
        <v>#NAME?</v>
      </c>
      <c r="AE50" s="128" t="e" cm="1">
        <f t="array" aca="1" ref="AE50" ca="1">Notmerged(AE21)</f>
        <v>#NAME?</v>
      </c>
      <c r="AF50" s="128" t="e" cm="1">
        <f t="array" aca="1" ref="AF50" ca="1">Notmerged(AF21)</f>
        <v>#NAME?</v>
      </c>
      <c r="AG50" s="128" t="e" cm="1">
        <f t="array" aca="1" ref="AG50" ca="1">Notmerged(AG21)</f>
        <v>#NAME?</v>
      </c>
      <c r="AH50" s="128" t="e" cm="1">
        <f t="array" aca="1" ref="AH50" ca="1">Notmerged(AH21)</f>
        <v>#NAME?</v>
      </c>
      <c r="AI50" s="128" t="e" cm="1">
        <f t="array" aca="1" ref="AI50" ca="1">Notmerged(AI21)</f>
        <v>#NAME?</v>
      </c>
      <c r="AJ50" s="128" t="e" cm="1">
        <f t="array" aca="1" ref="AJ50" ca="1">Notmerged(AJ21)</f>
        <v>#NAME?</v>
      </c>
      <c r="AK50" s="128" t="e" cm="1">
        <f t="array" aca="1" ref="AK50" ca="1">Notmerged(AK21)</f>
        <v>#NAME?</v>
      </c>
      <c r="AL50" s="128" t="e" cm="1">
        <f t="array" aca="1" ref="AL50" ca="1">Notmerged(AL21)</f>
        <v>#NAME?</v>
      </c>
      <c r="AM50" s="128" t="e" cm="1">
        <f t="array" aca="1" ref="AM50" ca="1">Notmerged(AM21)</f>
        <v>#NAME?</v>
      </c>
      <c r="AN50" s="128" t="e" cm="1">
        <f t="array" aca="1" ref="AN50" ca="1">Notmerged(AN21)</f>
        <v>#NAME?</v>
      </c>
      <c r="AO50" s="128" t="e" cm="1">
        <f t="array" aca="1" ref="AO50" ca="1">Notmerged(AO21)</f>
        <v>#NAME?</v>
      </c>
      <c r="AP50" s="128" t="e" cm="1">
        <f t="array" aca="1" ref="AP50" ca="1">Notmerged(AP21)</f>
        <v>#NAME?</v>
      </c>
      <c r="AQ50" s="128" t="e" cm="1">
        <f t="array" aca="1" ref="AQ50" ca="1">Notmerged(AQ21)</f>
        <v>#NAME?</v>
      </c>
      <c r="AR50" s="128" t="e" cm="1">
        <f t="array" aca="1" ref="AR50" ca="1">Notmerged(AR21)</f>
        <v>#NAME?</v>
      </c>
      <c r="AS50" s="128" t="e" cm="1">
        <f t="array" aca="1" ref="AS50" ca="1">Notmerged(AS21)</f>
        <v>#NAME?</v>
      </c>
      <c r="AT50" s="128" t="e" cm="1">
        <f t="array" aca="1" ref="AT50" ca="1">Notmerged(AT21)</f>
        <v>#NAME?</v>
      </c>
      <c r="AU50" s="128" t="e" cm="1">
        <f t="array" aca="1" ref="AU50" ca="1">Notmerged(AU21)</f>
        <v>#NAME?</v>
      </c>
      <c r="AV50" s="128" t="e" cm="1">
        <f t="array" aca="1" ref="AV50" ca="1">Notmerged(AV21)</f>
        <v>#NAME?</v>
      </c>
      <c r="AW50" s="128" t="e" cm="1">
        <f t="array" aca="1" ref="AW50" ca="1">Notmerged(AW21)</f>
        <v>#NAME?</v>
      </c>
      <c r="AX50" s="128" t="e" cm="1">
        <f t="array" aca="1" ref="AX50" ca="1">Notmerged(AX21)</f>
        <v>#NAME?</v>
      </c>
      <c r="AY50" s="128" t="e" cm="1">
        <f t="array" aca="1" ref="AY50" ca="1">Notmerged(AY21)</f>
        <v>#NAME?</v>
      </c>
      <c r="AZ50" s="128" t="e" cm="1">
        <f t="array" aca="1" ref="AZ50" ca="1">Notmerged(AZ21)</f>
        <v>#NAME?</v>
      </c>
      <c r="BA50" s="128" t="e" cm="1">
        <f t="array" aca="1" ref="BA50" ca="1">Notmerged(BA21)</f>
        <v>#NAME?</v>
      </c>
      <c r="BB50" s="128" t="e" cm="1">
        <f t="array" aca="1" ref="BB50" ca="1">Notmerged(BB21)</f>
        <v>#NAME?</v>
      </c>
      <c r="BC50" s="128" t="e" cm="1">
        <f t="array" aca="1" ref="BC50" ca="1">Notmerged(BC21)</f>
        <v>#NAME?</v>
      </c>
      <c r="BD50" s="128" t="e" cm="1">
        <f t="array" aca="1" ref="BD50" ca="1">Notmerged(BD21)</f>
        <v>#NAME?</v>
      </c>
      <c r="BE50" s="128" t="e" cm="1">
        <f t="array" aca="1" ref="BE50" ca="1">Notmerged(BE21)</f>
        <v>#NAME?</v>
      </c>
      <c r="BF50" s="128" t="e" cm="1">
        <f t="array" aca="1" ref="BF50" ca="1">Notmerged(BF21)</f>
        <v>#NAME?</v>
      </c>
      <c r="BG50" s="128" t="e" cm="1">
        <f t="array" aca="1" ref="BG50" ca="1">Notmerged(BG21)</f>
        <v>#NAME?</v>
      </c>
      <c r="BH50" s="128" t="e" cm="1">
        <f t="array" aca="1" ref="BH50" ca="1">Notmerged(BH21)</f>
        <v>#NAME?</v>
      </c>
      <c r="BI50" s="128" t="e" cm="1">
        <f t="array" aca="1" ref="BI50" ca="1">Notmerged(BI21)</f>
        <v>#NAME?</v>
      </c>
      <c r="BJ50" s="128" t="e" cm="1">
        <f t="array" aca="1" ref="BJ50" ca="1">Notmerged(BJ21)</f>
        <v>#NAME?</v>
      </c>
      <c r="BK50" s="128" t="e" cm="1">
        <f t="array" aca="1" ref="BK50" ca="1">Notmerged(BK21)</f>
        <v>#NAME?</v>
      </c>
    </row>
    <row r="51" spans="2:63" x14ac:dyDescent="0.3">
      <c r="B51" s="128" t="e" cm="1">
        <f t="array" aca="1" ref="B51" ca="1">Notmerged(#REF!)</f>
        <v>#NAME?</v>
      </c>
      <c r="C51" s="128" t="e" cm="1">
        <f t="array" aca="1" ref="C51" ca="1">Notmerged(C22)</f>
        <v>#NAME?</v>
      </c>
      <c r="D51" s="128" t="e" cm="1">
        <f t="array" aca="1" ref="D51" ca="1">Notmerged(D22)</f>
        <v>#NAME?</v>
      </c>
      <c r="E51" s="128" t="e" cm="1">
        <f t="array" aca="1" ref="E51" ca="1">Notmerged(E22)</f>
        <v>#NAME?</v>
      </c>
      <c r="F51" s="128" t="e" cm="1">
        <f t="array" aca="1" ref="F51" ca="1">Notmerged(F22)</f>
        <v>#NAME?</v>
      </c>
      <c r="G51" s="128" t="e" cm="1">
        <f t="array" aca="1" ref="G51" ca="1">Notmerged(G22)</f>
        <v>#NAME?</v>
      </c>
      <c r="H51" s="128" t="e" cm="1">
        <f t="array" aca="1" ref="H51" ca="1">Notmerged(H22)</f>
        <v>#NAME?</v>
      </c>
      <c r="I51" s="128" t="e" cm="1">
        <f t="array" aca="1" ref="I51" ca="1">Notmerged(I22)</f>
        <v>#NAME?</v>
      </c>
      <c r="J51" s="128" t="e" cm="1">
        <f t="array" aca="1" ref="J51" ca="1">Notmerged(J22)</f>
        <v>#NAME?</v>
      </c>
      <c r="K51" s="128" t="e" cm="1">
        <f t="array" aca="1" ref="K51" ca="1">Notmerged(K22)</f>
        <v>#NAME?</v>
      </c>
      <c r="L51" s="128" t="e" cm="1">
        <f t="array" aca="1" ref="L51" ca="1">Notmerged(L22)</f>
        <v>#NAME?</v>
      </c>
      <c r="M51" s="128" t="e" cm="1">
        <f t="array" aca="1" ref="M51" ca="1">Notmerged(M22)</f>
        <v>#NAME?</v>
      </c>
      <c r="N51" s="128" t="e" cm="1">
        <f t="array" aca="1" ref="N51" ca="1">Notmerged(N22)</f>
        <v>#NAME?</v>
      </c>
      <c r="O51" s="128" t="e" cm="1">
        <f t="array" aca="1" ref="O51" ca="1">Notmerged(O22)</f>
        <v>#NAME?</v>
      </c>
      <c r="P51" s="128" t="e" cm="1">
        <f t="array" aca="1" ref="P51" ca="1">Notmerged(P22)</f>
        <v>#NAME?</v>
      </c>
      <c r="Q51" s="128" t="e" cm="1">
        <f t="array" aca="1" ref="Q51" ca="1">Notmerged(Q22)</f>
        <v>#NAME?</v>
      </c>
      <c r="R51" s="128" t="e" cm="1">
        <f t="array" aca="1" ref="R51" ca="1">Notmerged(R22)</f>
        <v>#NAME?</v>
      </c>
      <c r="S51" s="128" t="e" cm="1">
        <f t="array" aca="1" ref="S51" ca="1">Notmerged(S22)</f>
        <v>#NAME?</v>
      </c>
      <c r="T51" s="128" t="e" cm="1">
        <f t="array" aca="1" ref="T51" ca="1">Notmerged(T22)</f>
        <v>#NAME?</v>
      </c>
      <c r="U51" s="128" t="e" cm="1">
        <f t="array" aca="1" ref="U51" ca="1">Notmerged(U22)</f>
        <v>#NAME?</v>
      </c>
      <c r="V51" s="128" t="e" cm="1">
        <f t="array" aca="1" ref="V51" ca="1">Notmerged(V22)</f>
        <v>#NAME?</v>
      </c>
      <c r="W51" s="128" t="e" cm="1">
        <f t="array" aca="1" ref="W51" ca="1">Notmerged(W22)</f>
        <v>#NAME?</v>
      </c>
      <c r="X51" s="128" t="e" cm="1">
        <f t="array" aca="1" ref="X51" ca="1">Notmerged(X22)</f>
        <v>#NAME?</v>
      </c>
      <c r="Y51" s="128" t="e" cm="1">
        <f t="array" aca="1" ref="Y51" ca="1">Notmerged(Y22)</f>
        <v>#NAME?</v>
      </c>
      <c r="Z51" s="128" t="e" cm="1">
        <f t="array" aca="1" ref="Z51" ca="1">Notmerged(Z22)</f>
        <v>#NAME?</v>
      </c>
      <c r="AA51" s="128" t="e" cm="1">
        <f t="array" aca="1" ref="AA51" ca="1">Notmerged(AA22)</f>
        <v>#NAME?</v>
      </c>
      <c r="AB51" s="128" t="e" cm="1">
        <f t="array" aca="1" ref="AB51" ca="1">Notmerged(AB22)</f>
        <v>#NAME?</v>
      </c>
      <c r="AC51" s="128" t="e" cm="1">
        <f t="array" aca="1" ref="AC51" ca="1">Notmerged(AC22)</f>
        <v>#NAME?</v>
      </c>
      <c r="AD51" s="128" t="e" cm="1">
        <f t="array" aca="1" ref="AD51" ca="1">Notmerged(AD22)</f>
        <v>#NAME?</v>
      </c>
      <c r="AE51" s="128" t="e" cm="1">
        <f t="array" aca="1" ref="AE51" ca="1">Notmerged(AE22)</f>
        <v>#NAME?</v>
      </c>
      <c r="AF51" s="128" t="e" cm="1">
        <f t="array" aca="1" ref="AF51" ca="1">Notmerged(AF22)</f>
        <v>#NAME?</v>
      </c>
      <c r="AG51" s="128" t="e" cm="1">
        <f t="array" aca="1" ref="AG51" ca="1">Notmerged(AG22)</f>
        <v>#NAME?</v>
      </c>
      <c r="AH51" s="128" t="e" cm="1">
        <f t="array" aca="1" ref="AH51" ca="1">Notmerged(AH22)</f>
        <v>#NAME?</v>
      </c>
      <c r="AI51" s="128" t="e" cm="1">
        <f t="array" aca="1" ref="AI51" ca="1">Notmerged(AI22)</f>
        <v>#NAME?</v>
      </c>
      <c r="AJ51" s="128" t="e" cm="1">
        <f t="array" aca="1" ref="AJ51" ca="1">Notmerged(AJ22)</f>
        <v>#NAME?</v>
      </c>
      <c r="AK51" s="128" t="e" cm="1">
        <f t="array" aca="1" ref="AK51" ca="1">Notmerged(AK22)</f>
        <v>#NAME?</v>
      </c>
      <c r="AL51" s="128" t="e" cm="1">
        <f t="array" aca="1" ref="AL51" ca="1">Notmerged(AL22)</f>
        <v>#NAME?</v>
      </c>
      <c r="AM51" s="128" t="e" cm="1">
        <f t="array" aca="1" ref="AM51" ca="1">Notmerged(AM22)</f>
        <v>#NAME?</v>
      </c>
      <c r="AN51" s="128" t="e" cm="1">
        <f t="array" aca="1" ref="AN51" ca="1">Notmerged(AN22)</f>
        <v>#NAME?</v>
      </c>
      <c r="AO51" s="128" t="e" cm="1">
        <f t="array" aca="1" ref="AO51" ca="1">Notmerged(AO22)</f>
        <v>#NAME?</v>
      </c>
      <c r="AP51" s="128" t="e" cm="1">
        <f t="array" aca="1" ref="AP51" ca="1">Notmerged(AP22)</f>
        <v>#NAME?</v>
      </c>
      <c r="AQ51" s="128" t="e" cm="1">
        <f t="array" aca="1" ref="AQ51" ca="1">Notmerged(AQ22)</f>
        <v>#NAME?</v>
      </c>
      <c r="AR51" s="128" t="e" cm="1">
        <f t="array" aca="1" ref="AR51" ca="1">Notmerged(AR22)</f>
        <v>#NAME?</v>
      </c>
      <c r="AS51" s="128" t="e" cm="1">
        <f t="array" aca="1" ref="AS51" ca="1">Notmerged(AS22)</f>
        <v>#NAME?</v>
      </c>
      <c r="AT51" s="128" t="e" cm="1">
        <f t="array" aca="1" ref="AT51" ca="1">Notmerged(AT22)</f>
        <v>#NAME?</v>
      </c>
      <c r="AU51" s="128" t="e" cm="1">
        <f t="array" aca="1" ref="AU51" ca="1">Notmerged(AU22)</f>
        <v>#NAME?</v>
      </c>
      <c r="AV51" s="128" t="e" cm="1">
        <f t="array" aca="1" ref="AV51" ca="1">Notmerged(AV22)</f>
        <v>#NAME?</v>
      </c>
      <c r="AW51" s="128" t="e" cm="1">
        <f t="array" aca="1" ref="AW51" ca="1">Notmerged(AW22)</f>
        <v>#NAME?</v>
      </c>
      <c r="AX51" s="128" t="e" cm="1">
        <f t="array" aca="1" ref="AX51" ca="1">Notmerged(AX22)</f>
        <v>#NAME?</v>
      </c>
      <c r="AY51" s="128" t="e" cm="1">
        <f t="array" aca="1" ref="AY51" ca="1">Notmerged(AY22)</f>
        <v>#NAME?</v>
      </c>
      <c r="AZ51" s="128" t="e" cm="1">
        <f t="array" aca="1" ref="AZ51" ca="1">Notmerged(AZ22)</f>
        <v>#NAME?</v>
      </c>
      <c r="BA51" s="128" t="e" cm="1">
        <f t="array" aca="1" ref="BA51" ca="1">Notmerged(BA22)</f>
        <v>#NAME?</v>
      </c>
      <c r="BB51" s="128" t="e" cm="1">
        <f t="array" aca="1" ref="BB51" ca="1">Notmerged(BB22)</f>
        <v>#NAME?</v>
      </c>
      <c r="BC51" s="128" t="e" cm="1">
        <f t="array" aca="1" ref="BC51" ca="1">Notmerged(BC22)</f>
        <v>#NAME?</v>
      </c>
      <c r="BD51" s="128" t="e" cm="1">
        <f t="array" aca="1" ref="BD51" ca="1">Notmerged(BD22)</f>
        <v>#NAME?</v>
      </c>
      <c r="BE51" s="128" t="e" cm="1">
        <f t="array" aca="1" ref="BE51" ca="1">Notmerged(BE22)</f>
        <v>#NAME?</v>
      </c>
      <c r="BF51" s="128" t="e" cm="1">
        <f t="array" aca="1" ref="BF51" ca="1">Notmerged(BF22)</f>
        <v>#NAME?</v>
      </c>
      <c r="BG51" s="128" t="e" cm="1">
        <f t="array" aca="1" ref="BG51" ca="1">Notmerged(BG22)</f>
        <v>#NAME?</v>
      </c>
      <c r="BH51" s="128" t="e" cm="1">
        <f t="array" aca="1" ref="BH51" ca="1">Notmerged(BH22)</f>
        <v>#NAME?</v>
      </c>
      <c r="BI51" s="128" t="e" cm="1">
        <f t="array" aca="1" ref="BI51" ca="1">Notmerged(BI22)</f>
        <v>#NAME?</v>
      </c>
      <c r="BJ51" s="128" t="e" cm="1">
        <f t="array" aca="1" ref="BJ51" ca="1">Notmerged(BJ22)</f>
        <v>#NAME?</v>
      </c>
      <c r="BK51" s="128" t="e" cm="1">
        <f t="array" aca="1" ref="BK51" ca="1">Notmerged(BK22)</f>
        <v>#NAME?</v>
      </c>
    </row>
    <row r="52" spans="2:63" x14ac:dyDescent="0.3">
      <c r="B52" s="128" t="e" cm="1">
        <f t="array" aca="1" ref="B52" ca="1">Notmerged(B23)</f>
        <v>#NAME?</v>
      </c>
      <c r="C52" s="128" t="e" cm="1">
        <f t="array" aca="1" ref="C52" ca="1">Notmerged(#REF!)</f>
        <v>#NAME?</v>
      </c>
      <c r="D52" s="128" t="e" cm="1">
        <f t="array" aca="1" ref="D52" ca="1">Notmerged(D23)</f>
        <v>#NAME?</v>
      </c>
      <c r="E52" s="128" t="e" cm="1">
        <f t="array" aca="1" ref="E52" ca="1">Notmerged(E23)</f>
        <v>#NAME?</v>
      </c>
      <c r="F52" s="128" t="e" cm="1">
        <f t="array" aca="1" ref="F52" ca="1">Notmerged(F23)</f>
        <v>#NAME?</v>
      </c>
      <c r="G52" s="128" t="e" cm="1">
        <f t="array" aca="1" ref="G52" ca="1">Notmerged(G23)</f>
        <v>#NAME?</v>
      </c>
      <c r="H52" s="128" t="e" cm="1">
        <f t="array" aca="1" ref="H52" ca="1">Notmerged(H23)</f>
        <v>#NAME?</v>
      </c>
      <c r="I52" s="128" t="e" cm="1">
        <f t="array" aca="1" ref="I52" ca="1">Notmerged(I23)</f>
        <v>#NAME?</v>
      </c>
      <c r="J52" s="128" t="e" cm="1">
        <f t="array" aca="1" ref="J52" ca="1">Notmerged(J23)</f>
        <v>#NAME?</v>
      </c>
      <c r="K52" s="128" t="e" cm="1">
        <f t="array" aca="1" ref="K52" ca="1">Notmerged(K23)</f>
        <v>#NAME?</v>
      </c>
      <c r="L52" s="128" t="e" cm="1">
        <f t="array" aca="1" ref="L52" ca="1">Notmerged(L23)</f>
        <v>#NAME?</v>
      </c>
      <c r="M52" s="128" t="e" cm="1">
        <f t="array" aca="1" ref="M52" ca="1">Notmerged(M23)</f>
        <v>#NAME?</v>
      </c>
      <c r="N52" s="128" t="e" cm="1">
        <f t="array" aca="1" ref="N52" ca="1">Notmerged(N23)</f>
        <v>#NAME?</v>
      </c>
      <c r="O52" s="128" t="e" cm="1">
        <f t="array" aca="1" ref="O52" ca="1">Notmerged(O23)</f>
        <v>#NAME?</v>
      </c>
      <c r="P52" s="128" t="e" cm="1">
        <f t="array" aca="1" ref="P52" ca="1">Notmerged(P23)</f>
        <v>#NAME?</v>
      </c>
      <c r="Q52" s="128" t="e" cm="1">
        <f t="array" aca="1" ref="Q52" ca="1">Notmerged(Q23)</f>
        <v>#NAME?</v>
      </c>
      <c r="R52" s="128" t="e" cm="1">
        <f t="array" aca="1" ref="R52" ca="1">Notmerged(R23)</f>
        <v>#NAME?</v>
      </c>
      <c r="S52" s="128" t="e" cm="1">
        <f t="array" aca="1" ref="S52" ca="1">Notmerged(S23)</f>
        <v>#NAME?</v>
      </c>
      <c r="T52" s="128" t="e" cm="1">
        <f t="array" aca="1" ref="T52" ca="1">Notmerged(T23)</f>
        <v>#NAME?</v>
      </c>
      <c r="U52" s="128" t="e" cm="1">
        <f t="array" aca="1" ref="U52" ca="1">Notmerged(U23)</f>
        <v>#NAME?</v>
      </c>
      <c r="V52" s="128" t="e" cm="1">
        <f t="array" aca="1" ref="V52" ca="1">Notmerged(V23)</f>
        <v>#NAME?</v>
      </c>
      <c r="W52" s="128" t="e" cm="1">
        <f t="array" aca="1" ref="W52" ca="1">Notmerged(W23)</f>
        <v>#NAME?</v>
      </c>
      <c r="X52" s="128" t="e" cm="1">
        <f t="array" aca="1" ref="X52" ca="1">Notmerged(X23)</f>
        <v>#NAME?</v>
      </c>
      <c r="Y52" s="128" t="e" cm="1">
        <f t="array" aca="1" ref="Y52" ca="1">Notmerged(Y23)</f>
        <v>#NAME?</v>
      </c>
      <c r="Z52" s="128" t="e" cm="1">
        <f t="array" aca="1" ref="Z52" ca="1">Notmerged(Z23)</f>
        <v>#NAME?</v>
      </c>
      <c r="AA52" s="128" t="e" cm="1">
        <f t="array" aca="1" ref="AA52" ca="1">Notmerged(AA23)</f>
        <v>#NAME?</v>
      </c>
      <c r="AB52" s="128" t="e" cm="1">
        <f t="array" aca="1" ref="AB52" ca="1">Notmerged(AB23)</f>
        <v>#NAME?</v>
      </c>
      <c r="AC52" s="128" t="e" cm="1">
        <f t="array" aca="1" ref="AC52" ca="1">Notmerged(AC23)</f>
        <v>#NAME?</v>
      </c>
      <c r="AD52" s="128" t="e" cm="1">
        <f t="array" aca="1" ref="AD52" ca="1">Notmerged(AD23)</f>
        <v>#NAME?</v>
      </c>
      <c r="AE52" s="128" t="e" cm="1">
        <f t="array" aca="1" ref="AE52" ca="1">Notmerged(AE23)</f>
        <v>#NAME?</v>
      </c>
      <c r="AF52" s="128" t="e" cm="1">
        <f t="array" aca="1" ref="AF52" ca="1">Notmerged(AF23)</f>
        <v>#NAME?</v>
      </c>
      <c r="AG52" s="128" t="e" cm="1">
        <f t="array" aca="1" ref="AG52" ca="1">Notmerged(AG23)</f>
        <v>#NAME?</v>
      </c>
      <c r="AH52" s="128" t="e" cm="1">
        <f t="array" aca="1" ref="AH52" ca="1">Notmerged(AH23)</f>
        <v>#NAME?</v>
      </c>
      <c r="AI52" s="128" t="e" cm="1">
        <f t="array" aca="1" ref="AI52" ca="1">Notmerged(AI23)</f>
        <v>#NAME?</v>
      </c>
      <c r="AJ52" s="128" t="e" cm="1">
        <f t="array" aca="1" ref="AJ52" ca="1">Notmerged(AJ23)</f>
        <v>#NAME?</v>
      </c>
      <c r="AK52" s="128" t="e" cm="1">
        <f t="array" aca="1" ref="AK52" ca="1">Notmerged(AK23)</f>
        <v>#NAME?</v>
      </c>
      <c r="AL52" s="128" t="e" cm="1">
        <f t="array" aca="1" ref="AL52" ca="1">Notmerged(AL23)</f>
        <v>#NAME?</v>
      </c>
      <c r="AM52" s="128" t="e" cm="1">
        <f t="array" aca="1" ref="AM52" ca="1">Notmerged(AM23)</f>
        <v>#NAME?</v>
      </c>
      <c r="AN52" s="128" t="e" cm="1">
        <f t="array" aca="1" ref="AN52" ca="1">Notmerged(AN23)</f>
        <v>#NAME?</v>
      </c>
      <c r="AO52" s="128" t="e" cm="1">
        <f t="array" aca="1" ref="AO52" ca="1">Notmerged(AO23)</f>
        <v>#NAME?</v>
      </c>
      <c r="AP52" s="128" t="e" cm="1">
        <f t="array" aca="1" ref="AP52" ca="1">Notmerged(AP23)</f>
        <v>#NAME?</v>
      </c>
      <c r="AQ52" s="128" t="e" cm="1">
        <f t="array" aca="1" ref="AQ52" ca="1">Notmerged(AQ23)</f>
        <v>#NAME?</v>
      </c>
      <c r="AR52" s="128" t="e" cm="1">
        <f t="array" aca="1" ref="AR52" ca="1">Notmerged(AR23)</f>
        <v>#NAME?</v>
      </c>
      <c r="AS52" s="128" t="e" cm="1">
        <f t="array" aca="1" ref="AS52" ca="1">Notmerged(AS23)</f>
        <v>#NAME?</v>
      </c>
      <c r="AT52" s="128" t="e" cm="1">
        <f t="array" aca="1" ref="AT52" ca="1">Notmerged(AT23)</f>
        <v>#NAME?</v>
      </c>
      <c r="AU52" s="128" t="e" cm="1">
        <f t="array" aca="1" ref="AU52" ca="1">Notmerged(AU23)</f>
        <v>#NAME?</v>
      </c>
      <c r="AV52" s="128" t="e" cm="1">
        <f t="array" aca="1" ref="AV52" ca="1">Notmerged(AV23)</f>
        <v>#NAME?</v>
      </c>
      <c r="AW52" s="128" t="e" cm="1">
        <f t="array" aca="1" ref="AW52" ca="1">Notmerged(AW23)</f>
        <v>#NAME?</v>
      </c>
      <c r="AX52" s="128" t="e" cm="1">
        <f t="array" aca="1" ref="AX52" ca="1">Notmerged(AX23)</f>
        <v>#NAME?</v>
      </c>
      <c r="AY52" s="128" t="e" cm="1">
        <f t="array" aca="1" ref="AY52" ca="1">Notmerged(AY23)</f>
        <v>#NAME?</v>
      </c>
      <c r="AZ52" s="128" t="e" cm="1">
        <f t="array" aca="1" ref="AZ52" ca="1">Notmerged(AZ23)</f>
        <v>#NAME?</v>
      </c>
      <c r="BA52" s="128" t="e" cm="1">
        <f t="array" aca="1" ref="BA52" ca="1">Notmerged(BA23)</f>
        <v>#NAME?</v>
      </c>
      <c r="BB52" s="128" t="e" cm="1">
        <f t="array" aca="1" ref="BB52" ca="1">Notmerged(BB23)</f>
        <v>#NAME?</v>
      </c>
      <c r="BC52" s="128" t="e" cm="1">
        <f t="array" aca="1" ref="BC52" ca="1">Notmerged(BC23)</f>
        <v>#NAME?</v>
      </c>
      <c r="BD52" s="128" t="e" cm="1">
        <f t="array" aca="1" ref="BD52" ca="1">Notmerged(BD23)</f>
        <v>#NAME?</v>
      </c>
      <c r="BE52" s="128" t="e" cm="1">
        <f t="array" aca="1" ref="BE52" ca="1">Notmerged(BE23)</f>
        <v>#NAME?</v>
      </c>
      <c r="BF52" s="128" t="e" cm="1">
        <f t="array" aca="1" ref="BF52" ca="1">Notmerged(BF23)</f>
        <v>#NAME?</v>
      </c>
      <c r="BG52" s="128" t="e" cm="1">
        <f t="array" aca="1" ref="BG52" ca="1">Notmerged(BG23)</f>
        <v>#NAME?</v>
      </c>
      <c r="BH52" s="128" t="e" cm="1">
        <f t="array" aca="1" ref="BH52" ca="1">Notmerged(BH23)</f>
        <v>#NAME?</v>
      </c>
      <c r="BI52" s="128" t="e" cm="1">
        <f t="array" aca="1" ref="BI52" ca="1">Notmerged(BI23)</f>
        <v>#NAME?</v>
      </c>
      <c r="BJ52" s="128" t="e" cm="1">
        <f t="array" aca="1" ref="BJ52" ca="1">Notmerged(BJ23)</f>
        <v>#NAME?</v>
      </c>
      <c r="BK52" s="128" t="e" cm="1">
        <f t="array" aca="1" ref="BK52" ca="1">Notmerged(BK23)</f>
        <v>#NAME?</v>
      </c>
    </row>
    <row r="53" spans="2:63" x14ac:dyDescent="0.3">
      <c r="B53" s="128" t="e" cm="1">
        <f t="array" aca="1" ref="B53" ca="1">Notmerged(B22)</f>
        <v>#NAME?</v>
      </c>
      <c r="C53" s="128" t="e" cm="1">
        <f t="array" aca="1" ref="C53" ca="1">Notmerged(C23)</f>
        <v>#NAME?</v>
      </c>
      <c r="D53" s="128" t="e" cm="1">
        <f t="array" aca="1" ref="D53" ca="1">Notmerged(D24)</f>
        <v>#NAME?</v>
      </c>
      <c r="E53" s="128" t="e" cm="1">
        <f t="array" aca="1" ref="E53" ca="1">Notmerged(E24)</f>
        <v>#NAME?</v>
      </c>
      <c r="F53" s="128" t="e" cm="1">
        <f t="array" aca="1" ref="F53" ca="1">Notmerged(F24)</f>
        <v>#NAME?</v>
      </c>
      <c r="G53" s="128" t="e" cm="1">
        <f t="array" aca="1" ref="G53" ca="1">Notmerged(G24)</f>
        <v>#NAME?</v>
      </c>
      <c r="H53" s="128" t="e" cm="1">
        <f t="array" aca="1" ref="H53" ca="1">Notmerged(H24)</f>
        <v>#NAME?</v>
      </c>
      <c r="I53" s="128" t="e" cm="1">
        <f t="array" aca="1" ref="I53" ca="1">Notmerged(I24)</f>
        <v>#NAME?</v>
      </c>
      <c r="J53" s="128" t="e" cm="1">
        <f t="array" aca="1" ref="J53" ca="1">Notmerged(J24)</f>
        <v>#NAME?</v>
      </c>
      <c r="K53" s="128" t="e" cm="1">
        <f t="array" aca="1" ref="K53" ca="1">Notmerged(K24)</f>
        <v>#NAME?</v>
      </c>
      <c r="L53" s="128" t="e" cm="1">
        <f t="array" aca="1" ref="L53" ca="1">Notmerged(L24)</f>
        <v>#NAME?</v>
      </c>
      <c r="M53" s="128" t="e" cm="1">
        <f t="array" aca="1" ref="M53" ca="1">Notmerged(M24)</f>
        <v>#NAME?</v>
      </c>
      <c r="N53" s="128" t="e" cm="1">
        <f t="array" aca="1" ref="N53" ca="1">Notmerged(N24)</f>
        <v>#NAME?</v>
      </c>
      <c r="O53" s="128" t="e" cm="1">
        <f t="array" aca="1" ref="O53" ca="1">Notmerged(O24)</f>
        <v>#NAME?</v>
      </c>
      <c r="P53" s="128" t="e" cm="1">
        <f t="array" aca="1" ref="P53" ca="1">Notmerged(P24)</f>
        <v>#NAME?</v>
      </c>
      <c r="Q53" s="128" t="e" cm="1">
        <f t="array" aca="1" ref="Q53" ca="1">Notmerged(Q24)</f>
        <v>#NAME?</v>
      </c>
      <c r="R53" s="128" t="e" cm="1">
        <f t="array" aca="1" ref="R53" ca="1">Notmerged(R24)</f>
        <v>#NAME?</v>
      </c>
      <c r="S53" s="128" t="e" cm="1">
        <f t="array" aca="1" ref="S53" ca="1">Notmerged(S24)</f>
        <v>#NAME?</v>
      </c>
      <c r="T53" s="128" t="e" cm="1">
        <f t="array" aca="1" ref="T53" ca="1">Notmerged(T24)</f>
        <v>#NAME?</v>
      </c>
      <c r="U53" s="128" t="e" cm="1">
        <f t="array" aca="1" ref="U53" ca="1">Notmerged(U24)</f>
        <v>#NAME?</v>
      </c>
      <c r="V53" s="128" t="e" cm="1">
        <f t="array" aca="1" ref="V53" ca="1">Notmerged(V24)</f>
        <v>#NAME?</v>
      </c>
      <c r="W53" s="128" t="e" cm="1">
        <f t="array" aca="1" ref="W53" ca="1">Notmerged(W24)</f>
        <v>#NAME?</v>
      </c>
      <c r="X53" s="128" t="e" cm="1">
        <f t="array" aca="1" ref="X53" ca="1">Notmerged(X24)</f>
        <v>#NAME?</v>
      </c>
      <c r="Y53" s="128" t="e" cm="1">
        <f t="array" aca="1" ref="Y53" ca="1">Notmerged(Y24)</f>
        <v>#NAME?</v>
      </c>
      <c r="Z53" s="128" t="e" cm="1">
        <f t="array" aca="1" ref="Z53" ca="1">Notmerged(Z24)</f>
        <v>#NAME?</v>
      </c>
      <c r="AA53" s="128" t="e" cm="1">
        <f t="array" aca="1" ref="AA53" ca="1">Notmerged(AA24)</f>
        <v>#NAME?</v>
      </c>
      <c r="AB53" s="128" t="e" cm="1">
        <f t="array" aca="1" ref="AB53" ca="1">Notmerged(AB24)</f>
        <v>#NAME?</v>
      </c>
      <c r="AC53" s="128" t="e" cm="1">
        <f t="array" aca="1" ref="AC53" ca="1">Notmerged(AC24)</f>
        <v>#NAME?</v>
      </c>
      <c r="AD53" s="128" t="e" cm="1">
        <f t="array" aca="1" ref="AD53" ca="1">Notmerged(AD24)</f>
        <v>#NAME?</v>
      </c>
      <c r="AE53" s="128" t="e" cm="1">
        <f t="array" aca="1" ref="AE53" ca="1">Notmerged(AE24)</f>
        <v>#NAME?</v>
      </c>
      <c r="AF53" s="128" t="e" cm="1">
        <f t="array" aca="1" ref="AF53" ca="1">Notmerged(AF24)</f>
        <v>#NAME?</v>
      </c>
      <c r="AG53" s="128" t="e" cm="1">
        <f t="array" aca="1" ref="AG53" ca="1">Notmerged(AG24)</f>
        <v>#NAME?</v>
      </c>
      <c r="AH53" s="128" t="e" cm="1">
        <f t="array" aca="1" ref="AH53" ca="1">Notmerged(AH24)</f>
        <v>#NAME?</v>
      </c>
      <c r="AI53" s="128" t="e" cm="1">
        <f t="array" aca="1" ref="AI53" ca="1">Notmerged(AI24)</f>
        <v>#NAME?</v>
      </c>
      <c r="AJ53" s="128" t="e" cm="1">
        <f t="array" aca="1" ref="AJ53" ca="1">Notmerged(AJ24)</f>
        <v>#NAME?</v>
      </c>
      <c r="AK53" s="128" t="e" cm="1">
        <f t="array" aca="1" ref="AK53" ca="1">Notmerged(AK24)</f>
        <v>#NAME?</v>
      </c>
      <c r="AL53" s="128" t="e" cm="1">
        <f t="array" aca="1" ref="AL53" ca="1">Notmerged(AL24)</f>
        <v>#NAME?</v>
      </c>
      <c r="AM53" s="128" t="e" cm="1">
        <f t="array" aca="1" ref="AM53" ca="1">Notmerged(AM24)</f>
        <v>#NAME?</v>
      </c>
      <c r="AN53" s="128" t="e" cm="1">
        <f t="array" aca="1" ref="AN53" ca="1">Notmerged(AN24)</f>
        <v>#NAME?</v>
      </c>
      <c r="AO53" s="128" t="e" cm="1">
        <f t="array" aca="1" ref="AO53" ca="1">Notmerged(AO24)</f>
        <v>#NAME?</v>
      </c>
      <c r="AP53" s="128" t="e" cm="1">
        <f t="array" aca="1" ref="AP53" ca="1">Notmerged(AP24)</f>
        <v>#NAME?</v>
      </c>
      <c r="AQ53" s="128" t="e" cm="1">
        <f t="array" aca="1" ref="AQ53" ca="1">Notmerged(AQ24)</f>
        <v>#NAME?</v>
      </c>
      <c r="AR53" s="128" t="e" cm="1">
        <f t="array" aca="1" ref="AR53" ca="1">Notmerged(AR24)</f>
        <v>#NAME?</v>
      </c>
      <c r="AS53" s="128" t="e" cm="1">
        <f t="array" aca="1" ref="AS53" ca="1">Notmerged(AS24)</f>
        <v>#NAME?</v>
      </c>
      <c r="AT53" s="128" t="e" cm="1">
        <f t="array" aca="1" ref="AT53" ca="1">Notmerged(AT24)</f>
        <v>#NAME?</v>
      </c>
      <c r="AU53" s="128" t="e" cm="1">
        <f t="array" aca="1" ref="AU53" ca="1">Notmerged(AU24)</f>
        <v>#NAME?</v>
      </c>
      <c r="AV53" s="128" t="e" cm="1">
        <f t="array" aca="1" ref="AV53" ca="1">Notmerged(AV24)</f>
        <v>#NAME?</v>
      </c>
      <c r="AW53" s="128" t="e" cm="1">
        <f t="array" aca="1" ref="AW53" ca="1">Notmerged(AW24)</f>
        <v>#NAME?</v>
      </c>
      <c r="AX53" s="128" t="e" cm="1">
        <f t="array" aca="1" ref="AX53" ca="1">Notmerged(AX24)</f>
        <v>#NAME?</v>
      </c>
      <c r="AY53" s="128" t="e" cm="1">
        <f t="array" aca="1" ref="AY53" ca="1">Notmerged(AY24)</f>
        <v>#NAME?</v>
      </c>
      <c r="AZ53" s="128" t="e" cm="1">
        <f t="array" aca="1" ref="AZ53" ca="1">Notmerged(AZ24)</f>
        <v>#NAME?</v>
      </c>
      <c r="BA53" s="128" t="e" cm="1">
        <f t="array" aca="1" ref="BA53" ca="1">Notmerged(BA24)</f>
        <v>#NAME?</v>
      </c>
      <c r="BB53" s="128" t="e" cm="1">
        <f t="array" aca="1" ref="BB53" ca="1">Notmerged(BB24)</f>
        <v>#NAME?</v>
      </c>
      <c r="BC53" s="128" t="e" cm="1">
        <f t="array" aca="1" ref="BC53" ca="1">Notmerged(BC24)</f>
        <v>#NAME?</v>
      </c>
      <c r="BD53" s="128" t="e" cm="1">
        <f t="array" aca="1" ref="BD53" ca="1">Notmerged(BD24)</f>
        <v>#NAME?</v>
      </c>
      <c r="BE53" s="128" t="e" cm="1">
        <f t="array" aca="1" ref="BE53" ca="1">Notmerged(BE24)</f>
        <v>#NAME?</v>
      </c>
      <c r="BF53" s="128" t="e" cm="1">
        <f t="array" aca="1" ref="BF53" ca="1">Notmerged(BF24)</f>
        <v>#NAME?</v>
      </c>
      <c r="BG53" s="128" t="e" cm="1">
        <f t="array" aca="1" ref="BG53" ca="1">Notmerged(BG24)</f>
        <v>#NAME?</v>
      </c>
      <c r="BH53" s="128" t="e" cm="1">
        <f t="array" aca="1" ref="BH53" ca="1">Notmerged(BH24)</f>
        <v>#NAME?</v>
      </c>
      <c r="BI53" s="128" t="e" cm="1">
        <f t="array" aca="1" ref="BI53" ca="1">Notmerged(BI24)</f>
        <v>#NAME?</v>
      </c>
      <c r="BJ53" s="128" t="e" cm="1">
        <f t="array" aca="1" ref="BJ53" ca="1">Notmerged(BJ24)</f>
        <v>#NAME?</v>
      </c>
      <c r="BK53" s="128" t="e" cm="1">
        <f t="array" aca="1" ref="BK53" ca="1">Notmerged(BK24)</f>
        <v>#NAME?</v>
      </c>
    </row>
    <row r="54" spans="2:63" x14ac:dyDescent="0.3">
      <c r="B54" s="128" t="e" cm="1">
        <f t="array" aca="1" ref="B54" ca="1">Notmerged(#REF!)</f>
        <v>#NAME?</v>
      </c>
      <c r="C54" s="128" t="e" cm="1">
        <f t="array" aca="1" ref="C54" ca="1">Notmerged(C25)</f>
        <v>#NAME?</v>
      </c>
      <c r="D54" s="128" t="e" cm="1">
        <f t="array" aca="1" ref="D54" ca="1">Notmerged(D25)</f>
        <v>#NAME?</v>
      </c>
      <c r="E54" s="128" t="e" cm="1">
        <f t="array" aca="1" ref="E54" ca="1">Notmerged(E25)</f>
        <v>#NAME?</v>
      </c>
      <c r="F54" s="128" t="e" cm="1">
        <f t="array" aca="1" ref="F54" ca="1">Notmerged(F25)</f>
        <v>#NAME?</v>
      </c>
      <c r="G54" s="128" t="e" cm="1">
        <f t="array" aca="1" ref="G54" ca="1">Notmerged(G25)</f>
        <v>#NAME?</v>
      </c>
      <c r="H54" s="128" t="e" cm="1">
        <f t="array" aca="1" ref="H54" ca="1">Notmerged(H25)</f>
        <v>#NAME?</v>
      </c>
      <c r="I54" s="128" t="e" cm="1">
        <f t="array" aca="1" ref="I54" ca="1">Notmerged(I25)</f>
        <v>#NAME?</v>
      </c>
      <c r="J54" s="128" t="e" cm="1">
        <f t="array" aca="1" ref="J54" ca="1">Notmerged(J25)</f>
        <v>#NAME?</v>
      </c>
      <c r="K54" s="128" t="e" cm="1">
        <f t="array" aca="1" ref="K54" ca="1">Notmerged(K25)</f>
        <v>#NAME?</v>
      </c>
      <c r="L54" s="128" t="e" cm="1">
        <f t="array" aca="1" ref="L54" ca="1">Notmerged(L25)</f>
        <v>#NAME?</v>
      </c>
      <c r="M54" s="128" t="e" cm="1">
        <f t="array" aca="1" ref="M54" ca="1">Notmerged(M25)</f>
        <v>#NAME?</v>
      </c>
      <c r="N54" s="128" t="e" cm="1">
        <f t="array" aca="1" ref="N54" ca="1">Notmerged(N25)</f>
        <v>#NAME?</v>
      </c>
      <c r="O54" s="128" t="e" cm="1">
        <f t="array" aca="1" ref="O54" ca="1">Notmerged(O25)</f>
        <v>#NAME?</v>
      </c>
      <c r="P54" s="128" t="e" cm="1">
        <f t="array" aca="1" ref="P54" ca="1">Notmerged(P25)</f>
        <v>#NAME?</v>
      </c>
      <c r="Q54" s="128" t="e" cm="1">
        <f t="array" aca="1" ref="Q54" ca="1">Notmerged(Q25)</f>
        <v>#NAME?</v>
      </c>
      <c r="R54" s="128" t="e" cm="1">
        <f t="array" aca="1" ref="R54" ca="1">Notmerged(R25)</f>
        <v>#NAME?</v>
      </c>
      <c r="S54" s="128" t="e" cm="1">
        <f t="array" aca="1" ref="S54" ca="1">Notmerged(S25)</f>
        <v>#NAME?</v>
      </c>
      <c r="T54" s="128" t="e" cm="1">
        <f t="array" aca="1" ref="T54" ca="1">Notmerged(T25)</f>
        <v>#NAME?</v>
      </c>
      <c r="U54" s="128" t="e" cm="1">
        <f t="array" aca="1" ref="U54" ca="1">Notmerged(U25)</f>
        <v>#NAME?</v>
      </c>
      <c r="V54" s="128" t="e" cm="1">
        <f t="array" aca="1" ref="V54" ca="1">Notmerged(V25)</f>
        <v>#NAME?</v>
      </c>
      <c r="W54" s="128" t="e" cm="1">
        <f t="array" aca="1" ref="W54" ca="1">Notmerged(W25)</f>
        <v>#NAME?</v>
      </c>
      <c r="X54" s="128" t="e" cm="1">
        <f t="array" aca="1" ref="X54" ca="1">Notmerged(X25)</f>
        <v>#NAME?</v>
      </c>
      <c r="Y54" s="128" t="e" cm="1">
        <f t="array" aca="1" ref="Y54" ca="1">Notmerged(Y25)</f>
        <v>#NAME?</v>
      </c>
      <c r="Z54" s="128" t="e" cm="1">
        <f t="array" aca="1" ref="Z54" ca="1">Notmerged(Z25)</f>
        <v>#NAME?</v>
      </c>
      <c r="AA54" s="128" t="e" cm="1">
        <f t="array" aca="1" ref="AA54" ca="1">Notmerged(AA25)</f>
        <v>#NAME?</v>
      </c>
      <c r="AB54" s="128" t="e" cm="1">
        <f t="array" aca="1" ref="AB54" ca="1">Notmerged(AB25)</f>
        <v>#NAME?</v>
      </c>
      <c r="AC54" s="128" t="e" cm="1">
        <f t="array" aca="1" ref="AC54" ca="1">Notmerged(AC25)</f>
        <v>#NAME?</v>
      </c>
      <c r="AD54" s="128" t="e" cm="1">
        <f t="array" aca="1" ref="AD54" ca="1">Notmerged(AD25)</f>
        <v>#NAME?</v>
      </c>
      <c r="AE54" s="128" t="e" cm="1">
        <f t="array" aca="1" ref="AE54" ca="1">Notmerged(AE25)</f>
        <v>#NAME?</v>
      </c>
      <c r="AF54" s="128" t="e" cm="1">
        <f t="array" aca="1" ref="AF54" ca="1">Notmerged(AF25)</f>
        <v>#NAME?</v>
      </c>
      <c r="AG54" s="128" t="e" cm="1">
        <f t="array" aca="1" ref="AG54" ca="1">Notmerged(AG25)</f>
        <v>#NAME?</v>
      </c>
      <c r="AH54" s="128" t="e" cm="1">
        <f t="array" aca="1" ref="AH54" ca="1">Notmerged(AH25)</f>
        <v>#NAME?</v>
      </c>
      <c r="AI54" s="128" t="e" cm="1">
        <f t="array" aca="1" ref="AI54" ca="1">Notmerged(AI25)</f>
        <v>#NAME?</v>
      </c>
      <c r="AJ54" s="128" t="e" cm="1">
        <f t="array" aca="1" ref="AJ54" ca="1">Notmerged(AJ25)</f>
        <v>#NAME?</v>
      </c>
      <c r="AK54" s="128" t="e" cm="1">
        <f t="array" aca="1" ref="AK54" ca="1">Notmerged(AK25)</f>
        <v>#NAME?</v>
      </c>
      <c r="AL54" s="128" t="e" cm="1">
        <f t="array" aca="1" ref="AL54" ca="1">Notmerged(AL25)</f>
        <v>#NAME?</v>
      </c>
      <c r="AM54" s="128" t="e" cm="1">
        <f t="array" aca="1" ref="AM54" ca="1">Notmerged(AM25)</f>
        <v>#NAME?</v>
      </c>
      <c r="AN54" s="128" t="e" cm="1">
        <f t="array" aca="1" ref="AN54" ca="1">Notmerged(AN25)</f>
        <v>#NAME?</v>
      </c>
      <c r="AO54" s="128" t="e" cm="1">
        <f t="array" aca="1" ref="AO54" ca="1">Notmerged(AO25)</f>
        <v>#NAME?</v>
      </c>
      <c r="AP54" s="128" t="e" cm="1">
        <f t="array" aca="1" ref="AP54" ca="1">Notmerged(AP25)</f>
        <v>#NAME?</v>
      </c>
      <c r="AQ54" s="128" t="e" cm="1">
        <f t="array" aca="1" ref="AQ54" ca="1">Notmerged(AQ25)</f>
        <v>#NAME?</v>
      </c>
      <c r="AR54" s="128" t="e" cm="1">
        <f t="array" aca="1" ref="AR54" ca="1">Notmerged(AR25)</f>
        <v>#NAME?</v>
      </c>
      <c r="AS54" s="128" t="e" cm="1">
        <f t="array" aca="1" ref="AS54" ca="1">Notmerged(AS25)</f>
        <v>#NAME?</v>
      </c>
      <c r="AT54" s="128" t="e" cm="1">
        <f t="array" aca="1" ref="AT54" ca="1">Notmerged(AT25)</f>
        <v>#NAME?</v>
      </c>
      <c r="AU54" s="128" t="e" cm="1">
        <f t="array" aca="1" ref="AU54" ca="1">Notmerged(AU25)</f>
        <v>#NAME?</v>
      </c>
      <c r="AV54" s="128" t="e" cm="1">
        <f t="array" aca="1" ref="AV54" ca="1">Notmerged(AV25)</f>
        <v>#NAME?</v>
      </c>
      <c r="AW54" s="128" t="e" cm="1">
        <f t="array" aca="1" ref="AW54" ca="1">Notmerged(AW25)</f>
        <v>#NAME?</v>
      </c>
      <c r="AX54" s="128" t="e" cm="1">
        <f t="array" aca="1" ref="AX54" ca="1">Notmerged(AX25)</f>
        <v>#NAME?</v>
      </c>
      <c r="AY54" s="128" t="e" cm="1">
        <f t="array" aca="1" ref="AY54" ca="1">Notmerged(AY25)</f>
        <v>#NAME?</v>
      </c>
      <c r="AZ54" s="128" t="e" cm="1">
        <f t="array" aca="1" ref="AZ54" ca="1">Notmerged(AZ25)</f>
        <v>#NAME?</v>
      </c>
      <c r="BA54" s="128" t="e" cm="1">
        <f t="array" aca="1" ref="BA54" ca="1">Notmerged(BA25)</f>
        <v>#NAME?</v>
      </c>
      <c r="BB54" s="128" t="e" cm="1">
        <f t="array" aca="1" ref="BB54" ca="1">Notmerged(BB25)</f>
        <v>#NAME?</v>
      </c>
      <c r="BC54" s="128" t="e" cm="1">
        <f t="array" aca="1" ref="BC54" ca="1">Notmerged(BC25)</f>
        <v>#NAME?</v>
      </c>
      <c r="BD54" s="128" t="e" cm="1">
        <f t="array" aca="1" ref="BD54" ca="1">Notmerged(BD25)</f>
        <v>#NAME?</v>
      </c>
      <c r="BE54" s="128" t="e" cm="1">
        <f t="array" aca="1" ref="BE54" ca="1">Notmerged(BE25)</f>
        <v>#NAME?</v>
      </c>
      <c r="BF54" s="128" t="e" cm="1">
        <f t="array" aca="1" ref="BF54" ca="1">Notmerged(BF25)</f>
        <v>#NAME?</v>
      </c>
      <c r="BG54" s="128" t="e" cm="1">
        <f t="array" aca="1" ref="BG54" ca="1">Notmerged(BG25)</f>
        <v>#NAME?</v>
      </c>
      <c r="BH54" s="128" t="e" cm="1">
        <f t="array" aca="1" ref="BH54" ca="1">Notmerged(BH25)</f>
        <v>#NAME?</v>
      </c>
      <c r="BI54" s="128" t="e" cm="1">
        <f t="array" aca="1" ref="BI54" ca="1">Notmerged(BI25)</f>
        <v>#NAME?</v>
      </c>
      <c r="BJ54" s="128" t="e" cm="1">
        <f t="array" aca="1" ref="BJ54" ca="1">Notmerged(BJ25)</f>
        <v>#NAME?</v>
      </c>
      <c r="BK54" s="128" t="e" cm="1">
        <f t="array" aca="1" ref="BK54" ca="1">Notmerged(BK25)</f>
        <v>#NAME?</v>
      </c>
    </row>
    <row r="55" spans="2:63" x14ac:dyDescent="0.3">
      <c r="B55" s="128" t="e" cm="1">
        <f t="array" aca="1" ref="B55" ca="1">Notmerged(B26)</f>
        <v>#NAME?</v>
      </c>
      <c r="C55" s="128" t="e" cm="1">
        <f t="array" aca="1" ref="C55" ca="1">Notmerged(C26)</f>
        <v>#NAME?</v>
      </c>
      <c r="D55" s="128" t="e" cm="1">
        <f t="array" aca="1" ref="D55" ca="1">Notmerged(D26)</f>
        <v>#NAME?</v>
      </c>
      <c r="E55" s="128" t="e" cm="1">
        <f t="array" aca="1" ref="E55" ca="1">Notmerged(E26)</f>
        <v>#NAME?</v>
      </c>
      <c r="F55" s="128" t="e" cm="1">
        <f t="array" aca="1" ref="F55" ca="1">Notmerged(F26)</f>
        <v>#NAME?</v>
      </c>
      <c r="G55" s="128" t="e" cm="1">
        <f t="array" aca="1" ref="G55" ca="1">Notmerged(G26)</f>
        <v>#NAME?</v>
      </c>
      <c r="H55" s="128" t="e" cm="1">
        <f t="array" aca="1" ref="H55" ca="1">Notmerged(H26)</f>
        <v>#NAME?</v>
      </c>
      <c r="I55" s="128" t="e" cm="1">
        <f t="array" aca="1" ref="I55" ca="1">Notmerged(I26)</f>
        <v>#NAME?</v>
      </c>
      <c r="J55" s="128" t="e" cm="1">
        <f t="array" aca="1" ref="J55" ca="1">Notmerged(J26)</f>
        <v>#NAME?</v>
      </c>
      <c r="K55" s="128" t="e" cm="1">
        <f t="array" aca="1" ref="K55" ca="1">Notmerged(K26)</f>
        <v>#NAME?</v>
      </c>
      <c r="L55" s="128" t="e" cm="1">
        <f t="array" aca="1" ref="L55" ca="1">Notmerged(L26)</f>
        <v>#NAME?</v>
      </c>
      <c r="M55" s="128" t="e" cm="1">
        <f t="array" aca="1" ref="M55" ca="1">Notmerged(M26)</f>
        <v>#NAME?</v>
      </c>
      <c r="N55" s="128" t="e" cm="1">
        <f t="array" aca="1" ref="N55" ca="1">Notmerged(N26)</f>
        <v>#NAME?</v>
      </c>
      <c r="O55" s="128" t="e" cm="1">
        <f t="array" aca="1" ref="O55" ca="1">Notmerged(O26)</f>
        <v>#NAME?</v>
      </c>
      <c r="P55" s="128" t="e" cm="1">
        <f t="array" aca="1" ref="P55" ca="1">Notmerged(P26)</f>
        <v>#NAME?</v>
      </c>
      <c r="Q55" s="128" t="e" cm="1">
        <f t="array" aca="1" ref="Q55" ca="1">Notmerged(Q26)</f>
        <v>#NAME?</v>
      </c>
      <c r="R55" s="128" t="e" cm="1">
        <f t="array" aca="1" ref="R55" ca="1">Notmerged(R26)</f>
        <v>#NAME?</v>
      </c>
      <c r="S55" s="128" t="e" cm="1">
        <f t="array" aca="1" ref="S55" ca="1">Notmerged(S26)</f>
        <v>#NAME?</v>
      </c>
      <c r="T55" s="128" t="e" cm="1">
        <f t="array" aca="1" ref="T55" ca="1">Notmerged(T26)</f>
        <v>#NAME?</v>
      </c>
      <c r="U55" s="128" t="e" cm="1">
        <f t="array" aca="1" ref="U55" ca="1">Notmerged(U26)</f>
        <v>#NAME?</v>
      </c>
      <c r="V55" s="128" t="e" cm="1">
        <f t="array" aca="1" ref="V55" ca="1">Notmerged(V26)</f>
        <v>#NAME?</v>
      </c>
      <c r="W55" s="128" t="e" cm="1">
        <f t="array" aca="1" ref="W55" ca="1">Notmerged(W26)</f>
        <v>#NAME?</v>
      </c>
      <c r="X55" s="128" t="e" cm="1">
        <f t="array" aca="1" ref="X55" ca="1">Notmerged(X26)</f>
        <v>#NAME?</v>
      </c>
      <c r="Y55" s="128" t="e" cm="1">
        <f t="array" aca="1" ref="Y55" ca="1">Notmerged(Y26)</f>
        <v>#NAME?</v>
      </c>
      <c r="Z55" s="128" t="e" cm="1">
        <f t="array" aca="1" ref="Z55" ca="1">Notmerged(Z26)</f>
        <v>#NAME?</v>
      </c>
      <c r="AA55" s="128" t="e" cm="1">
        <f t="array" aca="1" ref="AA55" ca="1">Notmerged(AA26)</f>
        <v>#NAME?</v>
      </c>
      <c r="AB55" s="128" t="e" cm="1">
        <f t="array" aca="1" ref="AB55" ca="1">Notmerged(AB26)</f>
        <v>#NAME?</v>
      </c>
      <c r="AC55" s="128" t="e" cm="1">
        <f t="array" aca="1" ref="AC55" ca="1">Notmerged(AC26)</f>
        <v>#NAME?</v>
      </c>
      <c r="AD55" s="128" t="e" cm="1">
        <f t="array" aca="1" ref="AD55" ca="1">Notmerged(AD26)</f>
        <v>#NAME?</v>
      </c>
      <c r="AE55" s="128" t="e" cm="1">
        <f t="array" aca="1" ref="AE55" ca="1">Notmerged(AE26)</f>
        <v>#NAME?</v>
      </c>
      <c r="AF55" s="128" t="e" cm="1">
        <f t="array" aca="1" ref="AF55" ca="1">Notmerged(AF26)</f>
        <v>#NAME?</v>
      </c>
      <c r="AG55" s="128" t="e" cm="1">
        <f t="array" aca="1" ref="AG55" ca="1">Notmerged(AG26)</f>
        <v>#NAME?</v>
      </c>
      <c r="AH55" s="128" t="e" cm="1">
        <f t="array" aca="1" ref="AH55" ca="1">Notmerged(AH26)</f>
        <v>#NAME?</v>
      </c>
      <c r="AI55" s="128" t="e" cm="1">
        <f t="array" aca="1" ref="AI55" ca="1">Notmerged(AI26)</f>
        <v>#NAME?</v>
      </c>
      <c r="AJ55" s="128" t="e" cm="1">
        <f t="array" aca="1" ref="AJ55" ca="1">Notmerged(AJ26)</f>
        <v>#NAME?</v>
      </c>
      <c r="AK55" s="128" t="e" cm="1">
        <f t="array" aca="1" ref="AK55" ca="1">Notmerged(AK26)</f>
        <v>#NAME?</v>
      </c>
      <c r="AL55" s="128" t="e" cm="1">
        <f t="array" aca="1" ref="AL55" ca="1">Notmerged(AL26)</f>
        <v>#NAME?</v>
      </c>
      <c r="AM55" s="128" t="e" cm="1">
        <f t="array" aca="1" ref="AM55" ca="1">Notmerged(AM26)</f>
        <v>#NAME?</v>
      </c>
      <c r="AN55" s="128" t="e" cm="1">
        <f t="array" aca="1" ref="AN55" ca="1">Notmerged(AN26)</f>
        <v>#NAME?</v>
      </c>
      <c r="AO55" s="128" t="e" cm="1">
        <f t="array" aca="1" ref="AO55" ca="1">Notmerged(AO26)</f>
        <v>#NAME?</v>
      </c>
      <c r="AP55" s="128" t="e" cm="1">
        <f t="array" aca="1" ref="AP55" ca="1">Notmerged(AP26)</f>
        <v>#NAME?</v>
      </c>
      <c r="AQ55" s="128" t="e" cm="1">
        <f t="array" aca="1" ref="AQ55" ca="1">Notmerged(AQ26)</f>
        <v>#NAME?</v>
      </c>
      <c r="AR55" s="128" t="e" cm="1">
        <f t="array" aca="1" ref="AR55" ca="1">Notmerged(AR26)</f>
        <v>#NAME?</v>
      </c>
      <c r="AS55" s="128" t="e" cm="1">
        <f t="array" aca="1" ref="AS55" ca="1">Notmerged(AS26)</f>
        <v>#NAME?</v>
      </c>
      <c r="AT55" s="128" t="e" cm="1">
        <f t="array" aca="1" ref="AT55" ca="1">Notmerged(AT26)</f>
        <v>#NAME?</v>
      </c>
      <c r="AU55" s="128" t="e" cm="1">
        <f t="array" aca="1" ref="AU55" ca="1">Notmerged(AU26)</f>
        <v>#NAME?</v>
      </c>
      <c r="AV55" s="128" t="e" cm="1">
        <f t="array" aca="1" ref="AV55" ca="1">Notmerged(AV26)</f>
        <v>#NAME?</v>
      </c>
      <c r="AW55" s="128" t="e" cm="1">
        <f t="array" aca="1" ref="AW55" ca="1">Notmerged(AW26)</f>
        <v>#NAME?</v>
      </c>
      <c r="AX55" s="128" t="e" cm="1">
        <f t="array" aca="1" ref="AX55" ca="1">Notmerged(AX26)</f>
        <v>#NAME?</v>
      </c>
      <c r="AY55" s="128" t="e" cm="1">
        <f t="array" aca="1" ref="AY55" ca="1">Notmerged(AY26)</f>
        <v>#NAME?</v>
      </c>
      <c r="AZ55" s="128" t="e" cm="1">
        <f t="array" aca="1" ref="AZ55" ca="1">Notmerged(AZ26)</f>
        <v>#NAME?</v>
      </c>
      <c r="BA55" s="128" t="e" cm="1">
        <f t="array" aca="1" ref="BA55" ca="1">Notmerged(BA26)</f>
        <v>#NAME?</v>
      </c>
      <c r="BB55" s="128" t="e" cm="1">
        <f t="array" aca="1" ref="BB55" ca="1">Notmerged(BB26)</f>
        <v>#NAME?</v>
      </c>
      <c r="BC55" s="128" t="e" cm="1">
        <f t="array" aca="1" ref="BC55" ca="1">Notmerged(BC26)</f>
        <v>#NAME?</v>
      </c>
      <c r="BD55" s="128" t="e" cm="1">
        <f t="array" aca="1" ref="BD55" ca="1">Notmerged(BD26)</f>
        <v>#NAME?</v>
      </c>
      <c r="BE55" s="128" t="e" cm="1">
        <f t="array" aca="1" ref="BE55" ca="1">Notmerged(BE26)</f>
        <v>#NAME?</v>
      </c>
      <c r="BF55" s="128" t="e" cm="1">
        <f t="array" aca="1" ref="BF55" ca="1">Notmerged(BF26)</f>
        <v>#NAME?</v>
      </c>
      <c r="BG55" s="128" t="e" cm="1">
        <f t="array" aca="1" ref="BG55" ca="1">Notmerged(BG26)</f>
        <v>#NAME?</v>
      </c>
      <c r="BH55" s="128" t="e" cm="1">
        <f t="array" aca="1" ref="BH55" ca="1">Notmerged(BH26)</f>
        <v>#NAME?</v>
      </c>
      <c r="BI55" s="128" t="e" cm="1">
        <f t="array" aca="1" ref="BI55" ca="1">Notmerged(BI26)</f>
        <v>#NAME?</v>
      </c>
      <c r="BJ55" s="128" t="e" cm="1">
        <f t="array" aca="1" ref="BJ55" ca="1">Notmerged(BJ26)</f>
        <v>#NAME?</v>
      </c>
      <c r="BK55" s="128" t="e" cm="1">
        <f t="array" aca="1" ref="BK55" ca="1">Notmerged(BK4)</f>
        <v>#NAME?</v>
      </c>
    </row>
    <row r="56" spans="2:63" x14ac:dyDescent="0.3">
      <c r="B56" s="128" t="e" cm="1">
        <f t="array" aca="1" ref="B56" ca="1">Notmerged(B25)</f>
        <v>#NAME?</v>
      </c>
      <c r="C56" s="128" t="e" cm="1">
        <f t="array" aca="1" ref="C56" ca="1">Notmerged(C27)</f>
        <v>#NAME?</v>
      </c>
      <c r="D56" s="128" t="e" cm="1">
        <f t="array" aca="1" ref="D56" ca="1">Notmerged(D27)</f>
        <v>#NAME?</v>
      </c>
      <c r="E56" s="128" t="e" cm="1">
        <f t="array" aca="1" ref="E56" ca="1">Notmerged(E27)</f>
        <v>#NAME?</v>
      </c>
      <c r="F56" s="128" t="e" cm="1">
        <f t="array" aca="1" ref="F56" ca="1">Notmerged(F27)</f>
        <v>#NAME?</v>
      </c>
      <c r="G56" s="128" t="e" cm="1">
        <f t="array" aca="1" ref="G56" ca="1">Notmerged(G27)</f>
        <v>#NAME?</v>
      </c>
      <c r="H56" s="128" t="e" cm="1">
        <f t="array" aca="1" ref="H56" ca="1">Notmerged(H27)</f>
        <v>#NAME?</v>
      </c>
      <c r="I56" s="128" t="e" cm="1">
        <f t="array" aca="1" ref="I56" ca="1">Notmerged(I27)</f>
        <v>#NAME?</v>
      </c>
      <c r="J56" s="128" t="e" cm="1">
        <f t="array" aca="1" ref="J56" ca="1">Notmerged(J27)</f>
        <v>#NAME?</v>
      </c>
      <c r="K56" s="128" t="e" cm="1">
        <f t="array" aca="1" ref="K56" ca="1">Notmerged(K27)</f>
        <v>#NAME?</v>
      </c>
      <c r="L56" s="128" t="e" cm="1">
        <f t="array" aca="1" ref="L56" ca="1">Notmerged(L27)</f>
        <v>#NAME?</v>
      </c>
      <c r="M56" s="128" t="e" cm="1">
        <f t="array" aca="1" ref="M56" ca="1">Notmerged(M27)</f>
        <v>#NAME?</v>
      </c>
      <c r="N56" s="128" t="e" cm="1">
        <f t="array" aca="1" ref="N56" ca="1">Notmerged(N27)</f>
        <v>#NAME?</v>
      </c>
      <c r="O56" s="128" t="e" cm="1">
        <f t="array" aca="1" ref="O56" ca="1">Notmerged(O27)</f>
        <v>#NAME?</v>
      </c>
      <c r="P56" s="128" t="e" cm="1">
        <f t="array" aca="1" ref="P56" ca="1">Notmerged(P27)</f>
        <v>#NAME?</v>
      </c>
      <c r="Q56" s="128" t="e" cm="1">
        <f t="array" aca="1" ref="Q56" ca="1">Notmerged(Q27)</f>
        <v>#NAME?</v>
      </c>
      <c r="R56" s="128" t="e" cm="1">
        <f t="array" aca="1" ref="R56" ca="1">Notmerged(R27)</f>
        <v>#NAME?</v>
      </c>
      <c r="S56" s="128" t="e" cm="1">
        <f t="array" aca="1" ref="S56" ca="1">Notmerged(S27)</f>
        <v>#NAME?</v>
      </c>
      <c r="T56" s="128" t="e" cm="1">
        <f t="array" aca="1" ref="T56" ca="1">Notmerged(T27)</f>
        <v>#NAME?</v>
      </c>
      <c r="U56" s="128" t="e" cm="1">
        <f t="array" aca="1" ref="U56" ca="1">Notmerged(U27)</f>
        <v>#NAME?</v>
      </c>
      <c r="V56" s="128" t="e" cm="1">
        <f t="array" aca="1" ref="V56" ca="1">Notmerged(V27)</f>
        <v>#NAME?</v>
      </c>
      <c r="W56" s="128" t="e" cm="1">
        <f t="array" aca="1" ref="W56" ca="1">Notmerged(W27)</f>
        <v>#NAME?</v>
      </c>
      <c r="X56" s="128" t="e" cm="1">
        <f t="array" aca="1" ref="X56" ca="1">Notmerged(X27)</f>
        <v>#NAME?</v>
      </c>
      <c r="Y56" s="128" t="e" cm="1">
        <f t="array" aca="1" ref="Y56" ca="1">Notmerged(Y27)</f>
        <v>#NAME?</v>
      </c>
      <c r="Z56" s="128" t="e" cm="1">
        <f t="array" aca="1" ref="Z56" ca="1">Notmerged(Z27)</f>
        <v>#NAME?</v>
      </c>
      <c r="AA56" s="128" t="e" cm="1">
        <f t="array" aca="1" ref="AA56" ca="1">Notmerged(AA27)</f>
        <v>#NAME?</v>
      </c>
      <c r="AB56" s="128" t="e" cm="1">
        <f t="array" aca="1" ref="AB56" ca="1">Notmerged(AB27)</f>
        <v>#NAME?</v>
      </c>
      <c r="AC56" s="128" t="e" cm="1">
        <f t="array" aca="1" ref="AC56" ca="1">Notmerged(AC27)</f>
        <v>#NAME?</v>
      </c>
      <c r="AD56" s="128" t="e" cm="1">
        <f t="array" aca="1" ref="AD56" ca="1">Notmerged(AD27)</f>
        <v>#NAME?</v>
      </c>
      <c r="AE56" s="128" t="e" cm="1">
        <f t="array" aca="1" ref="AE56" ca="1">Notmerged(AE27)</f>
        <v>#NAME?</v>
      </c>
      <c r="AF56" s="128" t="e" cm="1">
        <f t="array" aca="1" ref="AF56" ca="1">Notmerged(AF27)</f>
        <v>#NAME?</v>
      </c>
      <c r="AG56" s="128" t="e" cm="1">
        <f t="array" aca="1" ref="AG56" ca="1">Notmerged(AG27)</f>
        <v>#NAME?</v>
      </c>
      <c r="AH56" s="128" t="e" cm="1">
        <f t="array" aca="1" ref="AH56" ca="1">Notmerged(AH27)</f>
        <v>#NAME?</v>
      </c>
      <c r="AI56" s="128" t="e" cm="1">
        <f t="array" aca="1" ref="AI56" ca="1">Notmerged(AI27)</f>
        <v>#NAME?</v>
      </c>
      <c r="AJ56" s="128" t="e" cm="1">
        <f t="array" aca="1" ref="AJ56" ca="1">Notmerged(AJ27)</f>
        <v>#NAME?</v>
      </c>
      <c r="AK56" s="128" t="e" cm="1">
        <f t="array" aca="1" ref="AK56" ca="1">Notmerged(AK27)</f>
        <v>#NAME?</v>
      </c>
      <c r="AL56" s="128" t="e" cm="1">
        <f t="array" aca="1" ref="AL56" ca="1">Notmerged(AL27)</f>
        <v>#NAME?</v>
      </c>
      <c r="AM56" s="128" t="e" cm="1">
        <f t="array" aca="1" ref="AM56" ca="1">Notmerged(AM27)</f>
        <v>#NAME?</v>
      </c>
      <c r="AN56" s="128" t="e" cm="1">
        <f t="array" aca="1" ref="AN56" ca="1">Notmerged(AN27)</f>
        <v>#NAME?</v>
      </c>
      <c r="AO56" s="128" t="e" cm="1">
        <f t="array" aca="1" ref="AO56" ca="1">Notmerged(AO27)</f>
        <v>#NAME?</v>
      </c>
      <c r="AP56" s="128" t="e" cm="1">
        <f t="array" aca="1" ref="AP56" ca="1">Notmerged(AP27)</f>
        <v>#NAME?</v>
      </c>
      <c r="AQ56" s="128" t="e" cm="1">
        <f t="array" aca="1" ref="AQ56" ca="1">Notmerged(AQ27)</f>
        <v>#NAME?</v>
      </c>
      <c r="AR56" s="128" t="e" cm="1">
        <f t="array" aca="1" ref="AR56" ca="1">Notmerged(AR27)</f>
        <v>#NAME?</v>
      </c>
      <c r="AS56" s="128" t="e" cm="1">
        <f t="array" aca="1" ref="AS56" ca="1">Notmerged(AS27)</f>
        <v>#NAME?</v>
      </c>
      <c r="AT56" s="128" t="e" cm="1">
        <f t="array" aca="1" ref="AT56" ca="1">Notmerged(AT27)</f>
        <v>#NAME?</v>
      </c>
      <c r="AU56" s="128" t="e" cm="1">
        <f t="array" aca="1" ref="AU56" ca="1">Notmerged(AU27)</f>
        <v>#NAME?</v>
      </c>
      <c r="AV56" s="128" t="e" cm="1">
        <f t="array" aca="1" ref="AV56" ca="1">Notmerged(AV27)</f>
        <v>#NAME?</v>
      </c>
      <c r="AW56" s="128" t="e" cm="1">
        <f t="array" aca="1" ref="AW56" ca="1">Notmerged(AW27)</f>
        <v>#NAME?</v>
      </c>
      <c r="AX56" s="128" t="e" cm="1">
        <f t="array" aca="1" ref="AX56" ca="1">Notmerged(AX27)</f>
        <v>#NAME?</v>
      </c>
      <c r="AY56" s="128" t="e" cm="1">
        <f t="array" aca="1" ref="AY56" ca="1">Notmerged(AY27)</f>
        <v>#NAME?</v>
      </c>
      <c r="AZ56" s="128" t="e" cm="1">
        <f t="array" aca="1" ref="AZ56" ca="1">Notmerged(AZ27)</f>
        <v>#NAME?</v>
      </c>
      <c r="BA56" s="128" t="e" cm="1">
        <f t="array" aca="1" ref="BA56" ca="1">Notmerged(BA27)</f>
        <v>#NAME?</v>
      </c>
      <c r="BB56" s="128" t="e" cm="1">
        <f t="array" aca="1" ref="BB56" ca="1">Notmerged(BB27)</f>
        <v>#NAME?</v>
      </c>
      <c r="BC56" s="128" t="e" cm="1">
        <f t="array" aca="1" ref="BC56" ca="1">Notmerged(BC27)</f>
        <v>#NAME?</v>
      </c>
      <c r="BD56" s="128" t="e" cm="1">
        <f t="array" aca="1" ref="BD56" ca="1">Notmerged(BD27)</f>
        <v>#NAME?</v>
      </c>
      <c r="BE56" s="128" t="e" cm="1">
        <f t="array" aca="1" ref="BE56" ca="1">Notmerged(BE27)</f>
        <v>#NAME?</v>
      </c>
      <c r="BF56" s="128" t="e" cm="1">
        <f t="array" aca="1" ref="BF56" ca="1">Notmerged(BF27)</f>
        <v>#NAME?</v>
      </c>
      <c r="BG56" s="128" t="e" cm="1">
        <f t="array" aca="1" ref="BG56" ca="1">Notmerged(BG27)</f>
        <v>#NAME?</v>
      </c>
      <c r="BH56" s="128" t="e" cm="1">
        <f t="array" aca="1" ref="BH56" ca="1">Notmerged(BH27)</f>
        <v>#NAME?</v>
      </c>
      <c r="BI56" s="128" t="e" cm="1">
        <f t="array" aca="1" ref="BI56" ca="1">Notmerged(BI27)</f>
        <v>#NAME?</v>
      </c>
      <c r="BJ56" s="128" t="e" cm="1">
        <f t="array" aca="1" ref="BJ56" ca="1">Notmerged(BJ27)</f>
        <v>#NAME?</v>
      </c>
      <c r="BK56" s="128" t="e" cm="1">
        <f t="array" aca="1" ref="BK56" ca="1">Notmerged(BK27)</f>
        <v>#NAME?</v>
      </c>
    </row>
    <row r="57" spans="2:63" x14ac:dyDescent="0.3">
      <c r="B57" s="128" t="e" cm="1">
        <f t="array" aca="1" ref="B57" ca="1">Notmerged(B28)</f>
        <v>#NAME?</v>
      </c>
      <c r="C57" s="128" t="e" cm="1">
        <f t="array" aca="1" ref="C57" ca="1">Notmerged(C28)</f>
        <v>#NAME?</v>
      </c>
      <c r="D57" s="128" t="e" cm="1">
        <f t="array" aca="1" ref="D57" ca="1">Notmerged(D28)</f>
        <v>#NAME?</v>
      </c>
      <c r="E57" s="128" t="e" cm="1">
        <f t="array" aca="1" ref="E57" ca="1">Notmerged(E28)</f>
        <v>#NAME?</v>
      </c>
      <c r="F57" s="128" t="e" cm="1">
        <f t="array" aca="1" ref="F57" ca="1">Notmerged(F28)</f>
        <v>#NAME?</v>
      </c>
      <c r="G57" s="128" t="e" cm="1">
        <f t="array" aca="1" ref="G57" ca="1">Notmerged(G28)</f>
        <v>#NAME?</v>
      </c>
      <c r="H57" s="128" t="e" cm="1">
        <f t="array" aca="1" ref="H57" ca="1">Notmerged(H28)</f>
        <v>#NAME?</v>
      </c>
      <c r="I57" s="128" t="e" cm="1">
        <f t="array" aca="1" ref="I57" ca="1">Notmerged(I28)</f>
        <v>#NAME?</v>
      </c>
      <c r="J57" s="128" t="e" cm="1">
        <f t="array" aca="1" ref="J57" ca="1">Notmerged(J28)</f>
        <v>#NAME?</v>
      </c>
      <c r="K57" s="128" t="e" cm="1">
        <f t="array" aca="1" ref="K57" ca="1">Notmerged(K28)</f>
        <v>#NAME?</v>
      </c>
      <c r="L57" s="128" t="e" cm="1">
        <f t="array" aca="1" ref="L57" ca="1">Notmerged(L28)</f>
        <v>#NAME?</v>
      </c>
      <c r="M57" s="128" t="e" cm="1">
        <f t="array" aca="1" ref="M57" ca="1">Notmerged(M28)</f>
        <v>#NAME?</v>
      </c>
      <c r="N57" s="128" t="e" cm="1">
        <f t="array" aca="1" ref="N57" ca="1">Notmerged(N28)</f>
        <v>#NAME?</v>
      </c>
      <c r="O57" s="128" t="e" cm="1">
        <f t="array" aca="1" ref="O57" ca="1">Notmerged(O28)</f>
        <v>#NAME?</v>
      </c>
      <c r="P57" s="128" t="e" cm="1">
        <f t="array" aca="1" ref="P57" ca="1">Notmerged(P28)</f>
        <v>#NAME?</v>
      </c>
      <c r="Q57" s="128" t="e" cm="1">
        <f t="array" aca="1" ref="Q57" ca="1">Notmerged(Q28)</f>
        <v>#NAME?</v>
      </c>
      <c r="R57" s="128" t="e" cm="1">
        <f t="array" aca="1" ref="R57" ca="1">Notmerged(R28)</f>
        <v>#NAME?</v>
      </c>
      <c r="S57" s="128" t="e" cm="1">
        <f t="array" aca="1" ref="S57" ca="1">Notmerged(S28)</f>
        <v>#NAME?</v>
      </c>
      <c r="T57" s="128" t="e" cm="1">
        <f t="array" aca="1" ref="T57" ca="1">Notmerged(T28)</f>
        <v>#NAME?</v>
      </c>
      <c r="U57" s="128" t="e" cm="1">
        <f t="array" aca="1" ref="U57" ca="1">Notmerged(U28)</f>
        <v>#NAME?</v>
      </c>
      <c r="V57" s="128" t="e" cm="1">
        <f t="array" aca="1" ref="V57" ca="1">Notmerged(V28)</f>
        <v>#NAME?</v>
      </c>
      <c r="W57" s="128" t="e" cm="1">
        <f t="array" aca="1" ref="W57" ca="1">Notmerged(W28)</f>
        <v>#NAME?</v>
      </c>
      <c r="X57" s="128" t="e" cm="1">
        <f t="array" aca="1" ref="X57" ca="1">Notmerged(X28)</f>
        <v>#NAME?</v>
      </c>
      <c r="Y57" s="128" t="e" cm="1">
        <f t="array" aca="1" ref="Y57" ca="1">Notmerged(Y28)</f>
        <v>#NAME?</v>
      </c>
      <c r="Z57" s="128" t="e" cm="1">
        <f t="array" aca="1" ref="Z57" ca="1">Notmerged(Z28)</f>
        <v>#NAME?</v>
      </c>
      <c r="AA57" s="128" t="e" cm="1">
        <f t="array" aca="1" ref="AA57" ca="1">Notmerged(AA28)</f>
        <v>#NAME?</v>
      </c>
      <c r="AB57" s="128" t="e" cm="1">
        <f t="array" aca="1" ref="AB57" ca="1">Notmerged(AB28)</f>
        <v>#NAME?</v>
      </c>
      <c r="AC57" s="128" t="e" cm="1">
        <f t="array" aca="1" ref="AC57" ca="1">Notmerged(AC28)</f>
        <v>#NAME?</v>
      </c>
      <c r="AD57" s="128" t="e" cm="1">
        <f t="array" aca="1" ref="AD57" ca="1">Notmerged(AD28)</f>
        <v>#NAME?</v>
      </c>
      <c r="AE57" s="128" t="e" cm="1">
        <f t="array" aca="1" ref="AE57" ca="1">Notmerged(AE28)</f>
        <v>#NAME?</v>
      </c>
      <c r="AF57" s="128" t="e" cm="1">
        <f t="array" aca="1" ref="AF57" ca="1">Notmerged(AF28)</f>
        <v>#NAME?</v>
      </c>
      <c r="AG57" s="128" t="e" cm="1">
        <f t="array" aca="1" ref="AG57" ca="1">Notmerged(AG28)</f>
        <v>#NAME?</v>
      </c>
      <c r="AH57" s="128" t="e" cm="1">
        <f t="array" aca="1" ref="AH57" ca="1">Notmerged(AH28)</f>
        <v>#NAME?</v>
      </c>
      <c r="AI57" s="128" t="e" cm="1">
        <f t="array" aca="1" ref="AI57" ca="1">Notmerged(AI28)</f>
        <v>#NAME?</v>
      </c>
      <c r="AJ57" s="128" t="e" cm="1">
        <f t="array" aca="1" ref="AJ57" ca="1">Notmerged(AJ28)</f>
        <v>#NAME?</v>
      </c>
      <c r="AK57" s="128" t="e" cm="1">
        <f t="array" aca="1" ref="AK57" ca="1">Notmerged(AK28)</f>
        <v>#NAME?</v>
      </c>
      <c r="AL57" s="128" t="e" cm="1">
        <f t="array" aca="1" ref="AL57" ca="1">Notmerged(AL28)</f>
        <v>#NAME?</v>
      </c>
      <c r="AM57" s="128" t="e" cm="1">
        <f t="array" aca="1" ref="AM57" ca="1">Notmerged(AM28)</f>
        <v>#NAME?</v>
      </c>
      <c r="AN57" s="128" t="e" cm="1">
        <f t="array" aca="1" ref="AN57" ca="1">Notmerged(AN28)</f>
        <v>#NAME?</v>
      </c>
      <c r="AO57" s="128" t="e" cm="1">
        <f t="array" aca="1" ref="AO57" ca="1">Notmerged(AO28)</f>
        <v>#NAME?</v>
      </c>
      <c r="AP57" s="128" t="e" cm="1">
        <f t="array" aca="1" ref="AP57" ca="1">Notmerged(AP28)</f>
        <v>#NAME?</v>
      </c>
      <c r="AQ57" s="128" t="e" cm="1">
        <f t="array" aca="1" ref="AQ57" ca="1">Notmerged(AQ28)</f>
        <v>#NAME?</v>
      </c>
      <c r="AR57" s="128" t="e" cm="1">
        <f t="array" aca="1" ref="AR57" ca="1">Notmerged(AR28)</f>
        <v>#NAME?</v>
      </c>
      <c r="AS57" s="128" t="e" cm="1">
        <f t="array" aca="1" ref="AS57" ca="1">Notmerged(AS28)</f>
        <v>#NAME?</v>
      </c>
      <c r="AT57" s="128" t="e" cm="1">
        <f t="array" aca="1" ref="AT57" ca="1">Notmerged(AT28)</f>
        <v>#NAME?</v>
      </c>
      <c r="AU57" s="128" t="e" cm="1">
        <f t="array" aca="1" ref="AU57" ca="1">Notmerged(AU28)</f>
        <v>#NAME?</v>
      </c>
      <c r="AV57" s="128" t="e" cm="1">
        <f t="array" aca="1" ref="AV57" ca="1">Notmerged(AV28)</f>
        <v>#NAME?</v>
      </c>
      <c r="AW57" s="128" t="e" cm="1">
        <f t="array" aca="1" ref="AW57" ca="1">Notmerged(AW28)</f>
        <v>#NAME?</v>
      </c>
      <c r="AX57" s="128" t="e" cm="1">
        <f t="array" aca="1" ref="AX57" ca="1">Notmerged(AX28)</f>
        <v>#NAME?</v>
      </c>
      <c r="AY57" s="128" t="e" cm="1">
        <f t="array" aca="1" ref="AY57" ca="1">Notmerged(AY28)</f>
        <v>#NAME?</v>
      </c>
      <c r="AZ57" s="128" t="e" cm="1">
        <f t="array" aca="1" ref="AZ57" ca="1">Notmerged(AZ28)</f>
        <v>#NAME?</v>
      </c>
      <c r="BA57" s="128" t="e" cm="1">
        <f t="array" aca="1" ref="BA57" ca="1">Notmerged(BA28)</f>
        <v>#NAME?</v>
      </c>
      <c r="BB57" s="128" t="e" cm="1">
        <f t="array" aca="1" ref="BB57" ca="1">Notmerged(BB28)</f>
        <v>#NAME?</v>
      </c>
      <c r="BC57" s="128" t="e" cm="1">
        <f t="array" aca="1" ref="BC57" ca="1">Notmerged(BC28)</f>
        <v>#NAME?</v>
      </c>
      <c r="BD57" s="128" t="e" cm="1">
        <f t="array" aca="1" ref="BD57" ca="1">Notmerged(BD28)</f>
        <v>#NAME?</v>
      </c>
      <c r="BE57" s="128" t="e" cm="1">
        <f t="array" aca="1" ref="BE57" ca="1">Notmerged(BE28)</f>
        <v>#NAME?</v>
      </c>
      <c r="BF57" s="128" t="e" cm="1">
        <f t="array" aca="1" ref="BF57" ca="1">Notmerged(BF28)</f>
        <v>#NAME?</v>
      </c>
      <c r="BG57" s="128" t="e" cm="1">
        <f t="array" aca="1" ref="BG57" ca="1">Notmerged(BG28)</f>
        <v>#NAME?</v>
      </c>
      <c r="BH57" s="128" t="e" cm="1">
        <f t="array" aca="1" ref="BH57" ca="1">Notmerged(BH28)</f>
        <v>#NAME?</v>
      </c>
      <c r="BI57" s="128" t="e" cm="1">
        <f t="array" aca="1" ref="BI57" ca="1">Notmerged(BI28)</f>
        <v>#NAME?</v>
      </c>
      <c r="BJ57" s="128" t="e" cm="1">
        <f t="array" aca="1" ref="BJ57" ca="1">Notmerged(BJ28)</f>
        <v>#NAME?</v>
      </c>
      <c r="BK57" s="128" t="e" cm="1">
        <f t="array" aca="1" ref="BK57" ca="1">Notmerged(BK28)</f>
        <v>#NAME?</v>
      </c>
    </row>
    <row r="58" spans="2:63" x14ac:dyDescent="0.3">
      <c r="B58" s="128" t="e" cm="1">
        <f t="array" aca="1" ref="B58" ca="1">Notmerged(B29)</f>
        <v>#NAME?</v>
      </c>
      <c r="C58" s="128" t="e" cm="1">
        <f t="array" aca="1" ref="C58" ca="1">Notmerged(C29)</f>
        <v>#NAME?</v>
      </c>
      <c r="D58" s="128" t="e" cm="1">
        <f t="array" aca="1" ref="D58" ca="1">Notmerged(D29)</f>
        <v>#NAME?</v>
      </c>
      <c r="E58" s="128" t="e" cm="1">
        <f t="array" aca="1" ref="E58" ca="1">Notmerged(E29)</f>
        <v>#NAME?</v>
      </c>
      <c r="F58" s="128" t="e" cm="1">
        <f t="array" aca="1" ref="F58" ca="1">Notmerged(F29)</f>
        <v>#NAME?</v>
      </c>
      <c r="G58" s="128" t="e" cm="1">
        <f t="array" aca="1" ref="G58" ca="1">Notmerged(G29)</f>
        <v>#NAME?</v>
      </c>
      <c r="H58" s="128" t="e" cm="1">
        <f t="array" aca="1" ref="H58" ca="1">Notmerged(H29)</f>
        <v>#NAME?</v>
      </c>
      <c r="I58" s="128" t="e" cm="1">
        <f t="array" aca="1" ref="I58" ca="1">Notmerged(I29)</f>
        <v>#NAME?</v>
      </c>
      <c r="J58" s="128" t="e" cm="1">
        <f t="array" aca="1" ref="J58" ca="1">Notmerged(J29)</f>
        <v>#NAME?</v>
      </c>
      <c r="K58" s="128" t="e" cm="1">
        <f t="array" aca="1" ref="K58" ca="1">Notmerged(K29)</f>
        <v>#NAME?</v>
      </c>
      <c r="L58" s="128" t="e" cm="1">
        <f t="array" aca="1" ref="L58" ca="1">Notmerged(L29)</f>
        <v>#NAME?</v>
      </c>
      <c r="M58" s="128" t="e" cm="1">
        <f t="array" aca="1" ref="M58" ca="1">Notmerged(M29)</f>
        <v>#NAME?</v>
      </c>
      <c r="N58" s="128" t="e" cm="1">
        <f t="array" aca="1" ref="N58" ca="1">Notmerged(N29)</f>
        <v>#NAME?</v>
      </c>
      <c r="O58" s="128" t="e" cm="1">
        <f t="array" aca="1" ref="O58" ca="1">Notmerged(O29)</f>
        <v>#NAME?</v>
      </c>
      <c r="P58" s="128" t="e" cm="1">
        <f t="array" aca="1" ref="P58" ca="1">Notmerged(P29)</f>
        <v>#NAME?</v>
      </c>
      <c r="Q58" s="128" t="e" cm="1">
        <f t="array" aca="1" ref="Q58" ca="1">Notmerged(Q29)</f>
        <v>#NAME?</v>
      </c>
      <c r="R58" s="128" t="e" cm="1">
        <f t="array" aca="1" ref="R58" ca="1">Notmerged(R29)</f>
        <v>#NAME?</v>
      </c>
      <c r="S58" s="128" t="e" cm="1">
        <f t="array" aca="1" ref="S58" ca="1">Notmerged(S29)</f>
        <v>#NAME?</v>
      </c>
      <c r="T58" s="128" t="e" cm="1">
        <f t="array" aca="1" ref="T58" ca="1">Notmerged(T29)</f>
        <v>#NAME?</v>
      </c>
      <c r="U58" s="128" t="e" cm="1">
        <f t="array" aca="1" ref="U58" ca="1">Notmerged(U29)</f>
        <v>#NAME?</v>
      </c>
      <c r="V58" s="128" t="e" cm="1">
        <f t="array" aca="1" ref="V58" ca="1">Notmerged(V29)</f>
        <v>#NAME?</v>
      </c>
      <c r="W58" s="128" t="e" cm="1">
        <f t="array" aca="1" ref="W58" ca="1">Notmerged(W29)</f>
        <v>#NAME?</v>
      </c>
      <c r="X58" s="128" t="e" cm="1">
        <f t="array" aca="1" ref="X58" ca="1">Notmerged(X29)</f>
        <v>#NAME?</v>
      </c>
      <c r="Y58" s="128" t="e" cm="1">
        <f t="array" aca="1" ref="Y58" ca="1">Notmerged(Y29)</f>
        <v>#NAME?</v>
      </c>
      <c r="Z58" s="128" t="e" cm="1">
        <f t="array" aca="1" ref="Z58" ca="1">Notmerged(Z29)</f>
        <v>#NAME?</v>
      </c>
      <c r="AA58" s="128" t="e" cm="1">
        <f t="array" aca="1" ref="AA58" ca="1">Notmerged(AA29)</f>
        <v>#NAME?</v>
      </c>
      <c r="AB58" s="128" t="e" cm="1">
        <f t="array" aca="1" ref="AB58" ca="1">Notmerged(AB29)</f>
        <v>#NAME?</v>
      </c>
      <c r="AC58" s="128" t="e" cm="1">
        <f t="array" aca="1" ref="AC58" ca="1">Notmerged(AC29)</f>
        <v>#NAME?</v>
      </c>
      <c r="AD58" s="128" t="e" cm="1">
        <f t="array" aca="1" ref="AD58" ca="1">Notmerged(AD29)</f>
        <v>#NAME?</v>
      </c>
      <c r="AE58" s="128" t="e" cm="1">
        <f t="array" aca="1" ref="AE58" ca="1">Notmerged(AE29)</f>
        <v>#NAME?</v>
      </c>
      <c r="AF58" s="128" t="e" cm="1">
        <f t="array" aca="1" ref="AF58" ca="1">Notmerged(AF29)</f>
        <v>#NAME?</v>
      </c>
      <c r="AG58" s="128" t="e" cm="1">
        <f t="array" aca="1" ref="AG58" ca="1">Notmerged(AG29)</f>
        <v>#NAME?</v>
      </c>
      <c r="AH58" s="128" t="e" cm="1">
        <f t="array" aca="1" ref="AH58" ca="1">Notmerged(AH29)</f>
        <v>#NAME?</v>
      </c>
      <c r="AI58" s="128" t="e" cm="1">
        <f t="array" aca="1" ref="AI58" ca="1">Notmerged(AI29)</f>
        <v>#NAME?</v>
      </c>
      <c r="AJ58" s="128" t="e" cm="1">
        <f t="array" aca="1" ref="AJ58" ca="1">Notmerged(AJ29)</f>
        <v>#NAME?</v>
      </c>
      <c r="AK58" s="128" t="e" cm="1">
        <f t="array" aca="1" ref="AK58" ca="1">Notmerged(AK29)</f>
        <v>#NAME?</v>
      </c>
      <c r="AL58" s="128" t="e" cm="1">
        <f t="array" aca="1" ref="AL58" ca="1">Notmerged(AL29)</f>
        <v>#NAME?</v>
      </c>
      <c r="AM58" s="128" t="e" cm="1">
        <f t="array" aca="1" ref="AM58" ca="1">Notmerged(AM29)</f>
        <v>#NAME?</v>
      </c>
      <c r="AN58" s="128" t="e" cm="1">
        <f t="array" aca="1" ref="AN58" ca="1">Notmerged(AN29)</f>
        <v>#NAME?</v>
      </c>
      <c r="AO58" s="128" t="e" cm="1">
        <f t="array" aca="1" ref="AO58" ca="1">Notmerged(AO29)</f>
        <v>#NAME?</v>
      </c>
      <c r="AP58" s="128" t="e" cm="1">
        <f t="array" aca="1" ref="AP58" ca="1">Notmerged(AP29)</f>
        <v>#NAME?</v>
      </c>
      <c r="AQ58" s="128" t="e" cm="1">
        <f t="array" aca="1" ref="AQ58" ca="1">Notmerged(AQ29)</f>
        <v>#NAME?</v>
      </c>
      <c r="AR58" s="128" t="e" cm="1">
        <f t="array" aca="1" ref="AR58" ca="1">Notmerged(AR29)</f>
        <v>#NAME?</v>
      </c>
      <c r="AS58" s="128" t="e" cm="1">
        <f t="array" aca="1" ref="AS58" ca="1">Notmerged(AS29)</f>
        <v>#NAME?</v>
      </c>
      <c r="AT58" s="128" t="e" cm="1">
        <f t="array" aca="1" ref="AT58" ca="1">Notmerged(AT29)</f>
        <v>#NAME?</v>
      </c>
      <c r="AU58" s="128" t="e" cm="1">
        <f t="array" aca="1" ref="AU58" ca="1">Notmerged(AU29)</f>
        <v>#NAME?</v>
      </c>
      <c r="AV58" s="128" t="e" cm="1">
        <f t="array" aca="1" ref="AV58" ca="1">Notmerged(AV29)</f>
        <v>#NAME?</v>
      </c>
      <c r="AW58" s="128" t="e" cm="1">
        <f t="array" aca="1" ref="AW58" ca="1">Notmerged(AW29)</f>
        <v>#NAME?</v>
      </c>
      <c r="AX58" s="128" t="e" cm="1">
        <f t="array" aca="1" ref="AX58" ca="1">Notmerged(AX29)</f>
        <v>#NAME?</v>
      </c>
      <c r="AY58" s="128" t="e" cm="1">
        <f t="array" aca="1" ref="AY58" ca="1">Notmerged(AY29)</f>
        <v>#NAME?</v>
      </c>
      <c r="AZ58" s="128" t="e" cm="1">
        <f t="array" aca="1" ref="AZ58" ca="1">Notmerged(AZ29)</f>
        <v>#NAME?</v>
      </c>
      <c r="BA58" s="128" t="e" cm="1">
        <f t="array" aca="1" ref="BA58" ca="1">Notmerged(BA29)</f>
        <v>#NAME?</v>
      </c>
      <c r="BB58" s="128" t="e" cm="1">
        <f t="array" aca="1" ref="BB58" ca="1">Notmerged(BB29)</f>
        <v>#NAME?</v>
      </c>
      <c r="BC58" s="128" t="e" cm="1">
        <f t="array" aca="1" ref="BC58" ca="1">Notmerged(BC29)</f>
        <v>#NAME?</v>
      </c>
      <c r="BD58" s="128" t="e" cm="1">
        <f t="array" aca="1" ref="BD58" ca="1">Notmerged(BD29)</f>
        <v>#NAME?</v>
      </c>
      <c r="BE58" s="128" t="e" cm="1">
        <f t="array" aca="1" ref="BE58" ca="1">Notmerged(BE29)</f>
        <v>#NAME?</v>
      </c>
      <c r="BF58" s="128" t="e" cm="1">
        <f t="array" aca="1" ref="BF58" ca="1">Notmerged(BF29)</f>
        <v>#NAME?</v>
      </c>
      <c r="BG58" s="128" t="e" cm="1">
        <f t="array" aca="1" ref="BG58" ca="1">Notmerged(BG29)</f>
        <v>#NAME?</v>
      </c>
      <c r="BH58" s="128" t="e" cm="1">
        <f t="array" aca="1" ref="BH58" ca="1">Notmerged(BH29)</f>
        <v>#NAME?</v>
      </c>
      <c r="BI58" s="128" t="e" cm="1">
        <f t="array" aca="1" ref="BI58" ca="1">Notmerged(BI29)</f>
        <v>#NAME?</v>
      </c>
      <c r="BJ58" s="128" t="e" cm="1">
        <f t="array" aca="1" ref="BJ58" ca="1">Notmerged(BJ29)</f>
        <v>#NAME?</v>
      </c>
      <c r="BK58" s="128" t="e" cm="1">
        <f t="array" aca="1" ref="BK58" ca="1">Notmerged(BK29)</f>
        <v>#NAME?</v>
      </c>
    </row>
    <row r="59" spans="2:63" x14ac:dyDescent="0.3">
      <c r="B59" s="128" t="e" cm="1">
        <f t="array" aca="1" ref="B59" ca="1">Notmerged(B30)</f>
        <v>#NAME?</v>
      </c>
      <c r="C59" s="128" t="e" cm="1">
        <f t="array" aca="1" ref="C59" ca="1">Notmerged(C30)</f>
        <v>#NAME?</v>
      </c>
      <c r="D59" s="128" t="e" cm="1">
        <f t="array" aca="1" ref="D59" ca="1">Notmerged(D30)</f>
        <v>#NAME?</v>
      </c>
      <c r="E59" s="128" t="e" cm="1">
        <f t="array" aca="1" ref="E59" ca="1">Notmerged(E30)</f>
        <v>#NAME?</v>
      </c>
      <c r="F59" s="128" t="e" cm="1">
        <f t="array" aca="1" ref="F59" ca="1">Notmerged(F30)</f>
        <v>#NAME?</v>
      </c>
      <c r="G59" s="128" t="e" cm="1">
        <f t="array" aca="1" ref="G59" ca="1">Notmerged(G30)</f>
        <v>#NAME?</v>
      </c>
      <c r="H59" s="128" t="e" cm="1">
        <f t="array" aca="1" ref="H59" ca="1">Notmerged(H30)</f>
        <v>#NAME?</v>
      </c>
      <c r="I59" s="128" t="e" cm="1">
        <f t="array" aca="1" ref="I59" ca="1">Notmerged(I30)</f>
        <v>#NAME?</v>
      </c>
      <c r="J59" s="128" t="e" cm="1">
        <f t="array" aca="1" ref="J59" ca="1">Notmerged(J30)</f>
        <v>#NAME?</v>
      </c>
      <c r="K59" s="128" t="e" cm="1">
        <f t="array" aca="1" ref="K59" ca="1">Notmerged(K30)</f>
        <v>#NAME?</v>
      </c>
      <c r="L59" s="128" t="e" cm="1">
        <f t="array" aca="1" ref="L59" ca="1">Notmerged(L30)</f>
        <v>#NAME?</v>
      </c>
      <c r="M59" s="128" t="e" cm="1">
        <f t="array" aca="1" ref="M59" ca="1">Notmerged(M30)</f>
        <v>#NAME?</v>
      </c>
      <c r="N59" s="128" t="e" cm="1">
        <f t="array" aca="1" ref="N59" ca="1">Notmerged(N30)</f>
        <v>#NAME?</v>
      </c>
      <c r="O59" s="128" t="e" cm="1">
        <f t="array" aca="1" ref="O59" ca="1">Notmerged(O30)</f>
        <v>#NAME?</v>
      </c>
      <c r="P59" s="128" t="e" cm="1">
        <f t="array" aca="1" ref="P59" ca="1">Notmerged(P30)</f>
        <v>#NAME?</v>
      </c>
      <c r="Q59" s="128" t="e" cm="1">
        <f t="array" aca="1" ref="Q59" ca="1">Notmerged(Q30)</f>
        <v>#NAME?</v>
      </c>
      <c r="R59" s="128" t="e" cm="1">
        <f t="array" aca="1" ref="R59" ca="1">Notmerged(R30)</f>
        <v>#NAME?</v>
      </c>
      <c r="S59" s="128" t="e" cm="1">
        <f t="array" aca="1" ref="S59" ca="1">Notmerged(S30)</f>
        <v>#NAME?</v>
      </c>
      <c r="T59" s="128" t="e" cm="1">
        <f t="array" aca="1" ref="T59" ca="1">Notmerged(T30)</f>
        <v>#NAME?</v>
      </c>
      <c r="U59" s="128" t="e" cm="1">
        <f t="array" aca="1" ref="U59" ca="1">Notmerged(U30)</f>
        <v>#NAME?</v>
      </c>
      <c r="V59" s="128" t="e" cm="1">
        <f t="array" aca="1" ref="V59" ca="1">Notmerged(V30)</f>
        <v>#NAME?</v>
      </c>
      <c r="W59" s="128" t="e" cm="1">
        <f t="array" aca="1" ref="W59" ca="1">Notmerged(W30)</f>
        <v>#NAME?</v>
      </c>
      <c r="X59" s="128" t="e" cm="1">
        <f t="array" aca="1" ref="X59" ca="1">Notmerged(X30)</f>
        <v>#NAME?</v>
      </c>
      <c r="Y59" s="128" t="e" cm="1">
        <f t="array" aca="1" ref="Y59" ca="1">Notmerged(Y30)</f>
        <v>#NAME?</v>
      </c>
      <c r="Z59" s="128" t="e" cm="1">
        <f t="array" aca="1" ref="Z59" ca="1">Notmerged(Z30)</f>
        <v>#NAME?</v>
      </c>
      <c r="AA59" s="128" t="e" cm="1">
        <f t="array" aca="1" ref="AA59" ca="1">Notmerged(AA30)</f>
        <v>#NAME?</v>
      </c>
      <c r="AB59" s="128" t="e" cm="1">
        <f t="array" aca="1" ref="AB59" ca="1">Notmerged(AB30)</f>
        <v>#NAME?</v>
      </c>
      <c r="AC59" s="128" t="e" cm="1">
        <f t="array" aca="1" ref="AC59" ca="1">Notmerged(AC30)</f>
        <v>#NAME?</v>
      </c>
      <c r="AD59" s="128" t="e" cm="1">
        <f t="array" aca="1" ref="AD59" ca="1">Notmerged(AD30)</f>
        <v>#NAME?</v>
      </c>
      <c r="AE59" s="128" t="e" cm="1">
        <f t="array" aca="1" ref="AE59" ca="1">Notmerged(AE30)</f>
        <v>#NAME?</v>
      </c>
      <c r="AF59" s="128" t="e" cm="1">
        <f t="array" aca="1" ref="AF59" ca="1">Notmerged(AF30)</f>
        <v>#NAME?</v>
      </c>
      <c r="AG59" s="128" t="e" cm="1">
        <f t="array" aca="1" ref="AG59" ca="1">Notmerged(AG30)</f>
        <v>#NAME?</v>
      </c>
      <c r="AH59" s="128" t="e" cm="1">
        <f t="array" aca="1" ref="AH59" ca="1">Notmerged(AH30)</f>
        <v>#NAME?</v>
      </c>
      <c r="AI59" s="128" t="e" cm="1">
        <f t="array" aca="1" ref="AI59" ca="1">Notmerged(AI30)</f>
        <v>#NAME?</v>
      </c>
      <c r="AJ59" s="128" t="e" cm="1">
        <f t="array" aca="1" ref="AJ59" ca="1">Notmerged(AJ30)</f>
        <v>#NAME?</v>
      </c>
      <c r="AK59" s="128" t="e" cm="1">
        <f t="array" aca="1" ref="AK59" ca="1">Notmerged(AK30)</f>
        <v>#NAME?</v>
      </c>
      <c r="AL59" s="128" t="e" cm="1">
        <f t="array" aca="1" ref="AL59" ca="1">Notmerged(AL30)</f>
        <v>#NAME?</v>
      </c>
      <c r="AM59" s="128" t="e" cm="1">
        <f t="array" aca="1" ref="AM59" ca="1">Notmerged(AM30)</f>
        <v>#NAME?</v>
      </c>
      <c r="AN59" s="128" t="e" cm="1">
        <f t="array" aca="1" ref="AN59" ca="1">Notmerged(AN30)</f>
        <v>#NAME?</v>
      </c>
      <c r="AO59" s="128" t="e" cm="1">
        <f t="array" aca="1" ref="AO59" ca="1">Notmerged(AO30)</f>
        <v>#NAME?</v>
      </c>
      <c r="AP59" s="128" t="e" cm="1">
        <f t="array" aca="1" ref="AP59" ca="1">Notmerged(AP30)</f>
        <v>#NAME?</v>
      </c>
      <c r="AQ59" s="128" t="e" cm="1">
        <f t="array" aca="1" ref="AQ59" ca="1">Notmerged(AQ30)</f>
        <v>#NAME?</v>
      </c>
      <c r="AR59" s="128" t="e" cm="1">
        <f t="array" aca="1" ref="AR59" ca="1">Notmerged(AR30)</f>
        <v>#NAME?</v>
      </c>
      <c r="AS59" s="128" t="e" cm="1">
        <f t="array" aca="1" ref="AS59" ca="1">Notmerged(AS30)</f>
        <v>#NAME?</v>
      </c>
      <c r="AT59" s="128" t="e" cm="1">
        <f t="array" aca="1" ref="AT59" ca="1">Notmerged(AT30)</f>
        <v>#NAME?</v>
      </c>
      <c r="AU59" s="128" t="e" cm="1">
        <f t="array" aca="1" ref="AU59" ca="1">Notmerged(AU30)</f>
        <v>#NAME?</v>
      </c>
      <c r="AV59" s="128" t="e" cm="1">
        <f t="array" aca="1" ref="AV59" ca="1">Notmerged(AV30)</f>
        <v>#NAME?</v>
      </c>
      <c r="AW59" s="128" t="e" cm="1">
        <f t="array" aca="1" ref="AW59" ca="1">Notmerged(AW30)</f>
        <v>#NAME?</v>
      </c>
      <c r="AX59" s="128" t="e" cm="1">
        <f t="array" aca="1" ref="AX59" ca="1">Notmerged(AX30)</f>
        <v>#NAME?</v>
      </c>
      <c r="AY59" s="128" t="e" cm="1">
        <f t="array" aca="1" ref="AY59" ca="1">Notmerged(AY30)</f>
        <v>#NAME?</v>
      </c>
      <c r="AZ59" s="128" t="e" cm="1">
        <f t="array" aca="1" ref="AZ59" ca="1">Notmerged(AZ30)</f>
        <v>#NAME?</v>
      </c>
      <c r="BA59" s="128" t="e" cm="1">
        <f t="array" aca="1" ref="BA59" ca="1">Notmerged(BA30)</f>
        <v>#NAME?</v>
      </c>
      <c r="BB59" s="128" t="e" cm="1">
        <f t="array" aca="1" ref="BB59" ca="1">Notmerged(BB30)</f>
        <v>#NAME?</v>
      </c>
      <c r="BC59" s="128" t="e" cm="1">
        <f t="array" aca="1" ref="BC59" ca="1">Notmerged(BC30)</f>
        <v>#NAME?</v>
      </c>
      <c r="BD59" s="128" t="e" cm="1">
        <f t="array" aca="1" ref="BD59" ca="1">Notmerged(BD30)</f>
        <v>#NAME?</v>
      </c>
      <c r="BE59" s="128" t="e" cm="1">
        <f t="array" aca="1" ref="BE59" ca="1">Notmerged(BE30)</f>
        <v>#NAME?</v>
      </c>
      <c r="BF59" s="128" t="e" cm="1">
        <f t="array" aca="1" ref="BF59" ca="1">Notmerged(BF30)</f>
        <v>#NAME?</v>
      </c>
      <c r="BG59" s="128" t="e" cm="1">
        <f t="array" aca="1" ref="BG59" ca="1">Notmerged(BG30)</f>
        <v>#NAME?</v>
      </c>
      <c r="BH59" s="128" t="e" cm="1">
        <f t="array" aca="1" ref="BH59" ca="1">Notmerged(BH30)</f>
        <v>#NAME?</v>
      </c>
      <c r="BI59" s="128" t="e" cm="1">
        <f t="array" aca="1" ref="BI59" ca="1">Notmerged(BI30)</f>
        <v>#NAME?</v>
      </c>
      <c r="BJ59" s="128" t="e" cm="1">
        <f t="array" aca="1" ref="BJ59" ca="1">Notmerged(BJ30)</f>
        <v>#NAME?</v>
      </c>
      <c r="BK59" s="128" t="e" cm="1">
        <f t="array" aca="1" ref="BK59" ca="1">Notmerged(BK30)</f>
        <v>#NAME?</v>
      </c>
    </row>
    <row r="60" spans="2:63" x14ac:dyDescent="0.3">
      <c r="B60" s="128" t="e" cm="1">
        <f t="array" aca="1" ref="B60" ca="1">Notmerged(B31)</f>
        <v>#NAME?</v>
      </c>
      <c r="C60" s="128" t="e" cm="1">
        <f t="array" aca="1" ref="C60" ca="1">Notmerged(C31)</f>
        <v>#NAME?</v>
      </c>
      <c r="D60" s="128" t="e" cm="1">
        <f t="array" aca="1" ref="D60" ca="1">Notmerged(D31)</f>
        <v>#NAME?</v>
      </c>
      <c r="E60" s="128" t="e" cm="1">
        <f t="array" aca="1" ref="E60" ca="1">Notmerged(E31)</f>
        <v>#NAME?</v>
      </c>
      <c r="F60" s="128" t="e" cm="1">
        <f t="array" aca="1" ref="F60" ca="1">Notmerged(F31)</f>
        <v>#NAME?</v>
      </c>
      <c r="G60" s="128" t="e" cm="1">
        <f t="array" aca="1" ref="G60" ca="1">Notmerged(G31)</f>
        <v>#NAME?</v>
      </c>
      <c r="H60" s="128" t="e" cm="1">
        <f t="array" aca="1" ref="H60" ca="1">Notmerged(H31)</f>
        <v>#NAME?</v>
      </c>
      <c r="I60" s="128" t="e" cm="1">
        <f t="array" aca="1" ref="I60" ca="1">Notmerged(I31)</f>
        <v>#NAME?</v>
      </c>
      <c r="J60" s="128" t="e" cm="1">
        <f t="array" aca="1" ref="J60" ca="1">Notmerged(J31)</f>
        <v>#NAME?</v>
      </c>
      <c r="K60" s="128" t="e" cm="1">
        <f t="array" aca="1" ref="K60" ca="1">Notmerged(K31)</f>
        <v>#NAME?</v>
      </c>
      <c r="L60" s="128" t="e" cm="1">
        <f t="array" aca="1" ref="L60" ca="1">Notmerged(L31)</f>
        <v>#NAME?</v>
      </c>
      <c r="M60" s="128" t="e" cm="1">
        <f t="array" aca="1" ref="M60" ca="1">Notmerged(M31)</f>
        <v>#NAME?</v>
      </c>
      <c r="N60" s="128" t="e" cm="1">
        <f t="array" aca="1" ref="N60" ca="1">Notmerged(N31)</f>
        <v>#NAME?</v>
      </c>
      <c r="O60" s="128" t="e" cm="1">
        <f t="array" aca="1" ref="O60" ca="1">Notmerged(O31)</f>
        <v>#NAME?</v>
      </c>
      <c r="P60" s="128" t="e" cm="1">
        <f t="array" aca="1" ref="P60" ca="1">Notmerged(P31)</f>
        <v>#NAME?</v>
      </c>
      <c r="Q60" s="128" t="e" cm="1">
        <f t="array" aca="1" ref="Q60" ca="1">Notmerged(Q31)</f>
        <v>#NAME?</v>
      </c>
      <c r="R60" s="128" t="e" cm="1">
        <f t="array" aca="1" ref="R60" ca="1">Notmerged(R31)</f>
        <v>#NAME?</v>
      </c>
      <c r="S60" s="128" t="e" cm="1">
        <f t="array" aca="1" ref="S60" ca="1">Notmerged(S31)</f>
        <v>#NAME?</v>
      </c>
      <c r="T60" s="128" t="e" cm="1">
        <f t="array" aca="1" ref="T60" ca="1">Notmerged(T31)</f>
        <v>#NAME?</v>
      </c>
      <c r="U60" s="128" t="e" cm="1">
        <f t="array" aca="1" ref="U60" ca="1">Notmerged(U31)</f>
        <v>#NAME?</v>
      </c>
      <c r="V60" s="128" t="e" cm="1">
        <f t="array" aca="1" ref="V60" ca="1">Notmerged(V31)</f>
        <v>#NAME?</v>
      </c>
      <c r="W60" s="128" t="e" cm="1">
        <f t="array" aca="1" ref="W60" ca="1">Notmerged(W31)</f>
        <v>#NAME?</v>
      </c>
      <c r="X60" s="128" t="e" cm="1">
        <f t="array" aca="1" ref="X60" ca="1">Notmerged(X31)</f>
        <v>#NAME?</v>
      </c>
      <c r="Y60" s="128" t="e" cm="1">
        <f t="array" aca="1" ref="Y60" ca="1">Notmerged(Y31)</f>
        <v>#NAME?</v>
      </c>
      <c r="Z60" s="128" t="e" cm="1">
        <f t="array" aca="1" ref="Z60" ca="1">Notmerged(Z31)</f>
        <v>#NAME?</v>
      </c>
      <c r="AA60" s="128" t="e" cm="1">
        <f t="array" aca="1" ref="AA60" ca="1">Notmerged(AA31)</f>
        <v>#NAME?</v>
      </c>
      <c r="AB60" s="128" t="e" cm="1">
        <f t="array" aca="1" ref="AB60" ca="1">Notmerged(AB31)</f>
        <v>#NAME?</v>
      </c>
      <c r="AC60" s="128" t="e" cm="1">
        <f t="array" aca="1" ref="AC60" ca="1">Notmerged(AC31)</f>
        <v>#NAME?</v>
      </c>
      <c r="AD60" s="128" t="e" cm="1">
        <f t="array" aca="1" ref="AD60" ca="1">Notmerged(AD31)</f>
        <v>#NAME?</v>
      </c>
      <c r="AE60" s="128" t="e" cm="1">
        <f t="array" aca="1" ref="AE60" ca="1">Notmerged(AE31)</f>
        <v>#NAME?</v>
      </c>
      <c r="AF60" s="128" t="e" cm="1">
        <f t="array" aca="1" ref="AF60" ca="1">Notmerged(AF31)</f>
        <v>#NAME?</v>
      </c>
      <c r="AG60" s="128" t="e" cm="1">
        <f t="array" aca="1" ref="AG60" ca="1">Notmerged(AG31)</f>
        <v>#NAME?</v>
      </c>
      <c r="AH60" s="128" t="e" cm="1">
        <f t="array" aca="1" ref="AH60" ca="1">Notmerged(AH31)</f>
        <v>#NAME?</v>
      </c>
      <c r="AI60" s="128" t="e" cm="1">
        <f t="array" aca="1" ref="AI60" ca="1">Notmerged(AI31)</f>
        <v>#NAME?</v>
      </c>
      <c r="AJ60" s="128" t="e" cm="1">
        <f t="array" aca="1" ref="AJ60" ca="1">Notmerged(AJ31)</f>
        <v>#NAME?</v>
      </c>
      <c r="AK60" s="128" t="e" cm="1">
        <f t="array" aca="1" ref="AK60" ca="1">Notmerged(AK31)</f>
        <v>#NAME?</v>
      </c>
      <c r="AL60" s="128" t="e" cm="1">
        <f t="array" aca="1" ref="AL60" ca="1">Notmerged(AL31)</f>
        <v>#NAME?</v>
      </c>
      <c r="AM60" s="128" t="e" cm="1">
        <f t="array" aca="1" ref="AM60" ca="1">Notmerged(AM31)</f>
        <v>#NAME?</v>
      </c>
      <c r="AN60" s="128" t="e" cm="1">
        <f t="array" aca="1" ref="AN60" ca="1">Notmerged(AN31)</f>
        <v>#NAME?</v>
      </c>
      <c r="AO60" s="128" t="e" cm="1">
        <f t="array" aca="1" ref="AO60" ca="1">Notmerged(AO31)</f>
        <v>#NAME?</v>
      </c>
      <c r="AP60" s="128" t="e" cm="1">
        <f t="array" aca="1" ref="AP60" ca="1">Notmerged(AP31)</f>
        <v>#NAME?</v>
      </c>
      <c r="AQ60" s="128" t="e" cm="1">
        <f t="array" aca="1" ref="AQ60" ca="1">Notmerged(AQ31)</f>
        <v>#NAME?</v>
      </c>
      <c r="AR60" s="128" t="e" cm="1">
        <f t="array" aca="1" ref="AR60" ca="1">Notmerged(AR31)</f>
        <v>#NAME?</v>
      </c>
      <c r="AS60" s="128" t="e" cm="1">
        <f t="array" aca="1" ref="AS60" ca="1">Notmerged(AS31)</f>
        <v>#NAME?</v>
      </c>
      <c r="AT60" s="128" t="e" cm="1">
        <f t="array" aca="1" ref="AT60" ca="1">Notmerged(AT31)</f>
        <v>#NAME?</v>
      </c>
      <c r="AU60" s="128" t="e" cm="1">
        <f t="array" aca="1" ref="AU60" ca="1">Notmerged(AU31)</f>
        <v>#NAME?</v>
      </c>
      <c r="AV60" s="128" t="e" cm="1">
        <f t="array" aca="1" ref="AV60" ca="1">Notmerged(AV31)</f>
        <v>#NAME?</v>
      </c>
      <c r="AW60" s="128" t="e" cm="1">
        <f t="array" aca="1" ref="AW60" ca="1">Notmerged(AW31)</f>
        <v>#NAME?</v>
      </c>
      <c r="AX60" s="128" t="e" cm="1">
        <f t="array" aca="1" ref="AX60" ca="1">Notmerged(AX31)</f>
        <v>#NAME?</v>
      </c>
      <c r="AY60" s="128" t="e" cm="1">
        <f t="array" aca="1" ref="AY60" ca="1">Notmerged(AY31)</f>
        <v>#NAME?</v>
      </c>
      <c r="AZ60" s="128" t="e" cm="1">
        <f t="array" aca="1" ref="AZ60" ca="1">Notmerged(AZ31)</f>
        <v>#NAME?</v>
      </c>
      <c r="BA60" s="128" t="e" cm="1">
        <f t="array" aca="1" ref="BA60" ca="1">Notmerged(BA31)</f>
        <v>#NAME?</v>
      </c>
      <c r="BB60" s="128" t="e" cm="1">
        <f t="array" aca="1" ref="BB60" ca="1">Notmerged(BB31)</f>
        <v>#NAME?</v>
      </c>
      <c r="BC60" s="128" t="e" cm="1">
        <f t="array" aca="1" ref="BC60" ca="1">Notmerged(BC31)</f>
        <v>#NAME?</v>
      </c>
      <c r="BD60" s="128" t="e" cm="1">
        <f t="array" aca="1" ref="BD60" ca="1">Notmerged(BD31)</f>
        <v>#NAME?</v>
      </c>
      <c r="BE60" s="128" t="e" cm="1">
        <f t="array" aca="1" ref="BE60" ca="1">Notmerged(BE31)</f>
        <v>#NAME?</v>
      </c>
      <c r="BF60" s="128" t="e" cm="1">
        <f t="array" aca="1" ref="BF60" ca="1">Notmerged(BF31)</f>
        <v>#NAME?</v>
      </c>
      <c r="BG60" s="128" t="e" cm="1">
        <f t="array" aca="1" ref="BG60" ca="1">Notmerged(BG31)</f>
        <v>#NAME?</v>
      </c>
      <c r="BH60" s="128" t="e" cm="1">
        <f t="array" aca="1" ref="BH60" ca="1">Notmerged(BH31)</f>
        <v>#NAME?</v>
      </c>
      <c r="BI60" s="128" t="e" cm="1">
        <f t="array" aca="1" ref="BI60" ca="1">Notmerged(BI31)</f>
        <v>#NAME?</v>
      </c>
      <c r="BJ60" s="128" t="e" cm="1">
        <f t="array" aca="1" ref="BJ60" ca="1">Notmerged(BJ31)</f>
        <v>#NAME?</v>
      </c>
      <c r="BK60" s="128" t="e" cm="1">
        <f t="array" aca="1" ref="BK60" ca="1">Notmerged(BK31)</f>
        <v>#NAME?</v>
      </c>
    </row>
  </sheetData>
  <sheetProtection algorithmName="SHA-512" hashValue="PADdbS7VqocKjJwocQdiDmRXWdh3nBTtjO0PqdQj3JZaHcuH1kqC95dizG3LuP88xvoUs5B9ejR8UmesA/ySBg==" saltValue="d2AgfdB8ledACpcryq8eNQ==" spinCount="100000" sheet="1" objects="1" scenarios="1" formatCells="0"/>
  <mergeCells count="89">
    <mergeCell ref="BA4:BA9"/>
    <mergeCell ref="BA10:BA15"/>
    <mergeCell ref="BA16:BA21"/>
    <mergeCell ref="BA22:BA27"/>
    <mergeCell ref="BD10:BD15"/>
    <mergeCell ref="BD16:BD21"/>
    <mergeCell ref="BD22:BD27"/>
    <mergeCell ref="AZ4:AZ9"/>
    <mergeCell ref="AZ16:AZ21"/>
    <mergeCell ref="AZ10:AZ12"/>
    <mergeCell ref="AZ13:AZ15"/>
    <mergeCell ref="AZ22:AZ24"/>
    <mergeCell ref="AX4:AX9"/>
    <mergeCell ref="AX10:AX15"/>
    <mergeCell ref="AX16:AX21"/>
    <mergeCell ref="AX22:AX27"/>
    <mergeCell ref="AY10:AY15"/>
    <mergeCell ref="AY16:AY21"/>
    <mergeCell ref="AY22:AY27"/>
    <mergeCell ref="T10:T13"/>
    <mergeCell ref="T22:T25"/>
    <mergeCell ref="U17:U22"/>
    <mergeCell ref="AW4:AW9"/>
    <mergeCell ref="AW10:AW15"/>
    <mergeCell ref="AW16:AW21"/>
    <mergeCell ref="AW22:AW27"/>
    <mergeCell ref="AH8:AH13"/>
    <mergeCell ref="AH18:AH23"/>
    <mergeCell ref="AN5:AN6"/>
    <mergeCell ref="AN7:AN12"/>
    <mergeCell ref="AN15:AN16"/>
    <mergeCell ref="AN17:AN22"/>
    <mergeCell ref="Q6:Q7"/>
    <mergeCell ref="Q8:Q13"/>
    <mergeCell ref="Q16:Q21"/>
    <mergeCell ref="Q22:Q23"/>
    <mergeCell ref="R6:R11"/>
    <mergeCell ref="R12:R13"/>
    <mergeCell ref="R18:R23"/>
    <mergeCell ref="O6:O11"/>
    <mergeCell ref="O12:O13"/>
    <mergeCell ref="O16:O21"/>
    <mergeCell ref="O22:O23"/>
    <mergeCell ref="P16:P21"/>
    <mergeCell ref="M12:M17"/>
    <mergeCell ref="N6:N11"/>
    <mergeCell ref="N12:N13"/>
    <mergeCell ref="N16:N21"/>
    <mergeCell ref="N22:N23"/>
    <mergeCell ref="K4:K9"/>
    <mergeCell ref="K10:K15"/>
    <mergeCell ref="K16:K21"/>
    <mergeCell ref="L4:L9"/>
    <mergeCell ref="L10:L15"/>
    <mergeCell ref="L16:L21"/>
    <mergeCell ref="D22:D25"/>
    <mergeCell ref="E6:E9"/>
    <mergeCell ref="E10:E13"/>
    <mergeCell ref="E14:E17"/>
    <mergeCell ref="E22:E25"/>
    <mergeCell ref="C6:C9"/>
    <mergeCell ref="C10:C13"/>
    <mergeCell ref="C18:C21"/>
    <mergeCell ref="D6:D9"/>
    <mergeCell ref="D10:D13"/>
    <mergeCell ref="D18:D21"/>
    <mergeCell ref="B19:B21"/>
    <mergeCell ref="B4:B6"/>
    <mergeCell ref="B7:B9"/>
    <mergeCell ref="B10:B12"/>
    <mergeCell ref="B13:B15"/>
    <mergeCell ref="F7:F12"/>
    <mergeCell ref="F14:F17"/>
    <mergeCell ref="F18:F21"/>
    <mergeCell ref="G6:G9"/>
    <mergeCell ref="G10:G13"/>
    <mergeCell ref="G18:G21"/>
    <mergeCell ref="J19:J24"/>
    <mergeCell ref="H4:H9"/>
    <mergeCell ref="H13:H18"/>
    <mergeCell ref="I10:I15"/>
    <mergeCell ref="J6:J9"/>
    <mergeCell ref="J10:J13"/>
    <mergeCell ref="BF5:BF6"/>
    <mergeCell ref="BF7:BF12"/>
    <mergeCell ref="BF17:BF18"/>
    <mergeCell ref="BF19:BF24"/>
    <mergeCell ref="BH8:BH13"/>
    <mergeCell ref="BH15:BH20"/>
  </mergeCells>
  <pageMargins left="0.7" right="0.7" top="0.75" bottom="0.75" header="0.3" footer="0.3"/>
  <pageSetup paperSize="9" scale="14" orientation="landscape"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utton 1">
              <controlPr defaultSize="0" print="0" autoFill="0" autoPict="0" macro="[0]!MergeCells">
                <anchor moveWithCells="1" sizeWithCells="1">
                  <from>
                    <xdr:col>0</xdr:col>
                    <xdr:colOff>68580</xdr:colOff>
                    <xdr:row>0</xdr:row>
                    <xdr:rowOff>7620</xdr:rowOff>
                  </from>
                  <to>
                    <xdr:col>0</xdr:col>
                    <xdr:colOff>1295400</xdr:colOff>
                    <xdr:row>0</xdr:row>
                    <xdr:rowOff>335280</xdr:rowOff>
                  </to>
                </anchor>
              </controlPr>
            </control>
          </mc:Choice>
        </mc:AlternateContent>
        <mc:AlternateContent xmlns:mc="http://schemas.openxmlformats.org/markup-compatibility/2006">
          <mc:Choice Requires="x14">
            <control shapeId="17410" r:id="rId5" name="Button 2">
              <controlPr defaultSize="0" print="0" autoFill="0" autoPict="0" macro="[0]!UnmergeCells">
                <anchor moveWithCells="1" sizeWithCells="1">
                  <from>
                    <xdr:col>0</xdr:col>
                    <xdr:colOff>68580</xdr:colOff>
                    <xdr:row>0</xdr:row>
                    <xdr:rowOff>342900</xdr:rowOff>
                  </from>
                  <to>
                    <xdr:col>0</xdr:col>
                    <xdr:colOff>1295400</xdr:colOff>
                    <xdr:row>0</xdr:row>
                    <xdr:rowOff>640080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tabColor rgb="FFFFFF00"/>
  </sheetPr>
  <dimension ref="A1:R52"/>
  <sheetViews>
    <sheetView showGridLines="0" topLeftCell="C1" zoomScale="70" zoomScaleNormal="70" workbookViewId="0">
      <selection activeCell="L11" sqref="L11"/>
    </sheetView>
  </sheetViews>
  <sheetFormatPr defaultColWidth="9.109375" defaultRowHeight="14.4" x14ac:dyDescent="0.3"/>
  <cols>
    <col min="1" max="1" width="1.5546875" style="36" customWidth="1"/>
    <col min="2" max="2" width="13.88671875" style="36" customWidth="1"/>
    <col min="3" max="8" width="12.44140625" style="40" customWidth="1"/>
    <col min="9" max="9" width="13" style="40" customWidth="1"/>
    <col min="10" max="10" width="5.5546875" style="36" customWidth="1"/>
    <col min="11" max="11" width="18.5546875" style="36" customWidth="1"/>
    <col min="12" max="12" width="12.44140625" style="40" customWidth="1"/>
    <col min="13" max="17" width="12.44140625" style="36" customWidth="1"/>
    <col min="18" max="18" width="12.5546875" style="36" customWidth="1"/>
    <col min="19" max="16384" width="9.109375" style="36"/>
  </cols>
  <sheetData>
    <row r="1" spans="1:18" ht="18" x14ac:dyDescent="0.35">
      <c r="A1"/>
      <c r="B1" s="353"/>
      <c r="C1" s="353"/>
      <c r="D1" s="353"/>
      <c r="E1" s="353"/>
      <c r="F1" s="353"/>
      <c r="G1" s="353"/>
      <c r="H1" s="353"/>
      <c r="I1" s="353"/>
      <c r="J1" s="353"/>
      <c r="K1" s="353"/>
      <c r="L1" s="353"/>
      <c r="M1" s="353"/>
      <c r="N1" s="353"/>
      <c r="O1" s="353"/>
      <c r="P1" s="353"/>
      <c r="Q1" s="353"/>
      <c r="R1" s="353"/>
    </row>
    <row r="2" spans="1:18" ht="18" x14ac:dyDescent="0.35">
      <c r="A2"/>
      <c r="B2" s="353" t="s">
        <v>2858</v>
      </c>
      <c r="C2" s="353"/>
      <c r="D2" s="353"/>
      <c r="E2" s="353"/>
      <c r="F2" s="353"/>
      <c r="G2" s="353"/>
      <c r="H2" s="353"/>
      <c r="I2" s="353"/>
      <c r="J2" s="353"/>
      <c r="K2" s="353"/>
      <c r="L2" s="353"/>
      <c r="M2" s="353"/>
      <c r="N2" s="353"/>
      <c r="O2" s="353"/>
      <c r="P2" s="353"/>
      <c r="Q2" s="353"/>
      <c r="R2" s="353"/>
    </row>
    <row r="4" spans="1:18" x14ac:dyDescent="0.3">
      <c r="B4" s="412" t="s">
        <v>17</v>
      </c>
      <c r="C4" s="411" t="s">
        <v>2859</v>
      </c>
      <c r="D4" s="411"/>
      <c r="E4" s="411"/>
      <c r="F4" s="411"/>
      <c r="G4" s="411"/>
      <c r="H4" s="411"/>
      <c r="I4" s="410" t="s">
        <v>2860</v>
      </c>
      <c r="K4" s="412" t="s">
        <v>45</v>
      </c>
      <c r="L4" s="411" t="s">
        <v>2859</v>
      </c>
      <c r="M4" s="411"/>
      <c r="N4" s="411"/>
      <c r="O4" s="411"/>
      <c r="P4" s="411"/>
      <c r="Q4" s="411"/>
      <c r="R4" s="410" t="s">
        <v>2860</v>
      </c>
    </row>
    <row r="5" spans="1:18" x14ac:dyDescent="0.3">
      <c r="B5" s="413"/>
      <c r="C5" s="66" t="s">
        <v>2861</v>
      </c>
      <c r="D5" s="66" t="s">
        <v>2862</v>
      </c>
      <c r="E5" s="66" t="s">
        <v>2863</v>
      </c>
      <c r="F5" s="66" t="s">
        <v>2864</v>
      </c>
      <c r="G5" s="66" t="s">
        <v>2865</v>
      </c>
      <c r="H5" s="66" t="s">
        <v>2866</v>
      </c>
      <c r="I5" s="410"/>
      <c r="K5" s="413"/>
      <c r="L5" s="66" t="s">
        <v>2861</v>
      </c>
      <c r="M5" s="66" t="s">
        <v>2862</v>
      </c>
      <c r="N5" s="66" t="s">
        <v>2863</v>
      </c>
      <c r="O5" s="66" t="s">
        <v>2864</v>
      </c>
      <c r="P5" s="66" t="s">
        <v>2865</v>
      </c>
      <c r="Q5" s="66" t="s">
        <v>2866</v>
      </c>
      <c r="R5" s="410"/>
    </row>
    <row r="6" spans="1:18" x14ac:dyDescent="0.3">
      <c r="B6" s="67">
        <f>MONDAY!C3</f>
        <v>201</v>
      </c>
      <c r="C6" s="68">
        <f ca="1">MONDAY!C$32</f>
        <v>1</v>
      </c>
      <c r="D6" s="68">
        <f ca="1">TUESDAY!$C$32</f>
        <v>1</v>
      </c>
      <c r="E6" s="68">
        <f ca="1">WEDNESDAY!$C$32</f>
        <v>1</v>
      </c>
      <c r="F6" s="68">
        <f ca="1">THURSDAY!$C$32</f>
        <v>1</v>
      </c>
      <c r="G6" s="68">
        <f ca="1">FRIDAY!$C$32</f>
        <v>1</v>
      </c>
      <c r="H6" s="68">
        <f ca="1">SATURDAY!$C$32</f>
        <v>1</v>
      </c>
      <c r="I6" s="68" cm="1">
        <f t="array" aca="1" ref="I6" ca="1">IF(SUMPRODUCT(--($C6:$H6&lt;&gt;""))=0,"",AVERAGE(C6:H6))</f>
        <v>1</v>
      </c>
      <c r="K6" s="67">
        <f>MONDAY!AW3</f>
        <v>101</v>
      </c>
      <c r="L6" s="68">
        <f ca="1">MONDAY!AW$32</f>
        <v>1</v>
      </c>
      <c r="M6" s="68">
        <f ca="1">TUESDAY!AW$32</f>
        <v>1</v>
      </c>
      <c r="N6" s="68">
        <f ca="1">WEDNESDAY!AW$32</f>
        <v>1</v>
      </c>
      <c r="O6" s="68">
        <f ca="1">THURSDAY!AW$32</f>
        <v>1</v>
      </c>
      <c r="P6" s="68">
        <f ca="1">FRIDAY!AW$32</f>
        <v>1</v>
      </c>
      <c r="Q6" s="68">
        <f ca="1">SATURDAY!AW$32</f>
        <v>1</v>
      </c>
      <c r="R6" s="68" cm="1">
        <f t="array" aca="1" ref="R6" ca="1">IF(SUMPRODUCT(--($L6:$Q6&lt;&gt;""))=0,"",AVERAGE($L6:$Q6))</f>
        <v>1</v>
      </c>
    </row>
    <row r="7" spans="1:18" x14ac:dyDescent="0.3">
      <c r="B7" s="67">
        <f>MONDAY!D3</f>
        <v>202</v>
      </c>
      <c r="C7" s="68">
        <f ca="1">MONDAY!D$32</f>
        <v>1</v>
      </c>
      <c r="D7" s="68">
        <f ca="1">TUESDAY!$D$32</f>
        <v>1</v>
      </c>
      <c r="E7" s="68">
        <f ca="1">WEDNESDAY!$D$32</f>
        <v>1</v>
      </c>
      <c r="F7" s="68">
        <f ca="1">THURSDAY!$D$32</f>
        <v>1</v>
      </c>
      <c r="G7" s="68">
        <f ca="1">FRIDAY!$D$32</f>
        <v>1</v>
      </c>
      <c r="H7" s="68">
        <f ca="1">SATURDAY!$D$32</f>
        <v>1</v>
      </c>
      <c r="I7" s="68" cm="1">
        <f t="array" aca="1" ref="I7" ca="1">IF(SUMPRODUCT(--($C7:$H7&lt;&gt;""))=0,"",AVERAGE(C7:H7))</f>
        <v>1</v>
      </c>
      <c r="K7" s="67">
        <f>MONDAY!AX3</f>
        <v>208</v>
      </c>
      <c r="L7" s="70">
        <f ca="1">MONDAY!AX$32</f>
        <v>1</v>
      </c>
      <c r="M7" s="68">
        <f ca="1">TUESDAY!AX$32</f>
        <v>1</v>
      </c>
      <c r="N7" s="68">
        <f ca="1">WEDNESDAY!AX$32</f>
        <v>1</v>
      </c>
      <c r="O7" s="68">
        <f ca="1">THURSDAY!AX$32</f>
        <v>1</v>
      </c>
      <c r="P7" s="68">
        <f ca="1">FRIDAY!AX$32</f>
        <v>1</v>
      </c>
      <c r="Q7" s="68">
        <f ca="1">SATURDAY!AX$32</f>
        <v>1</v>
      </c>
      <c r="R7" s="68" cm="1">
        <f t="array" aca="1" ref="R7" ca="1">IF(SUMPRODUCT(--($L7:$Q7&lt;&gt;""))=0,"",AVERAGE($L7:$Q7))</f>
        <v>1</v>
      </c>
    </row>
    <row r="8" spans="1:18" x14ac:dyDescent="0.3">
      <c r="B8" s="67">
        <f>MONDAY!E3</f>
        <v>203</v>
      </c>
      <c r="C8" s="68">
        <f ca="1">MONDAY!E$32</f>
        <v>1</v>
      </c>
      <c r="D8" s="68">
        <f ca="1">TUESDAY!$E$32</f>
        <v>1</v>
      </c>
      <c r="E8" s="68">
        <f ca="1">WEDNESDAY!$E$32</f>
        <v>1</v>
      </c>
      <c r="F8" s="68">
        <f ca="1">THURSDAY!$E$32</f>
        <v>1</v>
      </c>
      <c r="G8" s="68">
        <f ca="1">FRIDAY!$E$32</f>
        <v>1</v>
      </c>
      <c r="H8" s="68">
        <f ca="1">SATURDAY!$E$32</f>
        <v>1</v>
      </c>
      <c r="I8" s="68" cm="1">
        <f t="array" aca="1" ref="I8" ca="1">IF(SUMPRODUCT(--($C8:$H8&lt;&gt;""))=0,"",AVERAGE(C8:H8))</f>
        <v>1</v>
      </c>
      <c r="K8" s="67">
        <f>MONDAY!AY3</f>
        <v>209</v>
      </c>
      <c r="L8" s="68">
        <f ca="1">MONDAY!AY$32</f>
        <v>1</v>
      </c>
      <c r="M8" s="68">
        <f ca="1">TUESDAY!AY$32</f>
        <v>1</v>
      </c>
      <c r="N8" s="68">
        <f ca="1">WEDNESDAY!AY$32</f>
        <v>1</v>
      </c>
      <c r="O8" s="68">
        <f ca="1">THURSDAY!AY$32</f>
        <v>1</v>
      </c>
      <c r="P8" s="68">
        <f ca="1">FRIDAY!AY$32</f>
        <v>1</v>
      </c>
      <c r="Q8" s="68">
        <f ca="1">SATURDAY!AY$32</f>
        <v>1</v>
      </c>
      <c r="R8" s="68" cm="1">
        <f t="array" aca="1" ref="R8" ca="1">IF(SUMPRODUCT(--($L8:$Q8&lt;&gt;""))=0,"",AVERAGE($L8:$Q8))</f>
        <v>1</v>
      </c>
    </row>
    <row r="9" spans="1:18" x14ac:dyDescent="0.3">
      <c r="B9" s="67">
        <f>MONDAY!F3</f>
        <v>204</v>
      </c>
      <c r="C9" s="68">
        <f ca="1">MONDAY!$F$32</f>
        <v>1</v>
      </c>
      <c r="D9" s="68">
        <f ca="1">TUESDAY!$F$32</f>
        <v>1</v>
      </c>
      <c r="E9" s="68">
        <f ca="1">WEDNESDAY!$F$32</f>
        <v>1</v>
      </c>
      <c r="F9" s="68">
        <f ca="1">THURSDAY!$F$32</f>
        <v>1</v>
      </c>
      <c r="G9" s="68">
        <f ca="1">FRIDAY!$F$32</f>
        <v>1</v>
      </c>
      <c r="H9" s="68">
        <f ca="1">SATURDAY!$F$32</f>
        <v>1</v>
      </c>
      <c r="I9" s="68" cm="1">
        <f t="array" aca="1" ref="I9" ca="1">IF(SUMPRODUCT(--($C9:$H9&lt;&gt;""))=0,"",AVERAGE(C9:H9))</f>
        <v>1</v>
      </c>
      <c r="K9" s="67">
        <f>MONDAY!AZ3</f>
        <v>210</v>
      </c>
      <c r="L9" s="68">
        <f ca="1">MONDAY!AZ$32</f>
        <v>1</v>
      </c>
      <c r="M9" s="68">
        <f ca="1">TUESDAY!AZ$32</f>
        <v>1</v>
      </c>
      <c r="N9" s="68">
        <f ca="1">WEDNESDAY!AZ$32</f>
        <v>1</v>
      </c>
      <c r="O9" s="68">
        <f ca="1">THURSDAY!AZ$32</f>
        <v>1</v>
      </c>
      <c r="P9" s="68">
        <f ca="1">FRIDAY!AZ$32</f>
        <v>1</v>
      </c>
      <c r="Q9" s="68">
        <f ca="1">SATURDAY!AZ$32</f>
        <v>1</v>
      </c>
      <c r="R9" s="68" cm="1">
        <f t="array" aca="1" ref="R9" ca="1">IF(SUMPRODUCT(--($L9:$Q9&lt;&gt;""))=0,"",AVERAGE($L9:$Q9))</f>
        <v>1</v>
      </c>
    </row>
    <row r="10" spans="1:18" x14ac:dyDescent="0.3">
      <c r="B10" s="67">
        <f>MONDAY!G3</f>
        <v>205</v>
      </c>
      <c r="C10" s="68">
        <f ca="1">MONDAY!$G$32</f>
        <v>1</v>
      </c>
      <c r="D10" s="68">
        <f ca="1">TUESDAY!$G$32</f>
        <v>1</v>
      </c>
      <c r="E10" s="68">
        <f ca="1">WEDNESDAY!$G$32</f>
        <v>1</v>
      </c>
      <c r="F10" s="68">
        <f ca="1">THURSDAY!$G$32</f>
        <v>1</v>
      </c>
      <c r="G10" s="68">
        <f ca="1">FRIDAY!$G$32</f>
        <v>1</v>
      </c>
      <c r="H10" s="68">
        <f ca="1">SATURDAY!$G$32</f>
        <v>1</v>
      </c>
      <c r="I10" s="68" cm="1">
        <f t="array" aca="1" ref="I10" ca="1">IF(SUMPRODUCT(--($C10:$H10&lt;&gt;""))=0,"",AVERAGE(C10:H10))</f>
        <v>1</v>
      </c>
      <c r="K10" s="67">
        <f>MONDAY!BC3</f>
        <v>408</v>
      </c>
      <c r="L10" s="68">
        <f ca="1">MONDAY!BC$32</f>
        <v>1</v>
      </c>
      <c r="M10" s="68">
        <f ca="1">TUESDAY!BC$32</f>
        <v>1</v>
      </c>
      <c r="N10" s="68">
        <f ca="1">WEDNESDAY!BC$32</f>
        <v>1</v>
      </c>
      <c r="O10" s="68">
        <f ca="1">THURSDAY!BC$32</f>
        <v>1</v>
      </c>
      <c r="P10" s="68">
        <f ca="1">FRIDAY!BC$32</f>
        <v>1</v>
      </c>
      <c r="Q10" s="68">
        <f ca="1">SATURDAY!BC$32</f>
        <v>1</v>
      </c>
      <c r="R10" s="68" cm="1">
        <f t="array" aca="1" ref="R10" ca="1">IF(SUMPRODUCT(--($L10:$Q10&lt;&gt;""))=0,"",AVERAGE($L10:$Q10))</f>
        <v>1</v>
      </c>
    </row>
    <row r="11" spans="1:18" x14ac:dyDescent="0.3">
      <c r="B11" s="67">
        <f>MONDAY!H3</f>
        <v>206</v>
      </c>
      <c r="C11" s="68">
        <f ca="1">MONDAY!$H$32</f>
        <v>1</v>
      </c>
      <c r="D11" s="68">
        <f ca="1">TUESDAY!$H$32</f>
        <v>1</v>
      </c>
      <c r="E11" s="68">
        <f ca="1">WEDNESDAY!$H$32</f>
        <v>1</v>
      </c>
      <c r="F11" s="68">
        <f ca="1">THURSDAY!$H$32</f>
        <v>1</v>
      </c>
      <c r="G11" s="68">
        <f ca="1">FRIDAY!$H$32</f>
        <v>1</v>
      </c>
      <c r="H11" s="68">
        <f ca="1">SATURDAY!$H$32</f>
        <v>1</v>
      </c>
      <c r="I11" s="68" cm="1">
        <f t="array" aca="1" ref="I11" ca="1">IF(SUMPRODUCT(--($C11:$H11&lt;&gt;""))=0,"",AVERAGE(C11:H11))</f>
        <v>1</v>
      </c>
      <c r="K11" s="67">
        <f>MONDAY!BD3</f>
        <v>409</v>
      </c>
      <c r="L11" s="68">
        <f ca="1">MONDAY!BD$32</f>
        <v>1</v>
      </c>
      <c r="M11" s="68">
        <f ca="1">TUESDAY!BD$32</f>
        <v>1</v>
      </c>
      <c r="N11" s="68">
        <f ca="1">WEDNESDAY!BD$32</f>
        <v>1</v>
      </c>
      <c r="O11" s="68">
        <f ca="1">THURSDAY!BD$32</f>
        <v>1</v>
      </c>
      <c r="P11" s="68">
        <f ca="1">FRIDAY!BD$32</f>
        <v>1</v>
      </c>
      <c r="Q11" s="68">
        <f ca="1">SATURDAY!BD$32</f>
        <v>1</v>
      </c>
      <c r="R11" s="68" cm="1">
        <f t="array" aca="1" ref="R11" ca="1">IF(SUMPRODUCT(--($L11:$Q11&lt;&gt;""))=0,"",AVERAGE($L11:$Q11))</f>
        <v>1</v>
      </c>
    </row>
    <row r="12" spans="1:18" x14ac:dyDescent="0.3">
      <c r="B12" s="67">
        <f>MONDAY!I3</f>
        <v>207</v>
      </c>
      <c r="C12" s="68">
        <f ca="1">MONDAY!$I$32</f>
        <v>1</v>
      </c>
      <c r="D12" s="68">
        <f ca="1">TUESDAY!$I$32</f>
        <v>1</v>
      </c>
      <c r="E12" s="68">
        <f ca="1">WEDNESDAY!$I$32</f>
        <v>1</v>
      </c>
      <c r="F12" s="68">
        <f ca="1">THURSDAY!$I$32</f>
        <v>1</v>
      </c>
      <c r="G12" s="68">
        <f ca="1">FRIDAY!$I$32</f>
        <v>1</v>
      </c>
      <c r="H12" s="68">
        <f ca="1">SATURDAY!$I$32</f>
        <v>1</v>
      </c>
      <c r="I12" s="68" cm="1">
        <f t="array" aca="1" ref="I12" ca="1">IF(SUMPRODUCT(--($C12:$H12&lt;&gt;""))=0,"",AVERAGE(C12:H12))</f>
        <v>1</v>
      </c>
      <c r="K12" s="67" t="str">
        <f>MONDAY!BE3</f>
        <v>KITCHEN 1</v>
      </c>
      <c r="L12" s="68">
        <f ca="1">MONDAY!BE$32</f>
        <v>1</v>
      </c>
      <c r="M12" s="68">
        <f ca="1">TUESDAY!BE$32</f>
        <v>1</v>
      </c>
      <c r="N12" s="68">
        <f ca="1">WEDNESDAY!BE$32</f>
        <v>1</v>
      </c>
      <c r="O12" s="68">
        <f ca="1">THURSDAY!BE$32</f>
        <v>1</v>
      </c>
      <c r="P12" s="68">
        <f ca="1">FRIDAY!BE$32</f>
        <v>1</v>
      </c>
      <c r="Q12" s="68">
        <f ca="1">SATURDAY!BE$32</f>
        <v>1</v>
      </c>
      <c r="R12" s="68" cm="1">
        <f t="array" aca="1" ref="R12" ca="1">IF(SUMPRODUCT(--($L12:$Q12&lt;&gt;""))=0,"",AVERAGE($L12:$Q12))</f>
        <v>1</v>
      </c>
    </row>
    <row r="13" spans="1:18" x14ac:dyDescent="0.3">
      <c r="B13" s="67">
        <f>MONDAY!J3</f>
        <v>212</v>
      </c>
      <c r="C13" s="68">
        <f ca="1">MONDAY!$J$32</f>
        <v>1</v>
      </c>
      <c r="D13" s="68">
        <f ca="1">TUESDAY!$J$32</f>
        <v>1</v>
      </c>
      <c r="E13" s="68">
        <f ca="1">WEDNESDAY!$J$32</f>
        <v>1</v>
      </c>
      <c r="F13" s="68">
        <f ca="1">THURSDAY!$J$32</f>
        <v>1</v>
      </c>
      <c r="G13" s="68">
        <f ca="1">FRIDAY!$J$32</f>
        <v>1</v>
      </c>
      <c r="H13" s="68">
        <f ca="1">SATURDAY!$J$32</f>
        <v>1</v>
      </c>
      <c r="I13" s="68" cm="1">
        <f t="array" aca="1" ref="I13" ca="1">IF(SUMPRODUCT(--($C13:$H13&lt;&gt;""))=0,"",AVERAGE(C13:H13))</f>
        <v>1</v>
      </c>
      <c r="K13" s="67" t="str">
        <f>MONDAY!BF3</f>
        <v>KITCHEN 2</v>
      </c>
      <c r="L13" s="68">
        <f ca="1">MONDAY!BF$32</f>
        <v>1</v>
      </c>
      <c r="M13" s="68">
        <f ca="1">TUESDAY!BF$32</f>
        <v>1</v>
      </c>
      <c r="N13" s="68">
        <f ca="1">WEDNESDAY!BF$32</f>
        <v>1</v>
      </c>
      <c r="O13" s="68">
        <f ca="1">THURSDAY!BF$32</f>
        <v>1</v>
      </c>
      <c r="P13" s="68">
        <f ca="1">FRIDAY!BF$32</f>
        <v>1</v>
      </c>
      <c r="Q13" s="68">
        <f ca="1">SATURDAY!BF$32</f>
        <v>1</v>
      </c>
      <c r="R13" s="68" cm="1">
        <f t="array" aca="1" ref="R13" ca="1">IF(SUMPRODUCT(--($L13:$Q13&lt;&gt;""))=0,"",AVERAGE($L13:$Q13))</f>
        <v>1</v>
      </c>
    </row>
    <row r="14" spans="1:18" x14ac:dyDescent="0.3">
      <c r="B14" s="67">
        <f>MONDAY!K3</f>
        <v>301</v>
      </c>
      <c r="C14" s="68">
        <f ca="1">MONDAY!$K$32</f>
        <v>1</v>
      </c>
      <c r="D14" s="68">
        <f ca="1">TUESDAY!$K$32</f>
        <v>1</v>
      </c>
      <c r="E14" s="68">
        <f ca="1">WEDNESDAY!$K$32</f>
        <v>1</v>
      </c>
      <c r="F14" s="68">
        <f ca="1">THURSDAY!$K$32</f>
        <v>1</v>
      </c>
      <c r="G14" s="68">
        <f ca="1">FRIDAY!$K$32</f>
        <v>1</v>
      </c>
      <c r="H14" s="68">
        <f ca="1">SATURDAY!$K$32</f>
        <v>1</v>
      </c>
      <c r="I14" s="68" cm="1">
        <f t="array" aca="1" ref="I14" ca="1">IF(SUMPRODUCT(--($C14:$H14&lt;&gt;""))=0,"",AVERAGE(C14:H14))</f>
        <v>1</v>
      </c>
      <c r="K14" s="67" t="str">
        <f>MONDAY!BG3</f>
        <v>BAR</v>
      </c>
      <c r="L14" s="68">
        <f ca="1">MONDAY!BG$32</f>
        <v>1</v>
      </c>
      <c r="M14" s="68">
        <f ca="1">TUESDAY!BG$32</f>
        <v>1</v>
      </c>
      <c r="N14" s="68">
        <f ca="1">WEDNESDAY!BG$32</f>
        <v>1</v>
      </c>
      <c r="O14" s="68">
        <f ca="1">THURSDAY!BG$32</f>
        <v>1</v>
      </c>
      <c r="P14" s="68">
        <f ca="1">FRIDAY!BG$32</f>
        <v>1</v>
      </c>
      <c r="Q14" s="68">
        <f ca="1">SATURDAY!BG$32</f>
        <v>1</v>
      </c>
      <c r="R14" s="68" cm="1">
        <f t="array" aca="1" ref="R14" ca="1">IF(SUMPRODUCT(--($L14:$Q14&lt;&gt;""))=0,"",AVERAGE($L14:$Q14))</f>
        <v>1</v>
      </c>
    </row>
    <row r="15" spans="1:18" x14ac:dyDescent="0.3">
      <c r="B15" s="67">
        <f>MONDAY!L3</f>
        <v>302</v>
      </c>
      <c r="C15" s="68">
        <f ca="1">MONDAY!L32</f>
        <v>1</v>
      </c>
      <c r="D15" s="68">
        <f ca="1">TUESDAY!$L$32</f>
        <v>1</v>
      </c>
      <c r="E15" s="68">
        <f ca="1">WEDNESDAY!$L$32</f>
        <v>1</v>
      </c>
      <c r="F15" s="68">
        <f ca="1">THURSDAY!$L$32</f>
        <v>1</v>
      </c>
      <c r="G15" s="68">
        <f ca="1">FRIDAY!$L$32</f>
        <v>1</v>
      </c>
      <c r="H15" s="68">
        <f ca="1">SATURDAY!$L$32</f>
        <v>1</v>
      </c>
      <c r="I15" s="68" cm="1">
        <f t="array" aca="1" ref="I15" ca="1">IF(SUMPRODUCT(--($C15:$H15&lt;&gt;""))=0,"",AVERAGE(C15:H15))</f>
        <v>1</v>
      </c>
      <c r="K15" s="67" t="str">
        <f>MONDAY!BH3</f>
        <v>SUITE ROOM</v>
      </c>
      <c r="L15" s="68">
        <f ca="1">MONDAY!BH$32</f>
        <v>1</v>
      </c>
      <c r="M15" s="68">
        <f ca="1">TUESDAY!BH$32</f>
        <v>1</v>
      </c>
      <c r="N15" s="68">
        <f ca="1">WEDNESDAY!BH$32</f>
        <v>1</v>
      </c>
      <c r="O15" s="68">
        <f ca="1">THURSDAY!BH$32</f>
        <v>1</v>
      </c>
      <c r="P15" s="68">
        <f ca="1">FRIDAY!BH$32</f>
        <v>1</v>
      </c>
      <c r="Q15" s="68">
        <f ca="1">SATURDAY!BH$32</f>
        <v>1</v>
      </c>
      <c r="R15" s="68" cm="1">
        <f t="array" aca="1" ref="R15" ca="1">IF(SUMPRODUCT(--($L15:$Q15&lt;&gt;""))=0,"",AVERAGE($L15:$Q15))</f>
        <v>1</v>
      </c>
    </row>
    <row r="16" spans="1:18" x14ac:dyDescent="0.3">
      <c r="B16" s="67">
        <f>MONDAY!M3</f>
        <v>303</v>
      </c>
      <c r="C16" s="68">
        <f ca="1">MONDAY!M$32</f>
        <v>1</v>
      </c>
      <c r="D16" s="68">
        <f ca="1">TUESDAY!M$32</f>
        <v>1</v>
      </c>
      <c r="E16" s="68">
        <f ca="1">WEDNESDAY!M$32</f>
        <v>1</v>
      </c>
      <c r="F16" s="68">
        <f ca="1">THURSDAY!M$32</f>
        <v>1</v>
      </c>
      <c r="G16" s="68">
        <f ca="1">FRIDAY!M$32</f>
        <v>1</v>
      </c>
      <c r="H16" s="68">
        <f ca="1">SATURDAY!M$32</f>
        <v>1</v>
      </c>
      <c r="I16" s="68" cm="1">
        <f t="array" aca="1" ref="I16" ca="1">IF(SUMPRODUCT(--($C16:$H16&lt;&gt;""))=0,"",AVERAGE(C16:H16))</f>
        <v>1</v>
      </c>
      <c r="K16" s="67" t="str">
        <f>MONDAY!BI3</f>
        <v>&lt;Lab&gt;</v>
      </c>
      <c r="L16" s="68" t="str">
        <f>MONDAY!BI$32</f>
        <v/>
      </c>
      <c r="M16" s="68" t="str">
        <f>TUESDAY!BI$32</f>
        <v/>
      </c>
      <c r="N16" s="68" t="str">
        <f>WEDNESDAY!BI$32</f>
        <v/>
      </c>
      <c r="O16" s="68" t="str">
        <f>THURSDAY!BI$32</f>
        <v/>
      </c>
      <c r="P16" s="68" t="str">
        <f>FRIDAY!BI$32</f>
        <v/>
      </c>
      <c r="Q16" s="68" t="str">
        <f>SATURDAY!BI$32</f>
        <v/>
      </c>
      <c r="R16" s="68" t="str" cm="1">
        <f t="array" ref="R16">IF(SUMPRODUCT(--($L16:$Q16&lt;&gt;""))=0,"",AVERAGE($L16:$Q16))</f>
        <v/>
      </c>
    </row>
    <row r="17" spans="2:18" x14ac:dyDescent="0.3">
      <c r="B17" s="67">
        <f>MONDAY!N3</f>
        <v>304</v>
      </c>
      <c r="C17" s="68">
        <f ca="1">MONDAY!N$32</f>
        <v>1</v>
      </c>
      <c r="D17" s="68">
        <f ca="1">TUESDAY!N$32</f>
        <v>1</v>
      </c>
      <c r="E17" s="68">
        <f ca="1">WEDNESDAY!N$32</f>
        <v>1</v>
      </c>
      <c r="F17" s="68">
        <f ca="1">THURSDAY!N$32</f>
        <v>1</v>
      </c>
      <c r="G17" s="68">
        <f ca="1">FRIDAY!N$32</f>
        <v>1</v>
      </c>
      <c r="H17" s="68">
        <f ca="1">SATURDAY!N$32</f>
        <v>1</v>
      </c>
      <c r="I17" s="68" cm="1">
        <f t="array" aca="1" ref="I17" ca="1">IF(SUMPRODUCT(--($C17:$H17&lt;&gt;""))=0,"",AVERAGE(C17:H17))</f>
        <v>1</v>
      </c>
      <c r="K17" s="67" t="str">
        <f>MONDAY!BJ3</f>
        <v>&lt;Lab&gt;</v>
      </c>
      <c r="L17" s="68" t="str">
        <f>MONDAY!BJ$32</f>
        <v/>
      </c>
      <c r="M17" s="68" t="str">
        <f>TUESDAY!BJ$32</f>
        <v/>
      </c>
      <c r="N17" s="68" t="str">
        <f>WEDNESDAY!BJ$32</f>
        <v/>
      </c>
      <c r="O17" s="68" t="str">
        <f>THURSDAY!BJ$32</f>
        <v/>
      </c>
      <c r="P17" s="68" t="str">
        <f>FRIDAY!BJ$32</f>
        <v/>
      </c>
      <c r="Q17" s="68" t="str">
        <f>SATURDAY!BJ$32</f>
        <v/>
      </c>
      <c r="R17" s="68" t="str" cm="1">
        <f t="array" ref="R17">IF(SUMPRODUCT(--($L17:$Q17&lt;&gt;""))=0,"",AVERAGE($L17:$Q17))</f>
        <v/>
      </c>
    </row>
    <row r="18" spans="2:18" x14ac:dyDescent="0.3">
      <c r="B18" s="67">
        <f>MONDAY!O3</f>
        <v>305</v>
      </c>
      <c r="C18" s="68">
        <f ca="1">MONDAY!O$32</f>
        <v>1</v>
      </c>
      <c r="D18" s="68">
        <f ca="1">TUESDAY!O$32</f>
        <v>1</v>
      </c>
      <c r="E18" s="68">
        <f ca="1">WEDNESDAY!O$32</f>
        <v>1</v>
      </c>
      <c r="F18" s="68">
        <f ca="1">THURSDAY!O$32</f>
        <v>1</v>
      </c>
      <c r="G18" s="68">
        <f ca="1">FRIDAY!O$32</f>
        <v>1</v>
      </c>
      <c r="H18" s="68">
        <f ca="1">SATURDAY!O$32</f>
        <v>1</v>
      </c>
      <c r="I18" s="68" cm="1">
        <f t="array" aca="1" ref="I18" ca="1">IF(SUMPRODUCT(--($C18:$H18&lt;&gt;""))=0,"",AVERAGE(C18:H18))</f>
        <v>1</v>
      </c>
      <c r="K18" s="67" t="str">
        <f>MONDAY!BK3</f>
        <v>&lt;Lab&gt;</v>
      </c>
      <c r="L18" s="68" t="str">
        <f>MONDAY!BK$32</f>
        <v/>
      </c>
      <c r="M18" s="68" t="str">
        <f>TUESDAY!BK$32</f>
        <v/>
      </c>
      <c r="N18" s="68" t="str">
        <f>WEDNESDAY!BK$32</f>
        <v/>
      </c>
      <c r="O18" s="68" t="str">
        <f>THURSDAY!BK$32</f>
        <v/>
      </c>
      <c r="P18" s="68" t="str">
        <f>FRIDAY!BK$32</f>
        <v/>
      </c>
      <c r="Q18" s="68" t="str">
        <f>SATURDAY!BK$32</f>
        <v/>
      </c>
      <c r="R18" s="68" t="str" cm="1">
        <f t="array" ref="R18">IF(SUMPRODUCT(--($L18:$Q18&lt;&gt;""))=0,"",AVERAGE($L18:$Q18))</f>
        <v/>
      </c>
    </row>
    <row r="19" spans="2:18" ht="18" x14ac:dyDescent="0.35">
      <c r="B19" s="67">
        <f>MONDAY!P3</f>
        <v>306</v>
      </c>
      <c r="C19" s="68">
        <f ca="1">MONDAY!P$32</f>
        <v>1</v>
      </c>
      <c r="D19" s="68">
        <f ca="1">TUESDAY!P$32</f>
        <v>1</v>
      </c>
      <c r="E19" s="68">
        <f ca="1">WEDNESDAY!P$32</f>
        <v>1</v>
      </c>
      <c r="F19" s="68">
        <f ca="1">THURSDAY!P$32</f>
        <v>1</v>
      </c>
      <c r="G19" s="68">
        <f ca="1">FRIDAY!P$32</f>
        <v>1</v>
      </c>
      <c r="H19" s="68">
        <f ca="1">SATURDAY!P$32</f>
        <v>1</v>
      </c>
      <c r="I19" s="68" cm="1">
        <f t="array" aca="1" ref="I19" ca="1">IF(SUMPRODUCT(--($C19:$H19&lt;&gt;""))=0,"",AVERAGE(C19:H19))</f>
        <v>1</v>
      </c>
      <c r="K19" s="407" t="s">
        <v>2867</v>
      </c>
      <c r="L19" s="408"/>
      <c r="M19" s="408"/>
      <c r="N19" s="408"/>
      <c r="O19" s="408"/>
      <c r="P19" s="408"/>
      <c r="Q19" s="409"/>
      <c r="R19" s="69" cm="1">
        <f t="array" aca="1" ref="R19" ca="1">IF(SUMPRODUCT(--($R6:$R18&lt;&gt;""))=0,"",AVERAGE(R6:R18))</f>
        <v>1</v>
      </c>
    </row>
    <row r="20" spans="2:18" x14ac:dyDescent="0.3">
      <c r="B20" s="67">
        <f>MONDAY!Q3</f>
        <v>307</v>
      </c>
      <c r="C20" s="68">
        <f ca="1">MONDAY!Q$32</f>
        <v>1</v>
      </c>
      <c r="D20" s="68">
        <f ca="1">TUESDAY!Q$32</f>
        <v>1</v>
      </c>
      <c r="E20" s="68">
        <f ca="1">WEDNESDAY!Q$32</f>
        <v>1</v>
      </c>
      <c r="F20" s="68">
        <f ca="1">THURSDAY!Q$32</f>
        <v>1</v>
      </c>
      <c r="G20" s="68">
        <f ca="1">FRIDAY!Q$32</f>
        <v>1</v>
      </c>
      <c r="H20" s="68">
        <f ca="1">SATURDAY!Q$32</f>
        <v>1</v>
      </c>
      <c r="I20" s="68" cm="1">
        <f t="array" aca="1" ref="I20" ca="1">IF(SUMPRODUCT(--($C20:$H20&lt;&gt;""))=0,"",AVERAGE(C20:H20))</f>
        <v>1</v>
      </c>
      <c r="L20" s="36"/>
    </row>
    <row r="21" spans="2:18" x14ac:dyDescent="0.3">
      <c r="B21" s="67">
        <f>MONDAY!R3</f>
        <v>308</v>
      </c>
      <c r="C21" s="68">
        <f ca="1">MONDAY!R$32</f>
        <v>1</v>
      </c>
      <c r="D21" s="68">
        <f ca="1">TUESDAY!R$32</f>
        <v>1</v>
      </c>
      <c r="E21" s="68">
        <f ca="1">WEDNESDAY!R$32</f>
        <v>1</v>
      </c>
      <c r="F21" s="68">
        <f ca="1">THURSDAY!R$32</f>
        <v>1</v>
      </c>
      <c r="G21" s="68">
        <f ca="1">FRIDAY!R$32</f>
        <v>1</v>
      </c>
      <c r="H21" s="68">
        <f ca="1">SATURDAY!R$32</f>
        <v>1</v>
      </c>
      <c r="I21" s="68" cm="1">
        <f t="array" aca="1" ref="I21" ca="1">IF(SUMPRODUCT(--($C21:$H21&lt;&gt;""))=0,"",AVERAGE(C21:H21))</f>
        <v>1</v>
      </c>
      <c r="L21" s="36"/>
    </row>
    <row r="22" spans="2:18" x14ac:dyDescent="0.3">
      <c r="B22" s="67">
        <f>MONDAY!S3</f>
        <v>402</v>
      </c>
      <c r="C22" s="68">
        <f ca="1">MONDAY!S$32</f>
        <v>1</v>
      </c>
      <c r="D22" s="68">
        <f ca="1">TUESDAY!S$32</f>
        <v>1</v>
      </c>
      <c r="E22" s="68">
        <f ca="1">WEDNESDAY!S$32</f>
        <v>1</v>
      </c>
      <c r="F22" s="68">
        <f ca="1">THURSDAY!S$32</f>
        <v>1</v>
      </c>
      <c r="G22" s="68">
        <f ca="1">FRIDAY!S$32</f>
        <v>1</v>
      </c>
      <c r="H22" s="68">
        <f ca="1">SATURDAY!S$32</f>
        <v>1</v>
      </c>
      <c r="I22" s="68" cm="1">
        <f t="array" aca="1" ref="I22" ca="1">IF(SUMPRODUCT(--($C22:$H22&lt;&gt;""))=0,"",AVERAGE(C22:H22))</f>
        <v>1</v>
      </c>
      <c r="L22" s="36"/>
    </row>
    <row r="23" spans="2:18" x14ac:dyDescent="0.3">
      <c r="B23" s="67">
        <f>MONDAY!T3</f>
        <v>407</v>
      </c>
      <c r="C23" s="68">
        <f ca="1">MONDAY!T$32</f>
        <v>1</v>
      </c>
      <c r="D23" s="68">
        <f ca="1">TUESDAY!T$32</f>
        <v>1</v>
      </c>
      <c r="E23" s="68">
        <f ca="1">WEDNESDAY!T$32</f>
        <v>1</v>
      </c>
      <c r="F23" s="68">
        <f ca="1">THURSDAY!T$32</f>
        <v>1</v>
      </c>
      <c r="G23" s="68">
        <f ca="1">FRIDAY!T$32</f>
        <v>1</v>
      </c>
      <c r="H23" s="68">
        <f ca="1">SATURDAY!T$32</f>
        <v>1</v>
      </c>
      <c r="I23" s="68" cm="1">
        <f t="array" aca="1" ref="I23" ca="1">IF(SUMPRODUCT(--($C23:$H23&lt;&gt;""))=0,"",AVERAGE(C23:H23))</f>
        <v>1</v>
      </c>
      <c r="L23" s="36"/>
    </row>
    <row r="24" spans="2:18" x14ac:dyDescent="0.3">
      <c r="B24" s="67">
        <f>MONDAY!U3</f>
        <v>410</v>
      </c>
      <c r="C24" s="68">
        <f ca="1">MONDAY!U$32</f>
        <v>1</v>
      </c>
      <c r="D24" s="68">
        <f ca="1">TUESDAY!U$32</f>
        <v>1</v>
      </c>
      <c r="E24" s="68">
        <f ca="1">WEDNESDAY!U$32</f>
        <v>1</v>
      </c>
      <c r="F24" s="68">
        <f ca="1">THURSDAY!U$32</f>
        <v>1</v>
      </c>
      <c r="G24" s="68">
        <f ca="1">FRIDAY!U$32</f>
        <v>1</v>
      </c>
      <c r="H24" s="68">
        <f ca="1">SATURDAY!U$32</f>
        <v>1</v>
      </c>
      <c r="I24" s="68" cm="1">
        <f t="array" aca="1" ref="I24" ca="1">IF(SUMPRODUCT(--($C24:$H24&lt;&gt;""))=0,"",AVERAGE(C24:H24))</f>
        <v>1</v>
      </c>
      <c r="L24" s="36"/>
    </row>
    <row r="25" spans="2:18" x14ac:dyDescent="0.3">
      <c r="B25" s="67">
        <f>MONDAY!V3</f>
        <v>501</v>
      </c>
      <c r="C25" s="68">
        <f ca="1">MONDAY!V$32</f>
        <v>1</v>
      </c>
      <c r="D25" s="68">
        <f ca="1">TUESDAY!V$32</f>
        <v>1</v>
      </c>
      <c r="E25" s="68">
        <f ca="1">WEDNESDAY!V$32</f>
        <v>1</v>
      </c>
      <c r="F25" s="68">
        <f ca="1">THURSDAY!V$32</f>
        <v>1</v>
      </c>
      <c r="G25" s="68">
        <f ca="1">FRIDAY!V$32</f>
        <v>1</v>
      </c>
      <c r="H25" s="68">
        <f ca="1">SATURDAY!V$32</f>
        <v>1</v>
      </c>
      <c r="I25" s="68" cm="1">
        <f t="array" aca="1" ref="I25" ca="1">IF(SUMPRODUCT(--($C25:$H25&lt;&gt;""))=0,"",AVERAGE(C25:H25))</f>
        <v>1</v>
      </c>
      <c r="L25" s="36"/>
    </row>
    <row r="26" spans="2:18" x14ac:dyDescent="0.3">
      <c r="B26" s="67">
        <f>MONDAY!W3</f>
        <v>502</v>
      </c>
      <c r="C26" s="68">
        <f ca="1">MONDAY!W$32</f>
        <v>1</v>
      </c>
      <c r="D26" s="68">
        <f ca="1">TUESDAY!W$32</f>
        <v>1</v>
      </c>
      <c r="E26" s="68">
        <f ca="1">WEDNESDAY!W$32</f>
        <v>1</v>
      </c>
      <c r="F26" s="68">
        <f ca="1">THURSDAY!W$32</f>
        <v>1</v>
      </c>
      <c r="G26" s="68">
        <f ca="1">FRIDAY!W$32</f>
        <v>1</v>
      </c>
      <c r="H26" s="68">
        <f ca="1">SATURDAY!W$32</f>
        <v>1</v>
      </c>
      <c r="I26" s="68" cm="1">
        <f t="array" aca="1" ref="I26" ca="1">IF(SUMPRODUCT(--($C26:$H26&lt;&gt;""))=0,"",AVERAGE(C26:H26))</f>
        <v>1</v>
      </c>
      <c r="L26" s="36"/>
    </row>
    <row r="27" spans="2:18" x14ac:dyDescent="0.3">
      <c r="B27" s="67">
        <f>MONDAY!X3</f>
        <v>503</v>
      </c>
      <c r="C27" s="68">
        <f ca="1">MONDAY!X$32</f>
        <v>1</v>
      </c>
      <c r="D27" s="68">
        <f ca="1">TUESDAY!X$32</f>
        <v>1</v>
      </c>
      <c r="E27" s="68">
        <f ca="1">WEDNESDAY!X$32</f>
        <v>1</v>
      </c>
      <c r="F27" s="68">
        <f ca="1">THURSDAY!X$32</f>
        <v>1</v>
      </c>
      <c r="G27" s="68">
        <f ca="1">FRIDAY!X$32</f>
        <v>1</v>
      </c>
      <c r="H27" s="68">
        <f ca="1">SATURDAY!X$32</f>
        <v>1</v>
      </c>
      <c r="I27" s="68" cm="1">
        <f t="array" aca="1" ref="I27" ca="1">IF(SUMPRODUCT(--($C27:$H27&lt;&gt;""))=0,"",AVERAGE(C27:H27))</f>
        <v>1</v>
      </c>
      <c r="L27" s="36"/>
    </row>
    <row r="28" spans="2:18" x14ac:dyDescent="0.3">
      <c r="B28" s="67">
        <f>MONDAY!Y3</f>
        <v>504</v>
      </c>
      <c r="C28" s="68">
        <f ca="1">MONDAY!Y$32</f>
        <v>1</v>
      </c>
      <c r="D28" s="68">
        <f ca="1">TUESDAY!Y$32</f>
        <v>1</v>
      </c>
      <c r="E28" s="68">
        <f ca="1">WEDNESDAY!Y$32</f>
        <v>1</v>
      </c>
      <c r="F28" s="68">
        <f ca="1">THURSDAY!Y$32</f>
        <v>1</v>
      </c>
      <c r="G28" s="68">
        <f ca="1">FRIDAY!Y$32</f>
        <v>1</v>
      </c>
      <c r="H28" s="68">
        <f ca="1">SATURDAY!Y$32</f>
        <v>1</v>
      </c>
      <c r="I28" s="68" cm="1">
        <f t="array" aca="1" ref="I28" ca="1">IF(SUMPRODUCT(--($C28:$H28&lt;&gt;""))=0,"",AVERAGE(C28:H28))</f>
        <v>1</v>
      </c>
      <c r="L28" s="36"/>
    </row>
    <row r="29" spans="2:18" x14ac:dyDescent="0.3">
      <c r="B29" s="67">
        <f>MONDAY!Z3</f>
        <v>505</v>
      </c>
      <c r="C29" s="68">
        <f ca="1">MONDAY!Z$32</f>
        <v>1</v>
      </c>
      <c r="D29" s="68">
        <f ca="1">TUESDAY!Z$32</f>
        <v>1</v>
      </c>
      <c r="E29" s="68">
        <f ca="1">WEDNESDAY!Z$32</f>
        <v>1</v>
      </c>
      <c r="F29" s="68">
        <f ca="1">THURSDAY!Z$32</f>
        <v>1</v>
      </c>
      <c r="G29" s="68">
        <f ca="1">FRIDAY!Z$32</f>
        <v>1</v>
      </c>
      <c r="H29" s="68">
        <f ca="1">SATURDAY!Z$32</f>
        <v>1</v>
      </c>
      <c r="I29" s="68" cm="1">
        <f t="array" aca="1" ref="I29" ca="1">IF(SUMPRODUCT(--($C29:$H29&lt;&gt;""))=0,"",AVERAGE(C29:H29))</f>
        <v>1</v>
      </c>
      <c r="L29" s="36"/>
    </row>
    <row r="30" spans="2:18" x14ac:dyDescent="0.3">
      <c r="B30" s="67">
        <f>MONDAY!AC3</f>
        <v>508</v>
      </c>
      <c r="C30" s="68">
        <f ca="1">MONDAY!AC$32</f>
        <v>1</v>
      </c>
      <c r="D30" s="68">
        <f ca="1">TUESDAY!AC$32</f>
        <v>1</v>
      </c>
      <c r="E30" s="68">
        <f ca="1">WEDNESDAY!AC$32</f>
        <v>1</v>
      </c>
      <c r="F30" s="68">
        <f ca="1">THURSDAY!AC$32</f>
        <v>1</v>
      </c>
      <c r="G30" s="68">
        <f ca="1">FRIDAY!AC$32</f>
        <v>1</v>
      </c>
      <c r="H30" s="68">
        <f ca="1">SATURDAY!AC$32</f>
        <v>1</v>
      </c>
      <c r="I30" s="68" cm="1">
        <f t="array" aca="1" ref="I30" ca="1">IF(SUMPRODUCT(--($C30:$H30&lt;&gt;""))=0,"",AVERAGE(C30:H30))</f>
        <v>1</v>
      </c>
      <c r="L30" s="36"/>
    </row>
    <row r="31" spans="2:18" x14ac:dyDescent="0.3">
      <c r="B31" s="67">
        <f>MONDAY!AD3</f>
        <v>509</v>
      </c>
      <c r="C31" s="68">
        <f ca="1">MONDAY!AD$32</f>
        <v>1</v>
      </c>
      <c r="D31" s="68">
        <f ca="1">TUESDAY!AD$32</f>
        <v>1</v>
      </c>
      <c r="E31" s="68">
        <f ca="1">WEDNESDAY!AD$32</f>
        <v>1</v>
      </c>
      <c r="F31" s="68">
        <f ca="1">THURSDAY!AD$32</f>
        <v>1</v>
      </c>
      <c r="G31" s="68">
        <f ca="1">FRIDAY!AD$32</f>
        <v>1</v>
      </c>
      <c r="H31" s="68">
        <f ca="1">SATURDAY!AD$32</f>
        <v>1</v>
      </c>
      <c r="I31" s="68" cm="1">
        <f t="array" aca="1" ref="I31" ca="1">IF(SUMPRODUCT(--($C31:$H31&lt;&gt;""))=0,"",AVERAGE(C31:H31))</f>
        <v>1</v>
      </c>
      <c r="L31" s="36"/>
    </row>
    <row r="32" spans="2:18" x14ac:dyDescent="0.3">
      <c r="B32" s="67">
        <f>MONDAY!AE3</f>
        <v>510</v>
      </c>
      <c r="C32" s="68">
        <f ca="1">MONDAY!AE$32</f>
        <v>1</v>
      </c>
      <c r="D32" s="68">
        <f ca="1">TUESDAY!AE$32</f>
        <v>1</v>
      </c>
      <c r="E32" s="68">
        <f ca="1">WEDNESDAY!AE$32</f>
        <v>1</v>
      </c>
      <c r="F32" s="68">
        <f ca="1">THURSDAY!AE$32</f>
        <v>1</v>
      </c>
      <c r="G32" s="68">
        <f ca="1">FRIDAY!AE$32</f>
        <v>1</v>
      </c>
      <c r="H32" s="68">
        <f ca="1">SATURDAY!AE$32</f>
        <v>1</v>
      </c>
      <c r="I32" s="68" cm="1">
        <f t="array" aca="1" ref="I32" ca="1">IF(SUMPRODUCT(--($C32:$H32&lt;&gt;""))=0,"",AVERAGE(C32:H32))</f>
        <v>1</v>
      </c>
      <c r="L32" s="36"/>
    </row>
    <row r="33" spans="2:12" x14ac:dyDescent="0.3">
      <c r="B33" s="67">
        <f>MONDAY!AF3</f>
        <v>511</v>
      </c>
      <c r="C33" s="68">
        <f ca="1">MONDAY!AF$32</f>
        <v>1</v>
      </c>
      <c r="D33" s="68">
        <f ca="1">TUESDAY!AF$32</f>
        <v>1</v>
      </c>
      <c r="E33" s="68">
        <f ca="1">WEDNESDAY!AF$32</f>
        <v>1</v>
      </c>
      <c r="F33" s="68">
        <f ca="1">THURSDAY!AF$32</f>
        <v>1</v>
      </c>
      <c r="G33" s="68">
        <f ca="1">FRIDAY!AF$32</f>
        <v>1</v>
      </c>
      <c r="H33" s="68">
        <f ca="1">SATURDAY!AF$32</f>
        <v>1</v>
      </c>
      <c r="I33" s="68" cm="1">
        <f t="array" aca="1" ref="I33" ca="1">IF(SUMPRODUCT(--($C33:$H33&lt;&gt;""))=0,"",AVERAGE(C33:H33))</f>
        <v>1</v>
      </c>
      <c r="L33" s="36"/>
    </row>
    <row r="34" spans="2:12" x14ac:dyDescent="0.3">
      <c r="B34" s="67">
        <f>MONDAY!AG3</f>
        <v>512</v>
      </c>
      <c r="C34" s="68">
        <f ca="1">MONDAY!AG$32</f>
        <v>1</v>
      </c>
      <c r="D34" s="68">
        <f ca="1">TUESDAY!AG$32</f>
        <v>1</v>
      </c>
      <c r="E34" s="68">
        <f ca="1">WEDNESDAY!AG$32</f>
        <v>1</v>
      </c>
      <c r="F34" s="68">
        <f ca="1">THURSDAY!AG$32</f>
        <v>1</v>
      </c>
      <c r="G34" s="68">
        <f ca="1">FRIDAY!AG$32</f>
        <v>1</v>
      </c>
      <c r="H34" s="68">
        <f ca="1">SATURDAY!AG$32</f>
        <v>1</v>
      </c>
      <c r="I34" s="68" cm="1">
        <f t="array" aca="1" ref="I34" ca="1">IF(SUMPRODUCT(--($C34:$H34&lt;&gt;""))=0,"",AVERAGE(C34:H34))</f>
        <v>1</v>
      </c>
      <c r="L34" s="36"/>
    </row>
    <row r="35" spans="2:12" x14ac:dyDescent="0.3">
      <c r="B35" s="67">
        <f>MONDAY!AH3</f>
        <v>601</v>
      </c>
      <c r="C35" s="68">
        <f ca="1">MONDAY!AH$32</f>
        <v>1</v>
      </c>
      <c r="D35" s="68">
        <f ca="1">TUESDAY!AH$32</f>
        <v>1</v>
      </c>
      <c r="E35" s="68">
        <f ca="1">WEDNESDAY!AH$32</f>
        <v>1</v>
      </c>
      <c r="F35" s="68">
        <f ca="1">THURSDAY!AH$32</f>
        <v>1</v>
      </c>
      <c r="G35" s="68">
        <f ca="1">FRIDAY!AH$32</f>
        <v>1</v>
      </c>
      <c r="H35" s="68">
        <f ca="1">SATURDAY!AH$32</f>
        <v>1</v>
      </c>
      <c r="I35" s="68" cm="1">
        <f t="array" aca="1" ref="I35" ca="1">IF(SUMPRODUCT(--($C35:$H35&lt;&gt;""))=0,"",AVERAGE(C35:H35))</f>
        <v>1</v>
      </c>
      <c r="L35" s="36"/>
    </row>
    <row r="36" spans="2:12" x14ac:dyDescent="0.3">
      <c r="B36" s="67">
        <f>MONDAY!AI3</f>
        <v>602</v>
      </c>
      <c r="C36" s="68">
        <f ca="1">MONDAY!AI$32</f>
        <v>1</v>
      </c>
      <c r="D36" s="68">
        <f ca="1">TUESDAY!AI$32</f>
        <v>1</v>
      </c>
      <c r="E36" s="68">
        <f ca="1">WEDNESDAY!AI$32</f>
        <v>1</v>
      </c>
      <c r="F36" s="68">
        <f ca="1">THURSDAY!AI$32</f>
        <v>1</v>
      </c>
      <c r="G36" s="68">
        <f ca="1">FRIDAY!AI$32</f>
        <v>1</v>
      </c>
      <c r="H36" s="68">
        <f ca="1">SATURDAY!AI$32</f>
        <v>1</v>
      </c>
      <c r="I36" s="68" cm="1">
        <f t="array" aca="1" ref="I36" ca="1">IF(SUMPRODUCT(--($C36:$H36&lt;&gt;""))=0,"",AVERAGE(C36:H36))</f>
        <v>1</v>
      </c>
      <c r="L36" s="36"/>
    </row>
    <row r="37" spans="2:12" x14ac:dyDescent="0.3">
      <c r="B37" s="67">
        <f>MONDAY!AJ3</f>
        <v>603</v>
      </c>
      <c r="C37" s="68">
        <f ca="1">MONDAY!AJ$32</f>
        <v>1</v>
      </c>
      <c r="D37" s="68">
        <f ca="1">TUESDAY!AJ$32</f>
        <v>1</v>
      </c>
      <c r="E37" s="68">
        <f ca="1">WEDNESDAY!AJ$32</f>
        <v>1</v>
      </c>
      <c r="F37" s="68">
        <f ca="1">THURSDAY!AJ$32</f>
        <v>1</v>
      </c>
      <c r="G37" s="68">
        <f ca="1">FRIDAY!AJ$32</f>
        <v>1</v>
      </c>
      <c r="H37" s="68">
        <f ca="1">SATURDAY!AJ$32</f>
        <v>1</v>
      </c>
      <c r="I37" s="68" cm="1">
        <f t="array" aca="1" ref="I37" ca="1">IF(SUMPRODUCT(--($C37:$H37&lt;&gt;""))=0,"",AVERAGE(C37:H37))</f>
        <v>1</v>
      </c>
      <c r="L37" s="36"/>
    </row>
    <row r="38" spans="2:12" x14ac:dyDescent="0.3">
      <c r="B38" s="67">
        <f>MONDAY!AK3</f>
        <v>604</v>
      </c>
      <c r="C38" s="68">
        <f ca="1">MONDAY!AK$32</f>
        <v>1</v>
      </c>
      <c r="D38" s="68">
        <f ca="1">TUESDAY!AK$32</f>
        <v>1</v>
      </c>
      <c r="E38" s="68">
        <f ca="1">WEDNESDAY!AK$32</f>
        <v>1</v>
      </c>
      <c r="F38" s="68">
        <f ca="1">THURSDAY!AK$32</f>
        <v>1</v>
      </c>
      <c r="G38" s="68">
        <f ca="1">FRIDAY!AK$32</f>
        <v>1</v>
      </c>
      <c r="H38" s="68">
        <f ca="1">SATURDAY!AK$32</f>
        <v>1</v>
      </c>
      <c r="I38" s="68" cm="1">
        <f t="array" aca="1" ref="I38" ca="1">IF(SUMPRODUCT(--($C38:$H38&lt;&gt;""))=0,"",AVERAGE(C38:H38))</f>
        <v>1</v>
      </c>
      <c r="L38" s="36"/>
    </row>
    <row r="39" spans="2:12" x14ac:dyDescent="0.3">
      <c r="B39" s="67">
        <f>MONDAY!AL3</f>
        <v>605</v>
      </c>
      <c r="C39" s="68">
        <f ca="1">MONDAY!AL$32</f>
        <v>1</v>
      </c>
      <c r="D39" s="68">
        <f ca="1">TUESDAY!AL$32</f>
        <v>1</v>
      </c>
      <c r="E39" s="68">
        <f ca="1">WEDNESDAY!AL$32</f>
        <v>1</v>
      </c>
      <c r="F39" s="68">
        <f ca="1">THURSDAY!AL$32</f>
        <v>1</v>
      </c>
      <c r="G39" s="68">
        <f ca="1">FRIDAY!AL$32</f>
        <v>1</v>
      </c>
      <c r="H39" s="68">
        <f ca="1">SATURDAY!AL$32</f>
        <v>1</v>
      </c>
      <c r="I39" s="68" cm="1">
        <f t="array" aca="1" ref="I39" ca="1">IF(SUMPRODUCT(--($C39:$H39&lt;&gt;""))=0,"",AVERAGE(C39:H39))</f>
        <v>1</v>
      </c>
      <c r="L39" s="36"/>
    </row>
    <row r="40" spans="2:12" x14ac:dyDescent="0.3">
      <c r="B40" s="67">
        <f>MONDAY!AM3</f>
        <v>606</v>
      </c>
      <c r="C40" s="68">
        <f ca="1">MONDAY!AM$32</f>
        <v>1</v>
      </c>
      <c r="D40" s="68">
        <f ca="1">TUESDAY!AM$32</f>
        <v>1</v>
      </c>
      <c r="E40" s="68">
        <f ca="1">WEDNESDAY!AM$32</f>
        <v>1</v>
      </c>
      <c r="F40" s="68">
        <f ca="1">THURSDAY!AM$32</f>
        <v>1</v>
      </c>
      <c r="G40" s="68">
        <f ca="1">FRIDAY!AM$32</f>
        <v>1</v>
      </c>
      <c r="H40" s="68">
        <f ca="1">SATURDAY!AM$32</f>
        <v>1</v>
      </c>
      <c r="I40" s="68" cm="1">
        <f t="array" aca="1" ref="I40" ca="1">IF(SUMPRODUCT(--($C40:$H40&lt;&gt;""))=0,"",AVERAGE(C40:H40))</f>
        <v>1</v>
      </c>
      <c r="L40" s="36"/>
    </row>
    <row r="41" spans="2:12" x14ac:dyDescent="0.3">
      <c r="B41" s="67">
        <f>MONDAY!AN3</f>
        <v>607</v>
      </c>
      <c r="C41" s="68">
        <f ca="1">MONDAY!AN$32</f>
        <v>1</v>
      </c>
      <c r="D41" s="68">
        <f ca="1">TUESDAY!AN$32</f>
        <v>1</v>
      </c>
      <c r="E41" s="68">
        <f ca="1">WEDNESDAY!AN$32</f>
        <v>1</v>
      </c>
      <c r="F41" s="68">
        <f ca="1">THURSDAY!AN$32</f>
        <v>1</v>
      </c>
      <c r="G41" s="68">
        <f ca="1">FRIDAY!AN$32</f>
        <v>1</v>
      </c>
      <c r="H41" s="68">
        <f ca="1">SATURDAY!AN$32</f>
        <v>1</v>
      </c>
      <c r="I41" s="68" cm="1">
        <f t="array" aca="1" ref="I41" ca="1">IF(SUMPRODUCT(--($C41:$H41&lt;&gt;""))=0,"",AVERAGE(C41:H41))</f>
        <v>1</v>
      </c>
      <c r="L41" s="36"/>
    </row>
    <row r="42" spans="2:12" x14ac:dyDescent="0.3">
      <c r="B42" s="67">
        <f>MONDAY!AO3</f>
        <v>608</v>
      </c>
      <c r="C42" s="68">
        <f ca="1">MONDAY!AO$32</f>
        <v>1</v>
      </c>
      <c r="D42" s="68">
        <f ca="1">TUESDAY!AO$32</f>
        <v>1</v>
      </c>
      <c r="E42" s="68">
        <f ca="1">WEDNESDAY!AO$32</f>
        <v>1</v>
      </c>
      <c r="F42" s="68">
        <f ca="1">THURSDAY!AO$32</f>
        <v>1</v>
      </c>
      <c r="G42" s="68">
        <f ca="1">FRIDAY!AO$32</f>
        <v>1</v>
      </c>
      <c r="H42" s="68">
        <f ca="1">SATURDAY!AO$32</f>
        <v>1</v>
      </c>
      <c r="I42" s="68" cm="1">
        <f t="array" aca="1" ref="I42" ca="1">IF(SUMPRODUCT(--($C42:$H42&lt;&gt;""))=0,"",AVERAGE(C42:H42))</f>
        <v>1</v>
      </c>
      <c r="L42" s="36"/>
    </row>
    <row r="43" spans="2:12" x14ac:dyDescent="0.3">
      <c r="B43" s="67">
        <f>MONDAY!AP3</f>
        <v>0</v>
      </c>
      <c r="C43" s="68" t="str">
        <f>MONDAY!AP$32</f>
        <v/>
      </c>
      <c r="D43" s="68" t="str">
        <f>TUESDAY!AP$32</f>
        <v/>
      </c>
      <c r="E43" s="68" t="str">
        <f>WEDNESDAY!AP$32</f>
        <v/>
      </c>
      <c r="F43" s="68" t="str">
        <f>THURSDAY!AP$32</f>
        <v/>
      </c>
      <c r="G43" s="68" t="str">
        <f>FRIDAY!AP$32</f>
        <v/>
      </c>
      <c r="H43" s="68" t="str">
        <f>SATURDAY!AP$32</f>
        <v/>
      </c>
      <c r="I43" s="68" t="str" cm="1">
        <f t="array" ref="I43">IF(SUMPRODUCT(--($C43:$H43&lt;&gt;""))=0,"",AVERAGE(C43:H43))</f>
        <v/>
      </c>
      <c r="L43" s="36"/>
    </row>
    <row r="44" spans="2:12" x14ac:dyDescent="0.3">
      <c r="B44" s="67">
        <f>MONDAY!AQ3</f>
        <v>0</v>
      </c>
      <c r="C44" s="68" t="str">
        <f>MONDAY!AQ$32</f>
        <v/>
      </c>
      <c r="D44" s="68" t="str">
        <f>TUESDAY!AQ$32</f>
        <v/>
      </c>
      <c r="E44" s="68" t="str">
        <f>WEDNESDAY!AQ$32</f>
        <v/>
      </c>
      <c r="F44" s="68" t="str">
        <f>THURSDAY!AQ$32</f>
        <v/>
      </c>
      <c r="G44" s="68" t="str">
        <f>FRIDAY!AQ$32</f>
        <v/>
      </c>
      <c r="H44" s="68" t="str">
        <f>SATURDAY!AQ$32</f>
        <v/>
      </c>
      <c r="I44" s="68" t="str" cm="1">
        <f t="array" ref="I44">IF(SUMPRODUCT(--($C44:$H44&lt;&gt;""))=0,"",AVERAGE(C44:H44))</f>
        <v/>
      </c>
      <c r="L44" s="36"/>
    </row>
    <row r="45" spans="2:12" x14ac:dyDescent="0.3">
      <c r="B45" s="67">
        <f>MONDAY!AR3</f>
        <v>0</v>
      </c>
      <c r="C45" s="68" t="str">
        <f>MONDAY!AR$32</f>
        <v/>
      </c>
      <c r="D45" s="68" t="str">
        <f>TUESDAY!AR$32</f>
        <v/>
      </c>
      <c r="E45" s="68" t="str">
        <f>WEDNESDAY!AR$32</f>
        <v/>
      </c>
      <c r="F45" s="68" t="str">
        <f>THURSDAY!AR$32</f>
        <v/>
      </c>
      <c r="G45" s="68" t="str">
        <f>FRIDAY!AR$32</f>
        <v/>
      </c>
      <c r="H45" s="68" t="str">
        <f>SATURDAY!AR$32</f>
        <v/>
      </c>
      <c r="I45" s="68" t="str" cm="1">
        <f t="array" ref="I45">IF(SUMPRODUCT(--($C45:$H45&lt;&gt;""))=0,"",AVERAGE(C45:H45))</f>
        <v/>
      </c>
      <c r="L45" s="36"/>
    </row>
    <row r="46" spans="2:12" x14ac:dyDescent="0.3">
      <c r="B46" s="67" t="str">
        <f>MONDAY!AS3</f>
        <v>&lt;Room&gt;</v>
      </c>
      <c r="C46" s="68" t="str">
        <f>MONDAY!AS$32</f>
        <v/>
      </c>
      <c r="D46" s="68" t="str">
        <f>TUESDAY!AS$32</f>
        <v/>
      </c>
      <c r="E46" s="68" t="str">
        <f>WEDNESDAY!AS$32</f>
        <v/>
      </c>
      <c r="F46" s="68" t="str">
        <f>THURSDAY!AS$32</f>
        <v/>
      </c>
      <c r="G46" s="68" t="str">
        <f>FRIDAY!AS$32</f>
        <v/>
      </c>
      <c r="H46" s="68" t="str">
        <f>SATURDAY!AS$32</f>
        <v/>
      </c>
      <c r="I46" s="68" t="str" cm="1">
        <f t="array" ref="I46">IF(SUMPRODUCT(--($C46:$H46&lt;&gt;""))=0,"",AVERAGE(C46:H46))</f>
        <v/>
      </c>
      <c r="L46" s="36"/>
    </row>
    <row r="47" spans="2:12" x14ac:dyDescent="0.3">
      <c r="B47" s="67" t="str">
        <f>MONDAY!AT3</f>
        <v>&lt;Room&gt;</v>
      </c>
      <c r="C47" s="68" t="str">
        <f>MONDAY!AT$32</f>
        <v/>
      </c>
      <c r="D47" s="68" t="str">
        <f>TUESDAY!AT$32</f>
        <v/>
      </c>
      <c r="E47" s="68" t="str">
        <f>WEDNESDAY!AT$32</f>
        <v/>
      </c>
      <c r="F47" s="68" t="str">
        <f>THURSDAY!AT$32</f>
        <v/>
      </c>
      <c r="G47" s="68" t="str">
        <f>FRIDAY!AT$32</f>
        <v/>
      </c>
      <c r="H47" s="68" t="str">
        <f>SATURDAY!AT$32</f>
        <v/>
      </c>
      <c r="I47" s="68" t="str" cm="1">
        <f t="array" ref="I47">IF(SUMPRODUCT(--($C47:$H47&lt;&gt;""))=0,"",AVERAGE(C47:H47))</f>
        <v/>
      </c>
      <c r="L47" s="36"/>
    </row>
    <row r="48" spans="2:12" x14ac:dyDescent="0.3">
      <c r="B48" s="67" t="str">
        <f>MONDAY!AU3</f>
        <v>M01</v>
      </c>
      <c r="C48" s="68">
        <f ca="1">MONDAY!AU$32</f>
        <v>1</v>
      </c>
      <c r="D48" s="68">
        <f ca="1">TUESDAY!AU$32</f>
        <v>1</v>
      </c>
      <c r="E48" s="68">
        <f ca="1">WEDNESDAY!AU$32</f>
        <v>1</v>
      </c>
      <c r="F48" s="68">
        <f ca="1">THURSDAY!AU$32</f>
        <v>1</v>
      </c>
      <c r="G48" s="68">
        <f ca="1">FRIDAY!AU$32</f>
        <v>1</v>
      </c>
      <c r="H48" s="68">
        <f ca="1">SATURDAY!AU$32</f>
        <v>1</v>
      </c>
      <c r="I48" s="68" cm="1">
        <f t="array" aca="1" ref="I48" ca="1">IF(SUMPRODUCT(--($C48:$H48&lt;&gt;""))=0,"",AVERAGE(C48:H48))</f>
        <v>1</v>
      </c>
      <c r="L48" s="36"/>
    </row>
    <row r="49" spans="2:12" x14ac:dyDescent="0.3">
      <c r="B49" s="67" t="str">
        <f>MONDAY!AV3</f>
        <v>M02</v>
      </c>
      <c r="C49" s="68">
        <f ca="1">MONDAY!AV$32</f>
        <v>1</v>
      </c>
      <c r="D49" s="68">
        <f ca="1">TUESDAY!AV$32</f>
        <v>1</v>
      </c>
      <c r="E49" s="68">
        <f ca="1">WEDNESDAY!AV$32</f>
        <v>1</v>
      </c>
      <c r="F49" s="68">
        <f ca="1">THURSDAY!AV$32</f>
        <v>1</v>
      </c>
      <c r="G49" s="68">
        <f ca="1">FRIDAY!AV$32</f>
        <v>1</v>
      </c>
      <c r="H49" s="68">
        <f ca="1">SATURDAY!AV$32</f>
        <v>1</v>
      </c>
      <c r="I49" s="68" cm="1">
        <f t="array" aca="1" ref="I49" ca="1">IF(SUMPRODUCT(--($C49:$H49&lt;&gt;""))=0,"",AVERAGE(C49:H49))</f>
        <v>1</v>
      </c>
      <c r="L49" s="36"/>
    </row>
    <row r="50" spans="2:12" ht="18" x14ac:dyDescent="0.35">
      <c r="B50" s="407" t="s">
        <v>2868</v>
      </c>
      <c r="C50" s="408"/>
      <c r="D50" s="408"/>
      <c r="E50" s="408"/>
      <c r="F50" s="408"/>
      <c r="G50" s="408"/>
      <c r="H50" s="409"/>
      <c r="I50" s="69" cm="1">
        <f t="array" aca="1" ref="I50" ca="1">IF(SUMPRODUCT(--($I6:$I49&lt;&gt;""))=0,"",AVERAGE(I6:I49))</f>
        <v>1</v>
      </c>
    </row>
    <row r="51" spans="2:12" hidden="1" x14ac:dyDescent="0.3">
      <c r="H51" s="40" t="s">
        <v>2869</v>
      </c>
      <c r="I51" s="40">
        <f>'5 - Computer Lab'!D8*(COUNTIFS(B6:B49,"&lt;&gt;&lt;Room&gt;",B6:B49,"&lt;&gt;0"))*'5 - Computer Lab'!D10</f>
        <v>2808</v>
      </c>
    </row>
    <row r="52" spans="2:12" hidden="1" x14ac:dyDescent="0.3">
      <c r="H52" s="40" t="s">
        <v>2870</v>
      </c>
      <c r="I52" s="40">
        <f>SUM('3.1 - Tertiary - Term 1'!K660,'3.2 - Tertiary - Term 2'!K589,'3.3 - SHS Term 1 '!K255,'3.4 - SHS Term 2'!K255)</f>
        <v>973</v>
      </c>
    </row>
  </sheetData>
  <sheetProtection algorithmName="SHA-512" hashValue="UWdBxNFp80ftQ6zDce/RCBomMklSRC9SvQh5pkYspOFBaKZJQDKzovR02jaXdr3XlHOn33asW5copi/DVfaG9w==" saltValue="lp8EQLdFsi4wnMT+ftF+yQ==" spinCount="100000" sheet="1" objects="1" scenarios="1"/>
  <mergeCells count="10">
    <mergeCell ref="B2:R2"/>
    <mergeCell ref="B1:R1"/>
    <mergeCell ref="B50:H50"/>
    <mergeCell ref="K19:Q19"/>
    <mergeCell ref="R4:R5"/>
    <mergeCell ref="C4:H4"/>
    <mergeCell ref="B4:B5"/>
    <mergeCell ref="K4:K5"/>
    <mergeCell ref="L4:Q4"/>
    <mergeCell ref="I4:I5"/>
  </mergeCells>
  <phoneticPr fontId="25" type="noConversion"/>
  <conditionalFormatting sqref="C6:I49">
    <cfRule type="expression" dxfId="12" priority="3">
      <formula>AND(C6&gt;0%, C6&lt;80%)</formula>
    </cfRule>
  </conditionalFormatting>
  <conditionalFormatting sqref="L6:R18">
    <cfRule type="expression" dxfId="11" priority="4">
      <formula>AND(L6&gt;0%, L6&lt;80%)</formula>
    </cfRule>
  </conditionalFormatting>
  <conditionalFormatting sqref="R19 I50">
    <cfRule type="expression" dxfId="10" priority="1">
      <formula>AND(O63&gt;0%, O63&lt;80%)</formula>
    </cfRule>
  </conditionalFormatting>
  <pageMargins left="0.7" right="0.7" top="0.75" bottom="0.75" header="0.3" footer="0.3"/>
  <pageSetup orientation="portrait"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1">
    <tabColor rgb="FFFFFF00"/>
  </sheetPr>
  <dimension ref="A1:H92"/>
  <sheetViews>
    <sheetView topLeftCell="B1" zoomScale="85" zoomScaleNormal="85" workbookViewId="0">
      <selection activeCell="C33" sqref="C33"/>
    </sheetView>
  </sheetViews>
  <sheetFormatPr defaultColWidth="8.5546875" defaultRowHeight="14.4" x14ac:dyDescent="0.3"/>
  <cols>
    <col min="1" max="1" width="0.5546875" style="288" hidden="1" customWidth="1"/>
    <col min="2" max="2" width="14.5546875" style="288" customWidth="1"/>
    <col min="3" max="8" width="19.5546875" style="288" customWidth="1"/>
    <col min="9" max="9" width="30" style="288" customWidth="1"/>
    <col min="10" max="10" width="24.44140625" style="288" customWidth="1"/>
    <col min="11" max="16384" width="8.5546875" style="288"/>
  </cols>
  <sheetData>
    <row r="1" spans="1:8" x14ac:dyDescent="0.3">
      <c r="A1" s="287"/>
      <c r="B1" s="287"/>
      <c r="C1" s="287"/>
      <c r="D1" s="287"/>
      <c r="E1" s="287"/>
      <c r="F1" s="287"/>
      <c r="G1" s="287"/>
      <c r="H1" s="287"/>
    </row>
    <row r="2" spans="1:8" x14ac:dyDescent="0.3">
      <c r="A2" s="287"/>
      <c r="B2" s="300" t="s">
        <v>2871</v>
      </c>
      <c r="C2" s="289" t="s">
        <v>1708</v>
      </c>
      <c r="D2" s="287"/>
      <c r="E2" s="287"/>
      <c r="F2" s="287"/>
      <c r="G2" s="287"/>
      <c r="H2" s="287"/>
    </row>
    <row r="3" spans="1:8" hidden="1" x14ac:dyDescent="0.3">
      <c r="A3" s="287"/>
      <c r="B3" s="290" t="s">
        <v>1208</v>
      </c>
      <c r="C3" s="291" t="s">
        <v>1706</v>
      </c>
      <c r="D3" s="292" t="s">
        <v>1990</v>
      </c>
      <c r="E3" s="292" t="s">
        <v>2235</v>
      </c>
      <c r="F3" s="292" t="s">
        <v>2396</v>
      </c>
      <c r="G3" s="292" t="s">
        <v>2582</v>
      </c>
      <c r="H3" s="293" t="s">
        <v>2780</v>
      </c>
    </row>
    <row r="4" spans="1:8" ht="15.75" hidden="1" customHeight="1" x14ac:dyDescent="0.3">
      <c r="A4" s="287"/>
      <c r="B4" s="294" t="s">
        <v>1713</v>
      </c>
      <c r="C4" s="295" t="str" cm="1">
        <f t="array" ref="C4:C31">IF(ISBLANK(_xlfn.XLOOKUP($C$2,MONDAY!$C$3:$BK$3, MONDAY!$C$4:$BK$31)),"",_xlfn.XLOOKUP($C$2,MONDAY!$C$3:$BK$3, MONDAY!$C$4:$BK$31))</f>
        <v/>
      </c>
      <c r="D4" s="295" t="str" cm="1">
        <f t="array" ref="D4:D31">IF(ISBLANK(_xlfn.XLOOKUP($C$2,TUESDAY!$C$3:$BK$3, TUESDAY!$C$4:$BK$31)),"",_xlfn.XLOOKUP($C$2,TUESDAY!$C$3:$BK$3, TUESDAY!$C$4:$BK$31))</f>
        <v/>
      </c>
      <c r="E4" s="295" t="str" cm="1">
        <f t="array" ref="E4:E31">IF(ISBLANK(_xlfn.XLOOKUP($C$2,WEDNESDAY!$C$3:$BK$3, WEDNESDAY!$C$4:$BK$31)),"",_xlfn.XLOOKUP($C$2,WEDNESDAY!$C$3:$BK$3, WEDNESDAY!$C$4:$BK$31))</f>
        <v/>
      </c>
      <c r="F4" s="295" t="str" cm="1">
        <f t="array" ref="F4:F31">IF(ISBLANK(_xlfn.XLOOKUP($C$2,THURSDAY!$C$3:$BK$3, THURSDAY!$C$4:$BK$31)),"",_xlfn.XLOOKUP($C$2,THURSDAY!$C$3:$BK$3, THURSDAY!$C$4:$BK$31))</f>
        <v/>
      </c>
      <c r="G4" s="295" t="str" cm="1">
        <f t="array" ref="G4:G31">IF(ISBLANK(_xlfn.XLOOKUP($C$2,FRIDAY!$C$3:$BK$3, FRIDAY!$C$4:$BK$31)),"",_xlfn.XLOOKUP($C$2,FRIDAY!$C$3:$BK$3, FRIDAY!$C$4:$BK$31))</f>
        <v/>
      </c>
      <c r="H4" s="295" t="str" cm="1">
        <f t="array" ref="H4:H31">IF(ISBLANK(_xlfn.XLOOKUP($C$2,SATURDAY!$C$3:$BK$3, SATURDAY!$C$4:$BK$31)),"",_xlfn.XLOOKUP($C$2,SATURDAY!$C$3:$BK$3, SATURDAY!$C$4:$BK$31))</f>
        <v/>
      </c>
    </row>
    <row r="5" spans="1:8" hidden="1" x14ac:dyDescent="0.3">
      <c r="A5" s="287"/>
      <c r="B5" s="294" t="s">
        <v>1743</v>
      </c>
      <c r="C5" s="295" t="str">
        <v/>
      </c>
      <c r="D5" s="295" t="str">
        <v/>
      </c>
      <c r="E5" s="295" t="str">
        <v/>
      </c>
      <c r="F5" s="295" t="str">
        <v/>
      </c>
      <c r="G5" s="295" t="str">
        <v/>
      </c>
      <c r="H5" s="295" t="str">
        <v/>
      </c>
    </row>
    <row r="6" spans="1:8" ht="15.75" hidden="1" customHeight="1" x14ac:dyDescent="0.3">
      <c r="A6" s="287"/>
      <c r="B6" s="294" t="s">
        <v>1744</v>
      </c>
      <c r="C6" s="295" t="str">
        <v/>
      </c>
      <c r="D6" s="295" t="str">
        <v/>
      </c>
      <c r="E6" s="295" t="str">
        <v/>
      </c>
      <c r="F6" s="295" t="str">
        <v/>
      </c>
      <c r="G6" s="295" t="str">
        <v/>
      </c>
      <c r="H6" s="295" t="str">
        <v/>
      </c>
    </row>
    <row r="7" spans="1:8" ht="15.6" hidden="1" customHeight="1" x14ac:dyDescent="0.3">
      <c r="A7" s="287"/>
      <c r="B7" s="294" t="s">
        <v>1748</v>
      </c>
      <c r="C7" s="295" t="str">
        <v/>
      </c>
      <c r="D7" s="295" t="str">
        <v/>
      </c>
      <c r="E7" s="295" t="str">
        <v/>
      </c>
      <c r="F7" s="295" t="str">
        <v/>
      </c>
      <c r="G7" s="295" t="str">
        <v/>
      </c>
      <c r="H7" s="295" t="str">
        <v/>
      </c>
    </row>
    <row r="8" spans="1:8" ht="15.6" hidden="1" customHeight="1" x14ac:dyDescent="0.3">
      <c r="A8" s="287"/>
      <c r="B8" s="294" t="s">
        <v>1787</v>
      </c>
      <c r="C8" s="295" t="str">
        <v/>
      </c>
      <c r="D8" s="295" t="str">
        <v/>
      </c>
      <c r="E8" s="295" t="str">
        <v/>
      </c>
      <c r="F8" s="295" t="str">
        <v/>
      </c>
      <c r="G8" s="295" t="str">
        <v/>
      </c>
      <c r="H8" s="295" t="str">
        <v/>
      </c>
    </row>
    <row r="9" spans="1:8" ht="15.75" hidden="1" customHeight="1" x14ac:dyDescent="0.3">
      <c r="A9" s="287"/>
      <c r="B9" s="294" t="s">
        <v>1791</v>
      </c>
      <c r="C9" s="295" t="str">
        <v/>
      </c>
      <c r="D9" s="295" t="str">
        <v/>
      </c>
      <c r="E9" s="295" t="str">
        <v/>
      </c>
      <c r="F9" s="295" t="str">
        <v/>
      </c>
      <c r="G9" s="295" t="str">
        <v/>
      </c>
      <c r="H9" s="295" t="str">
        <v/>
      </c>
    </row>
    <row r="10" spans="1:8" ht="15.6" hidden="1" customHeight="1" x14ac:dyDescent="0.3">
      <c r="A10" s="287"/>
      <c r="B10" s="294" t="s">
        <v>1792</v>
      </c>
      <c r="C10" s="295" t="str">
        <v/>
      </c>
      <c r="D10" s="295" t="str">
        <v/>
      </c>
      <c r="E10" s="295" t="str">
        <v/>
      </c>
      <c r="F10" s="295" t="str">
        <v/>
      </c>
      <c r="G10" s="295" t="str">
        <v/>
      </c>
      <c r="H10" s="295" t="str">
        <v/>
      </c>
    </row>
    <row r="11" spans="1:8" ht="15.6" hidden="1" customHeight="1" x14ac:dyDescent="0.3">
      <c r="A11" s="287"/>
      <c r="B11" s="294" t="s">
        <v>1834</v>
      </c>
      <c r="C11" s="295" t="str">
        <v/>
      </c>
      <c r="D11" s="295" t="str">
        <v/>
      </c>
      <c r="E11" s="295" t="str">
        <v/>
      </c>
      <c r="F11" s="295" t="str">
        <v/>
      </c>
      <c r="G11" s="295" t="str">
        <v/>
      </c>
      <c r="H11" s="295" t="str">
        <v/>
      </c>
    </row>
    <row r="12" spans="1:8" ht="15.9" hidden="1" customHeight="1" x14ac:dyDescent="0.3">
      <c r="A12" s="287"/>
      <c r="B12" s="294" t="s">
        <v>1835</v>
      </c>
      <c r="C12" s="295" t="str">
        <v/>
      </c>
      <c r="D12" s="295" t="str">
        <v/>
      </c>
      <c r="E12" s="295" t="str">
        <v/>
      </c>
      <c r="F12" s="295" t="str">
        <v/>
      </c>
      <c r="G12" s="295" t="str">
        <v/>
      </c>
      <c r="H12" s="295" t="str">
        <v/>
      </c>
    </row>
    <row r="13" spans="1:8" ht="15.75" hidden="1" customHeight="1" x14ac:dyDescent="0.3">
      <c r="A13" s="287"/>
      <c r="B13" s="294" t="s">
        <v>1836</v>
      </c>
      <c r="C13" s="295" t="str">
        <v/>
      </c>
      <c r="D13" s="295" t="str">
        <v/>
      </c>
      <c r="E13" s="295" t="str">
        <v/>
      </c>
      <c r="F13" s="295" t="str">
        <v/>
      </c>
      <c r="G13" s="295" t="str">
        <v/>
      </c>
      <c r="H13" s="295" t="str">
        <v/>
      </c>
    </row>
    <row r="14" spans="1:8" ht="15" hidden="1" customHeight="1" x14ac:dyDescent="0.3">
      <c r="A14" s="287"/>
      <c r="B14" s="294" t="s">
        <v>1875</v>
      </c>
      <c r="C14" s="295" t="str">
        <v/>
      </c>
      <c r="D14" s="295" t="str">
        <v/>
      </c>
      <c r="E14" s="295" t="str">
        <v/>
      </c>
      <c r="F14" s="295" t="str">
        <v/>
      </c>
      <c r="G14" s="295" t="str">
        <v/>
      </c>
      <c r="H14" s="295" t="str">
        <v/>
      </c>
    </row>
    <row r="15" spans="1:8" ht="15.75" hidden="1" customHeight="1" x14ac:dyDescent="0.3">
      <c r="A15" s="287"/>
      <c r="B15" s="294" t="s">
        <v>1876</v>
      </c>
      <c r="C15" s="295" t="str">
        <v/>
      </c>
      <c r="D15" s="295" t="str">
        <v/>
      </c>
      <c r="E15" s="295" t="str">
        <v/>
      </c>
      <c r="F15" s="295" t="str">
        <v/>
      </c>
      <c r="G15" s="295" t="str">
        <v/>
      </c>
      <c r="H15" s="295" t="str">
        <v/>
      </c>
    </row>
    <row r="16" spans="1:8" ht="15.6" hidden="1" customHeight="1" x14ac:dyDescent="0.3">
      <c r="A16" s="287"/>
      <c r="B16" s="294" t="s">
        <v>1877</v>
      </c>
      <c r="C16" s="295" t="str">
        <v/>
      </c>
      <c r="D16" s="295" t="str">
        <v/>
      </c>
      <c r="E16" s="295" t="str">
        <v/>
      </c>
      <c r="F16" s="295" t="str">
        <v/>
      </c>
      <c r="G16" s="295" t="str">
        <v/>
      </c>
      <c r="H16" s="295" t="str">
        <v/>
      </c>
    </row>
    <row r="17" spans="1:8" ht="15.6" hidden="1" customHeight="1" x14ac:dyDescent="0.3">
      <c r="A17" s="287"/>
      <c r="B17" s="294" t="s">
        <v>1921</v>
      </c>
      <c r="C17" s="295" t="str">
        <v/>
      </c>
      <c r="D17" s="295" t="str">
        <v/>
      </c>
      <c r="E17" s="295" t="str">
        <v/>
      </c>
      <c r="F17" s="295" t="str">
        <v/>
      </c>
      <c r="G17" s="295" t="str">
        <v/>
      </c>
      <c r="H17" s="295" t="str">
        <v/>
      </c>
    </row>
    <row r="18" spans="1:8" ht="15.75" hidden="1" customHeight="1" x14ac:dyDescent="0.3">
      <c r="A18" s="287"/>
      <c r="B18" s="294" t="s">
        <v>1922</v>
      </c>
      <c r="C18" s="295" t="str">
        <v/>
      </c>
      <c r="D18" s="295" t="str">
        <v/>
      </c>
      <c r="E18" s="295" t="str">
        <v/>
      </c>
      <c r="F18" s="295" t="str">
        <v/>
      </c>
      <c r="G18" s="295" t="str">
        <v/>
      </c>
      <c r="H18" s="295" t="str">
        <v/>
      </c>
    </row>
    <row r="19" spans="1:8" ht="15.6" hidden="1" customHeight="1" x14ac:dyDescent="0.3">
      <c r="A19" s="287"/>
      <c r="B19" s="294" t="s">
        <v>1926</v>
      </c>
      <c r="C19" s="295" t="str">
        <v/>
      </c>
      <c r="D19" s="295" t="str">
        <v/>
      </c>
      <c r="E19" s="295" t="str">
        <v/>
      </c>
      <c r="F19" s="295" t="str">
        <v/>
      </c>
      <c r="G19" s="295" t="str">
        <v/>
      </c>
      <c r="H19" s="295" t="str">
        <v/>
      </c>
    </row>
    <row r="20" spans="1:8" ht="15.75" hidden="1" customHeight="1" x14ac:dyDescent="0.3">
      <c r="A20" s="287"/>
      <c r="B20" s="294" t="s">
        <v>1956</v>
      </c>
      <c r="C20" s="295" t="str">
        <v/>
      </c>
      <c r="D20" s="295" t="str">
        <v/>
      </c>
      <c r="E20" s="295" t="str">
        <v/>
      </c>
      <c r="F20" s="295" t="str">
        <v/>
      </c>
      <c r="G20" s="295" t="str">
        <v/>
      </c>
      <c r="H20" s="295" t="str">
        <v/>
      </c>
    </row>
    <row r="21" spans="1:8" hidden="1" x14ac:dyDescent="0.3">
      <c r="A21" s="287"/>
      <c r="B21" s="294" t="s">
        <v>1958</v>
      </c>
      <c r="C21" s="295" t="str">
        <v/>
      </c>
      <c r="D21" s="295" t="str">
        <v/>
      </c>
      <c r="E21" s="295" t="str">
        <v/>
      </c>
      <c r="F21" s="295" t="str">
        <v/>
      </c>
      <c r="G21" s="295" t="str">
        <v/>
      </c>
      <c r="H21" s="295" t="str">
        <v/>
      </c>
    </row>
    <row r="22" spans="1:8" ht="15.6" hidden="1" customHeight="1" x14ac:dyDescent="0.3">
      <c r="A22" s="287"/>
      <c r="B22" s="294" t="s">
        <v>1959</v>
      </c>
      <c r="C22" s="295" t="str">
        <v/>
      </c>
      <c r="D22" s="295" t="str">
        <v/>
      </c>
      <c r="E22" s="295" t="str">
        <v/>
      </c>
      <c r="F22" s="295" t="str">
        <v/>
      </c>
      <c r="G22" s="295" t="str">
        <v/>
      </c>
      <c r="H22" s="295" t="str">
        <v/>
      </c>
    </row>
    <row r="23" spans="1:8" ht="15" hidden="1" customHeight="1" x14ac:dyDescent="0.3">
      <c r="A23" s="287"/>
      <c r="B23" s="294" t="s">
        <v>1980</v>
      </c>
      <c r="C23" s="295" t="str">
        <v/>
      </c>
      <c r="D23" s="295" t="str">
        <v/>
      </c>
      <c r="E23" s="295" t="str">
        <v/>
      </c>
      <c r="F23" s="295" t="str">
        <v/>
      </c>
      <c r="G23" s="295" t="str">
        <v/>
      </c>
      <c r="H23" s="295" t="str">
        <v/>
      </c>
    </row>
    <row r="24" spans="1:8" ht="15.6" hidden="1" customHeight="1" x14ac:dyDescent="0.3">
      <c r="A24" s="287"/>
      <c r="B24" s="294" t="s">
        <v>1981</v>
      </c>
      <c r="C24" s="295" t="str">
        <v/>
      </c>
      <c r="D24" s="295" t="str">
        <v/>
      </c>
      <c r="E24" s="295" t="str">
        <v/>
      </c>
      <c r="F24" s="295" t="str">
        <v/>
      </c>
      <c r="G24" s="295" t="str">
        <v/>
      </c>
      <c r="H24" s="295" t="str">
        <v/>
      </c>
    </row>
    <row r="25" spans="1:8" ht="14.4" hidden="1" customHeight="1" x14ac:dyDescent="0.3">
      <c r="A25" s="287"/>
      <c r="B25" s="294" t="s">
        <v>1982</v>
      </c>
      <c r="C25" s="295" t="str">
        <v/>
      </c>
      <c r="D25" s="295" t="str">
        <v/>
      </c>
      <c r="E25" s="295" t="str">
        <v/>
      </c>
      <c r="F25" s="295" t="str">
        <v/>
      </c>
      <c r="G25" s="295" t="str">
        <v/>
      </c>
      <c r="H25" s="295" t="str">
        <v/>
      </c>
    </row>
    <row r="26" spans="1:8" ht="14.4" hidden="1" customHeight="1" x14ac:dyDescent="0.3">
      <c r="A26" s="287"/>
      <c r="B26" s="294" t="s">
        <v>1983</v>
      </c>
      <c r="C26" s="295" t="str">
        <v/>
      </c>
      <c r="D26" s="295" t="str">
        <v/>
      </c>
      <c r="E26" s="295" t="str">
        <v/>
      </c>
      <c r="F26" s="295" t="str">
        <v/>
      </c>
      <c r="G26" s="295" t="str">
        <v/>
      </c>
      <c r="H26" s="295" t="str">
        <v/>
      </c>
    </row>
    <row r="27" spans="1:8" hidden="1" x14ac:dyDescent="0.3">
      <c r="A27" s="287"/>
      <c r="B27" s="294" t="s">
        <v>1984</v>
      </c>
      <c r="C27" s="295" t="str">
        <v/>
      </c>
      <c r="D27" s="295" t="str">
        <v/>
      </c>
      <c r="E27" s="295" t="str">
        <v/>
      </c>
      <c r="F27" s="295" t="str">
        <v/>
      </c>
      <c r="G27" s="295" t="str">
        <v/>
      </c>
      <c r="H27" s="295" t="str">
        <v/>
      </c>
    </row>
    <row r="28" spans="1:8" hidden="1" x14ac:dyDescent="0.3">
      <c r="A28" s="287"/>
      <c r="B28" s="294" t="s">
        <v>1985</v>
      </c>
      <c r="C28" s="295" t="str">
        <v/>
      </c>
      <c r="D28" s="295" t="str">
        <v/>
      </c>
      <c r="E28" s="295" t="str">
        <v/>
      </c>
      <c r="F28" s="295" t="str">
        <v/>
      </c>
      <c r="G28" s="295" t="str">
        <v/>
      </c>
      <c r="H28" s="295" t="str">
        <v/>
      </c>
    </row>
    <row r="29" spans="1:8" hidden="1" x14ac:dyDescent="0.3">
      <c r="A29" s="287"/>
      <c r="B29" s="294" t="s">
        <v>1986</v>
      </c>
      <c r="C29" s="295" t="str">
        <v/>
      </c>
      <c r="D29" s="295" t="str">
        <v/>
      </c>
      <c r="E29" s="295" t="str">
        <v/>
      </c>
      <c r="F29" s="295" t="str">
        <v/>
      </c>
      <c r="G29" s="295" t="str">
        <v/>
      </c>
      <c r="H29" s="295" t="str">
        <v/>
      </c>
    </row>
    <row r="30" spans="1:8" hidden="1" x14ac:dyDescent="0.3">
      <c r="A30" s="287"/>
      <c r="B30" s="294" t="s">
        <v>1987</v>
      </c>
      <c r="C30" s="295" t="str">
        <v/>
      </c>
      <c r="D30" s="295" t="str">
        <v/>
      </c>
      <c r="E30" s="295" t="str">
        <v/>
      </c>
      <c r="F30" s="295" t="str">
        <v/>
      </c>
      <c r="G30" s="295" t="str">
        <v/>
      </c>
      <c r="H30" s="295" t="str">
        <v/>
      </c>
    </row>
    <row r="31" spans="1:8" hidden="1" x14ac:dyDescent="0.3">
      <c r="A31" s="287"/>
      <c r="B31" s="294" t="s">
        <v>1988</v>
      </c>
      <c r="C31" s="295" t="str">
        <v/>
      </c>
      <c r="D31" s="295" t="str">
        <v/>
      </c>
      <c r="E31" s="295" t="str">
        <v/>
      </c>
      <c r="F31" s="295" t="str">
        <v/>
      </c>
      <c r="G31" s="295" t="str">
        <v/>
      </c>
      <c r="H31" s="295" t="str">
        <v/>
      </c>
    </row>
    <row r="33" spans="2:8" x14ac:dyDescent="0.3">
      <c r="B33" s="261" t="s">
        <v>1208</v>
      </c>
      <c r="C33" s="414" t="s">
        <v>1706</v>
      </c>
      <c r="D33" s="415"/>
      <c r="E33" s="415"/>
      <c r="F33" s="415"/>
      <c r="G33" s="415"/>
      <c r="H33" s="415"/>
    </row>
    <row r="34" spans="2:8" ht="16.5" customHeight="1" x14ac:dyDescent="0.3">
      <c r="B34" s="297" t="s">
        <v>1713</v>
      </c>
      <c r="C34" s="416"/>
      <c r="D34" s="417"/>
      <c r="E34" s="417"/>
      <c r="F34" s="417"/>
      <c r="G34" s="417"/>
      <c r="H34" s="417"/>
    </row>
    <row r="35" spans="2:8" ht="16.5" customHeight="1" x14ac:dyDescent="0.3">
      <c r="B35" s="297" t="s">
        <v>1743</v>
      </c>
      <c r="C35" s="416"/>
      <c r="D35" s="417"/>
      <c r="E35" s="417"/>
      <c r="F35" s="417"/>
      <c r="G35" s="417"/>
      <c r="H35" s="417"/>
    </row>
    <row r="36" spans="2:8" ht="16.5" customHeight="1" x14ac:dyDescent="0.3">
      <c r="B36" s="297" t="s">
        <v>1744</v>
      </c>
      <c r="C36" s="416"/>
      <c r="D36" s="417"/>
      <c r="E36" s="417"/>
      <c r="F36" s="417"/>
      <c r="G36" s="417"/>
      <c r="H36" s="417"/>
    </row>
    <row r="37" spans="2:8" ht="16.5" customHeight="1" x14ac:dyDescent="0.3">
      <c r="B37" s="297" t="s">
        <v>1748</v>
      </c>
      <c r="C37" s="416"/>
      <c r="D37" s="417"/>
      <c r="E37" s="417"/>
      <c r="F37" s="417"/>
      <c r="G37" s="417"/>
      <c r="H37" s="417"/>
    </row>
    <row r="38" spans="2:8" ht="16.5" customHeight="1" x14ac:dyDescent="0.3">
      <c r="B38" s="297" t="s">
        <v>1787</v>
      </c>
      <c r="C38" s="416"/>
      <c r="D38" s="417"/>
      <c r="E38" s="417"/>
      <c r="F38" s="417"/>
      <c r="G38" s="417"/>
      <c r="H38" s="417"/>
    </row>
    <row r="39" spans="2:8" ht="16.5" customHeight="1" x14ac:dyDescent="0.3">
      <c r="B39" s="297" t="s">
        <v>1791</v>
      </c>
      <c r="C39" s="416"/>
      <c r="D39" s="417"/>
      <c r="E39" s="417"/>
      <c r="F39" s="417"/>
      <c r="G39" s="417"/>
      <c r="H39" s="417"/>
    </row>
    <row r="40" spans="2:8" ht="16.5" customHeight="1" x14ac:dyDescent="0.3">
      <c r="B40" s="297" t="s">
        <v>1792</v>
      </c>
      <c r="C40" s="416"/>
      <c r="D40" s="417"/>
      <c r="E40" s="417"/>
      <c r="F40" s="417"/>
      <c r="G40" s="417"/>
      <c r="H40" s="417"/>
    </row>
    <row r="41" spans="2:8" ht="16.5" customHeight="1" x14ac:dyDescent="0.3">
      <c r="B41" s="297" t="s">
        <v>1834</v>
      </c>
      <c r="C41" s="416"/>
      <c r="D41" s="417"/>
      <c r="E41" s="417"/>
      <c r="F41" s="417"/>
      <c r="G41" s="417"/>
      <c r="H41" s="417"/>
    </row>
    <row r="42" spans="2:8" ht="16.5" customHeight="1" x14ac:dyDescent="0.3">
      <c r="B42" s="297" t="s">
        <v>1835</v>
      </c>
      <c r="C42" s="416"/>
      <c r="D42" s="417"/>
      <c r="E42" s="417"/>
      <c r="F42" s="417"/>
      <c r="G42" s="417"/>
      <c r="H42" s="417"/>
    </row>
    <row r="43" spans="2:8" ht="16.5" customHeight="1" x14ac:dyDescent="0.3">
      <c r="B43" s="297" t="s">
        <v>1836</v>
      </c>
      <c r="C43" s="416"/>
      <c r="D43" s="417"/>
      <c r="E43" s="417"/>
      <c r="F43" s="417"/>
      <c r="G43" s="417"/>
      <c r="H43" s="417"/>
    </row>
    <row r="44" spans="2:8" ht="16.5" customHeight="1" x14ac:dyDescent="0.3">
      <c r="B44" s="297" t="s">
        <v>1875</v>
      </c>
      <c r="C44" s="416"/>
      <c r="D44" s="417"/>
      <c r="E44" s="417"/>
      <c r="F44" s="417"/>
      <c r="G44" s="417"/>
      <c r="H44" s="417"/>
    </row>
    <row r="45" spans="2:8" ht="16.5" customHeight="1" x14ac:dyDescent="0.3">
      <c r="B45" s="297" t="s">
        <v>1876</v>
      </c>
      <c r="C45" s="416"/>
      <c r="D45" s="417"/>
      <c r="E45" s="417"/>
      <c r="F45" s="417"/>
      <c r="G45" s="417"/>
      <c r="H45" s="417"/>
    </row>
    <row r="46" spans="2:8" ht="16.5" customHeight="1" x14ac:dyDescent="0.3">
      <c r="B46" s="297" t="s">
        <v>1877</v>
      </c>
      <c r="C46" s="416"/>
      <c r="D46" s="417"/>
      <c r="E46" s="417"/>
      <c r="F46" s="417"/>
      <c r="G46" s="417"/>
      <c r="H46" s="417"/>
    </row>
    <row r="47" spans="2:8" ht="16.5" customHeight="1" x14ac:dyDescent="0.3">
      <c r="B47" s="297" t="s">
        <v>1921</v>
      </c>
      <c r="C47" s="416"/>
      <c r="D47" s="417"/>
      <c r="E47" s="417"/>
      <c r="F47" s="417"/>
      <c r="G47" s="417"/>
      <c r="H47" s="417"/>
    </row>
    <row r="48" spans="2:8" ht="16.5" customHeight="1" x14ac:dyDescent="0.3">
      <c r="B48" s="297" t="s">
        <v>1922</v>
      </c>
      <c r="C48" s="416"/>
      <c r="D48" s="417"/>
      <c r="E48" s="417"/>
      <c r="F48" s="417"/>
      <c r="G48" s="417"/>
      <c r="H48" s="417"/>
    </row>
    <row r="49" spans="2:8" ht="16.5" customHeight="1" x14ac:dyDescent="0.3">
      <c r="B49" s="297" t="s">
        <v>1926</v>
      </c>
      <c r="C49" s="416"/>
      <c r="D49" s="417"/>
      <c r="E49" s="417"/>
      <c r="F49" s="417"/>
      <c r="G49" s="417"/>
      <c r="H49" s="417"/>
    </row>
    <row r="50" spans="2:8" ht="16.5" customHeight="1" x14ac:dyDescent="0.3">
      <c r="B50" s="297" t="s">
        <v>1956</v>
      </c>
      <c r="C50" s="416"/>
      <c r="D50" s="417"/>
      <c r="E50" s="417"/>
      <c r="F50" s="417"/>
      <c r="G50" s="417"/>
      <c r="H50" s="417"/>
    </row>
    <row r="51" spans="2:8" ht="16.5" customHeight="1" x14ac:dyDescent="0.3">
      <c r="B51" s="297" t="s">
        <v>1958</v>
      </c>
      <c r="C51" s="416"/>
      <c r="D51" s="417"/>
      <c r="E51" s="417"/>
      <c r="F51" s="417"/>
      <c r="G51" s="417"/>
      <c r="H51" s="417"/>
    </row>
    <row r="52" spans="2:8" ht="16.5" customHeight="1" x14ac:dyDescent="0.3">
      <c r="B52" s="297" t="s">
        <v>1959</v>
      </c>
      <c r="C52" s="416"/>
      <c r="D52" s="417"/>
      <c r="E52" s="417"/>
      <c r="F52" s="417"/>
      <c r="G52" s="417"/>
      <c r="H52" s="417"/>
    </row>
    <row r="53" spans="2:8" ht="16.5" customHeight="1" x14ac:dyDescent="0.3">
      <c r="B53" s="297" t="s">
        <v>1980</v>
      </c>
      <c r="C53" s="416"/>
      <c r="D53" s="417"/>
      <c r="E53" s="417"/>
      <c r="F53" s="417"/>
      <c r="G53" s="417"/>
      <c r="H53" s="417"/>
    </row>
    <row r="54" spans="2:8" ht="16.5" customHeight="1" x14ac:dyDescent="0.3">
      <c r="B54" s="297" t="s">
        <v>1981</v>
      </c>
      <c r="C54" s="416"/>
      <c r="D54" s="417"/>
      <c r="E54" s="417"/>
      <c r="F54" s="417"/>
      <c r="G54" s="417"/>
      <c r="H54" s="417"/>
    </row>
    <row r="55" spans="2:8" ht="16.5" customHeight="1" x14ac:dyDescent="0.3">
      <c r="B55" s="297" t="s">
        <v>1982</v>
      </c>
      <c r="C55" s="416"/>
      <c r="D55" s="417"/>
      <c r="E55" s="417"/>
      <c r="F55" s="417"/>
      <c r="G55" s="417"/>
      <c r="H55" s="417"/>
    </row>
    <row r="56" spans="2:8" ht="16.5" customHeight="1" x14ac:dyDescent="0.3">
      <c r="B56" s="297" t="s">
        <v>1983</v>
      </c>
      <c r="C56" s="416"/>
      <c r="D56" s="417"/>
      <c r="E56" s="417"/>
      <c r="F56" s="417"/>
      <c r="G56" s="417"/>
      <c r="H56" s="417"/>
    </row>
    <row r="57" spans="2:8" ht="16.5" customHeight="1" x14ac:dyDescent="0.3">
      <c r="B57" s="297" t="s">
        <v>1984</v>
      </c>
      <c r="C57" s="416"/>
      <c r="D57" s="417"/>
      <c r="E57" s="417"/>
      <c r="F57" s="417"/>
      <c r="G57" s="417"/>
      <c r="H57" s="417"/>
    </row>
    <row r="58" spans="2:8" ht="16.5" customHeight="1" x14ac:dyDescent="0.3">
      <c r="B58" s="297" t="s">
        <v>1985</v>
      </c>
      <c r="C58" s="416"/>
      <c r="D58" s="417"/>
      <c r="E58" s="417"/>
      <c r="F58" s="417"/>
      <c r="G58" s="417"/>
      <c r="H58" s="417"/>
    </row>
    <row r="59" spans="2:8" ht="16.5" customHeight="1" x14ac:dyDescent="0.3">
      <c r="B59" s="297" t="s">
        <v>1986</v>
      </c>
      <c r="C59" s="416"/>
      <c r="D59" s="417"/>
      <c r="E59" s="417"/>
      <c r="F59" s="417"/>
      <c r="G59" s="417"/>
      <c r="H59" s="417"/>
    </row>
    <row r="60" spans="2:8" ht="16.5" customHeight="1" x14ac:dyDescent="0.3">
      <c r="B60" s="297" t="s">
        <v>1987</v>
      </c>
      <c r="C60" s="416"/>
      <c r="D60" s="417"/>
      <c r="E60" s="417"/>
      <c r="F60" s="417"/>
      <c r="G60" s="417"/>
      <c r="H60" s="417"/>
    </row>
    <row r="61" spans="2:8" ht="16.5" customHeight="1" x14ac:dyDescent="0.3">
      <c r="B61" s="297" t="s">
        <v>1988</v>
      </c>
      <c r="C61" s="416"/>
      <c r="D61" s="417"/>
      <c r="E61" s="417"/>
      <c r="F61" s="417"/>
      <c r="G61" s="417"/>
      <c r="H61" s="417"/>
    </row>
    <row r="62" spans="2:8" hidden="1" x14ac:dyDescent="0.3">
      <c r="C62" s="287" t="str">
        <f>$C$31</f>
        <v/>
      </c>
      <c r="D62" s="287" t="str">
        <f>$D$31</f>
        <v/>
      </c>
      <c r="E62" s="287" t="str">
        <f>$E$31</f>
        <v/>
      </c>
      <c r="F62" s="287" t="str">
        <f>$F$31</f>
        <v/>
      </c>
      <c r="G62" s="287"/>
      <c r="H62" s="287" t="str">
        <f>$H$31</f>
        <v/>
      </c>
    </row>
    <row r="63" spans="2:8" hidden="1" x14ac:dyDescent="0.3">
      <c r="B63" s="296" t="s">
        <v>1208</v>
      </c>
      <c r="C63" s="296" t="s">
        <v>1706</v>
      </c>
      <c r="D63" s="296" t="s">
        <v>1990</v>
      </c>
      <c r="E63" s="296" t="s">
        <v>2235</v>
      </c>
      <c r="F63" s="296" t="s">
        <v>2396</v>
      </c>
      <c r="G63" s="296" t="s">
        <v>2582</v>
      </c>
      <c r="H63" s="296" t="s">
        <v>2780</v>
      </c>
    </row>
    <row r="64" spans="2:8" hidden="1" x14ac:dyDescent="0.3">
      <c r="B64" s="298" t="s">
        <v>1713</v>
      </c>
      <c r="C64" s="299" t="str">
        <f>$C$4</f>
        <v/>
      </c>
      <c r="D64" s="299" t="str">
        <f>$D$4</f>
        <v/>
      </c>
      <c r="E64" s="299" t="str">
        <f>$E$4</f>
        <v/>
      </c>
      <c r="F64" s="299" t="str">
        <f>$F$4</f>
        <v/>
      </c>
      <c r="G64" s="299" t="str">
        <f>$G$4</f>
        <v/>
      </c>
      <c r="H64" s="299" t="str">
        <f>$H$4</f>
        <v/>
      </c>
    </row>
    <row r="65" spans="2:8" hidden="1" x14ac:dyDescent="0.3">
      <c r="B65" s="297" t="s">
        <v>1743</v>
      </c>
      <c r="C65" s="299" t="str">
        <f>$C$5</f>
        <v/>
      </c>
      <c r="D65" s="299" t="str">
        <f>$D$5</f>
        <v/>
      </c>
      <c r="E65" s="299" t="str">
        <f>$E$5</f>
        <v/>
      </c>
      <c r="F65" s="299" t="str">
        <f>$F$5</f>
        <v/>
      </c>
      <c r="G65" s="299" t="str">
        <f>$G$5</f>
        <v/>
      </c>
      <c r="H65" s="299" t="str">
        <f>$H$5</f>
        <v/>
      </c>
    </row>
    <row r="66" spans="2:8" hidden="1" x14ac:dyDescent="0.3">
      <c r="B66" s="297" t="s">
        <v>1744</v>
      </c>
      <c r="C66" s="299" t="str">
        <f>$C$6</f>
        <v/>
      </c>
      <c r="D66" s="299" t="str">
        <f>$D$6</f>
        <v/>
      </c>
      <c r="E66" s="299" t="str">
        <f>$E$6</f>
        <v/>
      </c>
      <c r="F66" s="299" t="str">
        <f>$F$6</f>
        <v/>
      </c>
      <c r="G66" s="299" t="str">
        <f>$G$6</f>
        <v/>
      </c>
      <c r="H66" s="299" t="str">
        <f>$H$6</f>
        <v/>
      </c>
    </row>
    <row r="67" spans="2:8" hidden="1" x14ac:dyDescent="0.3">
      <c r="B67" s="297" t="s">
        <v>1748</v>
      </c>
      <c r="C67" s="299" t="str">
        <f>$C$7</f>
        <v/>
      </c>
      <c r="D67" s="299" t="str">
        <f>$D$7</f>
        <v/>
      </c>
      <c r="E67" s="299" t="str">
        <f>$E$7</f>
        <v/>
      </c>
      <c r="F67" s="299" t="str">
        <f>$F$7</f>
        <v/>
      </c>
      <c r="G67" s="299" t="str">
        <f>$G$7</f>
        <v/>
      </c>
      <c r="H67" s="299" t="str">
        <f>$H$7</f>
        <v/>
      </c>
    </row>
    <row r="68" spans="2:8" hidden="1" x14ac:dyDescent="0.3">
      <c r="B68" s="297" t="s">
        <v>1787</v>
      </c>
      <c r="C68" s="299" t="str">
        <f>$C$8</f>
        <v/>
      </c>
      <c r="D68" s="299" t="str">
        <f>$D$8</f>
        <v/>
      </c>
      <c r="E68" s="299" t="str">
        <f>$E$8</f>
        <v/>
      </c>
      <c r="F68" s="299" t="str">
        <f>$F$8</f>
        <v/>
      </c>
      <c r="G68" s="299" t="str">
        <f>$G$8</f>
        <v/>
      </c>
      <c r="H68" s="299" t="str">
        <f>$H$8</f>
        <v/>
      </c>
    </row>
    <row r="69" spans="2:8" hidden="1" x14ac:dyDescent="0.3">
      <c r="B69" s="297" t="s">
        <v>1791</v>
      </c>
      <c r="C69" s="299" t="str">
        <f>$C$9</f>
        <v/>
      </c>
      <c r="D69" s="299" t="str">
        <f>$D$9</f>
        <v/>
      </c>
      <c r="E69" s="299" t="str">
        <f>$E$9</f>
        <v/>
      </c>
      <c r="F69" s="299" t="str">
        <f>$F$9</f>
        <v/>
      </c>
      <c r="G69" s="299" t="str">
        <f>$G$9</f>
        <v/>
      </c>
      <c r="H69" s="299" t="str">
        <f>$H$9</f>
        <v/>
      </c>
    </row>
    <row r="70" spans="2:8" hidden="1" x14ac:dyDescent="0.3">
      <c r="B70" s="297" t="s">
        <v>1792</v>
      </c>
      <c r="C70" s="299" t="str">
        <f>$C$10</f>
        <v/>
      </c>
      <c r="D70" s="299" t="str">
        <f>$D$10</f>
        <v/>
      </c>
      <c r="E70" s="299" t="str">
        <f>$E$10</f>
        <v/>
      </c>
      <c r="F70" s="299" t="str">
        <f>$F$10</f>
        <v/>
      </c>
      <c r="G70" s="299" t="str">
        <f>$G$10</f>
        <v/>
      </c>
      <c r="H70" s="299" t="str">
        <f>$H$10</f>
        <v/>
      </c>
    </row>
    <row r="71" spans="2:8" hidden="1" x14ac:dyDescent="0.3">
      <c r="B71" s="297" t="s">
        <v>1834</v>
      </c>
      <c r="C71" s="299" t="str">
        <f>$C$11</f>
        <v/>
      </c>
      <c r="D71" s="299" t="str">
        <f>$D$11</f>
        <v/>
      </c>
      <c r="E71" s="299" t="str">
        <f>$E$11</f>
        <v/>
      </c>
      <c r="F71" s="299" t="str">
        <f>$F$11</f>
        <v/>
      </c>
      <c r="G71" s="299" t="str">
        <f>$G$11</f>
        <v/>
      </c>
      <c r="H71" s="299" t="str">
        <f>$H$11</f>
        <v/>
      </c>
    </row>
    <row r="72" spans="2:8" hidden="1" x14ac:dyDescent="0.3">
      <c r="B72" s="297" t="s">
        <v>1835</v>
      </c>
      <c r="C72" s="299" t="str">
        <f>$C$12</f>
        <v/>
      </c>
      <c r="D72" s="299" t="str">
        <f>$D$12</f>
        <v/>
      </c>
      <c r="E72" s="299" t="str">
        <f>$E$12</f>
        <v/>
      </c>
      <c r="F72" s="299" t="str">
        <f>$F$12</f>
        <v/>
      </c>
      <c r="G72" s="299" t="str">
        <f>$G$12</f>
        <v/>
      </c>
      <c r="H72" s="299" t="str">
        <f>$H$12</f>
        <v/>
      </c>
    </row>
    <row r="73" spans="2:8" hidden="1" x14ac:dyDescent="0.3">
      <c r="B73" s="297" t="s">
        <v>1836</v>
      </c>
      <c r="C73" s="299" t="str">
        <f>$C$13</f>
        <v/>
      </c>
      <c r="D73" s="299" t="str">
        <f>$D$13</f>
        <v/>
      </c>
      <c r="E73" s="299" t="str">
        <f>$E$13</f>
        <v/>
      </c>
      <c r="F73" s="299" t="str">
        <f>$F$13</f>
        <v/>
      </c>
      <c r="G73" s="299" t="str">
        <f>$G$13</f>
        <v/>
      </c>
      <c r="H73" s="299" t="str">
        <f>$H$13</f>
        <v/>
      </c>
    </row>
    <row r="74" spans="2:8" hidden="1" x14ac:dyDescent="0.3">
      <c r="B74" s="297" t="s">
        <v>1875</v>
      </c>
      <c r="C74" s="299" t="str">
        <f>$C$14</f>
        <v/>
      </c>
      <c r="D74" s="299" t="str">
        <f>$D$14</f>
        <v/>
      </c>
      <c r="E74" s="299" t="str">
        <f>$E$14</f>
        <v/>
      </c>
      <c r="F74" s="299" t="str">
        <f>$F$14</f>
        <v/>
      </c>
      <c r="G74" s="299" t="str">
        <f>$G$14</f>
        <v/>
      </c>
      <c r="H74" s="299" t="str">
        <f>$H$14</f>
        <v/>
      </c>
    </row>
    <row r="75" spans="2:8" hidden="1" x14ac:dyDescent="0.3">
      <c r="B75" s="297" t="s">
        <v>1876</v>
      </c>
      <c r="C75" s="299" t="str">
        <f>$C$15</f>
        <v/>
      </c>
      <c r="D75" s="299" t="str">
        <f>$D$15</f>
        <v/>
      </c>
      <c r="E75" s="299" t="str">
        <f>$E$15</f>
        <v/>
      </c>
      <c r="F75" s="299" t="str">
        <f>$F$15</f>
        <v/>
      </c>
      <c r="G75" s="299" t="str">
        <f>$G$15</f>
        <v/>
      </c>
      <c r="H75" s="299" t="str">
        <f>$H$15</f>
        <v/>
      </c>
    </row>
    <row r="76" spans="2:8" hidden="1" x14ac:dyDescent="0.3">
      <c r="B76" s="297" t="s">
        <v>1877</v>
      </c>
      <c r="C76" s="299" t="str">
        <f>$C$16</f>
        <v/>
      </c>
      <c r="D76" s="299" t="str">
        <f>$D$16</f>
        <v/>
      </c>
      <c r="E76" s="299" t="str">
        <f>$E$16</f>
        <v/>
      </c>
      <c r="F76" s="299" t="str">
        <f>$F$16</f>
        <v/>
      </c>
      <c r="G76" s="299" t="str">
        <f>$G$16</f>
        <v/>
      </c>
      <c r="H76" s="299" t="str">
        <f>$H$16</f>
        <v/>
      </c>
    </row>
    <row r="77" spans="2:8" hidden="1" x14ac:dyDescent="0.3">
      <c r="B77" s="297" t="s">
        <v>1921</v>
      </c>
      <c r="C77" s="299" t="str">
        <f>$C$17</f>
        <v/>
      </c>
      <c r="D77" s="299" t="str">
        <f>$D$17</f>
        <v/>
      </c>
      <c r="E77" s="299" t="str">
        <f>$E$17</f>
        <v/>
      </c>
      <c r="F77" s="299" t="str">
        <f>$F$17</f>
        <v/>
      </c>
      <c r="G77" s="299" t="str">
        <f>$G$17</f>
        <v/>
      </c>
      <c r="H77" s="299" t="str">
        <f>$H$17</f>
        <v/>
      </c>
    </row>
    <row r="78" spans="2:8" hidden="1" x14ac:dyDescent="0.3">
      <c r="B78" s="297" t="s">
        <v>1922</v>
      </c>
      <c r="C78" s="299" t="str">
        <f>$C$18</f>
        <v/>
      </c>
      <c r="D78" s="299" t="str">
        <f>$D$18</f>
        <v/>
      </c>
      <c r="E78" s="299" t="str">
        <f>$E$18</f>
        <v/>
      </c>
      <c r="F78" s="299" t="str">
        <f>$F$18</f>
        <v/>
      </c>
      <c r="G78" s="299" t="str">
        <f>$G$18</f>
        <v/>
      </c>
      <c r="H78" s="299" t="str">
        <f>$H$18</f>
        <v/>
      </c>
    </row>
    <row r="79" spans="2:8" hidden="1" x14ac:dyDescent="0.3">
      <c r="B79" s="297" t="s">
        <v>1926</v>
      </c>
      <c r="C79" s="299" t="str">
        <f>$C$19</f>
        <v/>
      </c>
      <c r="D79" s="299" t="str">
        <f>$D$19</f>
        <v/>
      </c>
      <c r="E79" s="299" t="str">
        <f>$E$19</f>
        <v/>
      </c>
      <c r="F79" s="299" t="str">
        <f>$F$19</f>
        <v/>
      </c>
      <c r="G79" s="299" t="str">
        <f>$G$19</f>
        <v/>
      </c>
      <c r="H79" s="299" t="str">
        <f>$H$19</f>
        <v/>
      </c>
    </row>
    <row r="80" spans="2:8" hidden="1" x14ac:dyDescent="0.3">
      <c r="B80" s="297" t="s">
        <v>1956</v>
      </c>
      <c r="C80" s="299" t="str">
        <f>$C$20</f>
        <v/>
      </c>
      <c r="D80" s="299" t="str">
        <f>$D$20</f>
        <v/>
      </c>
      <c r="E80" s="299" t="str">
        <f>$E$20</f>
        <v/>
      </c>
      <c r="F80" s="299" t="str">
        <f>$F$20</f>
        <v/>
      </c>
      <c r="G80" s="299" t="str">
        <f>$G$20</f>
        <v/>
      </c>
      <c r="H80" s="299" t="str">
        <f>$H$20</f>
        <v/>
      </c>
    </row>
    <row r="81" spans="2:8" hidden="1" x14ac:dyDescent="0.3">
      <c r="B81" s="297" t="s">
        <v>1958</v>
      </c>
      <c r="C81" s="299" t="str">
        <f>$C$21</f>
        <v/>
      </c>
      <c r="D81" s="299" t="str">
        <f>$D$21</f>
        <v/>
      </c>
      <c r="E81" s="299" t="str">
        <f>$E$21</f>
        <v/>
      </c>
      <c r="F81" s="299" t="str">
        <f>$F$21</f>
        <v/>
      </c>
      <c r="G81" s="299" t="str">
        <f>$G$21</f>
        <v/>
      </c>
      <c r="H81" s="299" t="str">
        <f>$H$21</f>
        <v/>
      </c>
    </row>
    <row r="82" spans="2:8" hidden="1" x14ac:dyDescent="0.3">
      <c r="B82" s="297" t="s">
        <v>1959</v>
      </c>
      <c r="C82" s="299" t="str">
        <f>$C$22</f>
        <v/>
      </c>
      <c r="D82" s="299" t="str">
        <f>$D$22</f>
        <v/>
      </c>
      <c r="E82" s="299" t="str">
        <f>$E$22</f>
        <v/>
      </c>
      <c r="F82" s="299" t="str">
        <f>$F$22</f>
        <v/>
      </c>
      <c r="G82" s="299" t="str">
        <f>$G$22</f>
        <v/>
      </c>
      <c r="H82" s="299" t="str">
        <f>$H$22</f>
        <v/>
      </c>
    </row>
    <row r="83" spans="2:8" hidden="1" x14ac:dyDescent="0.3">
      <c r="B83" s="297" t="s">
        <v>1980</v>
      </c>
      <c r="C83" s="299" t="str">
        <f>$C$23</f>
        <v/>
      </c>
      <c r="D83" s="299" t="str">
        <f>$D$23</f>
        <v/>
      </c>
      <c r="E83" s="299" t="str">
        <f>$E$23</f>
        <v/>
      </c>
      <c r="F83" s="299" t="str">
        <f>$F$23</f>
        <v/>
      </c>
      <c r="G83" s="299" t="str">
        <f>$G$23</f>
        <v/>
      </c>
      <c r="H83" s="299" t="str">
        <f>$H$23</f>
        <v/>
      </c>
    </row>
    <row r="84" spans="2:8" hidden="1" x14ac:dyDescent="0.3">
      <c r="B84" s="297" t="s">
        <v>1981</v>
      </c>
      <c r="C84" s="299" t="str">
        <f>$C$24</f>
        <v/>
      </c>
      <c r="D84" s="299" t="str">
        <f>$D$24</f>
        <v/>
      </c>
      <c r="E84" s="299" t="str">
        <f>$E$24</f>
        <v/>
      </c>
      <c r="F84" s="299" t="str">
        <f>$F$24</f>
        <v/>
      </c>
      <c r="G84" s="299" t="str">
        <f>$G$24</f>
        <v/>
      </c>
      <c r="H84" s="299" t="str">
        <f>$H$24</f>
        <v/>
      </c>
    </row>
    <row r="85" spans="2:8" hidden="1" x14ac:dyDescent="0.3">
      <c r="B85" s="297" t="s">
        <v>1982</v>
      </c>
      <c r="C85" s="299" t="str">
        <f>$C$25</f>
        <v/>
      </c>
      <c r="D85" s="299" t="str">
        <f>$D$25</f>
        <v/>
      </c>
      <c r="E85" s="299" t="str">
        <f>$E$25</f>
        <v/>
      </c>
      <c r="F85" s="299" t="str">
        <f>$F$25</f>
        <v/>
      </c>
      <c r="G85" s="299" t="str">
        <f>$G$25</f>
        <v/>
      </c>
      <c r="H85" s="299" t="str">
        <f>$H$25</f>
        <v/>
      </c>
    </row>
    <row r="86" spans="2:8" hidden="1" x14ac:dyDescent="0.3">
      <c r="B86" s="297" t="s">
        <v>1983</v>
      </c>
      <c r="C86" s="299" t="str">
        <f>$C$26</f>
        <v/>
      </c>
      <c r="D86" s="299" t="str">
        <f>$D$26</f>
        <v/>
      </c>
      <c r="E86" s="299" t="str">
        <f>$E$26</f>
        <v/>
      </c>
      <c r="F86" s="299" t="str">
        <f>$F$26</f>
        <v/>
      </c>
      <c r="G86" s="299" t="str">
        <f>$G$26</f>
        <v/>
      </c>
      <c r="H86" s="299" t="str">
        <f>$H$26</f>
        <v/>
      </c>
    </row>
    <row r="87" spans="2:8" hidden="1" x14ac:dyDescent="0.3">
      <c r="B87" s="297" t="s">
        <v>1984</v>
      </c>
      <c r="C87" s="299" t="str">
        <f>$C$27</f>
        <v/>
      </c>
      <c r="D87" s="299" t="str">
        <f>$D$27</f>
        <v/>
      </c>
      <c r="E87" s="299" t="str">
        <f>$E$27</f>
        <v/>
      </c>
      <c r="F87" s="299" t="str">
        <f>$F$27</f>
        <v/>
      </c>
      <c r="G87" s="299" t="str">
        <f>$G$27</f>
        <v/>
      </c>
      <c r="H87" s="299" t="str">
        <f>$H$27</f>
        <v/>
      </c>
    </row>
    <row r="88" spans="2:8" hidden="1" x14ac:dyDescent="0.3">
      <c r="B88" s="297" t="s">
        <v>1985</v>
      </c>
      <c r="C88" s="299" t="str">
        <f>$C$28</f>
        <v/>
      </c>
      <c r="D88" s="299" t="str">
        <f>$D$28</f>
        <v/>
      </c>
      <c r="E88" s="299" t="str">
        <f>$E$28</f>
        <v/>
      </c>
      <c r="F88" s="299" t="str">
        <f>$F$28</f>
        <v/>
      </c>
      <c r="G88" s="299" t="str">
        <f>$G$28</f>
        <v/>
      </c>
      <c r="H88" s="299" t="str">
        <f>$H$28</f>
        <v/>
      </c>
    </row>
    <row r="89" spans="2:8" hidden="1" x14ac:dyDescent="0.3">
      <c r="B89" s="297" t="s">
        <v>1986</v>
      </c>
      <c r="C89" s="299" t="str">
        <f>$C$29</f>
        <v/>
      </c>
      <c r="D89" s="299" t="str">
        <f>$D$29</f>
        <v/>
      </c>
      <c r="E89" s="299" t="str">
        <f>$E$29</f>
        <v/>
      </c>
      <c r="F89" s="299" t="str">
        <f>$F$29</f>
        <v/>
      </c>
      <c r="G89" s="299" t="str">
        <f>$G$29</f>
        <v/>
      </c>
      <c r="H89" s="299" t="str">
        <f>$H$29</f>
        <v/>
      </c>
    </row>
    <row r="90" spans="2:8" hidden="1" x14ac:dyDescent="0.3">
      <c r="B90" s="297" t="s">
        <v>1987</v>
      </c>
      <c r="C90" s="299" t="str">
        <f>$C$30</f>
        <v/>
      </c>
      <c r="D90" s="299" t="str">
        <f>$D$30</f>
        <v/>
      </c>
      <c r="E90" s="299" t="str">
        <f>$E$30</f>
        <v/>
      </c>
      <c r="F90" s="299" t="str">
        <f>$F$30</f>
        <v/>
      </c>
      <c r="G90" s="299" t="str">
        <f>$G$30</f>
        <v/>
      </c>
      <c r="H90" s="299" t="str">
        <f>$H$30</f>
        <v/>
      </c>
    </row>
    <row r="91" spans="2:8" hidden="1" x14ac:dyDescent="0.3">
      <c r="B91" s="297" t="s">
        <v>1988</v>
      </c>
      <c r="C91" s="299" t="str">
        <f>$C$31</f>
        <v/>
      </c>
      <c r="D91" s="299" t="str">
        <f>$D$31</f>
        <v/>
      </c>
      <c r="E91" s="299" t="str">
        <f>$E$31</f>
        <v/>
      </c>
      <c r="F91" s="299" t="str">
        <f>$F$31</f>
        <v/>
      </c>
      <c r="G91" s="299" t="str">
        <f>$G$31</f>
        <v/>
      </c>
      <c r="H91" s="299" t="str">
        <f>$H$31</f>
        <v/>
      </c>
    </row>
    <row r="92" spans="2:8" x14ac:dyDescent="0.3">
      <c r="B92" s="299"/>
      <c r="C92" s="299"/>
      <c r="D92" s="299"/>
      <c r="E92" s="299"/>
      <c r="F92" s="299"/>
      <c r="G92" s="299"/>
      <c r="H92" s="299"/>
    </row>
  </sheetData>
  <sheetProtection algorithmName="SHA-512" hashValue="WNHDBIHvXruF0JD4lKPXAvpLqHdgwjHyH3nCHrOEC99sxTCBAB3g33ZGs/W2s8A9y6O2gAVNFlMjPY2CTEuIWA==" saltValue="pTqX4pW/kKgeQ7Hd0qez2A==" spinCount="100000" sheet="1" objects="1" scenarios="1"/>
  <dataConsolidate>
    <dataRefs count="2">
      <dataRef ref="B5:B6" sheet="Room Schedule" r:id="rId1"/>
      <dataRef ref="B6" sheet="Room Schedule" r:id="rId2"/>
    </dataRefs>
  </dataConsolidate>
  <mergeCells count="1">
    <mergeCell ref="C33:H61"/>
  </mergeCells>
  <conditionalFormatting sqref="A1:XFD32 A33:B62 I33:XFD62 A63:XFD1048576">
    <cfRule type="cellIs" dxfId="9" priority="141" operator="equal">
      <formula>"NO MORE CLASS"</formula>
    </cfRule>
    <cfRule type="cellIs" dxfId="8" priority="194" operator="equal">
      <formula>"NO MORE CLASSES"</formula>
    </cfRule>
    <cfRule type="cellIs" dxfId="7" priority="195" operator="equal">
      <formula>"NO CLASSES"</formula>
    </cfRule>
    <cfRule type="cellIs" dxfId="6" priority="196" operator="equal">
      <formula>"NO CLASS"</formula>
    </cfRule>
    <cfRule type="cellIs" dxfId="5" priority="197" operator="equal">
      <formula>"VACANT"</formula>
    </cfRule>
  </conditionalFormatting>
  <conditionalFormatting sqref="C33">
    <cfRule type="cellIs" dxfId="4" priority="1" operator="equal">
      <formula>"NO MORE CLASS"</formula>
    </cfRule>
    <cfRule type="cellIs" dxfId="3" priority="2" operator="equal">
      <formula>"NO MORE CLASSES"</formula>
    </cfRule>
    <cfRule type="cellIs" dxfId="2" priority="3" operator="equal">
      <formula>"NO CLASSES"</formula>
    </cfRule>
    <cfRule type="cellIs" dxfId="1" priority="4" operator="equal">
      <formula>"NO CLASS"</formula>
    </cfRule>
    <cfRule type="cellIs" dxfId="0" priority="5" operator="equal">
      <formula>"VACANT"</formula>
    </cfRule>
  </conditionalFormatting>
  <pageMargins left="0.5" right="0.5" top="0.5" bottom="0.5" header="0.3" footer="0.3"/>
  <pageSetup paperSize="9" orientation="landscape" horizontalDpi="300" verticalDpi="0"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MONDAY!$C$3:$BK$3</xm:f>
          </x14:formula1>
          <xm:sqref>C2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0070C0"/>
  </sheetPr>
  <dimension ref="A1:P147"/>
  <sheetViews>
    <sheetView showGridLines="0" topLeftCell="A87" zoomScale="70" zoomScaleNormal="70" workbookViewId="0">
      <selection activeCell="C105" sqref="C105"/>
    </sheetView>
  </sheetViews>
  <sheetFormatPr defaultRowHeight="14.4" x14ac:dyDescent="0.3"/>
  <cols>
    <col min="1" max="1" width="10.5546875" customWidth="1"/>
    <col min="3" max="4" width="12.109375" customWidth="1"/>
    <col min="5" max="5" width="15" customWidth="1"/>
    <col min="7" max="7" width="12.5546875" customWidth="1"/>
    <col min="9" max="9" width="13.109375" customWidth="1"/>
    <col min="10" max="10" width="11.109375" customWidth="1"/>
    <col min="11" max="11" width="18.5546875" customWidth="1"/>
  </cols>
  <sheetData>
    <row r="1" spans="1:16" ht="23.4" x14ac:dyDescent="0.45">
      <c r="A1" s="232" t="s">
        <v>2872</v>
      </c>
    </row>
    <row r="4" spans="1:16" ht="15.6" x14ac:dyDescent="0.3">
      <c r="A4" s="233" t="s">
        <v>2873</v>
      </c>
      <c r="B4" s="234"/>
      <c r="C4" s="234"/>
      <c r="D4" s="235">
        <v>0.29166666666666669</v>
      </c>
      <c r="E4" s="236" t="s">
        <v>2874</v>
      </c>
      <c r="G4" s="234"/>
      <c r="H4" s="234"/>
      <c r="I4" s="421" t="s">
        <v>2875</v>
      </c>
      <c r="J4" s="421"/>
      <c r="K4" s="421"/>
      <c r="L4" s="237">
        <f>(D8/3)*D10*D12</f>
        <v>120</v>
      </c>
      <c r="M4" s="238" t="s">
        <v>2876</v>
      </c>
      <c r="N4" s="234"/>
    </row>
    <row r="5" spans="1:16" ht="15.6" x14ac:dyDescent="0.3">
      <c r="A5" s="233"/>
      <c r="B5" s="234"/>
      <c r="C5" s="234"/>
      <c r="D5" s="234"/>
      <c r="E5" s="238"/>
      <c r="F5" s="239"/>
      <c r="G5" s="234"/>
      <c r="H5" s="234"/>
      <c r="I5" s="234"/>
      <c r="J5" s="234"/>
      <c r="K5" s="234"/>
      <c r="L5" s="234"/>
      <c r="M5" s="234"/>
      <c r="N5" s="234"/>
    </row>
    <row r="6" spans="1:16" ht="15.6" x14ac:dyDescent="0.3">
      <c r="A6" s="233" t="s">
        <v>2877</v>
      </c>
      <c r="B6" s="234"/>
      <c r="C6" s="234"/>
      <c r="D6" s="235">
        <v>0.79166666666666663</v>
      </c>
      <c r="E6" s="236" t="s">
        <v>2878</v>
      </c>
      <c r="G6" s="234"/>
      <c r="H6" s="234"/>
      <c r="I6" s="234" t="s">
        <v>2879</v>
      </c>
      <c r="J6" s="234"/>
      <c r="K6" s="234"/>
      <c r="L6" s="237">
        <f>(E147/3)+(K61/1.5)</f>
        <v>205</v>
      </c>
      <c r="M6" s="234"/>
      <c r="N6" s="234"/>
    </row>
    <row r="7" spans="1:16" ht="15.6" x14ac:dyDescent="0.3">
      <c r="A7" s="233"/>
      <c r="B7" s="234"/>
      <c r="C7" s="234"/>
      <c r="D7" s="240"/>
      <c r="E7" s="236"/>
      <c r="G7" s="234"/>
      <c r="H7" s="234"/>
      <c r="I7" s="234"/>
      <c r="J7" s="234"/>
      <c r="K7" s="234"/>
      <c r="L7" s="234"/>
      <c r="M7" s="234"/>
      <c r="N7" s="234"/>
    </row>
    <row r="8" spans="1:16" ht="15.6" x14ac:dyDescent="0.3">
      <c r="A8" s="233" t="s">
        <v>2880</v>
      </c>
      <c r="B8" s="234"/>
      <c r="C8" s="234"/>
      <c r="D8" s="241">
        <f>INT((D6-D4)*24)</f>
        <v>12</v>
      </c>
      <c r="E8" s="236"/>
      <c r="G8" s="234"/>
      <c r="H8" s="234"/>
      <c r="I8" s="234"/>
      <c r="J8" s="234"/>
      <c r="K8" s="234"/>
      <c r="L8" s="234"/>
      <c r="M8" s="234"/>
      <c r="N8" s="234"/>
      <c r="O8" s="234"/>
      <c r="P8" s="234"/>
    </row>
    <row r="9" spans="1:16" ht="15.6" x14ac:dyDescent="0.3">
      <c r="A9" s="233"/>
      <c r="B9" s="234"/>
      <c r="C9" s="234"/>
      <c r="D9" s="240"/>
      <c r="E9" s="236"/>
      <c r="G9" s="234"/>
      <c r="H9" s="234"/>
      <c r="I9" s="234"/>
      <c r="J9" s="234"/>
      <c r="K9" s="234"/>
      <c r="L9" s="234"/>
      <c r="M9" s="234"/>
      <c r="N9" s="234"/>
    </row>
    <row r="10" spans="1:16" ht="15.6" x14ac:dyDescent="0.3">
      <c r="A10" s="233" t="s">
        <v>2881</v>
      </c>
      <c r="B10" s="234"/>
      <c r="C10" s="234"/>
      <c r="D10" s="242">
        <v>6</v>
      </c>
      <c r="E10" s="236" t="s">
        <v>2882</v>
      </c>
      <c r="G10" s="234"/>
      <c r="H10" s="234"/>
      <c r="I10" s="234"/>
      <c r="J10" s="234"/>
      <c r="K10" s="234"/>
      <c r="L10" s="234"/>
      <c r="M10" s="234"/>
      <c r="N10" s="234"/>
    </row>
    <row r="11" spans="1:16" ht="15.6" x14ac:dyDescent="0.3">
      <c r="A11" s="233"/>
      <c r="B11" s="234"/>
      <c r="C11" s="234"/>
      <c r="D11" s="240"/>
      <c r="E11" s="236"/>
      <c r="G11" s="234"/>
      <c r="H11" s="234"/>
      <c r="I11" s="234"/>
      <c r="J11" s="234"/>
      <c r="K11" s="234"/>
      <c r="L11" s="234"/>
      <c r="M11" s="234"/>
      <c r="N11" s="234"/>
    </row>
    <row r="12" spans="1:16" ht="15.6" x14ac:dyDescent="0.3">
      <c r="A12" s="233" t="s">
        <v>2883</v>
      </c>
      <c r="B12" s="234"/>
      <c r="C12" s="234"/>
      <c r="D12" s="242">
        <v>5</v>
      </c>
      <c r="E12" s="236" t="s">
        <v>2884</v>
      </c>
      <c r="G12" s="234"/>
      <c r="H12" s="234"/>
      <c r="I12" s="234"/>
      <c r="J12" s="234"/>
      <c r="K12" s="234"/>
      <c r="L12" s="234"/>
      <c r="M12" s="234"/>
      <c r="N12" s="234"/>
    </row>
    <row r="13" spans="1:16" ht="15.6" x14ac:dyDescent="0.3">
      <c r="A13" s="233"/>
      <c r="B13" s="234"/>
      <c r="C13" s="234"/>
      <c r="D13" s="240"/>
      <c r="E13" s="234"/>
      <c r="F13" s="234"/>
      <c r="G13" s="234"/>
      <c r="H13" s="234"/>
      <c r="I13" s="234"/>
      <c r="J13" s="234"/>
      <c r="K13" s="234"/>
      <c r="L13" s="234"/>
      <c r="M13" s="234"/>
      <c r="N13" s="234"/>
    </row>
    <row r="14" spans="1:16" ht="15.6" x14ac:dyDescent="0.3">
      <c r="A14" s="234"/>
      <c r="B14" s="234"/>
      <c r="C14" s="234"/>
      <c r="D14" s="234"/>
      <c r="E14" s="234"/>
      <c r="F14" s="234"/>
      <c r="G14" s="234"/>
      <c r="H14" s="234"/>
      <c r="I14" s="234"/>
      <c r="J14" s="234"/>
      <c r="K14" s="234"/>
      <c r="L14" s="234"/>
      <c r="M14" s="234"/>
      <c r="N14" s="234"/>
    </row>
    <row r="15" spans="1:16" ht="15.6" x14ac:dyDescent="0.3">
      <c r="A15" s="422" t="s">
        <v>2885</v>
      </c>
      <c r="B15" s="423"/>
      <c r="C15" s="423"/>
      <c r="D15" s="423"/>
      <c r="E15" s="424"/>
      <c r="F15" s="234"/>
      <c r="G15" s="422" t="s">
        <v>2886</v>
      </c>
      <c r="H15" s="423"/>
      <c r="I15" s="423"/>
      <c r="J15" s="423"/>
      <c r="K15" s="424"/>
      <c r="L15" s="234"/>
      <c r="M15" s="234"/>
      <c r="N15" s="234"/>
    </row>
    <row r="16" spans="1:16" ht="28.8" x14ac:dyDescent="0.3">
      <c r="A16" s="243" t="s">
        <v>54</v>
      </c>
      <c r="B16" s="244" t="s">
        <v>2887</v>
      </c>
      <c r="C16" s="244" t="s">
        <v>2888</v>
      </c>
      <c r="D16" s="245" t="s">
        <v>2889</v>
      </c>
      <c r="E16" s="245" t="s">
        <v>2890</v>
      </c>
      <c r="G16" s="243" t="s">
        <v>2891</v>
      </c>
      <c r="H16" s="244" t="s">
        <v>2892</v>
      </c>
      <c r="I16" s="244" t="s">
        <v>2888</v>
      </c>
      <c r="J16" s="245" t="s">
        <v>2893</v>
      </c>
      <c r="K16" s="246" t="s">
        <v>2890</v>
      </c>
    </row>
    <row r="17" spans="1:11" x14ac:dyDescent="0.3">
      <c r="A17" s="354" t="s">
        <v>116</v>
      </c>
      <c r="B17" s="3" t="s">
        <v>59</v>
      </c>
      <c r="C17" s="33">
        <v>5</v>
      </c>
      <c r="D17" s="2">
        <v>2</v>
      </c>
      <c r="E17" s="2">
        <f>D17*C17*3</f>
        <v>30</v>
      </c>
      <c r="G17" s="426" t="s">
        <v>67</v>
      </c>
      <c r="H17" s="247" t="s">
        <v>68</v>
      </c>
      <c r="I17" s="255">
        <f>'2 - Section Count Projection'!G16</f>
        <v>0</v>
      </c>
      <c r="J17" s="2">
        <v>1</v>
      </c>
      <c r="K17" s="2">
        <f t="shared" ref="K17:K60" si="0">I17*J17*1.5</f>
        <v>0</v>
      </c>
    </row>
    <row r="18" spans="1:11" x14ac:dyDescent="0.3">
      <c r="A18" s="425"/>
      <c r="B18" s="3" t="s">
        <v>61</v>
      </c>
      <c r="C18" s="33">
        <v>5</v>
      </c>
      <c r="D18" s="2">
        <v>2</v>
      </c>
      <c r="E18" s="2">
        <f t="shared" ref="E18:E89" si="1">D18*C18*3</f>
        <v>30</v>
      </c>
      <c r="G18" s="426"/>
      <c r="H18" s="247" t="s">
        <v>70</v>
      </c>
      <c r="I18" s="255">
        <f>'2 - Section Count Projection'!G17</f>
        <v>0</v>
      </c>
      <c r="J18" s="2">
        <v>0</v>
      </c>
      <c r="K18" s="2">
        <f t="shared" si="0"/>
        <v>0</v>
      </c>
    </row>
    <row r="19" spans="1:11" x14ac:dyDescent="0.3">
      <c r="A19" s="425"/>
      <c r="B19" s="3" t="s">
        <v>62</v>
      </c>
      <c r="C19" s="33">
        <v>5</v>
      </c>
      <c r="D19" s="2">
        <v>4</v>
      </c>
      <c r="E19" s="2">
        <f t="shared" si="1"/>
        <v>60</v>
      </c>
      <c r="G19" s="426"/>
      <c r="H19" s="247" t="s">
        <v>72</v>
      </c>
      <c r="I19" s="255">
        <f>'2 - Section Count Projection'!G18</f>
        <v>0</v>
      </c>
      <c r="J19" s="2">
        <v>0</v>
      </c>
      <c r="K19" s="2">
        <f t="shared" si="0"/>
        <v>0</v>
      </c>
    </row>
    <row r="20" spans="1:11" x14ac:dyDescent="0.3">
      <c r="A20" s="425"/>
      <c r="B20" s="3" t="s">
        <v>64</v>
      </c>
      <c r="C20" s="33">
        <v>5</v>
      </c>
      <c r="D20" s="2">
        <v>4</v>
      </c>
      <c r="E20" s="2">
        <f t="shared" si="1"/>
        <v>60</v>
      </c>
      <c r="G20" s="426"/>
      <c r="H20" s="247" t="s">
        <v>74</v>
      </c>
      <c r="I20" s="255">
        <f>'2 - Section Count Projection'!G19</f>
        <v>0</v>
      </c>
      <c r="J20" s="2">
        <v>0</v>
      </c>
      <c r="K20" s="2">
        <f t="shared" si="0"/>
        <v>0</v>
      </c>
    </row>
    <row r="21" spans="1:11" x14ac:dyDescent="0.3">
      <c r="A21" s="425"/>
      <c r="B21" s="3" t="s">
        <v>66</v>
      </c>
      <c r="C21" s="33">
        <v>4</v>
      </c>
      <c r="D21" s="2">
        <v>5</v>
      </c>
      <c r="E21" s="2">
        <f t="shared" si="1"/>
        <v>60</v>
      </c>
      <c r="G21" s="426" t="s">
        <v>76</v>
      </c>
      <c r="H21" s="136" t="s">
        <v>68</v>
      </c>
      <c r="I21" s="33">
        <f>'2 - Section Count Projection'!G21</f>
        <v>0</v>
      </c>
      <c r="J21" s="2">
        <v>1</v>
      </c>
      <c r="K21" s="2">
        <f t="shared" si="0"/>
        <v>0</v>
      </c>
    </row>
    <row r="22" spans="1:11" x14ac:dyDescent="0.3">
      <c r="A22" s="425"/>
      <c r="B22" s="3" t="s">
        <v>69</v>
      </c>
      <c r="C22" s="33">
        <v>4</v>
      </c>
      <c r="D22" s="2">
        <v>4</v>
      </c>
      <c r="E22" s="2">
        <f t="shared" si="1"/>
        <v>48</v>
      </c>
      <c r="G22" s="426"/>
      <c r="H22" s="3" t="s">
        <v>70</v>
      </c>
      <c r="I22" s="33">
        <f>'2 - Section Count Projection'!G22</f>
        <v>0</v>
      </c>
      <c r="J22" s="2">
        <v>1</v>
      </c>
      <c r="K22" s="2">
        <f t="shared" si="0"/>
        <v>0</v>
      </c>
    </row>
    <row r="23" spans="1:11" x14ac:dyDescent="0.3">
      <c r="A23" s="425"/>
      <c r="B23" s="3" t="s">
        <v>71</v>
      </c>
      <c r="C23" s="33">
        <v>3</v>
      </c>
      <c r="D23" s="2">
        <v>4</v>
      </c>
      <c r="E23" s="2">
        <f t="shared" si="1"/>
        <v>36</v>
      </c>
      <c r="G23" s="426"/>
      <c r="H23" s="136" t="s">
        <v>72</v>
      </c>
      <c r="I23" s="33">
        <f>'2 - Section Count Projection'!G23</f>
        <v>0</v>
      </c>
      <c r="J23" s="2">
        <v>1</v>
      </c>
      <c r="K23" s="2">
        <f t="shared" si="0"/>
        <v>0</v>
      </c>
    </row>
    <row r="24" spans="1:11" x14ac:dyDescent="0.3">
      <c r="A24" s="355"/>
      <c r="B24" s="3" t="s">
        <v>73</v>
      </c>
      <c r="C24" s="33">
        <v>3</v>
      </c>
      <c r="D24" s="2">
        <v>0</v>
      </c>
      <c r="E24" s="2">
        <f t="shared" si="1"/>
        <v>0</v>
      </c>
      <c r="G24" s="426"/>
      <c r="H24" s="3" t="s">
        <v>74</v>
      </c>
      <c r="I24" s="33">
        <f>'2 - Section Count Projection'!G24</f>
        <v>0</v>
      </c>
      <c r="J24" s="2">
        <v>0</v>
      </c>
      <c r="K24" s="2">
        <f t="shared" si="0"/>
        <v>0</v>
      </c>
    </row>
    <row r="25" spans="1:11" x14ac:dyDescent="0.3">
      <c r="A25" s="354" t="s">
        <v>181</v>
      </c>
      <c r="B25" s="3" t="s">
        <v>59</v>
      </c>
      <c r="C25" s="33">
        <v>1</v>
      </c>
      <c r="D25" s="2">
        <v>2</v>
      </c>
      <c r="E25" s="2">
        <f t="shared" si="1"/>
        <v>6</v>
      </c>
      <c r="G25" s="426" t="s">
        <v>2894</v>
      </c>
      <c r="H25" s="136" t="s">
        <v>68</v>
      </c>
      <c r="I25" s="33">
        <f>'2 - Section Count Projection'!G26</f>
        <v>0</v>
      </c>
      <c r="J25" s="2">
        <v>1</v>
      </c>
      <c r="K25" s="2">
        <f t="shared" si="0"/>
        <v>0</v>
      </c>
    </row>
    <row r="26" spans="1:11" x14ac:dyDescent="0.3">
      <c r="A26" s="425"/>
      <c r="B26" s="3" t="s">
        <v>61</v>
      </c>
      <c r="C26" s="33">
        <v>1</v>
      </c>
      <c r="D26" s="2">
        <v>1</v>
      </c>
      <c r="E26" s="2">
        <f t="shared" si="1"/>
        <v>3</v>
      </c>
      <c r="G26" s="426"/>
      <c r="H26" s="3" t="s">
        <v>70</v>
      </c>
      <c r="I26" s="33">
        <f>'2 - Section Count Projection'!G27</f>
        <v>0</v>
      </c>
      <c r="J26" s="2">
        <v>0</v>
      </c>
      <c r="K26" s="2">
        <f t="shared" si="0"/>
        <v>0</v>
      </c>
    </row>
    <row r="27" spans="1:11" x14ac:dyDescent="0.3">
      <c r="A27" s="425"/>
      <c r="B27" s="3" t="s">
        <v>62</v>
      </c>
      <c r="C27" s="33">
        <v>1</v>
      </c>
      <c r="D27" s="2">
        <v>2</v>
      </c>
      <c r="E27" s="2">
        <f t="shared" si="1"/>
        <v>6</v>
      </c>
      <c r="G27" s="426"/>
      <c r="H27" s="136" t="s">
        <v>72</v>
      </c>
      <c r="I27" s="33">
        <f>'2 - Section Count Projection'!G28</f>
        <v>0</v>
      </c>
      <c r="J27" s="2">
        <v>0</v>
      </c>
      <c r="K27" s="2">
        <f t="shared" si="0"/>
        <v>0</v>
      </c>
    </row>
    <row r="28" spans="1:11" x14ac:dyDescent="0.3">
      <c r="A28" s="425"/>
      <c r="B28" s="3" t="s">
        <v>64</v>
      </c>
      <c r="C28" s="33">
        <v>1</v>
      </c>
      <c r="D28" s="2">
        <v>3</v>
      </c>
      <c r="E28" s="2">
        <f t="shared" si="1"/>
        <v>9</v>
      </c>
      <c r="G28" s="426"/>
      <c r="H28" s="3" t="s">
        <v>74</v>
      </c>
      <c r="I28" s="33">
        <f>'2 - Section Count Projection'!G29</f>
        <v>0</v>
      </c>
      <c r="J28" s="2">
        <v>0</v>
      </c>
      <c r="K28" s="2">
        <f t="shared" si="0"/>
        <v>0</v>
      </c>
    </row>
    <row r="29" spans="1:11" x14ac:dyDescent="0.3">
      <c r="A29" s="425"/>
      <c r="B29" s="3" t="s">
        <v>66</v>
      </c>
      <c r="C29" s="33">
        <v>1</v>
      </c>
      <c r="D29" s="2">
        <v>4</v>
      </c>
      <c r="E29" s="2">
        <f t="shared" si="1"/>
        <v>12</v>
      </c>
      <c r="G29" s="426" t="s">
        <v>79</v>
      </c>
      <c r="H29" s="136" t="s">
        <v>68</v>
      </c>
      <c r="I29" s="33">
        <f>'2 - Section Count Projection'!G31</f>
        <v>0</v>
      </c>
      <c r="J29" s="2">
        <v>1</v>
      </c>
      <c r="K29" s="2">
        <f t="shared" si="0"/>
        <v>0</v>
      </c>
    </row>
    <row r="30" spans="1:11" x14ac:dyDescent="0.3">
      <c r="A30" s="425"/>
      <c r="B30" s="3" t="s">
        <v>69</v>
      </c>
      <c r="C30" s="33">
        <v>1</v>
      </c>
      <c r="D30" s="2">
        <v>4</v>
      </c>
      <c r="E30" s="2">
        <f t="shared" si="1"/>
        <v>12</v>
      </c>
      <c r="G30" s="426"/>
      <c r="H30" s="3" t="s">
        <v>70</v>
      </c>
      <c r="I30" s="33">
        <f>'2 - Section Count Projection'!G32</f>
        <v>0</v>
      </c>
      <c r="J30" s="2">
        <v>0</v>
      </c>
      <c r="K30" s="2">
        <f t="shared" si="0"/>
        <v>0</v>
      </c>
    </row>
    <row r="31" spans="1:11" x14ac:dyDescent="0.3">
      <c r="A31" s="425"/>
      <c r="B31" s="3" t="s">
        <v>71</v>
      </c>
      <c r="C31" s="33">
        <v>1</v>
      </c>
      <c r="D31" s="2">
        <v>3</v>
      </c>
      <c r="E31" s="2">
        <f t="shared" si="1"/>
        <v>9</v>
      </c>
      <c r="G31" s="426"/>
      <c r="H31" s="136" t="s">
        <v>72</v>
      </c>
      <c r="I31" s="33">
        <f>'2 - Section Count Projection'!G33</f>
        <v>0</v>
      </c>
      <c r="J31" s="2">
        <v>0</v>
      </c>
      <c r="K31" s="2">
        <f t="shared" si="0"/>
        <v>0</v>
      </c>
    </row>
    <row r="32" spans="1:11" x14ac:dyDescent="0.3">
      <c r="A32" s="355"/>
      <c r="B32" s="3" t="s">
        <v>73</v>
      </c>
      <c r="C32" s="33">
        <v>1</v>
      </c>
      <c r="D32" s="2">
        <v>0</v>
      </c>
      <c r="E32" s="2">
        <f t="shared" si="1"/>
        <v>0</v>
      </c>
      <c r="G32" s="426"/>
      <c r="H32" s="3" t="s">
        <v>74</v>
      </c>
      <c r="I32" s="33">
        <f>'2 - Section Count Projection'!G34</f>
        <v>0</v>
      </c>
      <c r="J32" s="2">
        <v>0</v>
      </c>
      <c r="K32" s="2">
        <f t="shared" si="0"/>
        <v>0</v>
      </c>
    </row>
    <row r="33" spans="1:11" x14ac:dyDescent="0.3">
      <c r="A33" s="354" t="s">
        <v>212</v>
      </c>
      <c r="B33" s="3" t="s">
        <v>59</v>
      </c>
      <c r="C33" s="30">
        <v>1</v>
      </c>
      <c r="D33" s="2">
        <v>2</v>
      </c>
      <c r="E33" s="2">
        <f t="shared" si="1"/>
        <v>6</v>
      </c>
      <c r="G33" s="427" t="s">
        <v>80</v>
      </c>
      <c r="H33" s="136" t="s">
        <v>68</v>
      </c>
      <c r="I33" s="33">
        <f>'2 - Section Count Projection'!G36</f>
        <v>0</v>
      </c>
      <c r="J33" s="2">
        <v>3</v>
      </c>
      <c r="K33" s="2">
        <f t="shared" si="0"/>
        <v>0</v>
      </c>
    </row>
    <row r="34" spans="1:11" x14ac:dyDescent="0.3">
      <c r="A34" s="425"/>
      <c r="B34" s="3" t="s">
        <v>61</v>
      </c>
      <c r="C34" s="30">
        <v>1</v>
      </c>
      <c r="D34" s="2">
        <v>2</v>
      </c>
      <c r="E34" s="2">
        <f t="shared" si="1"/>
        <v>6</v>
      </c>
      <c r="G34" s="427"/>
      <c r="H34" s="3" t="s">
        <v>70</v>
      </c>
      <c r="I34" s="33">
        <f>'2 - Section Count Projection'!G37</f>
        <v>0</v>
      </c>
      <c r="J34" s="2">
        <v>2</v>
      </c>
      <c r="K34" s="2">
        <f t="shared" si="0"/>
        <v>0</v>
      </c>
    </row>
    <row r="35" spans="1:11" x14ac:dyDescent="0.3">
      <c r="A35" s="425"/>
      <c r="B35" s="3" t="s">
        <v>62</v>
      </c>
      <c r="C35" s="30">
        <v>1</v>
      </c>
      <c r="D35" s="2">
        <v>2</v>
      </c>
      <c r="E35" s="2">
        <f t="shared" si="1"/>
        <v>6</v>
      </c>
      <c r="G35" s="427"/>
      <c r="H35" s="136" t="s">
        <v>72</v>
      </c>
      <c r="I35" s="33">
        <f>'2 - Section Count Projection'!G38</f>
        <v>0</v>
      </c>
      <c r="J35" s="2">
        <v>2</v>
      </c>
      <c r="K35" s="2">
        <f t="shared" si="0"/>
        <v>0</v>
      </c>
    </row>
    <row r="36" spans="1:11" x14ac:dyDescent="0.3">
      <c r="A36" s="425"/>
      <c r="B36" s="3" t="s">
        <v>64</v>
      </c>
      <c r="C36" s="30">
        <v>1</v>
      </c>
      <c r="D36" s="2">
        <v>1</v>
      </c>
      <c r="E36" s="2">
        <f t="shared" si="1"/>
        <v>3</v>
      </c>
      <c r="G36" s="427"/>
      <c r="H36" s="3" t="s">
        <v>74</v>
      </c>
      <c r="I36" s="33">
        <f>'2 - Section Count Projection'!G39</f>
        <v>0</v>
      </c>
      <c r="J36" s="2">
        <v>2</v>
      </c>
      <c r="K36" s="2">
        <f t="shared" si="0"/>
        <v>0</v>
      </c>
    </row>
    <row r="37" spans="1:11" x14ac:dyDescent="0.3">
      <c r="A37" s="425"/>
      <c r="B37" s="3" t="s">
        <v>66</v>
      </c>
      <c r="C37" s="30">
        <v>1</v>
      </c>
      <c r="D37" s="2">
        <v>3</v>
      </c>
      <c r="E37" s="2">
        <f t="shared" si="1"/>
        <v>9</v>
      </c>
      <c r="G37" s="426" t="s">
        <v>82</v>
      </c>
      <c r="H37" s="136" t="s">
        <v>68</v>
      </c>
      <c r="I37" s="33">
        <f>'2 - Section Count Projection'!G41</f>
        <v>0</v>
      </c>
      <c r="J37" s="2">
        <v>2</v>
      </c>
      <c r="K37" s="2">
        <f t="shared" si="0"/>
        <v>0</v>
      </c>
    </row>
    <row r="38" spans="1:11" x14ac:dyDescent="0.3">
      <c r="A38" s="425"/>
      <c r="B38" s="3" t="s">
        <v>69</v>
      </c>
      <c r="C38" s="30">
        <v>1</v>
      </c>
      <c r="D38" s="2">
        <v>2</v>
      </c>
      <c r="E38" s="2">
        <f t="shared" si="1"/>
        <v>6</v>
      </c>
      <c r="G38" s="426"/>
      <c r="H38" s="3" t="s">
        <v>70</v>
      </c>
      <c r="I38" s="33">
        <f>'2 - Section Count Projection'!G42</f>
        <v>0</v>
      </c>
      <c r="J38" s="2">
        <v>2</v>
      </c>
      <c r="K38" s="2">
        <f t="shared" si="0"/>
        <v>0</v>
      </c>
    </row>
    <row r="39" spans="1:11" x14ac:dyDescent="0.3">
      <c r="A39" s="425"/>
      <c r="B39" s="3" t="s">
        <v>71</v>
      </c>
      <c r="C39" s="30">
        <v>1</v>
      </c>
      <c r="D39" s="2">
        <v>4</v>
      </c>
      <c r="E39" s="2">
        <f t="shared" si="1"/>
        <v>12</v>
      </c>
      <c r="G39" s="426"/>
      <c r="H39" s="136" t="s">
        <v>72</v>
      </c>
      <c r="I39" s="33">
        <f>'2 - Section Count Projection'!G43</f>
        <v>0</v>
      </c>
      <c r="J39" s="2">
        <v>1</v>
      </c>
      <c r="K39" s="2">
        <f t="shared" si="0"/>
        <v>0</v>
      </c>
    </row>
    <row r="40" spans="1:11" x14ac:dyDescent="0.3">
      <c r="A40" s="355"/>
      <c r="B40" s="3" t="s">
        <v>73</v>
      </c>
      <c r="C40" s="30">
        <v>1</v>
      </c>
      <c r="D40" s="2">
        <v>0</v>
      </c>
      <c r="E40" s="2">
        <f t="shared" si="1"/>
        <v>0</v>
      </c>
      <c r="G40" s="426"/>
      <c r="H40" s="3" t="s">
        <v>74</v>
      </c>
      <c r="I40" s="33">
        <f>'2 - Section Count Projection'!G44</f>
        <v>0</v>
      </c>
      <c r="J40" s="2">
        <v>2</v>
      </c>
      <c r="K40" s="2">
        <f t="shared" si="0"/>
        <v>0</v>
      </c>
    </row>
    <row r="41" spans="1:11" x14ac:dyDescent="0.3">
      <c r="A41" s="354" t="s">
        <v>291</v>
      </c>
      <c r="B41" s="3" t="s">
        <v>59</v>
      </c>
      <c r="C41" s="30">
        <v>4</v>
      </c>
      <c r="D41" s="2">
        <v>0</v>
      </c>
      <c r="E41" s="2">
        <f t="shared" si="1"/>
        <v>0</v>
      </c>
      <c r="G41" s="426" t="s">
        <v>83</v>
      </c>
      <c r="H41" s="136" t="s">
        <v>68</v>
      </c>
      <c r="I41" s="33">
        <f>'2 - Section Count Projection'!G46</f>
        <v>0</v>
      </c>
      <c r="J41" s="2">
        <v>2</v>
      </c>
      <c r="K41" s="2">
        <f t="shared" si="0"/>
        <v>0</v>
      </c>
    </row>
    <row r="42" spans="1:11" x14ac:dyDescent="0.3">
      <c r="A42" s="425"/>
      <c r="B42" s="3" t="s">
        <v>61</v>
      </c>
      <c r="C42" s="30">
        <v>4</v>
      </c>
      <c r="D42" s="2">
        <v>1</v>
      </c>
      <c r="E42" s="2">
        <f t="shared" si="1"/>
        <v>12</v>
      </c>
      <c r="G42" s="426"/>
      <c r="H42" s="3" t="s">
        <v>70</v>
      </c>
      <c r="I42" s="33">
        <f>'2 - Section Count Projection'!G47</f>
        <v>0</v>
      </c>
      <c r="J42" s="2">
        <v>0</v>
      </c>
      <c r="K42" s="2">
        <f t="shared" si="0"/>
        <v>0</v>
      </c>
    </row>
    <row r="43" spans="1:11" x14ac:dyDescent="0.3">
      <c r="A43" s="425"/>
      <c r="B43" s="3" t="s">
        <v>62</v>
      </c>
      <c r="C43" s="30">
        <v>3</v>
      </c>
      <c r="D43" s="2">
        <v>0</v>
      </c>
      <c r="E43" s="2">
        <f t="shared" si="1"/>
        <v>0</v>
      </c>
      <c r="G43" s="426"/>
      <c r="H43" s="136" t="s">
        <v>72</v>
      </c>
      <c r="I43" s="33">
        <f>'2 - Section Count Projection'!G48</f>
        <v>0</v>
      </c>
      <c r="J43" s="248">
        <v>0</v>
      </c>
      <c r="K43" s="2">
        <f t="shared" si="0"/>
        <v>0</v>
      </c>
    </row>
    <row r="44" spans="1:11" x14ac:dyDescent="0.3">
      <c r="A44" s="425"/>
      <c r="B44" s="3" t="s">
        <v>64</v>
      </c>
      <c r="C44" s="30">
        <v>3</v>
      </c>
      <c r="D44" s="2">
        <v>0</v>
      </c>
      <c r="E44" s="2">
        <f t="shared" si="1"/>
        <v>0</v>
      </c>
      <c r="G44" s="426"/>
      <c r="H44" s="3" t="s">
        <v>74</v>
      </c>
      <c r="I44" s="33">
        <f>'2 - Section Count Projection'!G49</f>
        <v>0</v>
      </c>
      <c r="J44" s="248">
        <v>1</v>
      </c>
      <c r="K44" s="2">
        <f t="shared" si="0"/>
        <v>0</v>
      </c>
    </row>
    <row r="45" spans="1:11" x14ac:dyDescent="0.3">
      <c r="A45" s="425"/>
      <c r="B45" s="3" t="s">
        <v>66</v>
      </c>
      <c r="C45" s="30">
        <v>2</v>
      </c>
      <c r="D45" s="2">
        <v>1</v>
      </c>
      <c r="E45" s="2">
        <f t="shared" si="1"/>
        <v>6</v>
      </c>
      <c r="G45" s="426" t="s">
        <v>85</v>
      </c>
      <c r="H45" s="136" t="s">
        <v>68</v>
      </c>
      <c r="I45" s="33">
        <f>'2 - Section Count Projection'!G51</f>
        <v>0</v>
      </c>
      <c r="J45" s="2">
        <v>1</v>
      </c>
      <c r="K45" s="2">
        <f t="shared" si="0"/>
        <v>0</v>
      </c>
    </row>
    <row r="46" spans="1:11" x14ac:dyDescent="0.3">
      <c r="A46" s="425"/>
      <c r="B46" s="3" t="s">
        <v>69</v>
      </c>
      <c r="C46" s="30">
        <v>2</v>
      </c>
      <c r="D46" s="2">
        <v>0</v>
      </c>
      <c r="E46" s="2">
        <f t="shared" si="1"/>
        <v>0</v>
      </c>
      <c r="G46" s="426"/>
      <c r="H46" s="3" t="s">
        <v>70</v>
      </c>
      <c r="I46" s="33">
        <f>'2 - Section Count Projection'!G52</f>
        <v>0</v>
      </c>
      <c r="J46" s="2">
        <v>0</v>
      </c>
      <c r="K46" s="2">
        <f t="shared" si="0"/>
        <v>0</v>
      </c>
    </row>
    <row r="47" spans="1:11" x14ac:dyDescent="0.3">
      <c r="A47" s="425"/>
      <c r="B47" s="3" t="s">
        <v>71</v>
      </c>
      <c r="C47" s="30">
        <v>2</v>
      </c>
      <c r="D47" s="2">
        <v>0</v>
      </c>
      <c r="E47" s="2">
        <f t="shared" si="1"/>
        <v>0</v>
      </c>
      <c r="G47" s="426"/>
      <c r="H47" s="136" t="s">
        <v>72</v>
      </c>
      <c r="I47" s="33">
        <f>'2 - Section Count Projection'!G53</f>
        <v>0</v>
      </c>
      <c r="J47" s="2">
        <v>0</v>
      </c>
      <c r="K47" s="2">
        <f t="shared" si="0"/>
        <v>0</v>
      </c>
    </row>
    <row r="48" spans="1:11" x14ac:dyDescent="0.3">
      <c r="A48" s="355"/>
      <c r="B48" s="3" t="s">
        <v>73</v>
      </c>
      <c r="C48" s="30">
        <v>2</v>
      </c>
      <c r="D48" s="2">
        <v>0</v>
      </c>
      <c r="E48" s="2">
        <f t="shared" si="1"/>
        <v>0</v>
      </c>
      <c r="G48" s="426"/>
      <c r="H48" s="3" t="s">
        <v>74</v>
      </c>
      <c r="I48" s="33">
        <f>'2 - Section Count Projection'!G54</f>
        <v>0</v>
      </c>
      <c r="J48" s="2">
        <v>0</v>
      </c>
      <c r="K48" s="2">
        <f t="shared" si="0"/>
        <v>0</v>
      </c>
    </row>
    <row r="49" spans="1:11" x14ac:dyDescent="0.3">
      <c r="A49" s="354" t="s">
        <v>327</v>
      </c>
      <c r="B49" s="3" t="s">
        <v>59</v>
      </c>
      <c r="C49" s="30">
        <v>4</v>
      </c>
      <c r="D49" s="2">
        <v>0</v>
      </c>
      <c r="E49" s="2">
        <f t="shared" si="1"/>
        <v>0</v>
      </c>
      <c r="G49" s="426" t="s">
        <v>86</v>
      </c>
      <c r="H49" s="136" t="s">
        <v>68</v>
      </c>
      <c r="I49" s="33">
        <f>'2 - Section Count Projection'!G56</f>
        <v>0</v>
      </c>
      <c r="J49" s="2">
        <v>1</v>
      </c>
      <c r="K49" s="2">
        <f t="shared" si="0"/>
        <v>0</v>
      </c>
    </row>
    <row r="50" spans="1:11" x14ac:dyDescent="0.3">
      <c r="A50" s="425"/>
      <c r="B50" s="3" t="s">
        <v>61</v>
      </c>
      <c r="C50" s="30">
        <v>4</v>
      </c>
      <c r="D50" s="2">
        <v>1</v>
      </c>
      <c r="E50" s="2">
        <f t="shared" si="1"/>
        <v>12</v>
      </c>
      <c r="G50" s="426"/>
      <c r="H50" s="3" t="s">
        <v>70</v>
      </c>
      <c r="I50" s="33">
        <f>'2 - Section Count Projection'!G57</f>
        <v>0</v>
      </c>
      <c r="J50" s="2">
        <v>0</v>
      </c>
      <c r="K50" s="2">
        <f t="shared" si="0"/>
        <v>0</v>
      </c>
    </row>
    <row r="51" spans="1:11" x14ac:dyDescent="0.3">
      <c r="A51" s="425"/>
      <c r="B51" s="3" t="s">
        <v>62</v>
      </c>
      <c r="C51" s="30">
        <v>3</v>
      </c>
      <c r="D51" s="2">
        <v>0</v>
      </c>
      <c r="E51" s="2">
        <f t="shared" si="1"/>
        <v>0</v>
      </c>
      <c r="G51" s="426"/>
      <c r="H51" s="136" t="s">
        <v>72</v>
      </c>
      <c r="I51" s="33">
        <f>'2 - Section Count Projection'!G58</f>
        <v>0</v>
      </c>
      <c r="J51" s="2">
        <v>0</v>
      </c>
      <c r="K51" s="2">
        <f t="shared" si="0"/>
        <v>0</v>
      </c>
    </row>
    <row r="52" spans="1:11" x14ac:dyDescent="0.3">
      <c r="A52" s="425"/>
      <c r="B52" s="3" t="s">
        <v>64</v>
      </c>
      <c r="C52" s="30">
        <v>3</v>
      </c>
      <c r="D52" s="2">
        <v>1</v>
      </c>
      <c r="E52" s="2">
        <f t="shared" si="1"/>
        <v>9</v>
      </c>
      <c r="G52" s="426"/>
      <c r="H52" s="3" t="s">
        <v>74</v>
      </c>
      <c r="I52" s="33">
        <f>'2 - Section Count Projection'!G59</f>
        <v>0</v>
      </c>
      <c r="J52" s="2">
        <v>0</v>
      </c>
      <c r="K52" s="2">
        <f t="shared" si="0"/>
        <v>0</v>
      </c>
    </row>
    <row r="53" spans="1:11" x14ac:dyDescent="0.3">
      <c r="A53" s="425"/>
      <c r="B53" s="3" t="s">
        <v>66</v>
      </c>
      <c r="C53" s="30">
        <v>2</v>
      </c>
      <c r="D53" s="2">
        <v>1</v>
      </c>
      <c r="E53" s="2">
        <f t="shared" si="1"/>
        <v>6</v>
      </c>
      <c r="G53" s="426" t="s">
        <v>88</v>
      </c>
      <c r="H53" s="136" t="s">
        <v>68</v>
      </c>
      <c r="I53" s="33">
        <f>'2 - Section Count Projection'!G61</f>
        <v>0</v>
      </c>
      <c r="J53" s="2">
        <v>3</v>
      </c>
      <c r="K53" s="2">
        <f t="shared" si="0"/>
        <v>0</v>
      </c>
    </row>
    <row r="54" spans="1:11" x14ac:dyDescent="0.3">
      <c r="A54" s="425"/>
      <c r="B54" s="3" t="s">
        <v>69</v>
      </c>
      <c r="C54" s="30">
        <v>2</v>
      </c>
      <c r="D54" s="2">
        <v>1</v>
      </c>
      <c r="E54" s="2">
        <f t="shared" si="1"/>
        <v>6</v>
      </c>
      <c r="G54" s="426"/>
      <c r="H54" s="3" t="s">
        <v>70</v>
      </c>
      <c r="I54" s="33">
        <f>'2 - Section Count Projection'!G62</f>
        <v>0</v>
      </c>
      <c r="J54" s="2">
        <v>2</v>
      </c>
      <c r="K54" s="2">
        <f t="shared" si="0"/>
        <v>0</v>
      </c>
    </row>
    <row r="55" spans="1:11" x14ac:dyDescent="0.3">
      <c r="A55" s="425"/>
      <c r="B55" s="3" t="s">
        <v>71</v>
      </c>
      <c r="C55" s="30">
        <v>2</v>
      </c>
      <c r="D55" s="2">
        <v>0</v>
      </c>
      <c r="E55" s="2">
        <f t="shared" si="1"/>
        <v>0</v>
      </c>
      <c r="G55" s="426"/>
      <c r="H55" s="136" t="s">
        <v>72</v>
      </c>
      <c r="I55" s="33">
        <f>'2 - Section Count Projection'!G63</f>
        <v>0</v>
      </c>
      <c r="J55" s="2">
        <v>2</v>
      </c>
      <c r="K55" s="2">
        <f t="shared" si="0"/>
        <v>0</v>
      </c>
    </row>
    <row r="56" spans="1:11" x14ac:dyDescent="0.3">
      <c r="A56" s="355"/>
      <c r="B56" s="3" t="s">
        <v>73</v>
      </c>
      <c r="C56" s="30">
        <v>2</v>
      </c>
      <c r="D56" s="2">
        <v>0</v>
      </c>
      <c r="E56" s="2">
        <f t="shared" si="1"/>
        <v>0</v>
      </c>
      <c r="G56" s="426"/>
      <c r="H56" s="3" t="s">
        <v>74</v>
      </c>
      <c r="I56" s="33">
        <f>'2 - Section Count Projection'!G64</f>
        <v>0</v>
      </c>
      <c r="J56" s="2">
        <v>4</v>
      </c>
      <c r="K56" s="2">
        <f t="shared" si="0"/>
        <v>0</v>
      </c>
    </row>
    <row r="57" spans="1:11" x14ac:dyDescent="0.3">
      <c r="A57" s="354" t="s">
        <v>342</v>
      </c>
      <c r="B57" s="3" t="s">
        <v>59</v>
      </c>
      <c r="C57" s="30">
        <f>'2 - Section Count Projection'!O56</f>
        <v>0</v>
      </c>
      <c r="D57" s="2">
        <v>0</v>
      </c>
      <c r="E57" s="2">
        <f t="shared" si="1"/>
        <v>0</v>
      </c>
      <c r="G57" s="428" t="s">
        <v>90</v>
      </c>
      <c r="H57" s="136" t="s">
        <v>68</v>
      </c>
      <c r="I57" s="33">
        <f>'2 - Section Count Projection'!G66</f>
        <v>0</v>
      </c>
      <c r="J57" s="2">
        <v>2</v>
      </c>
      <c r="K57" s="2">
        <f t="shared" si="0"/>
        <v>0</v>
      </c>
    </row>
    <row r="58" spans="1:11" x14ac:dyDescent="0.3">
      <c r="A58" s="425"/>
      <c r="B58" s="3" t="s">
        <v>61</v>
      </c>
      <c r="C58" s="30">
        <f>'2 - Section Count Projection'!O57</f>
        <v>0</v>
      </c>
      <c r="D58" s="2">
        <v>1</v>
      </c>
      <c r="E58" s="2">
        <f t="shared" si="1"/>
        <v>0</v>
      </c>
      <c r="G58" s="429"/>
      <c r="H58" s="3" t="s">
        <v>70</v>
      </c>
      <c r="I58" s="33">
        <f>'2 - Section Count Projection'!G67</f>
        <v>0</v>
      </c>
      <c r="J58" s="2">
        <v>0</v>
      </c>
      <c r="K58" s="2">
        <f t="shared" si="0"/>
        <v>0</v>
      </c>
    </row>
    <row r="59" spans="1:11" x14ac:dyDescent="0.3">
      <c r="A59" s="425"/>
      <c r="B59" s="3" t="s">
        <v>62</v>
      </c>
      <c r="C59" s="30">
        <f>'2 - Section Count Projection'!O58</f>
        <v>0</v>
      </c>
      <c r="D59" s="2">
        <v>0</v>
      </c>
      <c r="E59" s="2">
        <f t="shared" si="1"/>
        <v>0</v>
      </c>
      <c r="G59" s="429"/>
      <c r="H59" s="136" t="s">
        <v>72</v>
      </c>
      <c r="I59" s="33">
        <f>'2 - Section Count Projection'!G68</f>
        <v>0</v>
      </c>
      <c r="J59" s="2">
        <v>0</v>
      </c>
      <c r="K59" s="2">
        <f t="shared" si="0"/>
        <v>0</v>
      </c>
    </row>
    <row r="60" spans="1:11" x14ac:dyDescent="0.3">
      <c r="A60" s="425"/>
      <c r="B60" s="3" t="s">
        <v>64</v>
      </c>
      <c r="C60" s="30">
        <f>'2 - Section Count Projection'!O59</f>
        <v>0</v>
      </c>
      <c r="D60" s="2">
        <v>0</v>
      </c>
      <c r="E60" s="2">
        <f t="shared" si="1"/>
        <v>0</v>
      </c>
      <c r="G60" s="430"/>
      <c r="H60" s="3" t="s">
        <v>74</v>
      </c>
      <c r="I60" s="33">
        <f>'2 - Section Count Projection'!G69</f>
        <v>0</v>
      </c>
      <c r="J60" s="2">
        <v>1</v>
      </c>
      <c r="K60" s="2">
        <f t="shared" si="0"/>
        <v>0</v>
      </c>
    </row>
    <row r="61" spans="1:11" x14ac:dyDescent="0.3">
      <c r="A61" s="425"/>
      <c r="B61" s="3" t="s">
        <v>66</v>
      </c>
      <c r="C61" s="30">
        <f>'2 - Section Count Projection'!O60</f>
        <v>0</v>
      </c>
      <c r="D61" s="2">
        <v>1</v>
      </c>
      <c r="E61" s="2">
        <f t="shared" si="1"/>
        <v>0</v>
      </c>
      <c r="G61" s="249" t="s">
        <v>2895</v>
      </c>
      <c r="H61" s="250"/>
      <c r="I61" s="256">
        <f>SUM(I3:I60)</f>
        <v>0</v>
      </c>
      <c r="J61" s="256"/>
      <c r="K61" s="66">
        <f>SUM(K17:K60)</f>
        <v>0</v>
      </c>
    </row>
    <row r="62" spans="1:11" x14ac:dyDescent="0.3">
      <c r="A62" s="425"/>
      <c r="B62" s="3" t="s">
        <v>69</v>
      </c>
      <c r="C62" s="30">
        <f>'2 - Section Count Projection'!O61</f>
        <v>0</v>
      </c>
      <c r="D62" s="2">
        <v>0</v>
      </c>
      <c r="E62" s="2">
        <f t="shared" si="1"/>
        <v>0</v>
      </c>
    </row>
    <row r="63" spans="1:11" x14ac:dyDescent="0.3">
      <c r="A63" s="425"/>
      <c r="B63" s="3" t="s">
        <v>71</v>
      </c>
      <c r="C63" s="30">
        <f>'2 - Section Count Projection'!O62</f>
        <v>0</v>
      </c>
      <c r="D63" s="2">
        <v>0</v>
      </c>
      <c r="E63" s="2">
        <f t="shared" si="1"/>
        <v>0</v>
      </c>
    </row>
    <row r="64" spans="1:11" x14ac:dyDescent="0.3">
      <c r="A64" s="355"/>
      <c r="B64" s="3" t="s">
        <v>73</v>
      </c>
      <c r="C64" s="30">
        <f>'2 - Section Count Projection'!O63</f>
        <v>0</v>
      </c>
      <c r="D64" s="2">
        <v>0</v>
      </c>
      <c r="E64" s="2">
        <f t="shared" si="1"/>
        <v>0</v>
      </c>
    </row>
    <row r="65" spans="1:5" x14ac:dyDescent="0.3">
      <c r="A65" s="354" t="s">
        <v>437</v>
      </c>
      <c r="B65" s="3" t="s">
        <v>59</v>
      </c>
      <c r="C65" s="33">
        <v>1</v>
      </c>
      <c r="D65" s="2">
        <v>0</v>
      </c>
      <c r="E65" s="2">
        <f t="shared" si="1"/>
        <v>0</v>
      </c>
    </row>
    <row r="66" spans="1:5" x14ac:dyDescent="0.3">
      <c r="A66" s="425"/>
      <c r="B66" s="3" t="s">
        <v>61</v>
      </c>
      <c r="C66" s="33">
        <v>1</v>
      </c>
      <c r="D66" s="2">
        <v>1</v>
      </c>
      <c r="E66" s="2">
        <f t="shared" si="1"/>
        <v>3</v>
      </c>
    </row>
    <row r="67" spans="1:5" x14ac:dyDescent="0.3">
      <c r="A67" s="425"/>
      <c r="B67" s="3" t="s">
        <v>62</v>
      </c>
      <c r="C67" s="33">
        <v>1</v>
      </c>
      <c r="D67" s="2">
        <v>1</v>
      </c>
      <c r="E67" s="2">
        <f t="shared" si="1"/>
        <v>3</v>
      </c>
    </row>
    <row r="68" spans="1:5" x14ac:dyDescent="0.3">
      <c r="A68" s="425"/>
      <c r="B68" s="3" t="s">
        <v>64</v>
      </c>
      <c r="C68" s="33">
        <v>1</v>
      </c>
      <c r="D68" s="2">
        <v>2</v>
      </c>
      <c r="E68" s="2">
        <f t="shared" si="1"/>
        <v>6</v>
      </c>
    </row>
    <row r="69" spans="1:5" x14ac:dyDescent="0.3">
      <c r="A69" s="425"/>
      <c r="B69" s="3" t="s">
        <v>66</v>
      </c>
      <c r="C69" s="33">
        <v>1</v>
      </c>
      <c r="D69" s="2">
        <v>2</v>
      </c>
      <c r="E69" s="2">
        <f t="shared" si="1"/>
        <v>6</v>
      </c>
    </row>
    <row r="70" spans="1:5" x14ac:dyDescent="0.3">
      <c r="A70" s="425"/>
      <c r="B70" s="3" t="s">
        <v>69</v>
      </c>
      <c r="C70" s="33">
        <v>1</v>
      </c>
      <c r="D70" s="2">
        <v>1</v>
      </c>
      <c r="E70" s="2">
        <f t="shared" si="1"/>
        <v>3</v>
      </c>
    </row>
    <row r="71" spans="1:5" x14ac:dyDescent="0.3">
      <c r="A71" s="425"/>
      <c r="B71" s="3" t="s">
        <v>71</v>
      </c>
      <c r="C71" s="33">
        <v>1</v>
      </c>
      <c r="D71" s="2">
        <v>1</v>
      </c>
      <c r="E71" s="2">
        <f t="shared" si="1"/>
        <v>3</v>
      </c>
    </row>
    <row r="72" spans="1:5" x14ac:dyDescent="0.3">
      <c r="A72" s="355"/>
      <c r="B72" s="3" t="s">
        <v>73</v>
      </c>
      <c r="C72" s="33">
        <v>1</v>
      </c>
      <c r="D72" s="2">
        <v>0</v>
      </c>
      <c r="E72" s="2">
        <f t="shared" si="1"/>
        <v>0</v>
      </c>
    </row>
    <row r="73" spans="1:5" x14ac:dyDescent="0.3">
      <c r="A73" s="354" t="s">
        <v>390</v>
      </c>
      <c r="B73" s="3" t="s">
        <v>59</v>
      </c>
      <c r="C73" s="33">
        <f>'2 - Section Count Projection'!O83</f>
        <v>0</v>
      </c>
      <c r="D73" s="2">
        <v>0</v>
      </c>
      <c r="E73" s="2">
        <f t="shared" ref="E73:E80" si="2">D73*C73*3</f>
        <v>0</v>
      </c>
    </row>
    <row r="74" spans="1:5" x14ac:dyDescent="0.3">
      <c r="A74" s="425"/>
      <c r="B74" s="3" t="s">
        <v>61</v>
      </c>
      <c r="C74" s="33">
        <f>'2 - Section Count Projection'!O84</f>
        <v>0</v>
      </c>
      <c r="D74" s="2">
        <v>1</v>
      </c>
      <c r="E74" s="2">
        <f t="shared" si="2"/>
        <v>0</v>
      </c>
    </row>
    <row r="75" spans="1:5" x14ac:dyDescent="0.3">
      <c r="A75" s="425"/>
      <c r="B75" s="3" t="s">
        <v>62</v>
      </c>
      <c r="C75" s="33">
        <f>'2 - Section Count Projection'!O85</f>
        <v>0</v>
      </c>
      <c r="D75" s="2">
        <v>1</v>
      </c>
      <c r="E75" s="2">
        <f t="shared" si="2"/>
        <v>0</v>
      </c>
    </row>
    <row r="76" spans="1:5" x14ac:dyDescent="0.3">
      <c r="A76" s="425"/>
      <c r="B76" s="3" t="s">
        <v>64</v>
      </c>
      <c r="C76" s="33">
        <f>'2 - Section Count Projection'!O86</f>
        <v>0</v>
      </c>
      <c r="D76" s="2">
        <v>2</v>
      </c>
      <c r="E76" s="2">
        <f t="shared" si="2"/>
        <v>0</v>
      </c>
    </row>
    <row r="77" spans="1:5" x14ac:dyDescent="0.3">
      <c r="A77" s="425"/>
      <c r="B77" s="3" t="s">
        <v>66</v>
      </c>
      <c r="C77" s="33">
        <f>'2 - Section Count Projection'!O87</f>
        <v>0</v>
      </c>
      <c r="D77" s="2">
        <v>3</v>
      </c>
      <c r="E77" s="2">
        <f t="shared" si="2"/>
        <v>0</v>
      </c>
    </row>
    <row r="78" spans="1:5" x14ac:dyDescent="0.3">
      <c r="A78" s="425"/>
      <c r="B78" s="3" t="s">
        <v>69</v>
      </c>
      <c r="C78" s="33">
        <f>'2 - Section Count Projection'!O88</f>
        <v>0</v>
      </c>
      <c r="D78" s="2">
        <v>2</v>
      </c>
      <c r="E78" s="2">
        <f t="shared" si="2"/>
        <v>0</v>
      </c>
    </row>
    <row r="79" spans="1:5" x14ac:dyDescent="0.3">
      <c r="A79" s="425"/>
      <c r="B79" s="3" t="s">
        <v>71</v>
      </c>
      <c r="C79" s="33">
        <f>'2 - Section Count Projection'!O89</f>
        <v>0</v>
      </c>
      <c r="D79" s="2">
        <v>2</v>
      </c>
      <c r="E79" s="2">
        <f t="shared" si="2"/>
        <v>0</v>
      </c>
    </row>
    <row r="80" spans="1:5" x14ac:dyDescent="0.3">
      <c r="A80" s="355"/>
      <c r="B80" s="3" t="s">
        <v>73</v>
      </c>
      <c r="C80" s="33">
        <f>'2 - Section Count Projection'!O90</f>
        <v>0</v>
      </c>
      <c r="D80" s="2">
        <v>0</v>
      </c>
      <c r="E80" s="2">
        <f t="shared" si="2"/>
        <v>0</v>
      </c>
    </row>
    <row r="81" spans="1:5" x14ac:dyDescent="0.3">
      <c r="A81" s="354" t="s">
        <v>458</v>
      </c>
      <c r="B81" s="3" t="s">
        <v>59</v>
      </c>
      <c r="C81" s="30">
        <f>'2 - Section Count Projection'!O101</f>
        <v>0</v>
      </c>
      <c r="D81" s="2">
        <v>0</v>
      </c>
      <c r="E81" s="2">
        <f t="shared" si="1"/>
        <v>0</v>
      </c>
    </row>
    <row r="82" spans="1:5" x14ac:dyDescent="0.3">
      <c r="A82" s="425"/>
      <c r="B82" s="3" t="s">
        <v>61</v>
      </c>
      <c r="C82" s="30">
        <f>'2 - Section Count Projection'!O102</f>
        <v>0</v>
      </c>
      <c r="D82" s="2">
        <v>1</v>
      </c>
      <c r="E82" s="2">
        <f t="shared" si="1"/>
        <v>0</v>
      </c>
    </row>
    <row r="83" spans="1:5" x14ac:dyDescent="0.3">
      <c r="A83" s="425"/>
      <c r="B83" s="3" t="s">
        <v>62</v>
      </c>
      <c r="C83" s="30">
        <f>'2 - Section Count Projection'!O103</f>
        <v>0</v>
      </c>
      <c r="D83" s="2">
        <v>1</v>
      </c>
      <c r="E83" s="2">
        <f t="shared" si="1"/>
        <v>0</v>
      </c>
    </row>
    <row r="84" spans="1:5" x14ac:dyDescent="0.3">
      <c r="A84" s="425"/>
      <c r="B84" s="3" t="s">
        <v>64</v>
      </c>
      <c r="C84" s="30">
        <f>'2 - Section Count Projection'!O104</f>
        <v>0</v>
      </c>
      <c r="D84" s="2">
        <v>2</v>
      </c>
      <c r="E84" s="2">
        <f t="shared" si="1"/>
        <v>0</v>
      </c>
    </row>
    <row r="85" spans="1:5" x14ac:dyDescent="0.3">
      <c r="A85" s="425"/>
      <c r="B85" s="3" t="s">
        <v>66</v>
      </c>
      <c r="C85" s="30">
        <f>'2 - Section Count Projection'!O105</f>
        <v>0</v>
      </c>
      <c r="D85" s="2">
        <v>2</v>
      </c>
      <c r="E85" s="2">
        <f t="shared" si="1"/>
        <v>0</v>
      </c>
    </row>
    <row r="86" spans="1:5" x14ac:dyDescent="0.3">
      <c r="A86" s="425"/>
      <c r="B86" s="3" t="s">
        <v>69</v>
      </c>
      <c r="C86" s="30">
        <f>'2 - Section Count Projection'!O106</f>
        <v>0</v>
      </c>
      <c r="D86" s="2">
        <v>1</v>
      </c>
      <c r="E86" s="2">
        <f t="shared" si="1"/>
        <v>0</v>
      </c>
    </row>
    <row r="87" spans="1:5" x14ac:dyDescent="0.3">
      <c r="A87" s="425"/>
      <c r="B87" s="3" t="s">
        <v>71</v>
      </c>
      <c r="C87" s="30">
        <f>'2 - Section Count Projection'!O107</f>
        <v>0</v>
      </c>
      <c r="D87" s="2">
        <v>1</v>
      </c>
      <c r="E87" s="2">
        <f t="shared" si="1"/>
        <v>0</v>
      </c>
    </row>
    <row r="88" spans="1:5" x14ac:dyDescent="0.3">
      <c r="A88" s="355"/>
      <c r="B88" s="3" t="s">
        <v>73</v>
      </c>
      <c r="C88" s="30">
        <f>'2 - Section Count Projection'!O108</f>
        <v>0</v>
      </c>
      <c r="D88" s="2">
        <v>0</v>
      </c>
      <c r="E88" s="2">
        <f t="shared" si="1"/>
        <v>0</v>
      </c>
    </row>
    <row r="89" spans="1:5" x14ac:dyDescent="0.3">
      <c r="A89" s="354" t="s">
        <v>347</v>
      </c>
      <c r="B89" s="3" t="s">
        <v>59</v>
      </c>
      <c r="C89" s="30">
        <v>2</v>
      </c>
      <c r="D89" s="2">
        <v>0</v>
      </c>
      <c r="E89" s="2">
        <f t="shared" si="1"/>
        <v>0</v>
      </c>
    </row>
    <row r="90" spans="1:5" x14ac:dyDescent="0.3">
      <c r="A90" s="425"/>
      <c r="B90" s="3" t="s">
        <v>61</v>
      </c>
      <c r="C90" s="30">
        <v>2</v>
      </c>
      <c r="D90" s="2">
        <v>2</v>
      </c>
      <c r="E90" s="2">
        <f t="shared" ref="E90:E146" si="3">D90*C90*3</f>
        <v>12</v>
      </c>
    </row>
    <row r="91" spans="1:5" x14ac:dyDescent="0.3">
      <c r="A91" s="425"/>
      <c r="B91" s="3" t="s">
        <v>62</v>
      </c>
      <c r="C91" s="30">
        <v>2</v>
      </c>
      <c r="D91" s="2">
        <v>1</v>
      </c>
      <c r="E91" s="2">
        <f t="shared" si="3"/>
        <v>6</v>
      </c>
    </row>
    <row r="92" spans="1:5" x14ac:dyDescent="0.3">
      <c r="A92" s="425"/>
      <c r="B92" s="3" t="s">
        <v>64</v>
      </c>
      <c r="C92" s="30">
        <v>2</v>
      </c>
      <c r="D92" s="2">
        <v>0</v>
      </c>
      <c r="E92" s="2">
        <f t="shared" si="3"/>
        <v>0</v>
      </c>
    </row>
    <row r="93" spans="1:5" x14ac:dyDescent="0.3">
      <c r="A93" s="425"/>
      <c r="B93" s="3" t="s">
        <v>66</v>
      </c>
      <c r="C93" s="30">
        <v>2</v>
      </c>
      <c r="D93" s="2">
        <v>1</v>
      </c>
      <c r="E93" s="2">
        <f t="shared" si="3"/>
        <v>6</v>
      </c>
    </row>
    <row r="94" spans="1:5" x14ac:dyDescent="0.3">
      <c r="A94" s="425"/>
      <c r="B94" s="3" t="s">
        <v>69</v>
      </c>
      <c r="C94" s="30">
        <v>2</v>
      </c>
      <c r="D94" s="2">
        <v>1</v>
      </c>
      <c r="E94" s="2">
        <f t="shared" si="3"/>
        <v>6</v>
      </c>
    </row>
    <row r="95" spans="1:5" x14ac:dyDescent="0.3">
      <c r="A95" s="425"/>
      <c r="B95" s="3" t="s">
        <v>71</v>
      </c>
      <c r="C95" s="30">
        <v>2</v>
      </c>
      <c r="D95" s="2">
        <v>0</v>
      </c>
      <c r="E95" s="2">
        <f t="shared" si="3"/>
        <v>0</v>
      </c>
    </row>
    <row r="96" spans="1:5" x14ac:dyDescent="0.3">
      <c r="A96" s="355"/>
      <c r="B96" s="3" t="s">
        <v>73</v>
      </c>
      <c r="C96" s="30">
        <v>2</v>
      </c>
      <c r="D96" s="2">
        <v>0</v>
      </c>
      <c r="E96" s="2">
        <f t="shared" si="3"/>
        <v>0</v>
      </c>
    </row>
    <row r="97" spans="1:5" x14ac:dyDescent="0.3">
      <c r="A97" s="354" t="s">
        <v>497</v>
      </c>
      <c r="B97" s="3" t="s">
        <v>59</v>
      </c>
      <c r="C97" s="30">
        <v>4</v>
      </c>
      <c r="D97" s="2">
        <v>0</v>
      </c>
      <c r="E97" s="2">
        <f t="shared" si="3"/>
        <v>0</v>
      </c>
    </row>
    <row r="98" spans="1:5" x14ac:dyDescent="0.3">
      <c r="A98" s="425"/>
      <c r="B98" s="3" t="s">
        <v>61</v>
      </c>
      <c r="C98" s="30">
        <v>4</v>
      </c>
      <c r="D98" s="2">
        <v>1</v>
      </c>
      <c r="E98" s="2">
        <f t="shared" si="3"/>
        <v>12</v>
      </c>
    </row>
    <row r="99" spans="1:5" x14ac:dyDescent="0.3">
      <c r="A99" s="425"/>
      <c r="B99" s="3" t="s">
        <v>62</v>
      </c>
      <c r="C99" s="30">
        <v>4</v>
      </c>
      <c r="D99" s="2">
        <v>1</v>
      </c>
      <c r="E99" s="2">
        <f t="shared" si="3"/>
        <v>12</v>
      </c>
    </row>
    <row r="100" spans="1:5" x14ac:dyDescent="0.3">
      <c r="A100" s="425"/>
      <c r="B100" s="3" t="s">
        <v>64</v>
      </c>
      <c r="C100" s="30">
        <v>4</v>
      </c>
      <c r="D100" s="2">
        <v>1</v>
      </c>
      <c r="E100" s="2">
        <f t="shared" si="3"/>
        <v>12</v>
      </c>
    </row>
    <row r="101" spans="1:5" x14ac:dyDescent="0.3">
      <c r="A101" s="425"/>
      <c r="B101" s="3" t="s">
        <v>66</v>
      </c>
      <c r="C101" s="30">
        <v>3</v>
      </c>
      <c r="D101" s="2">
        <v>2</v>
      </c>
      <c r="E101" s="2">
        <f t="shared" si="3"/>
        <v>18</v>
      </c>
    </row>
    <row r="102" spans="1:5" x14ac:dyDescent="0.3">
      <c r="A102" s="425"/>
      <c r="B102" s="3" t="s">
        <v>69</v>
      </c>
      <c r="C102" s="30">
        <v>3</v>
      </c>
      <c r="D102" s="2">
        <v>2</v>
      </c>
      <c r="E102" s="2">
        <f t="shared" si="3"/>
        <v>18</v>
      </c>
    </row>
    <row r="103" spans="1:5" x14ac:dyDescent="0.3">
      <c r="A103" s="425"/>
      <c r="B103" s="3" t="s">
        <v>71</v>
      </c>
      <c r="C103" s="30">
        <v>3</v>
      </c>
      <c r="D103" s="2">
        <v>1</v>
      </c>
      <c r="E103" s="2">
        <f t="shared" si="3"/>
        <v>9</v>
      </c>
    </row>
    <row r="104" spans="1:5" x14ac:dyDescent="0.3">
      <c r="A104" s="355"/>
      <c r="B104" s="3" t="s">
        <v>73</v>
      </c>
      <c r="C104" s="30">
        <v>3</v>
      </c>
      <c r="D104" s="2">
        <v>0</v>
      </c>
      <c r="E104" s="2">
        <f t="shared" si="3"/>
        <v>0</v>
      </c>
    </row>
    <row r="105" spans="1:5" x14ac:dyDescent="0.3">
      <c r="A105" s="354" t="s">
        <v>467</v>
      </c>
      <c r="B105" s="3" t="s">
        <v>59</v>
      </c>
      <c r="C105" s="33">
        <f>'2 - Section Count Projection'!O119</f>
        <v>0</v>
      </c>
      <c r="D105" s="2">
        <v>0</v>
      </c>
      <c r="E105" s="2">
        <f t="shared" si="3"/>
        <v>0</v>
      </c>
    </row>
    <row r="106" spans="1:5" x14ac:dyDescent="0.3">
      <c r="A106" s="425"/>
      <c r="B106" s="3" t="s">
        <v>61</v>
      </c>
      <c r="C106" s="33">
        <f>'2 - Section Count Projection'!O120</f>
        <v>0</v>
      </c>
      <c r="D106" s="2">
        <v>1</v>
      </c>
      <c r="E106" s="2">
        <f t="shared" si="3"/>
        <v>0</v>
      </c>
    </row>
    <row r="107" spans="1:5" x14ac:dyDescent="0.3">
      <c r="A107" s="425"/>
      <c r="B107" s="3" t="s">
        <v>62</v>
      </c>
      <c r="C107" s="33">
        <f>'2 - Section Count Projection'!O121</f>
        <v>0</v>
      </c>
      <c r="D107" s="2">
        <v>0</v>
      </c>
      <c r="E107" s="2">
        <f t="shared" si="3"/>
        <v>0</v>
      </c>
    </row>
    <row r="108" spans="1:5" x14ac:dyDescent="0.3">
      <c r="A108" s="425"/>
      <c r="B108" s="3" t="s">
        <v>64</v>
      </c>
      <c r="C108" s="33">
        <f>'2 - Section Count Projection'!O122</f>
        <v>0</v>
      </c>
      <c r="D108" s="2">
        <v>1</v>
      </c>
      <c r="E108" s="2">
        <f t="shared" si="3"/>
        <v>0</v>
      </c>
    </row>
    <row r="109" spans="1:5" x14ac:dyDescent="0.3">
      <c r="A109" s="425"/>
      <c r="B109" s="3" t="s">
        <v>66</v>
      </c>
      <c r="C109" s="33">
        <f>'2 - Section Count Projection'!O123</f>
        <v>0</v>
      </c>
      <c r="D109" s="2">
        <v>1</v>
      </c>
      <c r="E109" s="2">
        <f t="shared" si="3"/>
        <v>0</v>
      </c>
    </row>
    <row r="110" spans="1:5" x14ac:dyDescent="0.3">
      <c r="A110" s="425"/>
      <c r="B110" s="3" t="s">
        <v>69</v>
      </c>
      <c r="C110" s="33">
        <f>'2 - Section Count Projection'!O124</f>
        <v>0</v>
      </c>
      <c r="D110" s="2">
        <v>1</v>
      </c>
      <c r="E110" s="2">
        <f t="shared" si="3"/>
        <v>0</v>
      </c>
    </row>
    <row r="111" spans="1:5" x14ac:dyDescent="0.3">
      <c r="A111" s="425"/>
      <c r="B111" s="3" t="s">
        <v>71</v>
      </c>
      <c r="C111" s="33">
        <f>'2 - Section Count Projection'!O125</f>
        <v>0</v>
      </c>
      <c r="D111" s="2">
        <v>1</v>
      </c>
      <c r="E111" s="2">
        <f t="shared" si="3"/>
        <v>0</v>
      </c>
    </row>
    <row r="112" spans="1:5" x14ac:dyDescent="0.3">
      <c r="A112" s="355"/>
      <c r="B112" s="3" t="s">
        <v>73</v>
      </c>
      <c r="C112" s="33">
        <f>'2 - Section Count Projection'!O126</f>
        <v>0</v>
      </c>
      <c r="D112" s="2">
        <v>0</v>
      </c>
      <c r="E112" s="2">
        <f t="shared" si="3"/>
        <v>0</v>
      </c>
    </row>
    <row r="113" spans="1:5" x14ac:dyDescent="0.3">
      <c r="A113" s="354" t="s">
        <v>625</v>
      </c>
      <c r="B113" s="3" t="s">
        <v>59</v>
      </c>
      <c r="C113" s="30">
        <f>'2 - Section Count Projection'!O137</f>
        <v>0</v>
      </c>
      <c r="D113" s="2">
        <v>1</v>
      </c>
      <c r="E113" s="2">
        <f t="shared" si="3"/>
        <v>0</v>
      </c>
    </row>
    <row r="114" spans="1:5" x14ac:dyDescent="0.3">
      <c r="A114" s="425"/>
      <c r="B114" s="3" t="s">
        <v>61</v>
      </c>
      <c r="C114" s="30">
        <f>'2 - Section Count Projection'!O138</f>
        <v>0</v>
      </c>
      <c r="D114" s="2">
        <v>2</v>
      </c>
      <c r="E114" s="2">
        <f t="shared" si="3"/>
        <v>0</v>
      </c>
    </row>
    <row r="115" spans="1:5" x14ac:dyDescent="0.3">
      <c r="A115" s="425"/>
      <c r="B115" s="3" t="s">
        <v>62</v>
      </c>
      <c r="C115" s="30">
        <f>'2 - Section Count Projection'!O139</f>
        <v>0</v>
      </c>
      <c r="D115" s="2">
        <v>0</v>
      </c>
      <c r="E115" s="2">
        <f t="shared" si="3"/>
        <v>0</v>
      </c>
    </row>
    <row r="116" spans="1:5" x14ac:dyDescent="0.3">
      <c r="A116" s="425"/>
      <c r="B116" s="3" t="s">
        <v>64</v>
      </c>
      <c r="C116" s="30">
        <f>'2 - Section Count Projection'!O140</f>
        <v>0</v>
      </c>
      <c r="D116" s="2">
        <v>0</v>
      </c>
      <c r="E116" s="2">
        <f t="shared" si="3"/>
        <v>0</v>
      </c>
    </row>
    <row r="117" spans="1:5" x14ac:dyDescent="0.3">
      <c r="A117" s="425"/>
      <c r="B117" s="3" t="s">
        <v>66</v>
      </c>
      <c r="C117" s="30">
        <f>'2 - Section Count Projection'!O141</f>
        <v>0</v>
      </c>
      <c r="D117" s="2">
        <v>0</v>
      </c>
      <c r="E117" s="2">
        <f t="shared" si="3"/>
        <v>0</v>
      </c>
    </row>
    <row r="118" spans="1:5" x14ac:dyDescent="0.3">
      <c r="A118" s="425"/>
      <c r="B118" s="3" t="s">
        <v>69</v>
      </c>
      <c r="C118" s="30">
        <f>'2 - Section Count Projection'!O142</f>
        <v>0</v>
      </c>
      <c r="D118" s="2">
        <v>0</v>
      </c>
      <c r="E118" s="2">
        <f t="shared" si="3"/>
        <v>0</v>
      </c>
    </row>
    <row r="119" spans="1:5" x14ac:dyDescent="0.3">
      <c r="A119" s="425"/>
      <c r="B119" s="3" t="s">
        <v>71</v>
      </c>
      <c r="C119" s="30">
        <f>'2 - Section Count Projection'!O143</f>
        <v>0</v>
      </c>
      <c r="D119" s="2">
        <v>0</v>
      </c>
      <c r="E119" s="2">
        <f t="shared" si="3"/>
        <v>0</v>
      </c>
    </row>
    <row r="120" spans="1:5" x14ac:dyDescent="0.3">
      <c r="A120" s="355"/>
      <c r="B120" s="3" t="s">
        <v>73</v>
      </c>
      <c r="C120" s="30">
        <f>'2 - Section Count Projection'!O144</f>
        <v>0</v>
      </c>
      <c r="D120" s="2">
        <v>0</v>
      </c>
      <c r="E120" s="2">
        <f t="shared" si="3"/>
        <v>0</v>
      </c>
    </row>
    <row r="121" spans="1:5" x14ac:dyDescent="0.3">
      <c r="A121" s="354" t="s">
        <v>645</v>
      </c>
      <c r="B121" s="3" t="s">
        <v>59</v>
      </c>
      <c r="C121" s="30">
        <f>'2 - Section Count Projection'!O146</f>
        <v>0</v>
      </c>
      <c r="D121" s="2">
        <v>0</v>
      </c>
      <c r="E121" s="2">
        <f t="shared" si="3"/>
        <v>0</v>
      </c>
    </row>
    <row r="122" spans="1:5" x14ac:dyDescent="0.3">
      <c r="A122" s="425"/>
      <c r="B122" s="3" t="s">
        <v>61</v>
      </c>
      <c r="C122" s="30">
        <f>'2 - Section Count Projection'!O147</f>
        <v>0</v>
      </c>
      <c r="D122" s="2">
        <v>0</v>
      </c>
      <c r="E122" s="2">
        <f t="shared" si="3"/>
        <v>0</v>
      </c>
    </row>
    <row r="123" spans="1:5" x14ac:dyDescent="0.3">
      <c r="A123" s="425"/>
      <c r="B123" s="3" t="s">
        <v>62</v>
      </c>
      <c r="C123" s="30">
        <f>'2 - Section Count Projection'!O148</f>
        <v>0</v>
      </c>
      <c r="D123" s="2">
        <v>1</v>
      </c>
      <c r="E123" s="2">
        <f t="shared" si="3"/>
        <v>0</v>
      </c>
    </row>
    <row r="124" spans="1:5" x14ac:dyDescent="0.3">
      <c r="A124" s="425"/>
      <c r="B124" s="3" t="s">
        <v>64</v>
      </c>
      <c r="C124" s="30">
        <f>'2 - Section Count Projection'!O149</f>
        <v>0</v>
      </c>
      <c r="D124" s="2">
        <v>0</v>
      </c>
      <c r="E124" s="2">
        <f t="shared" si="3"/>
        <v>0</v>
      </c>
    </row>
    <row r="125" spans="1:5" x14ac:dyDescent="0.3">
      <c r="A125" s="425"/>
      <c r="B125" s="3" t="s">
        <v>66</v>
      </c>
      <c r="C125" s="30">
        <f>'2 - Section Count Projection'!O150</f>
        <v>0</v>
      </c>
      <c r="D125" s="2">
        <v>0</v>
      </c>
      <c r="E125" s="2">
        <f t="shared" si="3"/>
        <v>0</v>
      </c>
    </row>
    <row r="126" spans="1:5" x14ac:dyDescent="0.3">
      <c r="A126" s="425"/>
      <c r="B126" s="3" t="s">
        <v>69</v>
      </c>
      <c r="C126" s="30">
        <f>'2 - Section Count Projection'!O151</f>
        <v>0</v>
      </c>
      <c r="D126" s="2">
        <v>0</v>
      </c>
      <c r="E126" s="2">
        <f t="shared" si="3"/>
        <v>0</v>
      </c>
    </row>
    <row r="127" spans="1:5" x14ac:dyDescent="0.3">
      <c r="A127" s="425"/>
      <c r="B127" s="3" t="s">
        <v>71</v>
      </c>
      <c r="C127" s="30">
        <f>'2 - Section Count Projection'!O152</f>
        <v>0</v>
      </c>
      <c r="D127" s="2">
        <v>0</v>
      </c>
      <c r="E127" s="2">
        <f t="shared" si="3"/>
        <v>0</v>
      </c>
    </row>
    <row r="128" spans="1:5" x14ac:dyDescent="0.3">
      <c r="A128" s="355"/>
      <c r="B128" s="3" t="s">
        <v>73</v>
      </c>
      <c r="C128" s="30">
        <f>'2 - Section Count Projection'!O153</f>
        <v>0</v>
      </c>
      <c r="D128" s="2">
        <v>0</v>
      </c>
      <c r="E128" s="2">
        <f t="shared" si="3"/>
        <v>0</v>
      </c>
    </row>
    <row r="129" spans="1:5" x14ac:dyDescent="0.3">
      <c r="A129" s="431" t="s">
        <v>579</v>
      </c>
      <c r="B129" s="3" t="s">
        <v>59</v>
      </c>
      <c r="C129" s="30">
        <f>'2 - Section Count Projection'!O155</f>
        <v>0</v>
      </c>
      <c r="D129" s="2">
        <v>0</v>
      </c>
      <c r="E129" s="2">
        <f t="shared" si="3"/>
        <v>0</v>
      </c>
    </row>
    <row r="130" spans="1:5" x14ac:dyDescent="0.3">
      <c r="A130" s="432"/>
      <c r="B130" s="3" t="s">
        <v>61</v>
      </c>
      <c r="C130" s="30">
        <f>'2 - Section Count Projection'!O156</f>
        <v>0</v>
      </c>
      <c r="D130" s="2">
        <v>1</v>
      </c>
      <c r="E130" s="2">
        <f t="shared" si="3"/>
        <v>0</v>
      </c>
    </row>
    <row r="131" spans="1:5" x14ac:dyDescent="0.3">
      <c r="A131" s="432"/>
      <c r="B131" s="3" t="s">
        <v>62</v>
      </c>
      <c r="C131" s="30">
        <f>'2 - Section Count Projection'!O157</f>
        <v>0</v>
      </c>
      <c r="D131" s="2">
        <v>0</v>
      </c>
      <c r="E131" s="2">
        <f t="shared" si="3"/>
        <v>0</v>
      </c>
    </row>
    <row r="132" spans="1:5" x14ac:dyDescent="0.3">
      <c r="A132" s="432"/>
      <c r="B132" s="3" t="s">
        <v>64</v>
      </c>
      <c r="C132" s="30">
        <f>'2 - Section Count Projection'!O158</f>
        <v>0</v>
      </c>
      <c r="D132" s="2">
        <v>0</v>
      </c>
      <c r="E132" s="2">
        <f t="shared" si="3"/>
        <v>0</v>
      </c>
    </row>
    <row r="133" spans="1:5" x14ac:dyDescent="0.3">
      <c r="A133" s="432"/>
      <c r="B133" s="3" t="s">
        <v>66</v>
      </c>
      <c r="C133" s="30">
        <f>'2 - Section Count Projection'!O159</f>
        <v>0</v>
      </c>
      <c r="D133" s="2">
        <v>1</v>
      </c>
      <c r="E133" s="2">
        <f t="shared" si="3"/>
        <v>0</v>
      </c>
    </row>
    <row r="134" spans="1:5" x14ac:dyDescent="0.3">
      <c r="A134" s="433"/>
      <c r="B134" s="3" t="s">
        <v>69</v>
      </c>
      <c r="C134" s="30">
        <f>'2 - Section Count Projection'!O160</f>
        <v>0</v>
      </c>
      <c r="D134" s="2">
        <v>0</v>
      </c>
      <c r="E134" s="2">
        <f t="shared" si="3"/>
        <v>0</v>
      </c>
    </row>
    <row r="135" spans="1:5" x14ac:dyDescent="0.3">
      <c r="A135" s="354" t="s">
        <v>563</v>
      </c>
      <c r="B135" s="3" t="s">
        <v>59</v>
      </c>
      <c r="C135" s="30">
        <f>'2 - Section Count Projection'!G82</f>
        <v>0</v>
      </c>
      <c r="D135" s="2">
        <v>0</v>
      </c>
      <c r="E135" s="2">
        <f t="shared" si="3"/>
        <v>0</v>
      </c>
    </row>
    <row r="136" spans="1:5" x14ac:dyDescent="0.3">
      <c r="A136" s="425"/>
      <c r="B136" s="3" t="s">
        <v>61</v>
      </c>
      <c r="C136" s="30">
        <f>'2 - Section Count Projection'!G83</f>
        <v>0</v>
      </c>
      <c r="D136" s="2">
        <v>1</v>
      </c>
      <c r="E136" s="2">
        <f t="shared" si="3"/>
        <v>0</v>
      </c>
    </row>
    <row r="137" spans="1:5" x14ac:dyDescent="0.3">
      <c r="A137" s="425"/>
      <c r="B137" s="3" t="s">
        <v>62</v>
      </c>
      <c r="C137" s="30">
        <f>'2 - Section Count Projection'!G84</f>
        <v>0</v>
      </c>
      <c r="D137" s="2">
        <v>0</v>
      </c>
      <c r="E137" s="2">
        <f t="shared" si="3"/>
        <v>0</v>
      </c>
    </row>
    <row r="138" spans="1:5" x14ac:dyDescent="0.3">
      <c r="A138" s="355"/>
      <c r="B138" s="3" t="s">
        <v>64</v>
      </c>
      <c r="C138" s="30">
        <f>'2 - Section Count Projection'!G85</f>
        <v>0</v>
      </c>
      <c r="D138" s="2">
        <v>0</v>
      </c>
      <c r="E138" s="2">
        <f t="shared" si="3"/>
        <v>0</v>
      </c>
    </row>
    <row r="139" spans="1:5" x14ac:dyDescent="0.3">
      <c r="A139" s="354" t="s">
        <v>589</v>
      </c>
      <c r="B139" s="3" t="s">
        <v>59</v>
      </c>
      <c r="C139" s="30">
        <f>'2 - Section Count Projection'!G87</f>
        <v>0</v>
      </c>
      <c r="D139" s="2">
        <v>0</v>
      </c>
      <c r="E139" s="2">
        <f t="shared" si="3"/>
        <v>0</v>
      </c>
    </row>
    <row r="140" spans="1:5" x14ac:dyDescent="0.3">
      <c r="A140" s="425"/>
      <c r="B140" s="3" t="s">
        <v>61</v>
      </c>
      <c r="C140" s="30">
        <f>'2 - Section Count Projection'!G88</f>
        <v>0</v>
      </c>
      <c r="D140" s="2">
        <v>1</v>
      </c>
      <c r="E140" s="2">
        <f t="shared" si="3"/>
        <v>0</v>
      </c>
    </row>
    <row r="141" spans="1:5" x14ac:dyDescent="0.3">
      <c r="A141" s="425"/>
      <c r="B141" s="3" t="s">
        <v>62</v>
      </c>
      <c r="C141" s="30">
        <f>'2 - Section Count Projection'!G89</f>
        <v>0</v>
      </c>
      <c r="D141" s="2">
        <v>0</v>
      </c>
      <c r="E141" s="2">
        <f t="shared" si="3"/>
        <v>0</v>
      </c>
    </row>
    <row r="142" spans="1:5" x14ac:dyDescent="0.3">
      <c r="A142" s="355"/>
      <c r="B142" s="3" t="s">
        <v>64</v>
      </c>
      <c r="C142" s="30">
        <f>'2 - Section Count Projection'!G90</f>
        <v>0</v>
      </c>
      <c r="D142" s="2">
        <v>2</v>
      </c>
      <c r="E142" s="2">
        <f t="shared" si="3"/>
        <v>0</v>
      </c>
    </row>
    <row r="143" spans="1:5" x14ac:dyDescent="0.3">
      <c r="A143" s="418" t="s">
        <v>597</v>
      </c>
      <c r="B143" s="3" t="s">
        <v>59</v>
      </c>
      <c r="C143" s="30">
        <f>'2 - Section Count Projection'!G92</f>
        <v>0</v>
      </c>
      <c r="D143" s="2">
        <v>2</v>
      </c>
      <c r="E143" s="2">
        <f t="shared" si="3"/>
        <v>0</v>
      </c>
    </row>
    <row r="144" spans="1:5" x14ac:dyDescent="0.3">
      <c r="A144" s="419"/>
      <c r="B144" s="3" t="s">
        <v>61</v>
      </c>
      <c r="C144" s="30">
        <f>'2 - Section Count Projection'!G93</f>
        <v>0</v>
      </c>
      <c r="D144" s="2">
        <v>3</v>
      </c>
      <c r="E144" s="2">
        <f t="shared" si="3"/>
        <v>0</v>
      </c>
    </row>
    <row r="145" spans="1:5" x14ac:dyDescent="0.3">
      <c r="A145" s="419"/>
      <c r="B145" s="3" t="s">
        <v>62</v>
      </c>
      <c r="C145" s="30">
        <f>'2 - Section Count Projection'!G94</f>
        <v>0</v>
      </c>
      <c r="D145" s="2">
        <v>4</v>
      </c>
      <c r="E145" s="2">
        <f t="shared" si="3"/>
        <v>0</v>
      </c>
    </row>
    <row r="146" spans="1:5" x14ac:dyDescent="0.3">
      <c r="A146" s="420"/>
      <c r="B146" s="3" t="s">
        <v>64</v>
      </c>
      <c r="C146" s="30">
        <f>'2 - Section Count Projection'!G95</f>
        <v>0</v>
      </c>
      <c r="D146" s="2">
        <v>2</v>
      </c>
      <c r="E146" s="2">
        <f t="shared" si="3"/>
        <v>0</v>
      </c>
    </row>
    <row r="147" spans="1:5" x14ac:dyDescent="0.3">
      <c r="A147" s="249" t="s">
        <v>2896</v>
      </c>
      <c r="B147" s="250"/>
      <c r="C147" s="256">
        <f>SUM(C17:C146)</f>
        <v>146</v>
      </c>
      <c r="D147" s="256"/>
      <c r="E147" s="66">
        <f>SUM(E17:E146)</f>
        <v>615</v>
      </c>
    </row>
  </sheetData>
  <sheetProtection algorithmName="SHA-512" hashValue="nKU/qncsJZj5iQux7Y0XWJ5jF4b8QlTMqFhZCfEUml1vcIszAfsl52NlvosHth7U1QFriTH1ATKkGhnMtNJdiw==" saltValue="eUtiCXJDrLxBI/9PG/mlzg==" spinCount="100000" sheet="1" objects="1" scenarios="1"/>
  <mergeCells count="32">
    <mergeCell ref="A139:A142"/>
    <mergeCell ref="A105:A112"/>
    <mergeCell ref="A113:A120"/>
    <mergeCell ref="A121:A128"/>
    <mergeCell ref="A65:A72"/>
    <mergeCell ref="A81:A88"/>
    <mergeCell ref="A89:A96"/>
    <mergeCell ref="A129:A134"/>
    <mergeCell ref="A135:A138"/>
    <mergeCell ref="A73:A80"/>
    <mergeCell ref="G45:G48"/>
    <mergeCell ref="A49:A56"/>
    <mergeCell ref="G49:G52"/>
    <mergeCell ref="G53:G56"/>
    <mergeCell ref="A57:A64"/>
    <mergeCell ref="G57:G60"/>
    <mergeCell ref="A143:A146"/>
    <mergeCell ref="I4:K4"/>
    <mergeCell ref="A15:E15"/>
    <mergeCell ref="G15:K15"/>
    <mergeCell ref="A17:A24"/>
    <mergeCell ref="G17:G20"/>
    <mergeCell ref="G21:G24"/>
    <mergeCell ref="A25:A32"/>
    <mergeCell ref="G25:G28"/>
    <mergeCell ref="G29:G32"/>
    <mergeCell ref="A33:A40"/>
    <mergeCell ref="G33:G36"/>
    <mergeCell ref="G37:G40"/>
    <mergeCell ref="A97:A104"/>
    <mergeCell ref="A41:A48"/>
    <mergeCell ref="G41:G44"/>
  </mergeCells>
  <pageMargins left="0.7" right="0.7" top="0.75" bottom="0.75" header="0.3" footer="0.3"/>
  <pageSetup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tabColor rgb="FF0070C0"/>
  </sheetPr>
  <dimension ref="A1:R43"/>
  <sheetViews>
    <sheetView showGridLines="0" topLeftCell="A11" zoomScale="70" zoomScaleNormal="70" workbookViewId="0">
      <selection activeCell="C21" sqref="C21"/>
    </sheetView>
  </sheetViews>
  <sheetFormatPr defaultRowHeight="14.4" x14ac:dyDescent="0.3"/>
  <cols>
    <col min="3" max="3" width="14" customWidth="1"/>
    <col min="4" max="4" width="12.109375" customWidth="1"/>
    <col min="5" max="5" width="15" customWidth="1"/>
    <col min="7" max="7" width="12.5546875" customWidth="1"/>
    <col min="10" max="10" width="11.109375" customWidth="1"/>
    <col min="11" max="11" width="18.5546875" customWidth="1"/>
    <col min="13" max="13" width="12.88671875" customWidth="1"/>
  </cols>
  <sheetData>
    <row r="1" spans="1:18" ht="23.4" x14ac:dyDescent="0.45">
      <c r="A1" s="232" t="s">
        <v>2897</v>
      </c>
    </row>
    <row r="4" spans="1:18" ht="15.6" x14ac:dyDescent="0.3">
      <c r="A4" s="233" t="s">
        <v>2873</v>
      </c>
      <c r="B4" s="234"/>
      <c r="C4" s="234"/>
      <c r="D4" s="235"/>
      <c r="E4" s="239" t="s">
        <v>2898</v>
      </c>
      <c r="G4" s="234"/>
      <c r="H4" s="234"/>
      <c r="I4" s="421" t="s">
        <v>2875</v>
      </c>
      <c r="J4" s="421"/>
      <c r="K4" s="421"/>
      <c r="L4" s="237">
        <f>(D8/3)*D10*D12</f>
        <v>0</v>
      </c>
      <c r="M4" s="434" t="s">
        <v>2899</v>
      </c>
      <c r="N4" s="434"/>
    </row>
    <row r="5" spans="1:18" ht="15.6" x14ac:dyDescent="0.3">
      <c r="A5" s="233"/>
      <c r="B5" s="234"/>
      <c r="C5" s="234"/>
      <c r="D5" s="234"/>
      <c r="E5" s="234"/>
      <c r="F5" s="239"/>
      <c r="G5" s="234"/>
      <c r="H5" s="234"/>
      <c r="I5" s="234"/>
      <c r="J5" s="234"/>
      <c r="K5" s="234"/>
      <c r="L5" s="234"/>
      <c r="M5" s="234"/>
      <c r="N5" s="234"/>
    </row>
    <row r="6" spans="1:18" ht="15.6" x14ac:dyDescent="0.3">
      <c r="A6" s="233" t="s">
        <v>2877</v>
      </c>
      <c r="B6" s="234"/>
      <c r="C6" s="234"/>
      <c r="D6" s="235"/>
      <c r="E6" s="239" t="s">
        <v>2900</v>
      </c>
      <c r="G6" s="234"/>
      <c r="H6" s="234"/>
      <c r="I6" s="234" t="s">
        <v>2879</v>
      </c>
      <c r="J6" s="234"/>
      <c r="K6" s="234"/>
      <c r="L6" s="237">
        <f>(E43/3)+(K25/3)</f>
        <v>0</v>
      </c>
      <c r="M6" s="234"/>
      <c r="N6" s="234"/>
    </row>
    <row r="7" spans="1:18" ht="15.6" x14ac:dyDescent="0.3">
      <c r="A7" s="233"/>
      <c r="B7" s="234"/>
      <c r="C7" s="234"/>
      <c r="D7" s="240"/>
      <c r="E7" s="239"/>
      <c r="G7" s="234"/>
      <c r="H7" s="234"/>
      <c r="I7" s="234"/>
      <c r="J7" s="234"/>
      <c r="K7" s="234"/>
      <c r="L7" s="234"/>
      <c r="M7" s="234"/>
      <c r="N7" s="234"/>
    </row>
    <row r="8" spans="1:18" ht="15.6" x14ac:dyDescent="0.3">
      <c r="A8" s="233" t="s">
        <v>2880</v>
      </c>
      <c r="B8" s="234"/>
      <c r="C8" s="234"/>
      <c r="D8" s="241">
        <f>INT((D6-D4)*24)</f>
        <v>0</v>
      </c>
      <c r="E8" s="239"/>
      <c r="G8" s="234"/>
      <c r="H8" s="234"/>
      <c r="I8" s="234"/>
      <c r="J8" s="234"/>
      <c r="K8" s="234"/>
      <c r="L8" s="234"/>
      <c r="M8" s="234"/>
      <c r="N8" s="234"/>
      <c r="O8" s="234"/>
      <c r="P8" s="234"/>
      <c r="Q8" s="234"/>
      <c r="R8" s="234"/>
    </row>
    <row r="9" spans="1:18" ht="15.6" x14ac:dyDescent="0.3">
      <c r="A9" s="233"/>
      <c r="B9" s="234"/>
      <c r="C9" s="234"/>
      <c r="D9" s="240"/>
      <c r="E9" s="239"/>
      <c r="G9" s="234"/>
      <c r="H9" s="234"/>
      <c r="I9" s="234"/>
      <c r="J9" s="234"/>
      <c r="K9" s="234"/>
      <c r="L9" s="234"/>
      <c r="M9" s="234"/>
      <c r="N9" s="234"/>
    </row>
    <row r="10" spans="1:18" ht="15.6" x14ac:dyDescent="0.3">
      <c r="A10" s="233" t="s">
        <v>2881</v>
      </c>
      <c r="B10" s="234"/>
      <c r="C10" s="234"/>
      <c r="D10" s="242"/>
      <c r="E10" s="239" t="s">
        <v>2882</v>
      </c>
      <c r="G10" s="234"/>
      <c r="H10" s="234"/>
      <c r="I10" s="234"/>
      <c r="J10" s="234"/>
      <c r="K10" s="234"/>
      <c r="L10" s="234"/>
      <c r="M10" s="234"/>
      <c r="N10" s="234"/>
    </row>
    <row r="11" spans="1:18" ht="15.6" x14ac:dyDescent="0.3">
      <c r="A11" s="233"/>
      <c r="B11" s="234"/>
      <c r="C11" s="234"/>
      <c r="D11" s="240"/>
      <c r="E11" s="239"/>
      <c r="G11" s="234"/>
      <c r="H11" s="234"/>
      <c r="I11" s="234"/>
      <c r="J11" s="234"/>
      <c r="K11" s="234"/>
      <c r="L11" s="234"/>
      <c r="M11" s="234"/>
      <c r="N11" s="234"/>
    </row>
    <row r="12" spans="1:18" ht="15.6" x14ac:dyDescent="0.3">
      <c r="A12" s="233" t="s">
        <v>2901</v>
      </c>
      <c r="B12" s="234"/>
      <c r="C12" s="234"/>
      <c r="D12" s="242"/>
      <c r="E12" s="239" t="s">
        <v>2902</v>
      </c>
      <c r="G12" s="234"/>
      <c r="H12" s="234"/>
      <c r="I12" s="234"/>
      <c r="J12" s="234"/>
      <c r="K12" s="234"/>
      <c r="L12" s="234"/>
      <c r="M12" s="234"/>
      <c r="N12" s="234"/>
    </row>
    <row r="13" spans="1:18" ht="15.6" x14ac:dyDescent="0.3">
      <c r="A13" s="233"/>
      <c r="B13" s="234"/>
      <c r="C13" s="234"/>
      <c r="D13" s="240"/>
      <c r="E13" s="234"/>
      <c r="F13" s="234"/>
      <c r="G13" s="234"/>
      <c r="H13" s="234"/>
      <c r="I13" s="234"/>
      <c r="J13" s="234"/>
      <c r="K13" s="234"/>
      <c r="L13" s="234"/>
      <c r="M13" s="234"/>
      <c r="N13" s="234"/>
    </row>
    <row r="14" spans="1:18" ht="15.6" x14ac:dyDescent="0.3">
      <c r="A14" s="234"/>
      <c r="B14" s="234"/>
      <c r="C14" s="234"/>
      <c r="D14" s="234"/>
      <c r="E14" s="234"/>
      <c r="F14" s="234"/>
      <c r="G14" s="234"/>
      <c r="H14" s="234"/>
      <c r="I14" s="234"/>
      <c r="J14" s="234"/>
      <c r="K14" s="234"/>
      <c r="L14" s="234"/>
      <c r="M14" s="234"/>
      <c r="N14" s="234"/>
    </row>
    <row r="15" spans="1:18" ht="15.6" x14ac:dyDescent="0.3">
      <c r="A15" s="422" t="s">
        <v>2903</v>
      </c>
      <c r="B15" s="423"/>
      <c r="C15" s="423"/>
      <c r="D15" s="423"/>
      <c r="E15" s="424"/>
      <c r="F15" s="234"/>
      <c r="G15" s="422" t="s">
        <v>2904</v>
      </c>
      <c r="H15" s="423"/>
      <c r="I15" s="423"/>
      <c r="J15" s="423"/>
      <c r="K15" s="424"/>
      <c r="L15" s="234"/>
      <c r="M15" s="234"/>
      <c r="N15" s="234"/>
    </row>
    <row r="16" spans="1:18" ht="28.8" x14ac:dyDescent="0.3">
      <c r="A16" s="243" t="s">
        <v>54</v>
      </c>
      <c r="B16" s="244" t="s">
        <v>2887</v>
      </c>
      <c r="C16" s="244" t="s">
        <v>2888</v>
      </c>
      <c r="D16" s="245" t="s">
        <v>2889</v>
      </c>
      <c r="E16" s="245" t="s">
        <v>2890</v>
      </c>
      <c r="G16" s="243" t="s">
        <v>2891</v>
      </c>
      <c r="H16" s="244" t="s">
        <v>2892</v>
      </c>
      <c r="I16" s="244" t="s">
        <v>2888</v>
      </c>
      <c r="J16" s="245" t="s">
        <v>2893</v>
      </c>
      <c r="K16" s="246" t="s">
        <v>2890</v>
      </c>
    </row>
    <row r="17" spans="1:11" x14ac:dyDescent="0.3">
      <c r="A17" s="347" t="s">
        <v>291</v>
      </c>
      <c r="B17" s="3" t="s">
        <v>59</v>
      </c>
      <c r="C17" s="33">
        <v>0</v>
      </c>
      <c r="D17" s="2">
        <v>0</v>
      </c>
      <c r="E17" s="2">
        <f t="shared" ref="E17:E43" si="0">D17*C17*3</f>
        <v>0</v>
      </c>
      <c r="G17" s="428" t="s">
        <v>85</v>
      </c>
      <c r="H17" s="247" t="s">
        <v>68</v>
      </c>
      <c r="I17" s="312">
        <f>'2 - Section Count Projection'!G51</f>
        <v>0</v>
      </c>
      <c r="J17" s="253">
        <v>2</v>
      </c>
      <c r="K17" s="2">
        <f t="shared" ref="K17:K24" si="1">I17*J17*3</f>
        <v>0</v>
      </c>
    </row>
    <row r="18" spans="1:11" x14ac:dyDescent="0.3">
      <c r="A18" s="347"/>
      <c r="B18" s="3" t="s">
        <v>61</v>
      </c>
      <c r="C18" s="33">
        <v>4</v>
      </c>
      <c r="D18" s="2">
        <v>2</v>
      </c>
      <c r="E18" s="2">
        <f t="shared" si="0"/>
        <v>24</v>
      </c>
      <c r="G18" s="429"/>
      <c r="H18" s="247" t="s">
        <v>70</v>
      </c>
      <c r="I18" s="312">
        <f>'2 - Section Count Projection'!G52</f>
        <v>0</v>
      </c>
      <c r="J18" s="253">
        <v>2</v>
      </c>
      <c r="K18" s="2">
        <f t="shared" si="1"/>
        <v>0</v>
      </c>
    </row>
    <row r="19" spans="1:11" x14ac:dyDescent="0.3">
      <c r="A19" s="347"/>
      <c r="B19" s="3" t="s">
        <v>62</v>
      </c>
      <c r="C19" s="33">
        <v>3</v>
      </c>
      <c r="D19" s="2">
        <v>1</v>
      </c>
      <c r="E19" s="2">
        <f t="shared" si="0"/>
        <v>9</v>
      </c>
      <c r="G19" s="429"/>
      <c r="H19" s="247" t="s">
        <v>72</v>
      </c>
      <c r="I19" s="312">
        <f>'2 - Section Count Projection'!G53</f>
        <v>0</v>
      </c>
      <c r="J19" s="253">
        <v>2</v>
      </c>
      <c r="K19" s="2">
        <f t="shared" si="1"/>
        <v>0</v>
      </c>
    </row>
    <row r="20" spans="1:11" x14ac:dyDescent="0.3">
      <c r="A20" s="347"/>
      <c r="B20" s="3" t="s">
        <v>64</v>
      </c>
      <c r="C20" s="33">
        <v>3</v>
      </c>
      <c r="D20" s="2">
        <v>1</v>
      </c>
      <c r="E20" s="2">
        <f t="shared" si="0"/>
        <v>9</v>
      </c>
      <c r="G20" s="430"/>
      <c r="H20" s="247" t="s">
        <v>74</v>
      </c>
      <c r="I20" s="312">
        <f>'2 - Section Count Projection'!G54</f>
        <v>0</v>
      </c>
      <c r="J20" s="253">
        <v>2</v>
      </c>
      <c r="K20" s="2">
        <f t="shared" si="1"/>
        <v>0</v>
      </c>
    </row>
    <row r="21" spans="1:11" x14ac:dyDescent="0.3">
      <c r="A21" s="347"/>
      <c r="B21" s="3" t="s">
        <v>66</v>
      </c>
      <c r="C21" s="33">
        <f>'2 - Section Count Projection'!O51</f>
        <v>0</v>
      </c>
      <c r="D21" s="2">
        <v>1</v>
      </c>
      <c r="E21" s="2">
        <f t="shared" si="0"/>
        <v>0</v>
      </c>
      <c r="G21" s="426" t="s">
        <v>2905</v>
      </c>
      <c r="H21" s="247" t="s">
        <v>68</v>
      </c>
      <c r="I21" s="313">
        <f>'2 - Section Count Projection'!G56</f>
        <v>0</v>
      </c>
      <c r="J21" s="2">
        <v>1</v>
      </c>
      <c r="K21" s="2">
        <f t="shared" si="1"/>
        <v>0</v>
      </c>
    </row>
    <row r="22" spans="1:11" x14ac:dyDescent="0.3">
      <c r="A22" s="347"/>
      <c r="B22" s="3" t="s">
        <v>69</v>
      </c>
      <c r="C22" s="33">
        <f>'2 - Section Count Projection'!O52</f>
        <v>0</v>
      </c>
      <c r="D22" s="2">
        <v>2</v>
      </c>
      <c r="E22" s="2">
        <f t="shared" si="0"/>
        <v>0</v>
      </c>
      <c r="G22" s="426"/>
      <c r="H22" s="247" t="s">
        <v>70</v>
      </c>
      <c r="I22" s="313">
        <f>'2 - Section Count Projection'!G57</f>
        <v>0</v>
      </c>
      <c r="J22" s="2">
        <v>1</v>
      </c>
      <c r="K22" s="2">
        <f t="shared" si="1"/>
        <v>0</v>
      </c>
    </row>
    <row r="23" spans="1:11" x14ac:dyDescent="0.3">
      <c r="A23" s="347"/>
      <c r="B23" s="3" t="s">
        <v>71</v>
      </c>
      <c r="C23" s="33">
        <f>'2 - Section Count Projection'!O53</f>
        <v>0</v>
      </c>
      <c r="D23" s="2">
        <v>1</v>
      </c>
      <c r="E23" s="2">
        <f t="shared" si="0"/>
        <v>0</v>
      </c>
      <c r="G23" s="426"/>
      <c r="H23" s="247" t="s">
        <v>72</v>
      </c>
      <c r="I23" s="313">
        <f>'2 - Section Count Projection'!G58</f>
        <v>0</v>
      </c>
      <c r="J23" s="2">
        <v>0</v>
      </c>
      <c r="K23" s="2">
        <f t="shared" si="1"/>
        <v>0</v>
      </c>
    </row>
    <row r="24" spans="1:11" x14ac:dyDescent="0.3">
      <c r="A24" s="347"/>
      <c r="B24" s="3" t="s">
        <v>73</v>
      </c>
      <c r="C24" s="33">
        <f>'2 - Section Count Projection'!O54</f>
        <v>0</v>
      </c>
      <c r="D24" s="2">
        <v>0</v>
      </c>
      <c r="E24" s="2">
        <f t="shared" si="0"/>
        <v>0</v>
      </c>
      <c r="G24" s="426"/>
      <c r="H24" s="247" t="s">
        <v>74</v>
      </c>
      <c r="I24" s="313">
        <f>'2 - Section Count Projection'!G59</f>
        <v>0</v>
      </c>
      <c r="J24" s="2">
        <v>0</v>
      </c>
      <c r="K24" s="2">
        <f t="shared" si="1"/>
        <v>0</v>
      </c>
    </row>
    <row r="25" spans="1:11" x14ac:dyDescent="0.3">
      <c r="A25" s="347" t="s">
        <v>342</v>
      </c>
      <c r="B25" s="3" t="s">
        <v>59</v>
      </c>
      <c r="C25" s="33">
        <f>'2 - Section Count Projection'!O56</f>
        <v>0</v>
      </c>
      <c r="D25" s="2">
        <v>0</v>
      </c>
      <c r="E25" s="2">
        <f t="shared" si="0"/>
        <v>0</v>
      </c>
      <c r="G25" s="249" t="s">
        <v>2895</v>
      </c>
      <c r="H25" s="250"/>
      <c r="I25" s="250"/>
      <c r="J25" s="251"/>
      <c r="K25" s="231">
        <f>SUM(K17:K24)</f>
        <v>0</v>
      </c>
    </row>
    <row r="26" spans="1:11" x14ac:dyDescent="0.3">
      <c r="A26" s="347"/>
      <c r="B26" s="3" t="s">
        <v>61</v>
      </c>
      <c r="C26" s="33">
        <f>'2 - Section Count Projection'!O57</f>
        <v>0</v>
      </c>
      <c r="D26" s="2">
        <v>2</v>
      </c>
      <c r="E26" s="2">
        <f t="shared" si="0"/>
        <v>0</v>
      </c>
    </row>
    <row r="27" spans="1:11" x14ac:dyDescent="0.3">
      <c r="A27" s="347"/>
      <c r="B27" s="3" t="s">
        <v>62</v>
      </c>
      <c r="C27" s="33">
        <f>'2 - Section Count Projection'!O58</f>
        <v>0</v>
      </c>
      <c r="D27" s="2">
        <v>1</v>
      </c>
      <c r="E27" s="2">
        <f t="shared" si="0"/>
        <v>0</v>
      </c>
    </row>
    <row r="28" spans="1:11" x14ac:dyDescent="0.3">
      <c r="A28" s="347"/>
      <c r="B28" s="3" t="s">
        <v>64</v>
      </c>
      <c r="C28" s="33">
        <f>'2 - Section Count Projection'!O59</f>
        <v>0</v>
      </c>
      <c r="D28" s="2">
        <v>1</v>
      </c>
      <c r="E28" s="2">
        <f t="shared" si="0"/>
        <v>0</v>
      </c>
    </row>
    <row r="29" spans="1:11" x14ac:dyDescent="0.3">
      <c r="A29" s="347"/>
      <c r="B29" s="3" t="s">
        <v>66</v>
      </c>
      <c r="C29" s="33">
        <f>'2 - Section Count Projection'!O60</f>
        <v>0</v>
      </c>
      <c r="D29" s="2">
        <v>1</v>
      </c>
      <c r="E29" s="2">
        <f t="shared" si="0"/>
        <v>0</v>
      </c>
    </row>
    <row r="30" spans="1:11" x14ac:dyDescent="0.3">
      <c r="A30" s="347"/>
      <c r="B30" s="3" t="s">
        <v>69</v>
      </c>
      <c r="C30" s="33">
        <f>'2 - Section Count Projection'!O61</f>
        <v>0</v>
      </c>
      <c r="D30" s="2">
        <v>2</v>
      </c>
      <c r="E30" s="2">
        <f t="shared" si="0"/>
        <v>0</v>
      </c>
    </row>
    <row r="31" spans="1:11" x14ac:dyDescent="0.3">
      <c r="A31" s="347"/>
      <c r="B31" s="3" t="s">
        <v>71</v>
      </c>
      <c r="C31" s="33">
        <f>'2 - Section Count Projection'!O62</f>
        <v>0</v>
      </c>
      <c r="D31" s="2">
        <v>1</v>
      </c>
      <c r="E31" s="2">
        <f t="shared" si="0"/>
        <v>0</v>
      </c>
    </row>
    <row r="32" spans="1:11" x14ac:dyDescent="0.3">
      <c r="A32" s="354"/>
      <c r="B32" s="80" t="s">
        <v>73</v>
      </c>
      <c r="C32" s="33">
        <f>'2 - Section Count Projection'!O63</f>
        <v>0</v>
      </c>
      <c r="D32" s="252">
        <v>0</v>
      </c>
      <c r="E32" s="2">
        <f t="shared" si="0"/>
        <v>0</v>
      </c>
    </row>
    <row r="33" spans="1:5" x14ac:dyDescent="0.3">
      <c r="A33" s="354" t="s">
        <v>579</v>
      </c>
      <c r="B33" s="254" t="s">
        <v>59</v>
      </c>
      <c r="C33" s="33">
        <f>'2 - Section Count Projection'!O155</f>
        <v>0</v>
      </c>
      <c r="D33" s="2">
        <v>0</v>
      </c>
      <c r="E33" s="2">
        <f t="shared" si="0"/>
        <v>0</v>
      </c>
    </row>
    <row r="34" spans="1:5" x14ac:dyDescent="0.3">
      <c r="A34" s="425"/>
      <c r="B34" s="3" t="s">
        <v>61</v>
      </c>
      <c r="C34" s="33">
        <f>'2 - Section Count Projection'!O156</f>
        <v>0</v>
      </c>
      <c r="D34" s="2">
        <v>2</v>
      </c>
      <c r="E34" s="2">
        <f t="shared" si="0"/>
        <v>0</v>
      </c>
    </row>
    <row r="35" spans="1:5" x14ac:dyDescent="0.3">
      <c r="A35" s="425"/>
      <c r="B35" s="3" t="s">
        <v>62</v>
      </c>
      <c r="C35" s="33">
        <f>'2 - Section Count Projection'!O157</f>
        <v>0</v>
      </c>
      <c r="D35" s="2">
        <v>2</v>
      </c>
      <c r="E35" s="2">
        <f t="shared" si="0"/>
        <v>0</v>
      </c>
    </row>
    <row r="36" spans="1:5" x14ac:dyDescent="0.3">
      <c r="A36" s="425"/>
      <c r="B36" s="3" t="s">
        <v>64</v>
      </c>
      <c r="C36" s="33">
        <f>'2 - Section Count Projection'!O158</f>
        <v>0</v>
      </c>
      <c r="D36" s="2">
        <v>2</v>
      </c>
      <c r="E36" s="2">
        <f t="shared" si="0"/>
        <v>0</v>
      </c>
    </row>
    <row r="37" spans="1:5" x14ac:dyDescent="0.3">
      <c r="A37" s="425"/>
      <c r="B37" s="3" t="s">
        <v>66</v>
      </c>
      <c r="C37" s="33">
        <f>'2 - Section Count Projection'!O159</f>
        <v>0</v>
      </c>
      <c r="D37" s="2">
        <v>0</v>
      </c>
      <c r="E37" s="2">
        <f t="shared" si="0"/>
        <v>0</v>
      </c>
    </row>
    <row r="38" spans="1:5" x14ac:dyDescent="0.3">
      <c r="A38" s="355"/>
      <c r="B38" s="3" t="s">
        <v>69</v>
      </c>
      <c r="C38" s="33">
        <f>'2 - Section Count Projection'!O160</f>
        <v>0</v>
      </c>
      <c r="D38" s="2">
        <v>0</v>
      </c>
      <c r="E38" s="2">
        <f t="shared" si="0"/>
        <v>0</v>
      </c>
    </row>
    <row r="39" spans="1:5" x14ac:dyDescent="0.3">
      <c r="A39" s="354" t="s">
        <v>563</v>
      </c>
      <c r="B39" s="254" t="s">
        <v>59</v>
      </c>
      <c r="C39" s="33">
        <f>'2 - Section Count Projection'!G82</f>
        <v>0</v>
      </c>
      <c r="D39" s="2">
        <v>0</v>
      </c>
      <c r="E39" s="2">
        <f t="shared" si="0"/>
        <v>0</v>
      </c>
    </row>
    <row r="40" spans="1:5" x14ac:dyDescent="0.3">
      <c r="A40" s="425"/>
      <c r="B40" s="3" t="s">
        <v>61</v>
      </c>
      <c r="C40" s="33">
        <f>'2 - Section Count Projection'!G83</f>
        <v>0</v>
      </c>
      <c r="D40" s="2">
        <v>2</v>
      </c>
      <c r="E40" s="2">
        <f t="shared" si="0"/>
        <v>0</v>
      </c>
    </row>
    <row r="41" spans="1:5" x14ac:dyDescent="0.3">
      <c r="A41" s="425"/>
      <c r="B41" s="3" t="s">
        <v>62</v>
      </c>
      <c r="C41" s="33">
        <f>'2 - Section Count Projection'!G84</f>
        <v>0</v>
      </c>
      <c r="D41" s="2">
        <v>2</v>
      </c>
      <c r="E41" s="2">
        <f t="shared" si="0"/>
        <v>0</v>
      </c>
    </row>
    <row r="42" spans="1:5" x14ac:dyDescent="0.3">
      <c r="A42" s="355"/>
      <c r="B42" s="3" t="s">
        <v>64</v>
      </c>
      <c r="C42" s="33">
        <f>'2 - Section Count Projection'!G85</f>
        <v>0</v>
      </c>
      <c r="D42" s="2">
        <v>2</v>
      </c>
      <c r="E42" s="2">
        <f t="shared" si="0"/>
        <v>0</v>
      </c>
    </row>
    <row r="43" spans="1:5" x14ac:dyDescent="0.3">
      <c r="A43" s="249" t="s">
        <v>2896</v>
      </c>
      <c r="B43" s="250"/>
      <c r="C43" s="250"/>
      <c r="D43" s="251"/>
      <c r="E43" s="2">
        <f t="shared" si="0"/>
        <v>0</v>
      </c>
    </row>
  </sheetData>
  <sheetProtection algorithmName="SHA-512" hashValue="cCBTQU811QsspE5waKlVRdo/HeqUqWsW8lLhpm6AAuex0cZXPr6AkRogFAtwDD/5yW0TgVmAUrk8cs/XNdDlww==" saltValue="2KrxRdb1WSTWpgmQuMs2hw==" spinCount="100000" sheet="1" objects="1" scenarios="1"/>
  <mergeCells count="10">
    <mergeCell ref="A33:A38"/>
    <mergeCell ref="A39:A42"/>
    <mergeCell ref="A25:A32"/>
    <mergeCell ref="G17:G20"/>
    <mergeCell ref="G21:G24"/>
    <mergeCell ref="I4:K4"/>
    <mergeCell ref="M4:N4"/>
    <mergeCell ref="A15:E15"/>
    <mergeCell ref="G15:K15"/>
    <mergeCell ref="A17:A24"/>
  </mergeCells>
  <pageMargins left="0.7" right="0.7" top="0.75" bottom="0.75" header="0.3" footer="0.3"/>
  <pageSetup orientation="portrait"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tabColor rgb="FFFFFF00"/>
  </sheetPr>
  <dimension ref="A1:IV22"/>
  <sheetViews>
    <sheetView workbookViewId="0">
      <selection activeCell="I20" sqref="I20"/>
    </sheetView>
  </sheetViews>
  <sheetFormatPr defaultColWidth="13" defaultRowHeight="14.4" x14ac:dyDescent="0.3"/>
  <cols>
    <col min="1" max="1" width="11" customWidth="1"/>
    <col min="2" max="2" width="36.88671875" customWidth="1"/>
    <col min="3" max="3" width="32.5546875" customWidth="1"/>
    <col min="4" max="9" width="11" customWidth="1"/>
    <col min="10" max="99" width="12" customWidth="1"/>
  </cols>
  <sheetData>
    <row r="1" spans="1:256" x14ac:dyDescent="0.3">
      <c r="A1" t="s">
        <v>2906</v>
      </c>
      <c r="B1" t="s">
        <v>2907</v>
      </c>
      <c r="C1" t="s">
        <v>2908</v>
      </c>
      <c r="D1" t="s">
        <v>2909</v>
      </c>
      <c r="E1" t="s">
        <v>2910</v>
      </c>
      <c r="F1" t="s">
        <v>2911</v>
      </c>
      <c r="G1" t="s">
        <v>2912</v>
      </c>
      <c r="H1" t="s">
        <v>2913</v>
      </c>
      <c r="I1" t="s">
        <v>2914</v>
      </c>
      <c r="J1" t="s">
        <v>2915</v>
      </c>
      <c r="K1" t="s">
        <v>2916</v>
      </c>
      <c r="L1" t="s">
        <v>2917</v>
      </c>
      <c r="M1" t="s">
        <v>2918</v>
      </c>
      <c r="N1" t="s">
        <v>2919</v>
      </c>
      <c r="O1" t="s">
        <v>2920</v>
      </c>
      <c r="P1" t="s">
        <v>2921</v>
      </c>
      <c r="Q1" t="s">
        <v>2922</v>
      </c>
      <c r="R1" t="s">
        <v>2923</v>
      </c>
      <c r="S1" t="s">
        <v>2924</v>
      </c>
      <c r="T1" t="s">
        <v>2925</v>
      </c>
      <c r="U1" t="s">
        <v>2926</v>
      </c>
      <c r="V1" t="s">
        <v>2927</v>
      </c>
      <c r="W1" t="s">
        <v>2928</v>
      </c>
      <c r="X1" t="s">
        <v>2929</v>
      </c>
      <c r="Y1" t="s">
        <v>2930</v>
      </c>
      <c r="Z1" t="s">
        <v>2931</v>
      </c>
      <c r="AA1" t="s">
        <v>2932</v>
      </c>
      <c r="AB1" t="s">
        <v>2933</v>
      </c>
      <c r="AC1" t="s">
        <v>2934</v>
      </c>
      <c r="AD1" t="s">
        <v>2935</v>
      </c>
      <c r="AE1" t="s">
        <v>2936</v>
      </c>
      <c r="AF1" t="s">
        <v>2937</v>
      </c>
      <c r="AG1" t="s">
        <v>2938</v>
      </c>
      <c r="AH1" t="s">
        <v>2939</v>
      </c>
      <c r="AI1" t="s">
        <v>2940</v>
      </c>
      <c r="AJ1" t="s">
        <v>2941</v>
      </c>
      <c r="AK1" t="s">
        <v>2942</v>
      </c>
      <c r="AL1" t="s">
        <v>2943</v>
      </c>
      <c r="AM1" t="s">
        <v>2944</v>
      </c>
      <c r="AN1" t="s">
        <v>2945</v>
      </c>
      <c r="AO1" t="s">
        <v>2946</v>
      </c>
      <c r="AP1" t="s">
        <v>2947</v>
      </c>
      <c r="AQ1" t="s">
        <v>2948</v>
      </c>
      <c r="AR1" t="s">
        <v>2949</v>
      </c>
      <c r="AS1" t="s">
        <v>2950</v>
      </c>
      <c r="AT1" t="s">
        <v>2951</v>
      </c>
      <c r="AU1" t="s">
        <v>2952</v>
      </c>
      <c r="AV1" t="s">
        <v>2953</v>
      </c>
      <c r="AW1" t="s">
        <v>2954</v>
      </c>
      <c r="AX1" t="s">
        <v>2955</v>
      </c>
      <c r="AY1" t="s">
        <v>2956</v>
      </c>
      <c r="AZ1" t="s">
        <v>2957</v>
      </c>
      <c r="BA1" t="s">
        <v>2958</v>
      </c>
      <c r="BB1" t="s">
        <v>2959</v>
      </c>
      <c r="BC1" t="s">
        <v>2960</v>
      </c>
      <c r="BD1" t="s">
        <v>2961</v>
      </c>
      <c r="BE1" t="s">
        <v>2962</v>
      </c>
      <c r="BF1" t="s">
        <v>2963</v>
      </c>
      <c r="BG1" t="s">
        <v>2964</v>
      </c>
      <c r="BH1" t="s">
        <v>2965</v>
      </c>
      <c r="BI1" t="s">
        <v>2966</v>
      </c>
      <c r="BJ1" t="s">
        <v>2967</v>
      </c>
      <c r="BK1" t="s">
        <v>2968</v>
      </c>
      <c r="BL1" t="s">
        <v>2969</v>
      </c>
      <c r="BM1" t="s">
        <v>2970</v>
      </c>
      <c r="BN1" t="s">
        <v>2971</v>
      </c>
      <c r="BO1" t="s">
        <v>2972</v>
      </c>
      <c r="BP1" t="s">
        <v>2973</v>
      </c>
      <c r="BQ1" t="s">
        <v>2974</v>
      </c>
      <c r="BR1" t="s">
        <v>2975</v>
      </c>
      <c r="BS1" t="s">
        <v>2976</v>
      </c>
      <c r="BT1" t="s">
        <v>2977</v>
      </c>
      <c r="BU1" t="s">
        <v>2978</v>
      </c>
      <c r="BV1" t="s">
        <v>2979</v>
      </c>
      <c r="BW1" t="s">
        <v>2980</v>
      </c>
      <c r="BX1" t="s">
        <v>2981</v>
      </c>
      <c r="BY1" t="s">
        <v>2982</v>
      </c>
      <c r="BZ1" t="s">
        <v>2983</v>
      </c>
      <c r="CA1" t="s">
        <v>2984</v>
      </c>
      <c r="CB1" t="s">
        <v>2985</v>
      </c>
      <c r="CC1" t="s">
        <v>2986</v>
      </c>
      <c r="CD1" t="s">
        <v>2987</v>
      </c>
      <c r="CE1" t="s">
        <v>2988</v>
      </c>
      <c r="CF1" t="s">
        <v>2989</v>
      </c>
      <c r="CG1" t="s">
        <v>2990</v>
      </c>
      <c r="CH1" t="s">
        <v>2991</v>
      </c>
      <c r="CI1" t="s">
        <v>2992</v>
      </c>
      <c r="CJ1" t="s">
        <v>2993</v>
      </c>
      <c r="CK1" t="s">
        <v>2994</v>
      </c>
      <c r="CL1" t="s">
        <v>2995</v>
      </c>
      <c r="CM1" t="s">
        <v>2996</v>
      </c>
      <c r="CN1" t="s">
        <v>2997</v>
      </c>
      <c r="CO1" t="s">
        <v>2998</v>
      </c>
      <c r="CP1" t="s">
        <v>2999</v>
      </c>
      <c r="CQ1" t="s">
        <v>3000</v>
      </c>
      <c r="CR1" t="s">
        <v>3001</v>
      </c>
      <c r="CS1" t="s">
        <v>3002</v>
      </c>
      <c r="CT1" t="s">
        <v>3003</v>
      </c>
      <c r="CU1" t="s">
        <v>3004</v>
      </c>
      <c r="CV1" t="s">
        <v>3005</v>
      </c>
      <c r="CW1" t="s">
        <v>3006</v>
      </c>
      <c r="CX1" t="s">
        <v>3007</v>
      </c>
      <c r="CY1" t="s">
        <v>3008</v>
      </c>
      <c r="CZ1" t="s">
        <v>3009</v>
      </c>
      <c r="DA1" t="s">
        <v>3010</v>
      </c>
      <c r="DB1" t="s">
        <v>3011</v>
      </c>
      <c r="DC1" t="s">
        <v>3012</v>
      </c>
      <c r="DD1" t="s">
        <v>3013</v>
      </c>
      <c r="DE1" t="s">
        <v>3014</v>
      </c>
      <c r="DF1" t="s">
        <v>3015</v>
      </c>
      <c r="DG1" t="s">
        <v>3016</v>
      </c>
      <c r="DH1" t="s">
        <v>3017</v>
      </c>
      <c r="DI1" t="s">
        <v>3018</v>
      </c>
      <c r="DJ1" t="s">
        <v>3019</v>
      </c>
      <c r="DK1" t="s">
        <v>3020</v>
      </c>
      <c r="DL1" t="s">
        <v>3021</v>
      </c>
      <c r="DM1" t="s">
        <v>3022</v>
      </c>
      <c r="DN1" t="s">
        <v>3023</v>
      </c>
      <c r="DO1" t="s">
        <v>3024</v>
      </c>
      <c r="DP1" t="s">
        <v>3025</v>
      </c>
      <c r="DQ1" t="s">
        <v>3026</v>
      </c>
      <c r="DR1" t="s">
        <v>3027</v>
      </c>
      <c r="DS1" t="s">
        <v>3028</v>
      </c>
      <c r="DT1" t="s">
        <v>3029</v>
      </c>
      <c r="DU1" t="s">
        <v>3030</v>
      </c>
      <c r="DV1" t="s">
        <v>3031</v>
      </c>
      <c r="DW1" t="s">
        <v>3032</v>
      </c>
      <c r="DX1" t="s">
        <v>3033</v>
      </c>
      <c r="DY1" t="s">
        <v>3034</v>
      </c>
      <c r="DZ1" t="s">
        <v>3035</v>
      </c>
      <c r="EA1" t="s">
        <v>3036</v>
      </c>
      <c r="EB1" t="s">
        <v>3037</v>
      </c>
      <c r="EC1" t="s">
        <v>3038</v>
      </c>
      <c r="ED1" t="s">
        <v>3039</v>
      </c>
      <c r="EE1" t="s">
        <v>3040</v>
      </c>
      <c r="EF1" t="s">
        <v>3041</v>
      </c>
      <c r="EG1" t="s">
        <v>3042</v>
      </c>
      <c r="EH1" t="s">
        <v>3043</v>
      </c>
      <c r="EI1" t="s">
        <v>3044</v>
      </c>
      <c r="EJ1" t="s">
        <v>3045</v>
      </c>
      <c r="EK1" t="s">
        <v>3046</v>
      </c>
      <c r="EL1" t="s">
        <v>3047</v>
      </c>
      <c r="EM1" t="s">
        <v>3048</v>
      </c>
      <c r="EN1" t="s">
        <v>3049</v>
      </c>
      <c r="EO1" t="s">
        <v>3050</v>
      </c>
      <c r="EP1" t="s">
        <v>3051</v>
      </c>
      <c r="EQ1" t="s">
        <v>3052</v>
      </c>
      <c r="ER1" t="s">
        <v>3053</v>
      </c>
      <c r="ES1" t="s">
        <v>3054</v>
      </c>
      <c r="ET1" t="s">
        <v>3055</v>
      </c>
      <c r="EU1" t="s">
        <v>3056</v>
      </c>
      <c r="EV1" t="s">
        <v>3057</v>
      </c>
      <c r="EW1" t="s">
        <v>3058</v>
      </c>
      <c r="EX1" t="s">
        <v>3059</v>
      </c>
      <c r="EY1" t="s">
        <v>3060</v>
      </c>
      <c r="EZ1" t="s">
        <v>3061</v>
      </c>
      <c r="FA1" t="s">
        <v>3062</v>
      </c>
      <c r="FB1" t="s">
        <v>3063</v>
      </c>
      <c r="FC1" t="s">
        <v>3064</v>
      </c>
      <c r="FD1" t="s">
        <v>3065</v>
      </c>
      <c r="FE1" t="s">
        <v>3066</v>
      </c>
      <c r="FF1" t="s">
        <v>3067</v>
      </c>
      <c r="FG1" t="s">
        <v>3068</v>
      </c>
      <c r="FH1" t="s">
        <v>3069</v>
      </c>
      <c r="FI1" t="s">
        <v>3070</v>
      </c>
      <c r="FJ1" t="s">
        <v>3071</v>
      </c>
      <c r="FK1" t="s">
        <v>3072</v>
      </c>
      <c r="FL1" t="s">
        <v>3073</v>
      </c>
      <c r="FM1" t="s">
        <v>3074</v>
      </c>
      <c r="FN1" t="s">
        <v>3075</v>
      </c>
      <c r="FO1" t="s">
        <v>3076</v>
      </c>
      <c r="FP1" t="s">
        <v>3077</v>
      </c>
      <c r="FQ1" t="s">
        <v>3078</v>
      </c>
      <c r="FR1" t="s">
        <v>3079</v>
      </c>
      <c r="FS1" t="s">
        <v>3080</v>
      </c>
      <c r="FT1" t="s">
        <v>3081</v>
      </c>
      <c r="FU1" t="s">
        <v>3082</v>
      </c>
      <c r="FV1" t="s">
        <v>3083</v>
      </c>
      <c r="FW1" t="s">
        <v>3084</v>
      </c>
      <c r="FX1" t="s">
        <v>3085</v>
      </c>
      <c r="FY1" t="s">
        <v>3086</v>
      </c>
      <c r="FZ1" t="s">
        <v>3087</v>
      </c>
      <c r="GA1" t="s">
        <v>3088</v>
      </c>
      <c r="GB1" t="s">
        <v>3089</v>
      </c>
      <c r="GC1" t="s">
        <v>3090</v>
      </c>
      <c r="GD1" t="s">
        <v>3091</v>
      </c>
      <c r="GE1" t="s">
        <v>3092</v>
      </c>
      <c r="GF1" t="s">
        <v>3093</v>
      </c>
      <c r="GG1" t="s">
        <v>3094</v>
      </c>
      <c r="GH1" t="s">
        <v>3095</v>
      </c>
      <c r="GI1" t="s">
        <v>3096</v>
      </c>
      <c r="GJ1" t="s">
        <v>3097</v>
      </c>
      <c r="GK1" t="s">
        <v>3098</v>
      </c>
      <c r="GL1" t="s">
        <v>3099</v>
      </c>
      <c r="GM1" t="s">
        <v>3100</v>
      </c>
      <c r="GN1" t="s">
        <v>3101</v>
      </c>
      <c r="GO1" t="s">
        <v>3102</v>
      </c>
      <c r="GP1" t="s">
        <v>3103</v>
      </c>
      <c r="GQ1" t="s">
        <v>3104</v>
      </c>
      <c r="GR1" t="s">
        <v>3105</v>
      </c>
      <c r="GS1" t="s">
        <v>3106</v>
      </c>
      <c r="GT1" t="s">
        <v>3107</v>
      </c>
      <c r="GU1" t="s">
        <v>3108</v>
      </c>
      <c r="GV1" t="s">
        <v>3109</v>
      </c>
      <c r="GW1" t="s">
        <v>3110</v>
      </c>
      <c r="GX1" t="s">
        <v>3111</v>
      </c>
      <c r="GY1" t="s">
        <v>3112</v>
      </c>
      <c r="GZ1" t="s">
        <v>3113</v>
      </c>
      <c r="HA1" t="s">
        <v>3114</v>
      </c>
      <c r="HB1" t="s">
        <v>3115</v>
      </c>
      <c r="HC1" t="s">
        <v>3116</v>
      </c>
      <c r="HD1" t="s">
        <v>3117</v>
      </c>
      <c r="HE1" t="s">
        <v>3118</v>
      </c>
      <c r="HF1" t="s">
        <v>3119</v>
      </c>
      <c r="HG1" t="s">
        <v>3120</v>
      </c>
      <c r="HH1" t="s">
        <v>3121</v>
      </c>
      <c r="HI1" t="s">
        <v>3122</v>
      </c>
      <c r="HJ1" t="s">
        <v>3123</v>
      </c>
      <c r="HK1" t="s">
        <v>3124</v>
      </c>
      <c r="HL1" t="s">
        <v>3125</v>
      </c>
      <c r="HM1" t="s">
        <v>3126</v>
      </c>
      <c r="HN1" t="s">
        <v>3127</v>
      </c>
      <c r="HO1" t="s">
        <v>3128</v>
      </c>
      <c r="HP1" t="s">
        <v>3129</v>
      </c>
      <c r="HQ1" t="s">
        <v>3130</v>
      </c>
      <c r="HR1" t="s">
        <v>3131</v>
      </c>
      <c r="HS1" t="s">
        <v>3132</v>
      </c>
      <c r="HT1" t="s">
        <v>3133</v>
      </c>
      <c r="HU1" t="s">
        <v>3134</v>
      </c>
      <c r="HV1" t="s">
        <v>3135</v>
      </c>
      <c r="HW1" t="s">
        <v>3136</v>
      </c>
      <c r="HX1" t="s">
        <v>3137</v>
      </c>
      <c r="HY1" t="s">
        <v>3138</v>
      </c>
      <c r="HZ1" t="s">
        <v>3139</v>
      </c>
      <c r="IA1" t="s">
        <v>3140</v>
      </c>
      <c r="IB1" t="s">
        <v>3141</v>
      </c>
      <c r="IC1" t="s">
        <v>3142</v>
      </c>
      <c r="ID1" t="s">
        <v>3143</v>
      </c>
      <c r="IE1" t="s">
        <v>3144</v>
      </c>
      <c r="IF1" t="s">
        <v>3145</v>
      </c>
      <c r="IG1" t="s">
        <v>3146</v>
      </c>
      <c r="IH1" t="s">
        <v>3147</v>
      </c>
      <c r="II1" t="s">
        <v>3148</v>
      </c>
      <c r="IJ1" t="s">
        <v>3149</v>
      </c>
      <c r="IK1" t="s">
        <v>3150</v>
      </c>
      <c r="IL1" t="s">
        <v>3151</v>
      </c>
      <c r="IM1" t="s">
        <v>3152</v>
      </c>
      <c r="IN1" t="s">
        <v>3153</v>
      </c>
      <c r="IO1" t="s">
        <v>3154</v>
      </c>
      <c r="IP1" t="s">
        <v>3155</v>
      </c>
      <c r="IQ1" t="s">
        <v>3156</v>
      </c>
      <c r="IR1" t="s">
        <v>3157</v>
      </c>
      <c r="IS1" t="s">
        <v>3158</v>
      </c>
      <c r="IT1" t="s">
        <v>3159</v>
      </c>
      <c r="IU1" t="s">
        <v>3160</v>
      </c>
      <c r="IV1" t="s">
        <v>3161</v>
      </c>
    </row>
    <row r="2" spans="1:256" x14ac:dyDescent="0.3">
      <c r="B2" t="s">
        <v>378</v>
      </c>
      <c r="C2" t="s">
        <v>20</v>
      </c>
    </row>
    <row r="3" spans="1:256" x14ac:dyDescent="0.3">
      <c r="B3" t="s">
        <v>1199</v>
      </c>
      <c r="C3" t="s">
        <v>27</v>
      </c>
    </row>
    <row r="4" spans="1:256" x14ac:dyDescent="0.3">
      <c r="B4" t="s">
        <v>22</v>
      </c>
      <c r="C4" t="s">
        <v>30</v>
      </c>
    </row>
    <row r="5" spans="1:256" x14ac:dyDescent="0.3">
      <c r="B5" t="s">
        <v>1056</v>
      </c>
      <c r="C5" t="s">
        <v>32</v>
      </c>
    </row>
    <row r="6" spans="1:256" x14ac:dyDescent="0.3">
      <c r="B6" t="s">
        <v>470</v>
      </c>
      <c r="C6" t="s">
        <v>34</v>
      </c>
    </row>
    <row r="7" spans="1:256" x14ac:dyDescent="0.3">
      <c r="B7" t="s">
        <v>1200</v>
      </c>
      <c r="C7" t="s">
        <v>36</v>
      </c>
    </row>
    <row r="8" spans="1:256" x14ac:dyDescent="0.3">
      <c r="B8" t="s">
        <v>648</v>
      </c>
      <c r="C8" t="s">
        <v>38</v>
      </c>
    </row>
    <row r="9" spans="1:256" x14ac:dyDescent="0.3">
      <c r="B9" t="s">
        <v>221</v>
      </c>
      <c r="C9" t="s">
        <v>40</v>
      </c>
    </row>
    <row r="10" spans="1:256" x14ac:dyDescent="0.3">
      <c r="B10" t="s">
        <v>127</v>
      </c>
      <c r="C10" t="s">
        <v>41</v>
      </c>
    </row>
    <row r="11" spans="1:256" x14ac:dyDescent="0.3">
      <c r="B11" t="s">
        <v>30</v>
      </c>
      <c r="C11" t="s">
        <v>23</v>
      </c>
    </row>
    <row r="12" spans="1:256" x14ac:dyDescent="0.3">
      <c r="B12" t="s">
        <v>32</v>
      </c>
      <c r="C12" t="s">
        <v>43</v>
      </c>
    </row>
    <row r="13" spans="1:256" x14ac:dyDescent="0.3">
      <c r="B13" t="s">
        <v>34</v>
      </c>
    </row>
    <row r="14" spans="1:256" x14ac:dyDescent="0.3">
      <c r="B14" t="s">
        <v>398</v>
      </c>
    </row>
    <row r="15" spans="1:256" x14ac:dyDescent="0.3">
      <c r="B15" t="s">
        <v>36</v>
      </c>
    </row>
    <row r="16" spans="1:256" x14ac:dyDescent="0.3">
      <c r="B16" t="s">
        <v>500</v>
      </c>
    </row>
    <row r="17" spans="2:2" x14ac:dyDescent="0.3">
      <c r="B17" t="s">
        <v>1201</v>
      </c>
    </row>
    <row r="18" spans="2:2" x14ac:dyDescent="0.3">
      <c r="B18" t="s">
        <v>38</v>
      </c>
    </row>
    <row r="19" spans="2:2" x14ac:dyDescent="0.3">
      <c r="B19" t="s">
        <v>1202</v>
      </c>
    </row>
    <row r="20" spans="2:2" x14ac:dyDescent="0.3">
      <c r="B20" t="s">
        <v>632</v>
      </c>
    </row>
    <row r="21" spans="2:2" x14ac:dyDescent="0.3">
      <c r="B21" t="s">
        <v>141</v>
      </c>
    </row>
    <row r="22" spans="2:2" x14ac:dyDescent="0.3">
      <c r="B22" t="s">
        <v>43</v>
      </c>
    </row>
  </sheetData>
  <sheetProtection algorithmName="SHA-512" hashValue="n25iGcHgq9kzmnqPu9r343HVPDpLj2r0ZHCRtFplRKVg5UuLEZ6ZDIIM2RE1HrT+2dpGVQXGhgCR63lzKPgD1g==" saltValue="Zr5csPDeK0zaMUMdKLYnZg==" spinCount="100000"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22a82a3-d09d-426f-90d4-a5ecd6f3371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3DFAC445C7DED4283A8944165F376E6" ma:contentTypeVersion="18" ma:contentTypeDescription="Create a new document." ma:contentTypeScope="" ma:versionID="e3185c8162d4facb74d647383516279b">
  <xsd:schema xmlns:xsd="http://www.w3.org/2001/XMLSchema" xmlns:xs="http://www.w3.org/2001/XMLSchema" xmlns:p="http://schemas.microsoft.com/office/2006/metadata/properties" xmlns:ns3="322a82a3-d09d-426f-90d4-a5ecd6f3371a" xmlns:ns4="c73bb663-fe61-41af-89d5-508136fda8b7" targetNamespace="http://schemas.microsoft.com/office/2006/metadata/properties" ma:root="true" ma:fieldsID="ac6334251fc7760a48e534b58fe3d5d5" ns3:_="" ns4:_="">
    <xsd:import namespace="322a82a3-d09d-426f-90d4-a5ecd6f3371a"/>
    <xsd:import namespace="c73bb663-fe61-41af-89d5-508136fda8b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2a82a3-d09d-426f-90d4-a5ecd6f337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3bb663-fe61-41af-89d5-508136fda8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1C251EA-AE44-478B-B19B-FEC7A2C45BC7}">
  <ds:schemaRefs>
    <ds:schemaRef ds:uri="http://schemas.microsoft.com/sharepoint/v3/contenttype/forms"/>
  </ds:schemaRefs>
</ds:datastoreItem>
</file>

<file path=customXml/itemProps2.xml><?xml version="1.0" encoding="utf-8"?>
<ds:datastoreItem xmlns:ds="http://schemas.openxmlformats.org/officeDocument/2006/customXml" ds:itemID="{185758DD-29D1-4711-8B0E-F502DCFFDAF5}">
  <ds:schemaRefs>
    <ds:schemaRef ds:uri="http://schemas.microsoft.com/office/2006/metadata/properties"/>
    <ds:schemaRef ds:uri="http://schemas.microsoft.com/office/infopath/2007/PartnerControls"/>
    <ds:schemaRef ds:uri="322a82a3-d09d-426f-90d4-a5ecd6f3371a"/>
  </ds:schemaRefs>
</ds:datastoreItem>
</file>

<file path=customXml/itemProps3.xml><?xml version="1.0" encoding="utf-8"?>
<ds:datastoreItem xmlns:ds="http://schemas.openxmlformats.org/officeDocument/2006/customXml" ds:itemID="{7ED60252-8EC4-4446-8073-3952D5F52E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2a82a3-d09d-426f-90d4-a5ecd6f3371a"/>
    <ds:schemaRef ds:uri="c73bb663-fe61-41af-89d5-508136fda8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E795451-C584-4659-9CC2-3255FA20A9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1 - Top Sheet</vt:lpstr>
      <vt:lpstr>2 - Section Count Projection</vt:lpstr>
      <vt:lpstr>3.1 - Tertiary - Term 1</vt:lpstr>
      <vt:lpstr>3.2 - Tertiary - Term 2</vt:lpstr>
      <vt:lpstr>3.3 - SHS Term 1 </vt:lpstr>
      <vt:lpstr>3.4 - SHS Term 2</vt:lpstr>
      <vt:lpstr>Faculty Count Projection</vt:lpstr>
      <vt:lpstr>4.2 - SHS Schedule</vt:lpstr>
      <vt:lpstr>4.1 - TER Schedule</vt:lpstr>
      <vt:lpstr>MONDAY</vt:lpstr>
      <vt:lpstr>TUESDAY</vt:lpstr>
      <vt:lpstr>WEDNESDAY</vt:lpstr>
      <vt:lpstr>THURSDAY</vt:lpstr>
      <vt:lpstr>FRIDAY</vt:lpstr>
      <vt:lpstr>SATURDAY</vt:lpstr>
      <vt:lpstr>Room Utilization Efficiency</vt:lpstr>
      <vt:lpstr>Room Schedule</vt:lpstr>
      <vt:lpstr>5 - Computer Lab</vt:lpstr>
      <vt:lpstr>6 - Culinary Lab </vt:lpstr>
      <vt:lpstr>Field Source</vt:lpstr>
      <vt:lpstr>SHS1FIELD</vt:lpstr>
      <vt:lpstr>SHS1LOAD</vt:lpstr>
      <vt:lpstr>SHS2FIELD</vt:lpstr>
      <vt:lpstr>SHS2LOAD</vt:lpstr>
      <vt:lpstr>TER1FIELD</vt:lpstr>
      <vt:lpstr>TER1LOAD</vt:lpstr>
      <vt:lpstr>TER2FIELD</vt:lpstr>
      <vt:lpstr>TER2LOAD</vt:lpstr>
      <vt:lpstr>FRIDAY!TIME</vt:lpstr>
      <vt:lpstr>SATURDAY!TIME</vt:lpstr>
      <vt:lpstr>THURSDAY!TIME</vt:lpstr>
      <vt:lpstr>TUESDAY!TIME</vt:lpstr>
      <vt:lpstr>WEDNESDAY!TIME</vt:lpstr>
      <vt:lpstr>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Dantes III, Fernando T.</dc:creator>
  <cp:keywords/>
  <dc:description/>
  <cp:lastModifiedBy>Musa, Eugene (Faculty)</cp:lastModifiedBy>
  <cp:revision/>
  <dcterms:created xsi:type="dcterms:W3CDTF">2022-05-18T23:23:45Z</dcterms:created>
  <dcterms:modified xsi:type="dcterms:W3CDTF">2026-01-01T11:59:52Z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0x01010093DFAC445C7DED4283A8944165F376E6</vt:lpwstr>
  </property>
</Properties>
</file>